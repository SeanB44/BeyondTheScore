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Output\"/>
    </mc:Choice>
  </mc:AlternateContent>
  <xr:revisionPtr revIDLastSave="0" documentId="13_ncr:1_{925E0D97-8572-4F2D-ADA3-22AECD7CBD07}" xr6:coauthVersionLast="47" xr6:coauthVersionMax="47" xr10:uidLastSave="{00000000-0000-0000-0000-000000000000}"/>
  <bookViews>
    <workbookView xWindow="-83" yWindow="0" windowWidth="11415" windowHeight="14362" xr2:uid="{00000000-000D-0000-FFFF-FFFF00000000}"/>
  </bookViews>
  <sheets>
    <sheet name="Input" sheetId="2" r:id="rId1"/>
    <sheet name="NCAAT Simula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5" i="2"/>
  <c r="G4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C2" i="1"/>
  <c r="E57" i="2" l="1"/>
  <c r="F57" i="2"/>
  <c r="H57" i="2"/>
  <c r="I57" i="2"/>
  <c r="J5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2" i="2"/>
  <c r="H3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F59" i="2"/>
  <c r="H59" i="2"/>
  <c r="I59" i="2"/>
  <c r="F60" i="2"/>
  <c r="H60" i="2"/>
  <c r="I60" i="2"/>
  <c r="F61" i="2"/>
  <c r="H61" i="2"/>
  <c r="I61" i="2"/>
  <c r="F62" i="2"/>
  <c r="H62" i="2"/>
  <c r="I62" i="2"/>
  <c r="F63" i="2"/>
  <c r="H63" i="2"/>
  <c r="I63" i="2"/>
  <c r="F64" i="2"/>
  <c r="H64" i="2"/>
  <c r="I64" i="2"/>
  <c r="F65" i="2"/>
  <c r="H65" i="2"/>
  <c r="I65" i="2"/>
  <c r="F66" i="2"/>
  <c r="H66" i="2"/>
  <c r="I66" i="2"/>
  <c r="F67" i="2"/>
  <c r="H67" i="2"/>
  <c r="I67" i="2"/>
  <c r="F68" i="2"/>
  <c r="H68" i="2"/>
  <c r="I68" i="2"/>
  <c r="F69" i="2"/>
  <c r="H69" i="2"/>
  <c r="I69" i="2"/>
  <c r="F70" i="2"/>
  <c r="H70" i="2"/>
  <c r="I70" i="2"/>
  <c r="F71" i="2"/>
  <c r="H71" i="2"/>
  <c r="I71" i="2"/>
  <c r="F72" i="2"/>
  <c r="H72" i="2"/>
  <c r="I72" i="2"/>
  <c r="F73" i="2"/>
  <c r="H73" i="2"/>
  <c r="I73" i="2"/>
  <c r="E49" i="2"/>
  <c r="E50" i="2"/>
  <c r="E51" i="2"/>
  <c r="E52" i="2"/>
  <c r="E53" i="2"/>
  <c r="E54" i="2"/>
  <c r="E55" i="2"/>
  <c r="E56" i="2"/>
  <c r="F36" i="2"/>
  <c r="H36" i="2"/>
  <c r="F37" i="2"/>
  <c r="H37" i="2"/>
  <c r="F38" i="2"/>
  <c r="H38" i="2"/>
  <c r="F39" i="2"/>
  <c r="H39" i="2"/>
  <c r="F40" i="2"/>
  <c r="H40" i="2"/>
  <c r="F41" i="2"/>
  <c r="H41" i="2"/>
  <c r="F42" i="2"/>
  <c r="H42" i="2"/>
  <c r="F43" i="2"/>
  <c r="H43" i="2"/>
  <c r="F44" i="2"/>
  <c r="H44" i="2"/>
  <c r="F45" i="2"/>
  <c r="H45" i="2"/>
  <c r="F46" i="2"/>
  <c r="H46" i="2"/>
  <c r="F47" i="2"/>
  <c r="H47" i="2"/>
  <c r="F48" i="2"/>
  <c r="H48" i="2"/>
  <c r="F49" i="2"/>
  <c r="H49" i="2"/>
  <c r="F50" i="2"/>
  <c r="H50" i="2"/>
  <c r="F51" i="2"/>
  <c r="H51" i="2"/>
  <c r="F52" i="2"/>
  <c r="H52" i="2"/>
  <c r="F53" i="2"/>
  <c r="H53" i="2"/>
  <c r="F54" i="2"/>
  <c r="H54" i="2"/>
  <c r="F55" i="2"/>
  <c r="H55" i="2"/>
  <c r="F56" i="2"/>
  <c r="H56" i="2"/>
  <c r="F58" i="2"/>
  <c r="H58" i="2"/>
  <c r="F35" i="2"/>
  <c r="H35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8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35" i="2"/>
  <c r="E2" i="2" l="1"/>
  <c r="F2" i="2"/>
  <c r="G2" i="2"/>
  <c r="H2" i="2" s="1"/>
  <c r="I2" i="2"/>
  <c r="E3" i="2"/>
  <c r="F3" i="2"/>
  <c r="I3" i="2"/>
  <c r="E4" i="2"/>
  <c r="F4" i="2"/>
  <c r="H4" i="2"/>
  <c r="I4" i="2"/>
  <c r="E5" i="2"/>
  <c r="F5" i="2"/>
  <c r="H5" i="2"/>
  <c r="I5" i="2"/>
  <c r="E6" i="2"/>
  <c r="F6" i="2"/>
  <c r="H6" i="2"/>
  <c r="I6" i="2"/>
  <c r="E7" i="2"/>
  <c r="F7" i="2"/>
  <c r="H7" i="2"/>
  <c r="I7" i="2"/>
  <c r="E8" i="2"/>
  <c r="F8" i="2"/>
  <c r="H8" i="2"/>
  <c r="I8" i="2"/>
  <c r="E9" i="2"/>
  <c r="F9" i="2"/>
  <c r="H9" i="2"/>
  <c r="I9" i="2"/>
  <c r="E10" i="2"/>
  <c r="F10" i="2"/>
  <c r="H10" i="2"/>
  <c r="I10" i="2"/>
  <c r="E11" i="2"/>
  <c r="F11" i="2"/>
  <c r="H11" i="2"/>
  <c r="I11" i="2"/>
  <c r="E12" i="2"/>
  <c r="F12" i="2"/>
  <c r="H12" i="2"/>
  <c r="I12" i="2"/>
  <c r="E13" i="2"/>
  <c r="F13" i="2"/>
  <c r="H13" i="2"/>
  <c r="I13" i="2"/>
  <c r="E14" i="2"/>
  <c r="F14" i="2"/>
  <c r="H14" i="2"/>
  <c r="I14" i="2"/>
  <c r="E15" i="2"/>
  <c r="F15" i="2"/>
  <c r="H15" i="2"/>
  <c r="I15" i="2"/>
  <c r="E16" i="2"/>
  <c r="F16" i="2"/>
  <c r="H16" i="2"/>
  <c r="I16" i="2"/>
  <c r="E17" i="2"/>
  <c r="F17" i="2"/>
  <c r="H17" i="2"/>
  <c r="I17" i="2"/>
  <c r="E18" i="2"/>
  <c r="F18" i="2"/>
  <c r="H18" i="2"/>
  <c r="I18" i="2"/>
  <c r="E19" i="2"/>
  <c r="F19" i="2"/>
  <c r="H19" i="2"/>
  <c r="I19" i="2"/>
  <c r="E20" i="2"/>
  <c r="F20" i="2"/>
  <c r="H20" i="2"/>
  <c r="I20" i="2"/>
  <c r="E21" i="2"/>
  <c r="F21" i="2"/>
  <c r="H21" i="2"/>
  <c r="I21" i="2"/>
  <c r="E22" i="2"/>
  <c r="F22" i="2"/>
  <c r="H22" i="2"/>
  <c r="I22" i="2"/>
  <c r="E23" i="2"/>
  <c r="F23" i="2"/>
  <c r="H23" i="2"/>
  <c r="I23" i="2"/>
  <c r="E24" i="2"/>
  <c r="F24" i="2"/>
  <c r="H24" i="2"/>
  <c r="I24" i="2"/>
  <c r="E25" i="2"/>
  <c r="F25" i="2"/>
  <c r="H25" i="2"/>
  <c r="I25" i="2"/>
  <c r="E26" i="2"/>
  <c r="F26" i="2"/>
  <c r="H26" i="2"/>
  <c r="I26" i="2"/>
  <c r="E27" i="2"/>
  <c r="F27" i="2"/>
  <c r="H27" i="2"/>
  <c r="I27" i="2"/>
  <c r="E28" i="2"/>
  <c r="F28" i="2"/>
  <c r="H28" i="2"/>
  <c r="I28" i="2"/>
  <c r="E29" i="2"/>
  <c r="F29" i="2"/>
  <c r="H29" i="2"/>
  <c r="I29" i="2"/>
  <c r="E30" i="2"/>
  <c r="F30" i="2"/>
  <c r="H30" i="2"/>
  <c r="I30" i="2"/>
  <c r="E31" i="2"/>
  <c r="F31" i="2"/>
  <c r="H31" i="2"/>
  <c r="I31" i="2"/>
  <c r="E32" i="2"/>
  <c r="F32" i="2"/>
  <c r="H32" i="2"/>
  <c r="I32" i="2"/>
  <c r="E33" i="2"/>
  <c r="F33" i="2"/>
  <c r="H33" i="2"/>
  <c r="I33" i="2"/>
  <c r="I34" i="2"/>
  <c r="H34" i="2"/>
  <c r="F34" i="2"/>
  <c r="E34" i="2"/>
</calcChain>
</file>

<file path=xl/sharedStrings.xml><?xml version="1.0" encoding="utf-8"?>
<sst xmlns="http://schemas.openxmlformats.org/spreadsheetml/2006/main" count="13897" uniqueCount="85">
  <si>
    <t>FAVORITE</t>
  </si>
  <si>
    <t>UNDERDOG</t>
  </si>
  <si>
    <t>PREDICTION</t>
  </si>
  <si>
    <t>PREDICTION.PROB</t>
  </si>
  <si>
    <t>POINT.SPREAD</t>
  </si>
  <si>
    <t>BETTING.ODDS</t>
  </si>
  <si>
    <t>TOTAL.SCORE</t>
  </si>
  <si>
    <t>Akron</t>
  </si>
  <si>
    <t>Alabama</t>
  </si>
  <si>
    <t>Alabama St.</t>
  </si>
  <si>
    <t>American</t>
  </si>
  <si>
    <t>Arizona</t>
  </si>
  <si>
    <t>Arkansas</t>
  </si>
  <si>
    <t>Auburn</t>
  </si>
  <si>
    <t>Baylor</t>
  </si>
  <si>
    <t>Bryant</t>
  </si>
  <si>
    <t>BYU</t>
  </si>
  <si>
    <t>Clemson</t>
  </si>
  <si>
    <t>Colorado St.</t>
  </si>
  <si>
    <t>Connecticut</t>
  </si>
  <si>
    <t>Creighton</t>
  </si>
  <si>
    <t>Drake</t>
  </si>
  <si>
    <t>Duke</t>
  </si>
  <si>
    <t>Florida</t>
  </si>
  <si>
    <t>Georgia</t>
  </si>
  <si>
    <t>Gonzaga</t>
  </si>
  <si>
    <t>Grand Canyon</t>
  </si>
  <si>
    <t>High Point</t>
  </si>
  <si>
    <t>Houston</t>
  </si>
  <si>
    <t>Illinois</t>
  </si>
  <si>
    <t>Iowa St.</t>
  </si>
  <si>
    <t>Kansas</t>
  </si>
  <si>
    <t>Kentucky</t>
  </si>
  <si>
    <t>Liberty</t>
  </si>
  <si>
    <t>Lipscomb</t>
  </si>
  <si>
    <t>Louisville</t>
  </si>
  <si>
    <t>Marquette</t>
  </si>
  <si>
    <t>Maryland</t>
  </si>
  <si>
    <t>McNeese St.</t>
  </si>
  <si>
    <t>Memphis</t>
  </si>
  <si>
    <t>Michigan</t>
  </si>
  <si>
    <t>Michigan St.</t>
  </si>
  <si>
    <t>Mississippi</t>
  </si>
  <si>
    <t>Mississippi St.</t>
  </si>
  <si>
    <t>Missouri</t>
  </si>
  <si>
    <t>Montana</t>
  </si>
  <si>
    <t>Mount St. Mary's</t>
  </si>
  <si>
    <t>Nebraska Omaha</t>
  </si>
  <si>
    <t>New Mexico</t>
  </si>
  <si>
    <t>Norfolk St.</t>
  </si>
  <si>
    <t>North Carolina</t>
  </si>
  <si>
    <t>Oklahoma</t>
  </si>
  <si>
    <t>Oregon</t>
  </si>
  <si>
    <t>Purdue</t>
  </si>
  <si>
    <t>Robert Morris</t>
  </si>
  <si>
    <t>Saint Francis</t>
  </si>
  <si>
    <t>Saint Mary's</t>
  </si>
  <si>
    <t>San Diego St.</t>
  </si>
  <si>
    <t>SIU Edwardsville</t>
  </si>
  <si>
    <t>St. John's</t>
  </si>
  <si>
    <t>Tennessee</t>
  </si>
  <si>
    <t>Texas</t>
  </si>
  <si>
    <t>Texas A&amp;M</t>
  </si>
  <si>
    <t>Texas Tech</t>
  </si>
  <si>
    <t>Troy</t>
  </si>
  <si>
    <t>UC San Diego</t>
  </si>
  <si>
    <t>UCLA</t>
  </si>
  <si>
    <t>UNC Wilmington</t>
  </si>
  <si>
    <t>Utah St.</t>
  </si>
  <si>
    <t>Vanderbilt</t>
  </si>
  <si>
    <t>VCU</t>
  </si>
  <si>
    <t>Wisconsin</t>
  </si>
  <si>
    <t>Xavier</t>
  </si>
  <si>
    <t>Yale</t>
  </si>
  <si>
    <t>Matchup</t>
  </si>
  <si>
    <t>PROBABILITY</t>
  </si>
  <si>
    <t>SCORE</t>
  </si>
  <si>
    <t>High Seed</t>
  </si>
  <si>
    <t>Low Seed</t>
  </si>
  <si>
    <t>IMPLIED BETTING ODDS</t>
  </si>
  <si>
    <t>Wofford</t>
  </si>
  <si>
    <t>Raw Spread</t>
  </si>
  <si>
    <t>Spread</t>
  </si>
  <si>
    <t>Seed</t>
  </si>
  <si>
    <t>ADJUSTED.TOTAL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</si>
</sst>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1518-1216-4874-AFB0-D9103593B349}">
  <dimension ref="A1:J77"/>
  <sheetViews>
    <sheetView tabSelected="1" workbookViewId="0">
      <selection activeCell="C5" sqref="C5:D18"/>
    </sheetView>
  </sheetViews>
  <sheetFormatPr defaultRowHeight="14.25" x14ac:dyDescent="0.45"/>
  <cols>
    <col min="2" max="3" width="11.53125" customWidth="1"/>
    <col min="4" max="4" width="12.6640625" customWidth="1"/>
    <col min="5" max="5" width="12.46484375" customWidth="1"/>
    <col min="6" max="6" width="18.1328125" customWidth="1"/>
    <col min="7" max="7" width="11.06640625" customWidth="1"/>
    <col min="8" max="8" width="13.46484375" customWidth="1"/>
    <col min="9" max="9" width="15.9296875" customWidth="1"/>
  </cols>
  <sheetData>
    <row r="1" spans="1:10" s="6" customFormat="1" ht="28.5" x14ac:dyDescent="0.45">
      <c r="A1" s="5" t="s">
        <v>83</v>
      </c>
      <c r="B1" s="5" t="s">
        <v>77</v>
      </c>
      <c r="C1" s="5" t="s">
        <v>83</v>
      </c>
      <c r="D1" s="5" t="s">
        <v>78</v>
      </c>
      <c r="E1" s="5" t="s">
        <v>2</v>
      </c>
      <c r="F1" s="5" t="s">
        <v>75</v>
      </c>
      <c r="G1" s="5" t="s">
        <v>81</v>
      </c>
      <c r="H1" s="5" t="s">
        <v>82</v>
      </c>
      <c r="I1" s="5" t="s">
        <v>79</v>
      </c>
      <c r="J1" s="5" t="s">
        <v>76</v>
      </c>
    </row>
    <row r="2" spans="1:10" x14ac:dyDescent="0.45">
      <c r="A2">
        <v>1</v>
      </c>
      <c r="B2" t="s">
        <v>13</v>
      </c>
      <c r="C2">
        <v>1</v>
      </c>
      <c r="D2" t="s">
        <v>23</v>
      </c>
      <c r="E2" t="str">
        <f>_xlfn.IFNA(VLOOKUP($B2&amp;$D2, 'NCAAT Simulations'!$C$2:$H$9999, 2,FALSE), "")</f>
        <v>Florida</v>
      </c>
      <c r="F2" s="4">
        <f>_xlfn.IFNA(IF(VLOOKUP($B2&amp;$D2, 'NCAAT Simulations'!$C$2:$H$9999, 3,FALSE)&lt;50,1-VLOOKUP($B2&amp;$D2, 'NCAAT Simulations'!$C$2:$H$9999, 3,FALSE)/100, VLOOKUP($B2&amp;$D2, 'NCAAT Simulations'!$C$2:$H$9999, 3,FALSE)/100), "")</f>
        <v>0.53600000000000003</v>
      </c>
      <c r="G2" s="2" t="str">
        <f>_xlfn.IFNA(IF(ROUND(VLOOKUP($B2&amp;$D2, 'NCAAT Simulations'!$C$2:$H$9999, 4,FALSE), 1)&gt;0, _xlfn.CONCAT("+",ROUND(VLOOKUP($B2&amp;$D2, 'NCAAT Simulations'!$C$2:$H$9999, 4,FALSE), 1)), ROUND(VLOOKUP($B2&amp;$D2, 'NCAAT Simulations'!$C$2:$H$9999, 4,FALSE), 1)), "")</f>
        <v>+0.9</v>
      </c>
      <c r="H2" s="7" t="str">
        <f>IF(G2&lt;0,(VLOOKUP($B2&amp;$D2, 'NCAAT Simulations'!$C$2:$I$9999, 6,FALSE)/138.8)*G2, _xlfn.CONCAT("+", ROUND((VLOOKUP($B2&amp;$D2, 'NCAAT Simulations'!$C$2:$I$9999, 6,FALSE)/138.8)*G2, 1)))</f>
        <v>+0.9</v>
      </c>
      <c r="I2" s="3">
        <f>_xlfn.IFNA(IF(ABS(VLOOKUP($B2&amp;$D2, 'NCAAT Simulations'!$C$2:$H$9999, 5,FALSE))&gt;10000,_xlfn.FLOOR.MATH(VLOOKUP($B2&amp;$D2, 'NCAAT Simulations'!$C$2:$H$9999, 5,FALSE), 1000), IF(ABS(VLOOKUP($B2&amp;$D2, 'NCAAT Simulations'!$C$2:$H$9999, 5,FALSE))&gt;1000,_xlfn.FLOOR.MATH(VLOOKUP($B2&amp;$D2, 'NCAAT Simulations'!$C$2:$H$9999, 5,FALSE), 100), _xlfn.FLOOR.MATH(VLOOKUP($B2&amp;$D2, 'NCAAT Simulations'!$C$2:$H$9999, 5,FALSE), 10))), "")</f>
        <v>110</v>
      </c>
      <c r="J2" s="1">
        <f>_xlfn.IFNA(VLOOKUP($B2&amp;$D2, 'NCAAT Simulations'!$C$2:$I$9999, 7,FALSE), "")</f>
        <v>138.11793110830442</v>
      </c>
    </row>
    <row r="3" spans="1:10" x14ac:dyDescent="0.45">
      <c r="A3">
        <v>1</v>
      </c>
      <c r="B3" t="s">
        <v>22</v>
      </c>
      <c r="C3">
        <v>1</v>
      </c>
      <c r="D3" t="s">
        <v>28</v>
      </c>
      <c r="E3" t="str">
        <f>_xlfn.IFNA(VLOOKUP($B3&amp;$D3, 'NCAAT Simulations'!$C$2:$H$9999, 2,FALSE), "")</f>
        <v>Houston</v>
      </c>
      <c r="F3" s="4">
        <f>_xlfn.IFNA(IF(VLOOKUP($B3&amp;$D3, 'NCAAT Simulations'!$C$2:$H$9999, 3,FALSE)&lt;50,1-VLOOKUP($B3&amp;$D3, 'NCAAT Simulations'!$C$2:$H$9999, 3,FALSE)/100, VLOOKUP($B3&amp;$D3, 'NCAAT Simulations'!$C$2:$H$9999, 3,FALSE)/100), "")</f>
        <v>0.70899999999999996</v>
      </c>
      <c r="G3" s="2" t="str">
        <f>_xlfn.IFNA(IF(ROUND(VLOOKUP($B3&amp;$D3, 'NCAAT Simulations'!$C$2:$H$9999, 4,FALSE), 1)&gt;0, _xlfn.CONCAT("+",ROUND(VLOOKUP($B3&amp;$D3, 'NCAAT Simulations'!$C$2:$H$9999, 4,FALSE), 1)), ROUND(VLOOKUP($B3&amp;$D3, 'NCAAT Simulations'!$C$2:$H$9999, 4,FALSE), 1)), "")</f>
        <v>+5.8</v>
      </c>
      <c r="H3" s="7" t="str">
        <f>IF(G3&lt;0,(VLOOKUP($B3&amp;$D3, 'NCAAT Simulations'!$C$2:$I$9999, 6,FALSE)/138.8)*G3, _xlfn.CONCAT("+", ROUND((VLOOKUP($B3&amp;$D3, 'NCAAT Simulations'!$C$2:$I$9999, 6,FALSE)/138.8)*G3, 1)))</f>
        <v>+5.8</v>
      </c>
      <c r="I3" s="3">
        <f>_xlfn.IFNA(IF(ABS(VLOOKUP($B3&amp;$D3, 'NCAAT Simulations'!$C$2:$H$9999, 5,FALSE))&gt;10000,_xlfn.FLOOR.MATH(VLOOKUP($B3&amp;$D3, 'NCAAT Simulations'!$C$2:$H$9999, 5,FALSE), 1000), IF(ABS(VLOOKUP($B3&amp;$D3, 'NCAAT Simulations'!$C$2:$H$9999, 5,FALSE))&gt;1000,_xlfn.FLOOR.MATH(VLOOKUP($B3&amp;$D3, 'NCAAT Simulations'!$C$2:$H$9999, 5,FALSE), 100), _xlfn.FLOOR.MATH(VLOOKUP($B3&amp;$D3, 'NCAAT Simulations'!$C$2:$H$9999, 5,FALSE), 10))), "")</f>
        <v>240</v>
      </c>
      <c r="J3" s="1">
        <f>_xlfn.IFNA(VLOOKUP($B3&amp;$D3, 'NCAAT Simulations'!$C$2:$I$9999, 7,FALSE), "")</f>
        <v>136.75476518128968</v>
      </c>
    </row>
    <row r="4" spans="1:10" x14ac:dyDescent="0.45">
      <c r="A4">
        <v>1</v>
      </c>
      <c r="B4" t="s">
        <v>28</v>
      </c>
      <c r="C4">
        <v>1</v>
      </c>
      <c r="D4" t="s">
        <v>23</v>
      </c>
      <c r="E4" t="str">
        <f>_xlfn.IFNA(VLOOKUP($B4&amp;$D4, 'NCAAT Simulations'!$C$2:$H$9999, 2,FALSE), "")</f>
        <v>Houston</v>
      </c>
      <c r="F4" s="4">
        <f>_xlfn.IFNA(IF(VLOOKUP($B4&amp;$D4, 'NCAAT Simulations'!$C$2:$H$9999, 3,FALSE)&lt;50,1-VLOOKUP($B4&amp;$D4, 'NCAAT Simulations'!$C$2:$H$9999, 3,FALSE)/100, VLOOKUP($B4&amp;$D4, 'NCAAT Simulations'!$C$2:$H$9999, 3,FALSE)/100), "")</f>
        <v>0.68500000000000005</v>
      </c>
      <c r="G4" s="2">
        <f>_xlfn.IFNA(IF(ROUND(VLOOKUP($B4&amp;$D4, 'NCAAT Simulations'!$C$2:$H$9999, 4,FALSE), 1)&gt;0, _xlfn.CONCAT("+",ROUND(VLOOKUP($B4&amp;$D4, 'NCAAT Simulations'!$C$2:$H$9999, 4,FALSE), 1)), ROUND(VLOOKUP($B4&amp;$D4, 'NCAAT Simulations'!$C$2:$H$9999, 4,FALSE), 1)), "")</f>
        <v>-5.0999999999999996</v>
      </c>
      <c r="H4" s="7">
        <f>IF(G4&lt;0,(VLOOKUP($B4&amp;$D4, 'NCAAT Simulations'!$C$2:$I$9999, 6,FALSE)/138.8)*G4, _xlfn.CONCAT("+", ROUND((VLOOKUP($B4&amp;$D4, 'NCAAT Simulations'!$C$2:$I$9999, 6,FALSE)/138.8)*G4, 1)))</f>
        <v>-5.1146100761517594</v>
      </c>
      <c r="I4" s="3">
        <f>_xlfn.IFNA(IF(ABS(VLOOKUP($B4&amp;$D4, 'NCAAT Simulations'!$C$2:$H$9999, 5,FALSE))&gt;10000,_xlfn.FLOOR.MATH(VLOOKUP($B4&amp;$D4, 'NCAAT Simulations'!$C$2:$H$9999, 5,FALSE), 1000), IF(ABS(VLOOKUP($B4&amp;$D4, 'NCAAT Simulations'!$C$2:$H$9999, 5,FALSE))&gt;1000,_xlfn.FLOOR.MATH(VLOOKUP($B4&amp;$D4, 'NCAAT Simulations'!$C$2:$H$9999, 5,FALSE), 100), _xlfn.FLOOR.MATH(VLOOKUP($B4&amp;$D4, 'NCAAT Simulations'!$C$2:$H$9999, 5,FALSE), 10))), "")</f>
        <v>-220</v>
      </c>
      <c r="J4" s="1">
        <f>_xlfn.IFNA(VLOOKUP($B4&amp;$D4, 'NCAAT Simulations'!$C$2:$I$9999, 7,FALSE), "")</f>
        <v>144.69047667352407</v>
      </c>
    </row>
    <row r="5" spans="1:10" x14ac:dyDescent="0.45">
      <c r="E5" t="str">
        <f>_xlfn.IFNA(VLOOKUP($B5&amp;$D5, 'NCAAT Simulations'!$C$2:$H$9999, 2,FALSE), "")</f>
        <v/>
      </c>
      <c r="F5" s="4" t="str">
        <f>_xlfn.IFNA(IF(VLOOKUP($B5&amp;$D5, 'NCAAT Simulations'!$C$2:$H$9999, 3,FALSE)&lt;50,1-VLOOKUP($B5&amp;$D5, 'NCAAT Simulations'!$C$2:$H$9999, 3,FALSE)/100, VLOOKUP($B5&amp;$D5, 'NCAAT Simulations'!$C$2:$H$9999, 3,FALSE)/100), "")</f>
        <v/>
      </c>
      <c r="G5" s="2" t="str">
        <f>_xlfn.IFNA(IF(ROUND(VLOOKUP($B5&amp;$D5, 'NCAAT Simulations'!$C$2:$H$9999, 4,FALSE), 1)&gt;0, _xlfn.CONCAT("+",ROUND(VLOOKUP($B5&amp;$D5, 'NCAAT Simulations'!$C$2:$H$9999, 4,FALSE), 1)), ROUND(VLOOKUP($B5&amp;$D5, 'NCAAT Simulations'!$C$2:$H$9999, 4,FALSE), 1)), "")</f>
        <v/>
      </c>
      <c r="H5" s="7" t="e">
        <f>IF(G5&lt;0,(VLOOKUP($B5&amp;$D5, 'NCAAT Simulations'!$C$2:$I$9999, 6,FALSE)/138.8)*G5, _xlfn.CONCAT("+", ROUND((VLOOKUP($B5&amp;$D5, 'NCAAT Simulations'!$C$2:$I$9999, 6,FALSE)/138.8)*G5, 1)))</f>
        <v>#N/A</v>
      </c>
      <c r="I5" s="3" t="str">
        <f>_xlfn.IFNA(IF(ABS(VLOOKUP($B5&amp;$D5, 'NCAAT Simulations'!$C$2:$H$9999, 5,FALSE))&gt;10000,_xlfn.FLOOR.MATH(VLOOKUP($B5&amp;$D5, 'NCAAT Simulations'!$C$2:$H$9999, 5,FALSE), 1000), IF(ABS(VLOOKUP($B5&amp;$D5, 'NCAAT Simulations'!$C$2:$H$9999, 5,FALSE))&gt;1000,_xlfn.FLOOR.MATH(VLOOKUP($B5&amp;$D5, 'NCAAT Simulations'!$C$2:$H$9999, 5,FALSE), 100), _xlfn.FLOOR.MATH(VLOOKUP($B5&amp;$D5, 'NCAAT Simulations'!$C$2:$H$9999, 5,FALSE), 10))), "")</f>
        <v/>
      </c>
      <c r="J5" s="1" t="str">
        <f>_xlfn.IFNA(VLOOKUP($B5&amp;$D5, 'NCAAT Simulations'!$C$2:$I$9999, 7,FALSE), "")</f>
        <v/>
      </c>
    </row>
    <row r="6" spans="1:10" x14ac:dyDescent="0.45">
      <c r="E6" t="str">
        <f>_xlfn.IFNA(VLOOKUP($B6&amp;$D6, 'NCAAT Simulations'!$C$2:$H$9999, 2,FALSE), "")</f>
        <v/>
      </c>
      <c r="F6" s="4" t="str">
        <f>_xlfn.IFNA(IF(VLOOKUP($B6&amp;$D6, 'NCAAT Simulations'!$C$2:$H$9999, 3,FALSE)&lt;50,1-VLOOKUP($B6&amp;$D6, 'NCAAT Simulations'!$C$2:$H$9999, 3,FALSE)/100, VLOOKUP($B6&amp;$D6, 'NCAAT Simulations'!$C$2:$H$9999, 3,FALSE)/100), "")</f>
        <v/>
      </c>
      <c r="G6" s="2" t="str">
        <f>_xlfn.IFNA(IF(ROUND(VLOOKUP($B6&amp;$D6, 'NCAAT Simulations'!$C$2:$H$9999, 4,FALSE), 1)&gt;0, _xlfn.CONCAT("+",ROUND(VLOOKUP($B6&amp;$D6, 'NCAAT Simulations'!$C$2:$H$9999, 4,FALSE), 1)), ROUND(VLOOKUP($B6&amp;$D6, 'NCAAT Simulations'!$C$2:$H$9999, 4,FALSE), 1)), "")</f>
        <v/>
      </c>
      <c r="H6" s="7" t="e">
        <f>IF(G6&lt;0,(VLOOKUP($B6&amp;$D6, 'NCAAT Simulations'!$C$2:$I$9999, 6,FALSE)/138.8)*G6, _xlfn.CONCAT("+", ROUND((VLOOKUP($B6&amp;$D6, 'NCAAT Simulations'!$C$2:$I$9999, 6,FALSE)/138.8)*G6, 1)))</f>
        <v>#N/A</v>
      </c>
      <c r="I6" s="3" t="str">
        <f>_xlfn.IFNA(IF(ABS(VLOOKUP($B6&amp;$D6, 'NCAAT Simulations'!$C$2:$H$9999, 5,FALSE))&gt;10000,_xlfn.FLOOR.MATH(VLOOKUP($B6&amp;$D6, 'NCAAT Simulations'!$C$2:$H$9999, 5,FALSE), 1000), IF(ABS(VLOOKUP($B6&amp;$D6, 'NCAAT Simulations'!$C$2:$H$9999, 5,FALSE))&gt;1000,_xlfn.FLOOR.MATH(VLOOKUP($B6&amp;$D6, 'NCAAT Simulations'!$C$2:$H$9999, 5,FALSE), 100), _xlfn.FLOOR.MATH(VLOOKUP($B6&amp;$D6, 'NCAAT Simulations'!$C$2:$H$9999, 5,FALSE), 10))), "")</f>
        <v/>
      </c>
      <c r="J6" s="1" t="str">
        <f>_xlfn.IFNA(VLOOKUP($B6&amp;$D6, 'NCAAT Simulations'!$C$2:$I$9999, 7,FALSE), "")</f>
        <v/>
      </c>
    </row>
    <row r="7" spans="1:10" x14ac:dyDescent="0.45">
      <c r="E7" t="str">
        <f>_xlfn.IFNA(VLOOKUP($B7&amp;$D7, 'NCAAT Simulations'!$C$2:$H$9999, 2,FALSE), "")</f>
        <v/>
      </c>
      <c r="F7" s="4" t="str">
        <f>_xlfn.IFNA(IF(VLOOKUP($B7&amp;$D7, 'NCAAT Simulations'!$C$2:$H$9999, 3,FALSE)&lt;50,1-VLOOKUP($B7&amp;$D7, 'NCAAT Simulations'!$C$2:$H$9999, 3,FALSE)/100, VLOOKUP($B7&amp;$D7, 'NCAAT Simulations'!$C$2:$H$9999, 3,FALSE)/100), "")</f>
        <v/>
      </c>
      <c r="G7" s="2" t="str">
        <f>_xlfn.IFNA(IF(ROUND(VLOOKUP($B7&amp;$D7, 'NCAAT Simulations'!$C$2:$H$9999, 4,FALSE), 1)&gt;0, _xlfn.CONCAT("+",ROUND(VLOOKUP($B7&amp;$D7, 'NCAAT Simulations'!$C$2:$H$9999, 4,FALSE), 1)), ROUND(VLOOKUP($B7&amp;$D7, 'NCAAT Simulations'!$C$2:$H$9999, 4,FALSE), 1)), "")</f>
        <v/>
      </c>
      <c r="H7" s="7" t="e">
        <f>IF(G7&lt;0,(VLOOKUP($B7&amp;$D7, 'NCAAT Simulations'!$C$2:$I$9999, 6,FALSE)/138.8)*G7, _xlfn.CONCAT("+", ROUND((VLOOKUP($B7&amp;$D7, 'NCAAT Simulations'!$C$2:$I$9999, 6,FALSE)/138.8)*G7, 1)))</f>
        <v>#N/A</v>
      </c>
      <c r="I7" s="3" t="str">
        <f>_xlfn.IFNA(IF(ABS(VLOOKUP($B7&amp;$D7, 'NCAAT Simulations'!$C$2:$H$9999, 5,FALSE))&gt;10000,_xlfn.FLOOR.MATH(VLOOKUP($B7&amp;$D7, 'NCAAT Simulations'!$C$2:$H$9999, 5,FALSE), 1000), IF(ABS(VLOOKUP($B7&amp;$D7, 'NCAAT Simulations'!$C$2:$H$9999, 5,FALSE))&gt;1000,_xlfn.FLOOR.MATH(VLOOKUP($B7&amp;$D7, 'NCAAT Simulations'!$C$2:$H$9999, 5,FALSE), 100), _xlfn.FLOOR.MATH(VLOOKUP($B7&amp;$D7, 'NCAAT Simulations'!$C$2:$H$9999, 5,FALSE), 10))), "")</f>
        <v/>
      </c>
      <c r="J7" s="1" t="str">
        <f>_xlfn.IFNA(VLOOKUP($B7&amp;$D7, 'NCAAT Simulations'!$C$2:$I$9999, 7,FALSE), "")</f>
        <v/>
      </c>
    </row>
    <row r="8" spans="1:10" x14ac:dyDescent="0.45">
      <c r="E8" t="str">
        <f>_xlfn.IFNA(VLOOKUP($B8&amp;$D8, 'NCAAT Simulations'!$C$2:$H$9999, 2,FALSE), "")</f>
        <v/>
      </c>
      <c r="F8" s="4" t="str">
        <f>_xlfn.IFNA(IF(VLOOKUP($B8&amp;$D8, 'NCAAT Simulations'!$C$2:$H$9999, 3,FALSE)&lt;50,1-VLOOKUP($B8&amp;$D8, 'NCAAT Simulations'!$C$2:$H$9999, 3,FALSE)/100, VLOOKUP($B8&amp;$D8, 'NCAAT Simulations'!$C$2:$H$9999, 3,FALSE)/100), "")</f>
        <v/>
      </c>
      <c r="G8" s="2" t="str">
        <f>_xlfn.IFNA(IF(ROUND(VLOOKUP($B8&amp;$D8, 'NCAAT Simulations'!$C$2:$H$9999, 4,FALSE), 1)&gt;0, _xlfn.CONCAT("+",ROUND(VLOOKUP($B8&amp;$D8, 'NCAAT Simulations'!$C$2:$H$9999, 4,FALSE), 1)), ROUND(VLOOKUP($B8&amp;$D8, 'NCAAT Simulations'!$C$2:$H$9999, 4,FALSE), 1)), "")</f>
        <v/>
      </c>
      <c r="H8" s="7" t="e">
        <f>IF(G8&lt;0,(VLOOKUP($B8&amp;$D8, 'NCAAT Simulations'!$C$2:$I$9999, 6,FALSE)/138.8)*G8, _xlfn.CONCAT("+", ROUND((VLOOKUP($B8&amp;$D8, 'NCAAT Simulations'!$C$2:$I$9999, 6,FALSE)/138.8)*G8, 1)))</f>
        <v>#N/A</v>
      </c>
      <c r="I8" s="3" t="str">
        <f>_xlfn.IFNA(IF(ABS(VLOOKUP($B8&amp;$D8, 'NCAAT Simulations'!$C$2:$H$9999, 5,FALSE))&gt;10000,_xlfn.FLOOR.MATH(VLOOKUP($B8&amp;$D8, 'NCAAT Simulations'!$C$2:$H$9999, 5,FALSE), 1000), IF(ABS(VLOOKUP($B8&amp;$D8, 'NCAAT Simulations'!$C$2:$H$9999, 5,FALSE))&gt;1000,_xlfn.FLOOR.MATH(VLOOKUP($B8&amp;$D8, 'NCAAT Simulations'!$C$2:$H$9999, 5,FALSE), 100), _xlfn.FLOOR.MATH(VLOOKUP($B8&amp;$D8, 'NCAAT Simulations'!$C$2:$H$9999, 5,FALSE), 10))), "")</f>
        <v/>
      </c>
      <c r="J8" s="1" t="str">
        <f>_xlfn.IFNA(VLOOKUP($B8&amp;$D8, 'NCAAT Simulations'!$C$2:$I$9999, 7,FALSE), "")</f>
        <v/>
      </c>
    </row>
    <row r="9" spans="1:10" x14ac:dyDescent="0.45">
      <c r="E9" t="str">
        <f>_xlfn.IFNA(VLOOKUP($B9&amp;$D9, 'NCAAT Simulations'!$C$2:$H$9999, 2,FALSE), "")</f>
        <v/>
      </c>
      <c r="F9" s="4" t="str">
        <f>_xlfn.IFNA(IF(VLOOKUP($B9&amp;$D9, 'NCAAT Simulations'!$C$2:$H$9999, 3,FALSE)&lt;50,1-VLOOKUP($B9&amp;$D9, 'NCAAT Simulations'!$C$2:$H$9999, 3,FALSE)/100, VLOOKUP($B9&amp;$D9, 'NCAAT Simulations'!$C$2:$H$9999, 3,FALSE)/100), "")</f>
        <v/>
      </c>
      <c r="G9" s="2" t="str">
        <f>_xlfn.IFNA(IF(ROUND(VLOOKUP($B9&amp;$D9, 'NCAAT Simulations'!$C$2:$H$9999, 4,FALSE), 1)&gt;0, _xlfn.CONCAT("+",ROUND(VLOOKUP($B9&amp;$D9, 'NCAAT Simulations'!$C$2:$H$9999, 4,FALSE), 1)), ROUND(VLOOKUP($B9&amp;$D9, 'NCAAT Simulations'!$C$2:$H$9999, 4,FALSE), 1)), "")</f>
        <v/>
      </c>
      <c r="H9" s="7" t="e">
        <f>IF(G9&lt;0,(VLOOKUP($B9&amp;$D9, 'NCAAT Simulations'!$C$2:$I$9999, 6,FALSE)/138.8)*G9, _xlfn.CONCAT("+", ROUND((VLOOKUP($B9&amp;$D9, 'NCAAT Simulations'!$C$2:$I$9999, 6,FALSE)/138.8)*G9, 1)))</f>
        <v>#N/A</v>
      </c>
      <c r="I9" s="3" t="str">
        <f>_xlfn.IFNA(IF(ABS(VLOOKUP($B9&amp;$D9, 'NCAAT Simulations'!$C$2:$H$9999, 5,FALSE))&gt;10000,_xlfn.FLOOR.MATH(VLOOKUP($B9&amp;$D9, 'NCAAT Simulations'!$C$2:$H$9999, 5,FALSE), 1000), IF(ABS(VLOOKUP($B9&amp;$D9, 'NCAAT Simulations'!$C$2:$H$9999, 5,FALSE))&gt;1000,_xlfn.FLOOR.MATH(VLOOKUP($B9&amp;$D9, 'NCAAT Simulations'!$C$2:$H$9999, 5,FALSE), 100), _xlfn.FLOOR.MATH(VLOOKUP($B9&amp;$D9, 'NCAAT Simulations'!$C$2:$H$9999, 5,FALSE), 10))), "")</f>
        <v/>
      </c>
      <c r="J9" s="1" t="str">
        <f>_xlfn.IFNA(VLOOKUP($B9&amp;$D9, 'NCAAT Simulations'!$C$2:$I$9999, 7,FALSE), "")</f>
        <v/>
      </c>
    </row>
    <row r="10" spans="1:10" x14ac:dyDescent="0.45">
      <c r="E10" t="str">
        <f>_xlfn.IFNA(VLOOKUP($B10&amp;$D10, 'NCAAT Simulations'!$C$2:$H$9999, 2,FALSE), "")</f>
        <v/>
      </c>
      <c r="F10" s="4" t="str">
        <f>_xlfn.IFNA(IF(VLOOKUP($B10&amp;$D10, 'NCAAT Simulations'!$C$2:$H$9999, 3,FALSE)&lt;50,1-VLOOKUP($B10&amp;$D10, 'NCAAT Simulations'!$C$2:$H$9999, 3,FALSE)/100, VLOOKUP($B10&amp;$D10, 'NCAAT Simulations'!$C$2:$H$9999, 3,FALSE)/100), "")</f>
        <v/>
      </c>
      <c r="G10" s="2" t="str">
        <f>_xlfn.IFNA(IF(ROUND(VLOOKUP($B10&amp;$D10, 'NCAAT Simulations'!$C$2:$H$9999, 4,FALSE), 1)&gt;0, _xlfn.CONCAT("+",ROUND(VLOOKUP($B10&amp;$D10, 'NCAAT Simulations'!$C$2:$H$9999, 4,FALSE), 1)), ROUND(VLOOKUP($B10&amp;$D10, 'NCAAT Simulations'!$C$2:$H$9999, 4,FALSE), 1)), "")</f>
        <v/>
      </c>
      <c r="H10" s="7" t="e">
        <f>IF(G10&lt;0,(VLOOKUP($B10&amp;$D10, 'NCAAT Simulations'!$C$2:$I$9999, 6,FALSE)/138.8)*G10, _xlfn.CONCAT("+", ROUND((VLOOKUP($B10&amp;$D10, 'NCAAT Simulations'!$C$2:$I$9999, 6,FALSE)/138.8)*G10, 1)))</f>
        <v>#N/A</v>
      </c>
      <c r="I10" s="3" t="str">
        <f>_xlfn.IFNA(IF(ABS(VLOOKUP($B10&amp;$D10, 'NCAAT Simulations'!$C$2:$H$9999, 5,FALSE))&gt;10000,_xlfn.FLOOR.MATH(VLOOKUP($B10&amp;$D10, 'NCAAT Simulations'!$C$2:$H$9999, 5,FALSE), 1000), IF(ABS(VLOOKUP($B10&amp;$D10, 'NCAAT Simulations'!$C$2:$H$9999, 5,FALSE))&gt;1000,_xlfn.FLOOR.MATH(VLOOKUP($B10&amp;$D10, 'NCAAT Simulations'!$C$2:$H$9999, 5,FALSE), 100), _xlfn.FLOOR.MATH(VLOOKUP($B10&amp;$D10, 'NCAAT Simulations'!$C$2:$H$9999, 5,FALSE), 10))), "")</f>
        <v/>
      </c>
      <c r="J10" s="1" t="str">
        <f>_xlfn.IFNA(VLOOKUP($B10&amp;$D10, 'NCAAT Simulations'!$C$2:$I$9999, 7,FALSE), "")</f>
        <v/>
      </c>
    </row>
    <row r="11" spans="1:10" x14ac:dyDescent="0.45">
      <c r="E11" t="str">
        <f>_xlfn.IFNA(VLOOKUP($B11&amp;$D11, 'NCAAT Simulations'!$C$2:$H$9999, 2,FALSE), "")</f>
        <v/>
      </c>
      <c r="F11" s="4" t="str">
        <f>_xlfn.IFNA(IF(VLOOKUP($B11&amp;$D11, 'NCAAT Simulations'!$C$2:$H$9999, 3,FALSE)&lt;50,1-VLOOKUP($B11&amp;$D11, 'NCAAT Simulations'!$C$2:$H$9999, 3,FALSE)/100, VLOOKUP($B11&amp;$D11, 'NCAAT Simulations'!$C$2:$H$9999, 3,FALSE)/100), "")</f>
        <v/>
      </c>
      <c r="G11" s="2" t="str">
        <f>_xlfn.IFNA(IF(ROUND(VLOOKUP($B11&amp;$D11, 'NCAAT Simulations'!$C$2:$H$9999, 4,FALSE), 1)&gt;0, _xlfn.CONCAT("+",ROUND(VLOOKUP($B11&amp;$D11, 'NCAAT Simulations'!$C$2:$H$9999, 4,FALSE), 1)), ROUND(VLOOKUP($B11&amp;$D11, 'NCAAT Simulations'!$C$2:$H$9999, 4,FALSE), 1)), "")</f>
        <v/>
      </c>
      <c r="H11" s="7" t="e">
        <f>IF(G11&lt;0,(VLOOKUP($B11&amp;$D11, 'NCAAT Simulations'!$C$2:$I$9999, 6,FALSE)/138.8)*G11, _xlfn.CONCAT("+", ROUND((VLOOKUP($B11&amp;$D11, 'NCAAT Simulations'!$C$2:$I$9999, 6,FALSE)/138.8)*G11, 1)))</f>
        <v>#N/A</v>
      </c>
      <c r="I11" s="3" t="str">
        <f>_xlfn.IFNA(IF(ABS(VLOOKUP($B11&amp;$D11, 'NCAAT Simulations'!$C$2:$H$9999, 5,FALSE))&gt;10000,_xlfn.FLOOR.MATH(VLOOKUP($B11&amp;$D11, 'NCAAT Simulations'!$C$2:$H$9999, 5,FALSE), 1000), IF(ABS(VLOOKUP($B11&amp;$D11, 'NCAAT Simulations'!$C$2:$H$9999, 5,FALSE))&gt;1000,_xlfn.FLOOR.MATH(VLOOKUP($B11&amp;$D11, 'NCAAT Simulations'!$C$2:$H$9999, 5,FALSE), 100), _xlfn.FLOOR.MATH(VLOOKUP($B11&amp;$D11, 'NCAAT Simulations'!$C$2:$H$9999, 5,FALSE), 10))), "")</f>
        <v/>
      </c>
      <c r="J11" s="1" t="str">
        <f>_xlfn.IFNA(VLOOKUP($B11&amp;$D11, 'NCAAT Simulations'!$C$2:$I$9999, 7,FALSE), "")</f>
        <v/>
      </c>
    </row>
    <row r="12" spans="1:10" x14ac:dyDescent="0.45">
      <c r="E12" t="str">
        <f>_xlfn.IFNA(VLOOKUP($B12&amp;$D12, 'NCAAT Simulations'!$C$2:$H$9999, 2,FALSE), "")</f>
        <v/>
      </c>
      <c r="F12" s="4" t="str">
        <f>_xlfn.IFNA(IF(VLOOKUP($B12&amp;$D12, 'NCAAT Simulations'!$C$2:$H$9999, 3,FALSE)&lt;50,1-VLOOKUP($B12&amp;$D12, 'NCAAT Simulations'!$C$2:$H$9999, 3,FALSE)/100, VLOOKUP($B12&amp;$D12, 'NCAAT Simulations'!$C$2:$H$9999, 3,FALSE)/100), "")</f>
        <v/>
      </c>
      <c r="G12" s="2" t="str">
        <f>_xlfn.IFNA(IF(ROUND(VLOOKUP($B12&amp;$D12, 'NCAAT Simulations'!$C$2:$H$9999, 4,FALSE), 1)&gt;0, _xlfn.CONCAT("+",ROUND(VLOOKUP($B12&amp;$D12, 'NCAAT Simulations'!$C$2:$H$9999, 4,FALSE), 1)), ROUND(VLOOKUP($B12&amp;$D12, 'NCAAT Simulations'!$C$2:$H$9999, 4,FALSE), 1)), "")</f>
        <v/>
      </c>
      <c r="H12" s="7" t="e">
        <f>IF(G12&lt;0,(VLOOKUP($B12&amp;$D12, 'NCAAT Simulations'!$C$2:$I$9999, 6,FALSE)/138.8)*G12, _xlfn.CONCAT("+", ROUND((VLOOKUP($B12&amp;$D12, 'NCAAT Simulations'!$C$2:$I$9999, 6,FALSE)/138.8)*G12, 1)))</f>
        <v>#N/A</v>
      </c>
      <c r="I12" s="3" t="str">
        <f>_xlfn.IFNA(IF(ABS(VLOOKUP($B12&amp;$D12, 'NCAAT Simulations'!$C$2:$H$9999, 5,FALSE))&gt;10000,_xlfn.FLOOR.MATH(VLOOKUP($B12&amp;$D12, 'NCAAT Simulations'!$C$2:$H$9999, 5,FALSE), 1000), IF(ABS(VLOOKUP($B12&amp;$D12, 'NCAAT Simulations'!$C$2:$H$9999, 5,FALSE))&gt;1000,_xlfn.FLOOR.MATH(VLOOKUP($B12&amp;$D12, 'NCAAT Simulations'!$C$2:$H$9999, 5,FALSE), 100), _xlfn.FLOOR.MATH(VLOOKUP($B12&amp;$D12, 'NCAAT Simulations'!$C$2:$H$9999, 5,FALSE), 10))), "")</f>
        <v/>
      </c>
      <c r="J12" s="1" t="str">
        <f>_xlfn.IFNA(VLOOKUP($B12&amp;$D12, 'NCAAT Simulations'!$C$2:$I$9999, 7,FALSE), "")</f>
        <v/>
      </c>
    </row>
    <row r="13" spans="1:10" x14ac:dyDescent="0.45">
      <c r="E13" t="str">
        <f>_xlfn.IFNA(VLOOKUP($B13&amp;$D13, 'NCAAT Simulations'!$C$2:$H$9999, 2,FALSE), "")</f>
        <v/>
      </c>
      <c r="F13" s="4" t="str">
        <f>_xlfn.IFNA(IF(VLOOKUP($B13&amp;$D13, 'NCAAT Simulations'!$C$2:$H$9999, 3,FALSE)&lt;50,1-VLOOKUP($B13&amp;$D13, 'NCAAT Simulations'!$C$2:$H$9999, 3,FALSE)/100, VLOOKUP($B13&amp;$D13, 'NCAAT Simulations'!$C$2:$H$9999, 3,FALSE)/100), "")</f>
        <v/>
      </c>
      <c r="G13" s="2" t="str">
        <f>_xlfn.IFNA(IF(ROUND(VLOOKUP($B13&amp;$D13, 'NCAAT Simulations'!$C$2:$H$9999, 4,FALSE), 1)&gt;0, _xlfn.CONCAT("+",ROUND(VLOOKUP($B13&amp;$D13, 'NCAAT Simulations'!$C$2:$H$9999, 4,FALSE), 1)), ROUND(VLOOKUP($B13&amp;$D13, 'NCAAT Simulations'!$C$2:$H$9999, 4,FALSE), 1)), "")</f>
        <v/>
      </c>
      <c r="H13" s="7" t="e">
        <f>IF(G13&lt;0,(VLOOKUP($B13&amp;$D13, 'NCAAT Simulations'!$C$2:$I$9999, 6,FALSE)/138.8)*G13, _xlfn.CONCAT("+", ROUND((VLOOKUP($B13&amp;$D13, 'NCAAT Simulations'!$C$2:$I$9999, 6,FALSE)/138.8)*G13, 1)))</f>
        <v>#N/A</v>
      </c>
      <c r="I13" s="3" t="str">
        <f>_xlfn.IFNA(IF(ABS(VLOOKUP($B13&amp;$D13, 'NCAAT Simulations'!$C$2:$H$9999, 5,FALSE))&gt;10000,_xlfn.FLOOR.MATH(VLOOKUP($B13&amp;$D13, 'NCAAT Simulations'!$C$2:$H$9999, 5,FALSE), 1000), IF(ABS(VLOOKUP($B13&amp;$D13, 'NCAAT Simulations'!$C$2:$H$9999, 5,FALSE))&gt;1000,_xlfn.FLOOR.MATH(VLOOKUP($B13&amp;$D13, 'NCAAT Simulations'!$C$2:$H$9999, 5,FALSE), 100), _xlfn.FLOOR.MATH(VLOOKUP($B13&amp;$D13, 'NCAAT Simulations'!$C$2:$H$9999, 5,FALSE), 10))), "")</f>
        <v/>
      </c>
      <c r="J13" s="1" t="str">
        <f>_xlfn.IFNA(VLOOKUP($B13&amp;$D13, 'NCAAT Simulations'!$C$2:$I$9999, 7,FALSE), "")</f>
        <v/>
      </c>
    </row>
    <row r="14" spans="1:10" x14ac:dyDescent="0.45">
      <c r="E14" t="str">
        <f>_xlfn.IFNA(VLOOKUP($B14&amp;$D14, 'NCAAT Simulations'!$C$2:$H$9999, 2,FALSE), "")</f>
        <v/>
      </c>
      <c r="F14" s="4" t="str">
        <f>_xlfn.IFNA(IF(VLOOKUP($B14&amp;$D14, 'NCAAT Simulations'!$C$2:$H$9999, 3,FALSE)&lt;50,1-VLOOKUP($B14&amp;$D14, 'NCAAT Simulations'!$C$2:$H$9999, 3,FALSE)/100, VLOOKUP($B14&amp;$D14, 'NCAAT Simulations'!$C$2:$H$9999, 3,FALSE)/100), "")</f>
        <v/>
      </c>
      <c r="G14" s="2" t="str">
        <f>_xlfn.IFNA(IF(ROUND(VLOOKUP($B14&amp;$D14, 'NCAAT Simulations'!$C$2:$H$9999, 4,FALSE), 1)&gt;0, _xlfn.CONCAT("+",ROUND(VLOOKUP($B14&amp;$D14, 'NCAAT Simulations'!$C$2:$H$9999, 4,FALSE), 1)), ROUND(VLOOKUP($B14&amp;$D14, 'NCAAT Simulations'!$C$2:$H$9999, 4,FALSE), 1)), "")</f>
        <v/>
      </c>
      <c r="H14" s="7" t="e">
        <f>IF(G14&lt;0,(VLOOKUP($B14&amp;$D14, 'NCAAT Simulations'!$C$2:$I$9999, 6,FALSE)/138.8)*G14, _xlfn.CONCAT("+", ROUND((VLOOKUP($B14&amp;$D14, 'NCAAT Simulations'!$C$2:$I$9999, 6,FALSE)/138.8)*G14, 1)))</f>
        <v>#N/A</v>
      </c>
      <c r="I14" s="3" t="str">
        <f>_xlfn.IFNA(IF(ABS(VLOOKUP($B14&amp;$D14, 'NCAAT Simulations'!$C$2:$H$9999, 5,FALSE))&gt;10000,_xlfn.FLOOR.MATH(VLOOKUP($B14&amp;$D14, 'NCAAT Simulations'!$C$2:$H$9999, 5,FALSE), 1000), IF(ABS(VLOOKUP($B14&amp;$D14, 'NCAAT Simulations'!$C$2:$H$9999, 5,FALSE))&gt;1000,_xlfn.FLOOR.MATH(VLOOKUP($B14&amp;$D14, 'NCAAT Simulations'!$C$2:$H$9999, 5,FALSE), 100), _xlfn.FLOOR.MATH(VLOOKUP($B14&amp;$D14, 'NCAAT Simulations'!$C$2:$H$9999, 5,FALSE), 10))), "")</f>
        <v/>
      </c>
      <c r="J14" s="1" t="str">
        <f>_xlfn.IFNA(VLOOKUP($B14&amp;$D14, 'NCAAT Simulations'!$C$2:$I$9999, 7,FALSE), "")</f>
        <v/>
      </c>
    </row>
    <row r="15" spans="1:10" x14ac:dyDescent="0.45">
      <c r="E15" t="str">
        <f>_xlfn.IFNA(VLOOKUP($B15&amp;$D15, 'NCAAT Simulations'!$C$2:$H$9999, 2,FALSE), "")</f>
        <v/>
      </c>
      <c r="F15" s="4" t="str">
        <f>_xlfn.IFNA(IF(VLOOKUP($B15&amp;$D15, 'NCAAT Simulations'!$C$2:$H$9999, 3,FALSE)&lt;50,1-VLOOKUP($B15&amp;$D15, 'NCAAT Simulations'!$C$2:$H$9999, 3,FALSE)/100, VLOOKUP($B15&amp;$D15, 'NCAAT Simulations'!$C$2:$H$9999, 3,FALSE)/100), "")</f>
        <v/>
      </c>
      <c r="G15" s="2" t="str">
        <f>_xlfn.IFNA(IF(ROUND(VLOOKUP($B15&amp;$D15, 'NCAAT Simulations'!$C$2:$H$9999, 4,FALSE), 1)&gt;0, _xlfn.CONCAT("+",ROUND(VLOOKUP($B15&amp;$D15, 'NCAAT Simulations'!$C$2:$H$9999, 4,FALSE), 1)), ROUND(VLOOKUP($B15&amp;$D15, 'NCAAT Simulations'!$C$2:$H$9999, 4,FALSE), 1)), "")</f>
        <v/>
      </c>
      <c r="H15" s="7" t="e">
        <f>IF(G15&lt;0,(VLOOKUP($B15&amp;$D15, 'NCAAT Simulations'!$C$2:$I$9999, 6,FALSE)/138.8)*G15, _xlfn.CONCAT("+", ROUND((VLOOKUP($B15&amp;$D15, 'NCAAT Simulations'!$C$2:$I$9999, 6,FALSE)/138.8)*G15, 1)))</f>
        <v>#N/A</v>
      </c>
      <c r="I15" s="3" t="str">
        <f>_xlfn.IFNA(IF(ABS(VLOOKUP($B15&amp;$D15, 'NCAAT Simulations'!$C$2:$H$9999, 5,FALSE))&gt;10000,_xlfn.FLOOR.MATH(VLOOKUP($B15&amp;$D15, 'NCAAT Simulations'!$C$2:$H$9999, 5,FALSE), 1000), IF(ABS(VLOOKUP($B15&amp;$D15, 'NCAAT Simulations'!$C$2:$H$9999, 5,FALSE))&gt;1000,_xlfn.FLOOR.MATH(VLOOKUP($B15&amp;$D15, 'NCAAT Simulations'!$C$2:$H$9999, 5,FALSE), 100), _xlfn.FLOOR.MATH(VLOOKUP($B15&amp;$D15, 'NCAAT Simulations'!$C$2:$H$9999, 5,FALSE), 10))), "")</f>
        <v/>
      </c>
      <c r="J15" s="1" t="str">
        <f>_xlfn.IFNA(VLOOKUP($B15&amp;$D15, 'NCAAT Simulations'!$C$2:$I$9999, 7,FALSE), "")</f>
        <v/>
      </c>
    </row>
    <row r="16" spans="1:10" x14ac:dyDescent="0.45">
      <c r="E16" t="str">
        <f>_xlfn.IFNA(VLOOKUP($B16&amp;$D16, 'NCAAT Simulations'!$C$2:$H$9999, 2,FALSE), "")</f>
        <v/>
      </c>
      <c r="F16" s="4" t="str">
        <f>_xlfn.IFNA(IF(VLOOKUP($B16&amp;$D16, 'NCAAT Simulations'!$C$2:$H$9999, 3,FALSE)&lt;50,1-VLOOKUP($B16&amp;$D16, 'NCAAT Simulations'!$C$2:$H$9999, 3,FALSE)/100, VLOOKUP($B16&amp;$D16, 'NCAAT Simulations'!$C$2:$H$9999, 3,FALSE)/100), "")</f>
        <v/>
      </c>
      <c r="G16" s="2" t="str">
        <f>_xlfn.IFNA(IF(ROUND(VLOOKUP($B16&amp;$D16, 'NCAAT Simulations'!$C$2:$H$9999, 4,FALSE), 1)&gt;0, _xlfn.CONCAT("+",ROUND(VLOOKUP($B16&amp;$D16, 'NCAAT Simulations'!$C$2:$H$9999, 4,FALSE), 1)), ROUND(VLOOKUP($B16&amp;$D16, 'NCAAT Simulations'!$C$2:$H$9999, 4,FALSE), 1)), "")</f>
        <v/>
      </c>
      <c r="H16" s="7" t="e">
        <f>IF(G16&lt;0,(VLOOKUP($B16&amp;$D16, 'NCAAT Simulations'!$C$2:$I$9999, 6,FALSE)/138.8)*G16, _xlfn.CONCAT("+", ROUND((VLOOKUP($B16&amp;$D16, 'NCAAT Simulations'!$C$2:$I$9999, 6,FALSE)/138.8)*G16, 1)))</f>
        <v>#N/A</v>
      </c>
      <c r="I16" s="3" t="str">
        <f>_xlfn.IFNA(IF(ABS(VLOOKUP($B16&amp;$D16, 'NCAAT Simulations'!$C$2:$H$9999, 5,FALSE))&gt;10000,_xlfn.FLOOR.MATH(VLOOKUP($B16&amp;$D16, 'NCAAT Simulations'!$C$2:$H$9999, 5,FALSE), 1000), IF(ABS(VLOOKUP($B16&amp;$D16, 'NCAAT Simulations'!$C$2:$H$9999, 5,FALSE))&gt;1000,_xlfn.FLOOR.MATH(VLOOKUP($B16&amp;$D16, 'NCAAT Simulations'!$C$2:$H$9999, 5,FALSE), 100), _xlfn.FLOOR.MATH(VLOOKUP($B16&amp;$D16, 'NCAAT Simulations'!$C$2:$H$9999, 5,FALSE), 10))), "")</f>
        <v/>
      </c>
      <c r="J16" s="1" t="str">
        <f>_xlfn.IFNA(VLOOKUP($B16&amp;$D16, 'NCAAT Simulations'!$C$2:$I$9999, 7,FALSE), "")</f>
        <v/>
      </c>
    </row>
    <row r="17" spans="5:10" x14ac:dyDescent="0.45">
      <c r="E17" t="str">
        <f>_xlfn.IFNA(VLOOKUP($B17&amp;$D17, 'NCAAT Simulations'!$C$2:$H$9999, 2,FALSE), "")</f>
        <v/>
      </c>
      <c r="F17" s="4" t="str">
        <f>_xlfn.IFNA(IF(VLOOKUP($B17&amp;$D17, 'NCAAT Simulations'!$C$2:$H$9999, 3,FALSE)&lt;50,1-VLOOKUP($B17&amp;$D17, 'NCAAT Simulations'!$C$2:$H$9999, 3,FALSE)/100, VLOOKUP($B17&amp;$D17, 'NCAAT Simulations'!$C$2:$H$9999, 3,FALSE)/100), "")</f>
        <v/>
      </c>
      <c r="G17" s="2" t="str">
        <f>_xlfn.IFNA(IF(ROUND(VLOOKUP($B17&amp;$D17, 'NCAAT Simulations'!$C$2:$H$9999, 4,FALSE), 1)&gt;0, _xlfn.CONCAT("+",ROUND(VLOOKUP($B17&amp;$D17, 'NCAAT Simulations'!$C$2:$H$9999, 4,FALSE), 1)), ROUND(VLOOKUP($B17&amp;$D17, 'NCAAT Simulations'!$C$2:$H$9999, 4,FALSE), 1)), "")</f>
        <v/>
      </c>
      <c r="H17" s="7" t="e">
        <f>IF(G17&lt;0,(VLOOKUP($B17&amp;$D17, 'NCAAT Simulations'!$C$2:$I$9999, 6,FALSE)/138.8)*G17, _xlfn.CONCAT("+", ROUND((VLOOKUP($B17&amp;$D17, 'NCAAT Simulations'!$C$2:$I$9999, 6,FALSE)/138.8)*G17, 1)))</f>
        <v>#N/A</v>
      </c>
      <c r="I17" s="3" t="str">
        <f>_xlfn.IFNA(IF(ABS(VLOOKUP($B17&amp;$D17, 'NCAAT Simulations'!$C$2:$H$9999, 5,FALSE))&gt;10000,_xlfn.FLOOR.MATH(VLOOKUP($B17&amp;$D17, 'NCAAT Simulations'!$C$2:$H$9999, 5,FALSE), 1000), IF(ABS(VLOOKUP($B17&amp;$D17, 'NCAAT Simulations'!$C$2:$H$9999, 5,FALSE))&gt;1000,_xlfn.FLOOR.MATH(VLOOKUP($B17&amp;$D17, 'NCAAT Simulations'!$C$2:$H$9999, 5,FALSE), 100), _xlfn.FLOOR.MATH(VLOOKUP($B17&amp;$D17, 'NCAAT Simulations'!$C$2:$H$9999, 5,FALSE), 10))), "")</f>
        <v/>
      </c>
      <c r="J17" s="1" t="str">
        <f>_xlfn.IFNA(VLOOKUP($B17&amp;$D17, 'NCAAT Simulations'!$C$2:$I$9999, 7,FALSE), "")</f>
        <v/>
      </c>
    </row>
    <row r="18" spans="5:10" x14ac:dyDescent="0.45">
      <c r="E18" t="str">
        <f>_xlfn.IFNA(VLOOKUP($B18&amp;$D18, 'NCAAT Simulations'!$C$2:$H$9999, 2,FALSE), "")</f>
        <v/>
      </c>
      <c r="F18" s="4" t="str">
        <f>_xlfn.IFNA(IF(VLOOKUP($B18&amp;$D18, 'NCAAT Simulations'!$C$2:$H$9999, 3,FALSE)&lt;50,1-VLOOKUP($B18&amp;$D18, 'NCAAT Simulations'!$C$2:$H$9999, 3,FALSE)/100, VLOOKUP($B18&amp;$D18, 'NCAAT Simulations'!$C$2:$H$9999, 3,FALSE)/100), "")</f>
        <v/>
      </c>
      <c r="G18" s="2" t="str">
        <f>_xlfn.IFNA(IF(ROUND(VLOOKUP($B18&amp;$D18, 'NCAAT Simulations'!$C$2:$H$9999, 4,FALSE), 1)&gt;0, _xlfn.CONCAT("+",ROUND(VLOOKUP($B18&amp;$D18, 'NCAAT Simulations'!$C$2:$H$9999, 4,FALSE), 1)), ROUND(VLOOKUP($B18&amp;$D18, 'NCAAT Simulations'!$C$2:$H$9999, 4,FALSE), 1)), "")</f>
        <v/>
      </c>
      <c r="H18" s="7" t="e">
        <f>IF(G18&lt;0,(VLOOKUP($B18&amp;$D18, 'NCAAT Simulations'!$C$2:$I$9999, 6,FALSE)/138.8)*G18, _xlfn.CONCAT("+", ROUND((VLOOKUP($B18&amp;$D18, 'NCAAT Simulations'!$C$2:$I$9999, 6,FALSE)/138.8)*G18, 1)))</f>
        <v>#N/A</v>
      </c>
      <c r="I18" s="3" t="str">
        <f>_xlfn.IFNA(IF(ABS(VLOOKUP($B18&amp;$D18, 'NCAAT Simulations'!$C$2:$H$9999, 5,FALSE))&gt;10000,_xlfn.FLOOR.MATH(VLOOKUP($B18&amp;$D18, 'NCAAT Simulations'!$C$2:$H$9999, 5,FALSE), 1000), IF(ABS(VLOOKUP($B18&amp;$D18, 'NCAAT Simulations'!$C$2:$H$9999, 5,FALSE))&gt;1000,_xlfn.FLOOR.MATH(VLOOKUP($B18&amp;$D18, 'NCAAT Simulations'!$C$2:$H$9999, 5,FALSE), 100), _xlfn.FLOOR.MATH(VLOOKUP($B18&amp;$D18, 'NCAAT Simulations'!$C$2:$H$9999, 5,FALSE), 10))), "")</f>
        <v/>
      </c>
      <c r="J18" s="1" t="str">
        <f>_xlfn.IFNA(VLOOKUP($B18&amp;$D18, 'NCAAT Simulations'!$C$2:$I$9999, 7,FALSE), "")</f>
        <v/>
      </c>
    </row>
    <row r="19" spans="5:10" x14ac:dyDescent="0.45">
      <c r="E19" t="str">
        <f>_xlfn.IFNA(VLOOKUP($B19&amp;$D19, 'NCAAT Simulations'!$C$2:$H$9999, 2,FALSE), "")</f>
        <v/>
      </c>
      <c r="F19" s="4" t="str">
        <f>_xlfn.IFNA(IF(VLOOKUP($B19&amp;$D19, 'NCAAT Simulations'!$C$2:$H$9999, 3,FALSE)&lt;50,1-VLOOKUP($B19&amp;$D19, 'NCAAT Simulations'!$C$2:$H$9999, 3,FALSE)/100, VLOOKUP($B19&amp;$D19, 'NCAAT Simulations'!$C$2:$H$9999, 3,FALSE)/100), "")</f>
        <v/>
      </c>
      <c r="G19" s="2" t="str">
        <f>_xlfn.IFNA(IF(ROUND(VLOOKUP($B19&amp;$D19, 'NCAAT Simulations'!$C$2:$H$9999, 4,FALSE), 1)&gt;0, _xlfn.CONCAT("+",ROUND(VLOOKUP($B19&amp;$D19, 'NCAAT Simulations'!$C$2:$H$9999, 4,FALSE), 1)), ROUND(VLOOKUP($B19&amp;$D19, 'NCAAT Simulations'!$C$2:$H$9999, 4,FALSE), 1)), "")</f>
        <v/>
      </c>
      <c r="H19" s="7" t="e">
        <f>IF(G19&lt;0,(VLOOKUP($B19&amp;$D19, 'NCAAT Simulations'!$C$2:$I$9999, 6,FALSE)/138.8)*G19, _xlfn.CONCAT("+", ROUND((VLOOKUP($B19&amp;$D19, 'NCAAT Simulations'!$C$2:$I$9999, 6,FALSE)/138.8)*G19, 1)))</f>
        <v>#N/A</v>
      </c>
      <c r="I19" s="3" t="str">
        <f>_xlfn.IFNA(IF(ABS(VLOOKUP($B19&amp;$D19, 'NCAAT Simulations'!$C$2:$H$9999, 5,FALSE))&gt;10000,_xlfn.FLOOR.MATH(VLOOKUP($B19&amp;$D19, 'NCAAT Simulations'!$C$2:$H$9999, 5,FALSE), 1000), IF(ABS(VLOOKUP($B19&amp;$D19, 'NCAAT Simulations'!$C$2:$H$9999, 5,FALSE))&gt;1000,_xlfn.FLOOR.MATH(VLOOKUP($B19&amp;$D19, 'NCAAT Simulations'!$C$2:$H$9999, 5,FALSE), 100), _xlfn.FLOOR.MATH(VLOOKUP($B19&amp;$D19, 'NCAAT Simulations'!$C$2:$H$9999, 5,FALSE), 10))), "")</f>
        <v/>
      </c>
      <c r="J19" s="1" t="str">
        <f>_xlfn.IFNA(VLOOKUP($B19&amp;$D19, 'NCAAT Simulations'!$C$2:$I$9999, 7,FALSE), "")</f>
        <v/>
      </c>
    </row>
    <row r="20" spans="5:10" x14ac:dyDescent="0.45">
      <c r="E20" t="str">
        <f>_xlfn.IFNA(VLOOKUP($B20&amp;$D20, 'NCAAT Simulations'!$C$2:$H$9999, 2,FALSE), "")</f>
        <v/>
      </c>
      <c r="F20" s="4" t="str">
        <f>_xlfn.IFNA(IF(VLOOKUP($B20&amp;$D20, 'NCAAT Simulations'!$C$2:$H$9999, 3,FALSE)&lt;50,1-VLOOKUP($B20&amp;$D20, 'NCAAT Simulations'!$C$2:$H$9999, 3,FALSE)/100, VLOOKUP($B20&amp;$D20, 'NCAAT Simulations'!$C$2:$H$9999, 3,FALSE)/100), "")</f>
        <v/>
      </c>
      <c r="G20" s="2" t="str">
        <f>_xlfn.IFNA(IF(ROUND(VLOOKUP($B20&amp;$D20, 'NCAAT Simulations'!$C$2:$H$9999, 4,FALSE), 1)&gt;0, _xlfn.CONCAT("+",ROUND(VLOOKUP($B20&amp;$D20, 'NCAAT Simulations'!$C$2:$H$9999, 4,FALSE), 1)), ROUND(VLOOKUP($B20&amp;$D20, 'NCAAT Simulations'!$C$2:$H$9999, 4,FALSE), 1)), "")</f>
        <v/>
      </c>
      <c r="H20" s="7" t="e">
        <f>IF(G20&lt;0,(VLOOKUP($B20&amp;$D20, 'NCAAT Simulations'!$C$2:$I$9999, 6,FALSE)/138.8)*G20, _xlfn.CONCAT("+", ROUND((VLOOKUP($B20&amp;$D20, 'NCAAT Simulations'!$C$2:$I$9999, 6,FALSE)/138.8)*G20, 1)))</f>
        <v>#N/A</v>
      </c>
      <c r="I20" s="3" t="str">
        <f>_xlfn.IFNA(IF(ABS(VLOOKUP($B20&amp;$D20, 'NCAAT Simulations'!$C$2:$H$9999, 5,FALSE))&gt;10000,_xlfn.FLOOR.MATH(VLOOKUP($B20&amp;$D20, 'NCAAT Simulations'!$C$2:$H$9999, 5,FALSE), 1000), IF(ABS(VLOOKUP($B20&amp;$D20, 'NCAAT Simulations'!$C$2:$H$9999, 5,FALSE))&gt;1000,_xlfn.FLOOR.MATH(VLOOKUP($B20&amp;$D20, 'NCAAT Simulations'!$C$2:$H$9999, 5,FALSE), 100), _xlfn.FLOOR.MATH(VLOOKUP($B20&amp;$D20, 'NCAAT Simulations'!$C$2:$H$9999, 5,FALSE), 10))), "")</f>
        <v/>
      </c>
      <c r="J20" s="1" t="str">
        <f>_xlfn.IFNA(VLOOKUP($B20&amp;$D20, 'NCAAT Simulations'!$C$2:$I$9999, 7,FALSE), "")</f>
        <v/>
      </c>
    </row>
    <row r="21" spans="5:10" x14ac:dyDescent="0.45">
      <c r="E21" t="str">
        <f>_xlfn.IFNA(VLOOKUP($B21&amp;$D21, 'NCAAT Simulations'!$C$2:$H$9999, 2,FALSE), "")</f>
        <v/>
      </c>
      <c r="F21" s="4" t="str">
        <f>_xlfn.IFNA(IF(VLOOKUP($B21&amp;$D21, 'NCAAT Simulations'!$C$2:$H$9999, 3,FALSE)&lt;50,1-VLOOKUP($B21&amp;$D21, 'NCAAT Simulations'!$C$2:$H$9999, 3,FALSE)/100, VLOOKUP($B21&amp;$D21, 'NCAAT Simulations'!$C$2:$H$9999, 3,FALSE)/100), "")</f>
        <v/>
      </c>
      <c r="G21" s="2" t="str">
        <f>_xlfn.IFNA(IF(ROUND(VLOOKUP($B21&amp;$D21, 'NCAAT Simulations'!$C$2:$H$9999, 4,FALSE), 1)&gt;0, _xlfn.CONCAT("+",ROUND(VLOOKUP($B21&amp;$D21, 'NCAAT Simulations'!$C$2:$H$9999, 4,FALSE), 1)), ROUND(VLOOKUP($B21&amp;$D21, 'NCAAT Simulations'!$C$2:$H$9999, 4,FALSE), 1)), "")</f>
        <v/>
      </c>
      <c r="H21" s="7" t="e">
        <f>IF(G21&lt;0,(VLOOKUP($B21&amp;$D21, 'NCAAT Simulations'!$C$2:$I$9999, 6,FALSE)/138.8)*G21, _xlfn.CONCAT("+", ROUND((VLOOKUP($B21&amp;$D21, 'NCAAT Simulations'!$C$2:$I$9999, 6,FALSE)/138.8)*G21, 1)))</f>
        <v>#N/A</v>
      </c>
      <c r="I21" s="3" t="str">
        <f>_xlfn.IFNA(IF(ABS(VLOOKUP($B21&amp;$D21, 'NCAAT Simulations'!$C$2:$H$9999, 5,FALSE))&gt;10000,_xlfn.FLOOR.MATH(VLOOKUP($B21&amp;$D21, 'NCAAT Simulations'!$C$2:$H$9999, 5,FALSE), 1000), IF(ABS(VLOOKUP($B21&amp;$D21, 'NCAAT Simulations'!$C$2:$H$9999, 5,FALSE))&gt;1000,_xlfn.FLOOR.MATH(VLOOKUP($B21&amp;$D21, 'NCAAT Simulations'!$C$2:$H$9999, 5,FALSE), 100), _xlfn.FLOOR.MATH(VLOOKUP($B21&amp;$D21, 'NCAAT Simulations'!$C$2:$H$9999, 5,FALSE), 10))), "")</f>
        <v/>
      </c>
      <c r="J21" s="1" t="str">
        <f>_xlfn.IFNA(VLOOKUP($B21&amp;$D21, 'NCAAT Simulations'!$C$2:$I$9999, 7,FALSE), "")</f>
        <v/>
      </c>
    </row>
    <row r="22" spans="5:10" x14ac:dyDescent="0.45">
      <c r="E22" t="str">
        <f>_xlfn.IFNA(VLOOKUP($B22&amp;$D22, 'NCAAT Simulations'!$C$2:$H$9999, 2,FALSE), "")</f>
        <v/>
      </c>
      <c r="F22" s="4" t="str">
        <f>_xlfn.IFNA(IF(VLOOKUP($B22&amp;$D22, 'NCAAT Simulations'!$C$2:$H$9999, 3,FALSE)&lt;50,1-VLOOKUP($B22&amp;$D22, 'NCAAT Simulations'!$C$2:$H$9999, 3,FALSE)/100, VLOOKUP($B22&amp;$D22, 'NCAAT Simulations'!$C$2:$H$9999, 3,FALSE)/100), "")</f>
        <v/>
      </c>
      <c r="G22" s="2" t="str">
        <f>_xlfn.IFNA(IF(ROUND(VLOOKUP($B22&amp;$D22, 'NCAAT Simulations'!$C$2:$H$9999, 4,FALSE), 1)&gt;0, _xlfn.CONCAT("+",ROUND(VLOOKUP($B22&amp;$D22, 'NCAAT Simulations'!$C$2:$H$9999, 4,FALSE), 1)), ROUND(VLOOKUP($B22&amp;$D22, 'NCAAT Simulations'!$C$2:$H$9999, 4,FALSE), 1)), "")</f>
        <v/>
      </c>
      <c r="H22" s="7" t="e">
        <f>IF(G22&lt;0,(VLOOKUP($B22&amp;$D22, 'NCAAT Simulations'!$C$2:$I$9999, 6,FALSE)/138.8)*G22, _xlfn.CONCAT("+", ROUND((VLOOKUP($B22&amp;$D22, 'NCAAT Simulations'!$C$2:$I$9999, 6,FALSE)/138.8)*G22, 1)))</f>
        <v>#N/A</v>
      </c>
      <c r="I22" s="3" t="str">
        <f>_xlfn.IFNA(IF(ABS(VLOOKUP($B22&amp;$D22, 'NCAAT Simulations'!$C$2:$H$9999, 5,FALSE))&gt;10000,_xlfn.FLOOR.MATH(VLOOKUP($B22&amp;$D22, 'NCAAT Simulations'!$C$2:$H$9999, 5,FALSE), 1000), IF(ABS(VLOOKUP($B22&amp;$D22, 'NCAAT Simulations'!$C$2:$H$9999, 5,FALSE))&gt;1000,_xlfn.FLOOR.MATH(VLOOKUP($B22&amp;$D22, 'NCAAT Simulations'!$C$2:$H$9999, 5,FALSE), 100), _xlfn.FLOOR.MATH(VLOOKUP($B22&amp;$D22, 'NCAAT Simulations'!$C$2:$H$9999, 5,FALSE), 10))), "")</f>
        <v/>
      </c>
      <c r="J22" s="1" t="str">
        <f>_xlfn.IFNA(VLOOKUP($B22&amp;$D22, 'NCAAT Simulations'!$C$2:$I$9999, 7,FALSE), "")</f>
        <v/>
      </c>
    </row>
    <row r="23" spans="5:10" x14ac:dyDescent="0.45">
      <c r="E23" t="str">
        <f>_xlfn.IFNA(VLOOKUP($B23&amp;$D23, 'NCAAT Simulations'!$C$2:$H$9999, 2,FALSE), "")</f>
        <v/>
      </c>
      <c r="F23" s="4" t="str">
        <f>_xlfn.IFNA(IF(VLOOKUP($B23&amp;$D23, 'NCAAT Simulations'!$C$2:$H$9999, 3,FALSE)&lt;50,1-VLOOKUP($B23&amp;$D23, 'NCAAT Simulations'!$C$2:$H$9999, 3,FALSE)/100, VLOOKUP($B23&amp;$D23, 'NCAAT Simulations'!$C$2:$H$9999, 3,FALSE)/100), "")</f>
        <v/>
      </c>
      <c r="G23" s="2" t="str">
        <f>_xlfn.IFNA(IF(ROUND(VLOOKUP($B23&amp;$D23, 'NCAAT Simulations'!$C$2:$H$9999, 4,FALSE), 1)&gt;0, _xlfn.CONCAT("+",ROUND(VLOOKUP($B23&amp;$D23, 'NCAAT Simulations'!$C$2:$H$9999, 4,FALSE), 1)), ROUND(VLOOKUP($B23&amp;$D23, 'NCAAT Simulations'!$C$2:$H$9999, 4,FALSE), 1)), "")</f>
        <v/>
      </c>
      <c r="H23" s="7" t="e">
        <f>IF(G23&lt;0,(VLOOKUP($B23&amp;$D23, 'NCAAT Simulations'!$C$2:$I$9999, 6,FALSE)/138.8)*G23, _xlfn.CONCAT("+", ROUND((VLOOKUP($B23&amp;$D23, 'NCAAT Simulations'!$C$2:$I$9999, 6,FALSE)/138.8)*G23, 1)))</f>
        <v>#N/A</v>
      </c>
      <c r="I23" s="3" t="str">
        <f>_xlfn.IFNA(IF(ABS(VLOOKUP($B23&amp;$D23, 'NCAAT Simulations'!$C$2:$H$9999, 5,FALSE))&gt;10000,_xlfn.FLOOR.MATH(VLOOKUP($B23&amp;$D23, 'NCAAT Simulations'!$C$2:$H$9999, 5,FALSE), 1000), IF(ABS(VLOOKUP($B23&amp;$D23, 'NCAAT Simulations'!$C$2:$H$9999, 5,FALSE))&gt;1000,_xlfn.FLOOR.MATH(VLOOKUP($B23&amp;$D23, 'NCAAT Simulations'!$C$2:$H$9999, 5,FALSE), 100), _xlfn.FLOOR.MATH(VLOOKUP($B23&amp;$D23, 'NCAAT Simulations'!$C$2:$H$9999, 5,FALSE), 10))), "")</f>
        <v/>
      </c>
      <c r="J23" s="1" t="str">
        <f>_xlfn.IFNA(VLOOKUP($B23&amp;$D23, 'NCAAT Simulations'!$C$2:$I$9999, 7,FALSE), "")</f>
        <v/>
      </c>
    </row>
    <row r="24" spans="5:10" x14ac:dyDescent="0.45">
      <c r="E24" t="str">
        <f>_xlfn.IFNA(VLOOKUP($B24&amp;$D24, 'NCAAT Simulations'!$C$2:$H$9999, 2,FALSE), "")</f>
        <v/>
      </c>
      <c r="F24" s="4" t="str">
        <f>_xlfn.IFNA(IF(VLOOKUP($B24&amp;$D24, 'NCAAT Simulations'!$C$2:$H$9999, 3,FALSE)&lt;50,1-VLOOKUP($B24&amp;$D24, 'NCAAT Simulations'!$C$2:$H$9999, 3,FALSE)/100, VLOOKUP($B24&amp;$D24, 'NCAAT Simulations'!$C$2:$H$9999, 3,FALSE)/100), "")</f>
        <v/>
      </c>
      <c r="G24" s="2" t="str">
        <f>_xlfn.IFNA(IF(ROUND(VLOOKUP($B24&amp;$D24, 'NCAAT Simulations'!$C$2:$H$9999, 4,FALSE), 1)&gt;0, _xlfn.CONCAT("+",ROUND(VLOOKUP($B24&amp;$D24, 'NCAAT Simulations'!$C$2:$H$9999, 4,FALSE), 1)), ROUND(VLOOKUP($B24&amp;$D24, 'NCAAT Simulations'!$C$2:$H$9999, 4,FALSE), 1)), "")</f>
        <v/>
      </c>
      <c r="H24" s="7" t="e">
        <f>IF(G24&lt;0,(VLOOKUP($B24&amp;$D24, 'NCAAT Simulations'!$C$2:$I$9999, 6,FALSE)/138.8)*G24, _xlfn.CONCAT("+", ROUND((VLOOKUP($B24&amp;$D24, 'NCAAT Simulations'!$C$2:$I$9999, 6,FALSE)/138.8)*G24, 1)))</f>
        <v>#N/A</v>
      </c>
      <c r="I24" s="3" t="str">
        <f>_xlfn.IFNA(IF(ABS(VLOOKUP($B24&amp;$D24, 'NCAAT Simulations'!$C$2:$H$9999, 5,FALSE))&gt;10000,_xlfn.FLOOR.MATH(VLOOKUP($B24&amp;$D24, 'NCAAT Simulations'!$C$2:$H$9999, 5,FALSE), 1000), IF(ABS(VLOOKUP($B24&amp;$D24, 'NCAAT Simulations'!$C$2:$H$9999, 5,FALSE))&gt;1000,_xlfn.FLOOR.MATH(VLOOKUP($B24&amp;$D24, 'NCAAT Simulations'!$C$2:$H$9999, 5,FALSE), 100), _xlfn.FLOOR.MATH(VLOOKUP($B24&amp;$D24, 'NCAAT Simulations'!$C$2:$H$9999, 5,FALSE), 10))), "")</f>
        <v/>
      </c>
      <c r="J24" s="1" t="str">
        <f>_xlfn.IFNA(VLOOKUP($B24&amp;$D24, 'NCAAT Simulations'!$C$2:$I$9999, 7,FALSE), "")</f>
        <v/>
      </c>
    </row>
    <row r="25" spans="5:10" x14ac:dyDescent="0.45">
      <c r="E25" t="str">
        <f>_xlfn.IFNA(VLOOKUP($B25&amp;$D25, 'NCAAT Simulations'!$C$2:$H$9999, 2,FALSE), "")</f>
        <v/>
      </c>
      <c r="F25" s="4" t="str">
        <f>_xlfn.IFNA(IF(VLOOKUP($B25&amp;$D25, 'NCAAT Simulations'!$C$2:$H$9999, 3,FALSE)&lt;50,1-VLOOKUP($B25&amp;$D25, 'NCAAT Simulations'!$C$2:$H$9999, 3,FALSE)/100, VLOOKUP($B25&amp;$D25, 'NCAAT Simulations'!$C$2:$H$9999, 3,FALSE)/100), "")</f>
        <v/>
      </c>
      <c r="G25" s="2" t="str">
        <f>_xlfn.IFNA(IF(ROUND(VLOOKUP($B25&amp;$D25, 'NCAAT Simulations'!$C$2:$H$9999, 4,FALSE), 1)&gt;0, _xlfn.CONCAT("+",ROUND(VLOOKUP($B25&amp;$D25, 'NCAAT Simulations'!$C$2:$H$9999, 4,FALSE), 1)), ROUND(VLOOKUP($B25&amp;$D25, 'NCAAT Simulations'!$C$2:$H$9999, 4,FALSE), 1)), "")</f>
        <v/>
      </c>
      <c r="H25" s="7" t="e">
        <f>IF(G25&lt;0,(VLOOKUP($B25&amp;$D25, 'NCAAT Simulations'!$C$2:$I$9999, 6,FALSE)/138.8)*G25, _xlfn.CONCAT("+", ROUND((VLOOKUP($B25&amp;$D25, 'NCAAT Simulations'!$C$2:$I$9999, 6,FALSE)/138.8)*G25, 1)))</f>
        <v>#N/A</v>
      </c>
      <c r="I25" s="3" t="str">
        <f>_xlfn.IFNA(IF(ABS(VLOOKUP($B25&amp;$D25, 'NCAAT Simulations'!$C$2:$H$9999, 5,FALSE))&gt;10000,_xlfn.FLOOR.MATH(VLOOKUP($B25&amp;$D25, 'NCAAT Simulations'!$C$2:$H$9999, 5,FALSE), 1000), IF(ABS(VLOOKUP($B25&amp;$D25, 'NCAAT Simulations'!$C$2:$H$9999, 5,FALSE))&gt;1000,_xlfn.FLOOR.MATH(VLOOKUP($B25&amp;$D25, 'NCAAT Simulations'!$C$2:$H$9999, 5,FALSE), 100), _xlfn.FLOOR.MATH(VLOOKUP($B25&amp;$D25, 'NCAAT Simulations'!$C$2:$H$9999, 5,FALSE), 10))), "")</f>
        <v/>
      </c>
      <c r="J25" s="1" t="str">
        <f>_xlfn.IFNA(VLOOKUP($B25&amp;$D25, 'NCAAT Simulations'!$C$2:$I$9999, 7,FALSE), "")</f>
        <v/>
      </c>
    </row>
    <row r="26" spans="5:10" x14ac:dyDescent="0.45">
      <c r="E26" t="str">
        <f>_xlfn.IFNA(VLOOKUP($B26&amp;$D26, 'NCAAT Simulations'!$C$2:$H$9999, 2,FALSE), "")</f>
        <v/>
      </c>
      <c r="F26" s="4" t="str">
        <f>_xlfn.IFNA(IF(VLOOKUP($B26&amp;$D26, 'NCAAT Simulations'!$C$2:$H$9999, 3,FALSE)&lt;50,1-VLOOKUP($B26&amp;$D26, 'NCAAT Simulations'!$C$2:$H$9999, 3,FALSE)/100, VLOOKUP($B26&amp;$D26, 'NCAAT Simulations'!$C$2:$H$9999, 3,FALSE)/100), "")</f>
        <v/>
      </c>
      <c r="G26" s="2" t="str">
        <f>_xlfn.IFNA(IF(ROUND(VLOOKUP($B26&amp;$D26, 'NCAAT Simulations'!$C$2:$H$9999, 4,FALSE), 1)&gt;0, _xlfn.CONCAT("+",ROUND(VLOOKUP($B26&amp;$D26, 'NCAAT Simulations'!$C$2:$H$9999, 4,FALSE), 1)), ROUND(VLOOKUP($B26&amp;$D26, 'NCAAT Simulations'!$C$2:$H$9999, 4,FALSE), 1)), "")</f>
        <v/>
      </c>
      <c r="H26" s="7" t="e">
        <f>IF(G26&lt;0,(VLOOKUP($B26&amp;$D26, 'NCAAT Simulations'!$C$2:$I$9999, 6,FALSE)/138.8)*G26, _xlfn.CONCAT("+", ROUND((VLOOKUP($B26&amp;$D26, 'NCAAT Simulations'!$C$2:$I$9999, 6,FALSE)/138.8)*G26, 1)))</f>
        <v>#N/A</v>
      </c>
      <c r="I26" s="3" t="str">
        <f>_xlfn.IFNA(IF(ABS(VLOOKUP($B26&amp;$D26, 'NCAAT Simulations'!$C$2:$H$9999, 5,FALSE))&gt;10000,_xlfn.FLOOR.MATH(VLOOKUP($B26&amp;$D26, 'NCAAT Simulations'!$C$2:$H$9999, 5,FALSE), 1000), IF(ABS(VLOOKUP($B26&amp;$D26, 'NCAAT Simulations'!$C$2:$H$9999, 5,FALSE))&gt;1000,_xlfn.FLOOR.MATH(VLOOKUP($B26&amp;$D26, 'NCAAT Simulations'!$C$2:$H$9999, 5,FALSE), 100), _xlfn.FLOOR.MATH(VLOOKUP($B26&amp;$D26, 'NCAAT Simulations'!$C$2:$H$9999, 5,FALSE), 10))), "")</f>
        <v/>
      </c>
      <c r="J26" s="1" t="str">
        <f>_xlfn.IFNA(VLOOKUP($B26&amp;$D26, 'NCAAT Simulations'!$C$2:$I$9999, 7,FALSE), "")</f>
        <v/>
      </c>
    </row>
    <row r="27" spans="5:10" x14ac:dyDescent="0.45">
      <c r="E27" t="str">
        <f>_xlfn.IFNA(VLOOKUP($B27&amp;$D27, 'NCAAT Simulations'!$C$2:$H$9999, 2,FALSE), "")</f>
        <v/>
      </c>
      <c r="F27" s="4" t="str">
        <f>_xlfn.IFNA(IF(VLOOKUP($B27&amp;$D27, 'NCAAT Simulations'!$C$2:$H$9999, 3,FALSE)&lt;50,1-VLOOKUP($B27&amp;$D27, 'NCAAT Simulations'!$C$2:$H$9999, 3,FALSE)/100, VLOOKUP($B27&amp;$D27, 'NCAAT Simulations'!$C$2:$H$9999, 3,FALSE)/100), "")</f>
        <v/>
      </c>
      <c r="G27" s="2" t="str">
        <f>_xlfn.IFNA(IF(ROUND(VLOOKUP($B27&amp;$D27, 'NCAAT Simulations'!$C$2:$H$9999, 4,FALSE), 1)&gt;0, _xlfn.CONCAT("+",ROUND(VLOOKUP($B27&amp;$D27, 'NCAAT Simulations'!$C$2:$H$9999, 4,FALSE), 1)), ROUND(VLOOKUP($B27&amp;$D27, 'NCAAT Simulations'!$C$2:$H$9999, 4,FALSE), 1)), "")</f>
        <v/>
      </c>
      <c r="H27" s="7" t="e">
        <f>IF(G27&lt;0,(VLOOKUP($B27&amp;$D27, 'NCAAT Simulations'!$C$2:$I$9999, 6,FALSE)/138.8)*G27, _xlfn.CONCAT("+", ROUND((VLOOKUP($B27&amp;$D27, 'NCAAT Simulations'!$C$2:$I$9999, 6,FALSE)/138.8)*G27, 1)))</f>
        <v>#N/A</v>
      </c>
      <c r="I27" s="3" t="str">
        <f>_xlfn.IFNA(IF(ABS(VLOOKUP($B27&amp;$D27, 'NCAAT Simulations'!$C$2:$H$9999, 5,FALSE))&gt;10000,_xlfn.FLOOR.MATH(VLOOKUP($B27&amp;$D27, 'NCAAT Simulations'!$C$2:$H$9999, 5,FALSE), 1000), IF(ABS(VLOOKUP($B27&amp;$D27, 'NCAAT Simulations'!$C$2:$H$9999, 5,FALSE))&gt;1000,_xlfn.FLOOR.MATH(VLOOKUP($B27&amp;$D27, 'NCAAT Simulations'!$C$2:$H$9999, 5,FALSE), 100), _xlfn.FLOOR.MATH(VLOOKUP($B27&amp;$D27, 'NCAAT Simulations'!$C$2:$H$9999, 5,FALSE), 10))), "")</f>
        <v/>
      </c>
      <c r="J27" s="1" t="str">
        <f>_xlfn.IFNA(VLOOKUP($B27&amp;$D27, 'NCAAT Simulations'!$C$2:$I$9999, 7,FALSE), "")</f>
        <v/>
      </c>
    </row>
    <row r="28" spans="5:10" x14ac:dyDescent="0.45">
      <c r="E28" t="str">
        <f>_xlfn.IFNA(VLOOKUP($B28&amp;$D28, 'NCAAT Simulations'!$C$2:$H$9999, 2,FALSE), "")</f>
        <v/>
      </c>
      <c r="F28" s="4" t="str">
        <f>_xlfn.IFNA(IF(VLOOKUP($B28&amp;$D28, 'NCAAT Simulations'!$C$2:$H$9999, 3,FALSE)&lt;50,1-VLOOKUP($B28&amp;$D28, 'NCAAT Simulations'!$C$2:$H$9999, 3,FALSE)/100, VLOOKUP($B28&amp;$D28, 'NCAAT Simulations'!$C$2:$H$9999, 3,FALSE)/100), "")</f>
        <v/>
      </c>
      <c r="G28" s="2" t="str">
        <f>_xlfn.IFNA(IF(ROUND(VLOOKUP($B28&amp;$D28, 'NCAAT Simulations'!$C$2:$H$9999, 4,FALSE), 1)&gt;0, _xlfn.CONCAT("+",ROUND(VLOOKUP($B28&amp;$D28, 'NCAAT Simulations'!$C$2:$H$9999, 4,FALSE), 1)), ROUND(VLOOKUP($B28&amp;$D28, 'NCAAT Simulations'!$C$2:$H$9999, 4,FALSE), 1)), "")</f>
        <v/>
      </c>
      <c r="H28" s="7" t="e">
        <f>IF(G28&lt;0,(VLOOKUP($B28&amp;$D28, 'NCAAT Simulations'!$C$2:$I$9999, 6,FALSE)/138.8)*G28, _xlfn.CONCAT("+", ROUND((VLOOKUP($B28&amp;$D28, 'NCAAT Simulations'!$C$2:$I$9999, 6,FALSE)/138.8)*G28, 1)))</f>
        <v>#N/A</v>
      </c>
      <c r="I28" s="3" t="str">
        <f>_xlfn.IFNA(IF(ABS(VLOOKUP($B28&amp;$D28, 'NCAAT Simulations'!$C$2:$H$9999, 5,FALSE))&gt;10000,_xlfn.FLOOR.MATH(VLOOKUP($B28&amp;$D28, 'NCAAT Simulations'!$C$2:$H$9999, 5,FALSE), 1000), IF(ABS(VLOOKUP($B28&amp;$D28, 'NCAAT Simulations'!$C$2:$H$9999, 5,FALSE))&gt;1000,_xlfn.FLOOR.MATH(VLOOKUP($B28&amp;$D28, 'NCAAT Simulations'!$C$2:$H$9999, 5,FALSE), 100), _xlfn.FLOOR.MATH(VLOOKUP($B28&amp;$D28, 'NCAAT Simulations'!$C$2:$H$9999, 5,FALSE), 10))), "")</f>
        <v/>
      </c>
      <c r="J28" s="1" t="str">
        <f>_xlfn.IFNA(VLOOKUP($B28&amp;$D28, 'NCAAT Simulations'!$C$2:$I$9999, 7,FALSE), "")</f>
        <v/>
      </c>
    </row>
    <row r="29" spans="5:10" x14ac:dyDescent="0.45">
      <c r="E29" t="str">
        <f>_xlfn.IFNA(VLOOKUP($B29&amp;$D29, 'NCAAT Simulations'!$C$2:$H$9999, 2,FALSE), "")</f>
        <v/>
      </c>
      <c r="F29" s="4" t="str">
        <f>_xlfn.IFNA(IF(VLOOKUP($B29&amp;$D29, 'NCAAT Simulations'!$C$2:$H$9999, 3,FALSE)&lt;50,1-VLOOKUP($B29&amp;$D29, 'NCAAT Simulations'!$C$2:$H$9999, 3,FALSE)/100, VLOOKUP($B29&amp;$D29, 'NCAAT Simulations'!$C$2:$H$9999, 3,FALSE)/100), "")</f>
        <v/>
      </c>
      <c r="G29" s="2" t="str">
        <f>_xlfn.IFNA(IF(ROUND(VLOOKUP($B29&amp;$D29, 'NCAAT Simulations'!$C$2:$H$9999, 4,FALSE), 1)&gt;0, _xlfn.CONCAT("+",ROUND(VLOOKUP($B29&amp;$D29, 'NCAAT Simulations'!$C$2:$H$9999, 4,FALSE), 1)), ROUND(VLOOKUP($B29&amp;$D29, 'NCAAT Simulations'!$C$2:$H$9999, 4,FALSE), 1)), "")</f>
        <v/>
      </c>
      <c r="H29" s="7" t="e">
        <f>IF(G29&lt;0,(VLOOKUP($B29&amp;$D29, 'NCAAT Simulations'!$C$2:$I$9999, 6,FALSE)/138.8)*G29, _xlfn.CONCAT("+", ROUND((VLOOKUP($B29&amp;$D29, 'NCAAT Simulations'!$C$2:$I$9999, 6,FALSE)/138.8)*G29, 1)))</f>
        <v>#N/A</v>
      </c>
      <c r="I29" s="3" t="str">
        <f>_xlfn.IFNA(IF(ABS(VLOOKUP($B29&amp;$D29, 'NCAAT Simulations'!$C$2:$H$9999, 5,FALSE))&gt;10000,_xlfn.FLOOR.MATH(VLOOKUP($B29&amp;$D29, 'NCAAT Simulations'!$C$2:$H$9999, 5,FALSE), 1000), IF(ABS(VLOOKUP($B29&amp;$D29, 'NCAAT Simulations'!$C$2:$H$9999, 5,FALSE))&gt;1000,_xlfn.FLOOR.MATH(VLOOKUP($B29&amp;$D29, 'NCAAT Simulations'!$C$2:$H$9999, 5,FALSE), 100), _xlfn.FLOOR.MATH(VLOOKUP($B29&amp;$D29, 'NCAAT Simulations'!$C$2:$H$9999, 5,FALSE), 10))), "")</f>
        <v/>
      </c>
      <c r="J29" s="1" t="str">
        <f>_xlfn.IFNA(VLOOKUP($B29&amp;$D29, 'NCAAT Simulations'!$C$2:$I$9999, 7,FALSE), "")</f>
        <v/>
      </c>
    </row>
    <row r="30" spans="5:10" x14ac:dyDescent="0.45">
      <c r="E30" t="str">
        <f>_xlfn.IFNA(VLOOKUP($B30&amp;$D30, 'NCAAT Simulations'!$C$2:$H$9999, 2,FALSE), "")</f>
        <v/>
      </c>
      <c r="F30" s="4" t="str">
        <f>_xlfn.IFNA(IF(VLOOKUP($B30&amp;$D30, 'NCAAT Simulations'!$C$2:$H$9999, 3,FALSE)&lt;50,1-VLOOKUP($B30&amp;$D30, 'NCAAT Simulations'!$C$2:$H$9999, 3,FALSE)/100, VLOOKUP($B30&amp;$D30, 'NCAAT Simulations'!$C$2:$H$9999, 3,FALSE)/100), "")</f>
        <v/>
      </c>
      <c r="G30" s="2" t="str">
        <f>_xlfn.IFNA(IF(ROUND(VLOOKUP($B30&amp;$D30, 'NCAAT Simulations'!$C$2:$H$9999, 4,FALSE), 1)&gt;0, _xlfn.CONCAT("+",ROUND(VLOOKUP($B30&amp;$D30, 'NCAAT Simulations'!$C$2:$H$9999, 4,FALSE), 1)), ROUND(VLOOKUP($B30&amp;$D30, 'NCAAT Simulations'!$C$2:$H$9999, 4,FALSE), 1)), "")</f>
        <v/>
      </c>
      <c r="H30" s="7" t="e">
        <f>IF(G30&lt;0,(VLOOKUP($B30&amp;$D30, 'NCAAT Simulations'!$C$2:$I$9999, 6,FALSE)/138.8)*G30, _xlfn.CONCAT("+", ROUND((VLOOKUP($B30&amp;$D30, 'NCAAT Simulations'!$C$2:$I$9999, 6,FALSE)/138.8)*G30, 1)))</f>
        <v>#N/A</v>
      </c>
      <c r="I30" s="3" t="str">
        <f>_xlfn.IFNA(IF(ABS(VLOOKUP($B30&amp;$D30, 'NCAAT Simulations'!$C$2:$H$9999, 5,FALSE))&gt;10000,_xlfn.FLOOR.MATH(VLOOKUP($B30&amp;$D30, 'NCAAT Simulations'!$C$2:$H$9999, 5,FALSE), 1000), IF(ABS(VLOOKUP($B30&amp;$D30, 'NCAAT Simulations'!$C$2:$H$9999, 5,FALSE))&gt;1000,_xlfn.FLOOR.MATH(VLOOKUP($B30&amp;$D30, 'NCAAT Simulations'!$C$2:$H$9999, 5,FALSE), 100), _xlfn.FLOOR.MATH(VLOOKUP($B30&amp;$D30, 'NCAAT Simulations'!$C$2:$H$9999, 5,FALSE), 10))), "")</f>
        <v/>
      </c>
      <c r="J30" s="1" t="str">
        <f>_xlfn.IFNA(VLOOKUP($B30&amp;$D30, 'NCAAT Simulations'!$C$2:$I$9999, 7,FALSE), "")</f>
        <v/>
      </c>
    </row>
    <row r="31" spans="5:10" x14ac:dyDescent="0.45">
      <c r="E31" t="str">
        <f>_xlfn.IFNA(VLOOKUP($B31&amp;$D31, 'NCAAT Simulations'!$C$2:$H$9999, 2,FALSE), "")</f>
        <v/>
      </c>
      <c r="F31" s="4" t="str">
        <f>_xlfn.IFNA(IF(VLOOKUP($B31&amp;$D31, 'NCAAT Simulations'!$C$2:$H$9999, 3,FALSE)&lt;50,1-VLOOKUP($B31&amp;$D31, 'NCAAT Simulations'!$C$2:$H$9999, 3,FALSE)/100, VLOOKUP($B31&amp;$D31, 'NCAAT Simulations'!$C$2:$H$9999, 3,FALSE)/100), "")</f>
        <v/>
      </c>
      <c r="G31" s="2" t="str">
        <f>_xlfn.IFNA(IF(ROUND(VLOOKUP($B31&amp;$D31, 'NCAAT Simulations'!$C$2:$H$9999, 4,FALSE), 1)&gt;0, _xlfn.CONCAT("+",ROUND(VLOOKUP($B31&amp;$D31, 'NCAAT Simulations'!$C$2:$H$9999, 4,FALSE), 1)), ROUND(VLOOKUP($B31&amp;$D31, 'NCAAT Simulations'!$C$2:$H$9999, 4,FALSE), 1)), "")</f>
        <v/>
      </c>
      <c r="H31" s="7" t="e">
        <f>IF(G31&lt;0,(VLOOKUP($B31&amp;$D31, 'NCAAT Simulations'!$C$2:$I$9999, 6,FALSE)/138.8)*G31, _xlfn.CONCAT("+", ROUND((VLOOKUP($B31&amp;$D31, 'NCAAT Simulations'!$C$2:$I$9999, 6,FALSE)/138.8)*G31, 1)))</f>
        <v>#N/A</v>
      </c>
      <c r="I31" s="3" t="str">
        <f>_xlfn.IFNA(IF(ABS(VLOOKUP($B31&amp;$D31, 'NCAAT Simulations'!$C$2:$H$9999, 5,FALSE))&gt;10000,_xlfn.FLOOR.MATH(VLOOKUP($B31&amp;$D31, 'NCAAT Simulations'!$C$2:$H$9999, 5,FALSE), 1000), IF(ABS(VLOOKUP($B31&amp;$D31, 'NCAAT Simulations'!$C$2:$H$9999, 5,FALSE))&gt;1000,_xlfn.FLOOR.MATH(VLOOKUP($B31&amp;$D31, 'NCAAT Simulations'!$C$2:$H$9999, 5,FALSE), 100), _xlfn.FLOOR.MATH(VLOOKUP($B31&amp;$D31, 'NCAAT Simulations'!$C$2:$H$9999, 5,FALSE), 10))), "")</f>
        <v/>
      </c>
      <c r="J31" s="1" t="str">
        <f>_xlfn.IFNA(VLOOKUP($B31&amp;$D31, 'NCAAT Simulations'!$C$2:$I$9999, 7,FALSE), "")</f>
        <v/>
      </c>
    </row>
    <row r="32" spans="5:10" x14ac:dyDescent="0.45">
      <c r="E32" t="str">
        <f>_xlfn.IFNA(VLOOKUP($B32&amp;$D32, 'NCAAT Simulations'!$C$2:$H$9999, 2,FALSE), "")</f>
        <v/>
      </c>
      <c r="F32" s="4" t="str">
        <f>_xlfn.IFNA(IF(VLOOKUP($B32&amp;$D32, 'NCAAT Simulations'!$C$2:$H$9999, 3,FALSE)&lt;50,1-VLOOKUP($B32&amp;$D32, 'NCAAT Simulations'!$C$2:$H$9999, 3,FALSE)/100, VLOOKUP($B32&amp;$D32, 'NCAAT Simulations'!$C$2:$H$9999, 3,FALSE)/100), "")</f>
        <v/>
      </c>
      <c r="G32" s="2" t="str">
        <f>_xlfn.IFNA(IF(ROUND(VLOOKUP($B32&amp;$D32, 'NCAAT Simulations'!$C$2:$H$9999, 4,FALSE), 1)&gt;0, _xlfn.CONCAT("+",ROUND(VLOOKUP($B32&amp;$D32, 'NCAAT Simulations'!$C$2:$H$9999, 4,FALSE), 1)), ROUND(VLOOKUP($B32&amp;$D32, 'NCAAT Simulations'!$C$2:$H$9999, 4,FALSE), 1)), "")</f>
        <v/>
      </c>
      <c r="H32" s="7" t="e">
        <f>IF(G32&lt;0,(VLOOKUP($B32&amp;$D32, 'NCAAT Simulations'!$C$2:$I$9999, 6,FALSE)/138.8)*G32, _xlfn.CONCAT("+", ROUND((VLOOKUP($B32&amp;$D32, 'NCAAT Simulations'!$C$2:$I$9999, 6,FALSE)/138.8)*G32, 1)))</f>
        <v>#N/A</v>
      </c>
      <c r="I32" s="3" t="str">
        <f>_xlfn.IFNA(IF(ABS(VLOOKUP($B32&amp;$D32, 'NCAAT Simulations'!$C$2:$H$9999, 5,FALSE))&gt;10000,_xlfn.FLOOR.MATH(VLOOKUP($B32&amp;$D32, 'NCAAT Simulations'!$C$2:$H$9999, 5,FALSE), 1000), IF(ABS(VLOOKUP($B32&amp;$D32, 'NCAAT Simulations'!$C$2:$H$9999, 5,FALSE))&gt;1000,_xlfn.FLOOR.MATH(VLOOKUP($B32&amp;$D32, 'NCAAT Simulations'!$C$2:$H$9999, 5,FALSE), 100), _xlfn.FLOOR.MATH(VLOOKUP($B32&amp;$D32, 'NCAAT Simulations'!$C$2:$H$9999, 5,FALSE), 10))), "")</f>
        <v/>
      </c>
      <c r="J32" s="1" t="str">
        <f>_xlfn.IFNA(VLOOKUP($B32&amp;$D32, 'NCAAT Simulations'!$C$2:$I$9999, 7,FALSE), "")</f>
        <v/>
      </c>
    </row>
    <row r="33" spans="5:10" x14ac:dyDescent="0.45">
      <c r="E33" t="str">
        <f>_xlfn.IFNA(VLOOKUP($B33&amp;$D33, 'NCAAT Simulations'!$C$2:$H$9999, 2,FALSE), "")</f>
        <v/>
      </c>
      <c r="F33" s="4" t="str">
        <f>_xlfn.IFNA(IF(VLOOKUP($B33&amp;$D33, 'NCAAT Simulations'!$C$2:$H$9999, 3,FALSE)&lt;50,1-VLOOKUP($B33&amp;$D33, 'NCAAT Simulations'!$C$2:$H$9999, 3,FALSE)/100, VLOOKUP($B33&amp;$D33, 'NCAAT Simulations'!$C$2:$H$9999, 3,FALSE)/100), "")</f>
        <v/>
      </c>
      <c r="G33" s="2" t="str">
        <f>_xlfn.IFNA(IF(ROUND(VLOOKUP($B33&amp;$D33, 'NCAAT Simulations'!$C$2:$H$9999, 4,FALSE), 1)&gt;0, _xlfn.CONCAT("+",ROUND(VLOOKUP($B33&amp;$D33, 'NCAAT Simulations'!$C$2:$H$9999, 4,FALSE), 1)), ROUND(VLOOKUP($B33&amp;$D33, 'NCAAT Simulations'!$C$2:$H$9999, 4,FALSE), 1)), "")</f>
        <v/>
      </c>
      <c r="H33" s="7" t="e">
        <f>IF(G33&lt;0,(VLOOKUP($B33&amp;$D33, 'NCAAT Simulations'!$C$2:$I$9999, 6,FALSE)/138.8)*G33, _xlfn.CONCAT("+", ROUND((VLOOKUP($B33&amp;$D33, 'NCAAT Simulations'!$C$2:$I$9999, 6,FALSE)/138.8)*G33, 1)))</f>
        <v>#N/A</v>
      </c>
      <c r="I33" s="3" t="str">
        <f>_xlfn.IFNA(IF(ABS(VLOOKUP($B33&amp;$D33, 'NCAAT Simulations'!$C$2:$H$9999, 5,FALSE))&gt;10000,_xlfn.FLOOR.MATH(VLOOKUP($B33&amp;$D33, 'NCAAT Simulations'!$C$2:$H$9999, 5,FALSE), 1000), IF(ABS(VLOOKUP($B33&amp;$D33, 'NCAAT Simulations'!$C$2:$H$9999, 5,FALSE))&gt;1000,_xlfn.FLOOR.MATH(VLOOKUP($B33&amp;$D33, 'NCAAT Simulations'!$C$2:$H$9999, 5,FALSE), 100), _xlfn.FLOOR.MATH(VLOOKUP($B33&amp;$D33, 'NCAAT Simulations'!$C$2:$H$9999, 5,FALSE), 10))), "")</f>
        <v/>
      </c>
      <c r="J33" s="1" t="str">
        <f>_xlfn.IFNA(VLOOKUP($B33&amp;$D33, 'NCAAT Simulations'!$C$2:$I$9999, 7,FALSE), "")</f>
        <v/>
      </c>
    </row>
    <row r="34" spans="5:10" x14ac:dyDescent="0.45">
      <c r="E34" t="str">
        <f>_xlfn.IFNA(VLOOKUP($B34&amp;$D34, 'NCAAT Simulations'!$C$2:$H$9999, 2,FALSE), "")</f>
        <v/>
      </c>
      <c r="F34" s="4" t="str">
        <f>_xlfn.IFNA(IF(VLOOKUP($B34&amp;$D34, 'NCAAT Simulations'!$C$2:$H$9999, 3,FALSE)&lt;50,1-VLOOKUP($B34&amp;$D34, 'NCAAT Simulations'!$C$2:$H$9999, 3,FALSE)/100, VLOOKUP($B34&amp;$D34, 'NCAAT Simulations'!$C$2:$H$9999, 3,FALSE)/100), "")</f>
        <v/>
      </c>
      <c r="G34" s="2" t="str">
        <f>_xlfn.IFNA(IF(ROUND(VLOOKUP($B34&amp;$D34, 'NCAAT Simulations'!$C$2:$H$9999, 4,FALSE), 1)&gt;0, _xlfn.CONCAT("+",ROUND(VLOOKUP($B34&amp;$D34, 'NCAAT Simulations'!$C$2:$H$9999, 4,FALSE), 1)), ROUND(VLOOKUP($B34&amp;$D34, 'NCAAT Simulations'!$C$2:$H$9999, 4,FALSE), 1)), "")</f>
        <v/>
      </c>
      <c r="H34" s="7" t="e">
        <f>IF(G34&lt;0,(VLOOKUP($B34&amp;$D34, 'NCAAT Simulations'!$C$2:$I$9999, 6,FALSE)/138.8)*G34, _xlfn.CONCAT("+", ROUND((VLOOKUP($B34&amp;$D34, 'NCAAT Simulations'!$C$2:$I$9999, 6,FALSE)/138.8)*G34, 1)))</f>
        <v>#N/A</v>
      </c>
      <c r="I34" s="3" t="str">
        <f>_xlfn.IFNA(IF(ABS(VLOOKUP($B34&amp;$D34, 'NCAAT Simulations'!$C$2:$H$9999, 5,FALSE))&gt;10000,_xlfn.FLOOR.MATH(VLOOKUP($B34&amp;$D34, 'NCAAT Simulations'!$C$2:$H$9999, 5,FALSE), 1000), IF(ABS(VLOOKUP($B34&amp;$D34, 'NCAAT Simulations'!$C$2:$H$9999, 5,FALSE))&gt;1000,_xlfn.FLOOR.MATH(VLOOKUP($B34&amp;$D34, 'NCAAT Simulations'!$C$2:$H$9999, 5,FALSE), 100), _xlfn.FLOOR.MATH(VLOOKUP($B34&amp;$D34, 'NCAAT Simulations'!$C$2:$H$9999, 5,FALSE), 10))), "")</f>
        <v/>
      </c>
      <c r="J34" s="1" t="str">
        <f>_xlfn.IFNA(VLOOKUP($B34&amp;$D34, 'NCAAT Simulations'!$C$2:$I$9999, 7,FALSE), "")</f>
        <v/>
      </c>
    </row>
    <row r="35" spans="5:10" x14ac:dyDescent="0.45">
      <c r="E35" t="str">
        <f>_xlfn.IFNA(VLOOKUP($B35&amp;$D35, 'NCAAT Simulations'!$C$2:$H$9999, 2,FALSE), "")</f>
        <v/>
      </c>
      <c r="F35" s="4" t="str">
        <f>_xlfn.IFNA(IF(VLOOKUP($B35&amp;$D35, 'NCAAT Simulations'!$C$2:$H$9999, 3,FALSE)&lt;50,1-VLOOKUP($B35&amp;$D35, 'NCAAT Simulations'!$C$2:$H$9999, 3,FALSE)/100, VLOOKUP($B35&amp;$D35, 'NCAAT Simulations'!$C$2:$H$9999, 3,FALSE)/100), "")</f>
        <v/>
      </c>
      <c r="G35" s="2" t="str">
        <f>_xlfn.IFNA(IF(ROUND(VLOOKUP($B35&amp;$D35, 'NCAAT Simulations'!$C$2:$H$9999, 4,FALSE), 1)&gt;0, _xlfn.CONCAT("+",ROUND(VLOOKUP($B35&amp;$D35, 'NCAAT Simulations'!$C$2:$H$9999, 4,FALSE), 1)), ROUND(VLOOKUP($B35&amp;$D35, 'NCAAT Simulations'!$C$2:$H$9999, 4,FALSE), 1)), "")</f>
        <v/>
      </c>
      <c r="H35" s="7" t="e">
        <f>IF(G35&lt;0,(VLOOKUP($B35&amp;$D35, 'NCAAT Simulations'!$C$2:$I$9999, 6,FALSE)/138.8)*G35, _xlfn.CONCAT("+", ROUND((VLOOKUP($B35&amp;$D35, 'NCAAT Simulations'!$C$2:$I$9999, 6,FALSE)/138.8)*G35, 1)))</f>
        <v>#N/A</v>
      </c>
      <c r="I35" s="3" t="str">
        <f>_xlfn.IFNA(IF(ABS(VLOOKUP($B35&amp;$D35, 'NCAAT Simulations'!$C$2:$H$9999, 5,FALSE))&gt;10000,_xlfn.FLOOR.MATH(VLOOKUP($B35&amp;$D35, 'NCAAT Simulations'!$C$2:$H$9999, 5,FALSE), 1000), IF(ABS(VLOOKUP($B35&amp;$D35, 'NCAAT Simulations'!$C$2:$H$9999, 5,FALSE))&gt;1000,_xlfn.FLOOR.MATH(VLOOKUP($B35&amp;$D35, 'NCAAT Simulations'!$C$2:$H$9999, 5,FALSE), 100), _xlfn.FLOOR.MATH(VLOOKUP($B35&amp;$D35, 'NCAAT Simulations'!$C$2:$H$9999, 5,FALSE), 10))), "")</f>
        <v/>
      </c>
      <c r="J35" s="1" t="str">
        <f>_xlfn.IFNA(VLOOKUP($B35&amp;$D35, 'NCAAT Simulations'!$C$2:$I$9999, 7,FALSE), "")</f>
        <v/>
      </c>
    </row>
    <row r="36" spans="5:10" x14ac:dyDescent="0.45">
      <c r="E36" t="str">
        <f>_xlfn.IFNA(VLOOKUP($B36&amp;$D36, 'NCAAT Simulations'!$C$2:$H$9999, 2,FALSE), "")</f>
        <v/>
      </c>
      <c r="F36" s="4" t="str">
        <f>_xlfn.IFNA(IF(VLOOKUP($B36&amp;$D36, 'NCAAT Simulations'!$C$2:$H$9999, 3,FALSE)&lt;50,1-VLOOKUP($B36&amp;$D36, 'NCAAT Simulations'!$C$2:$H$9999, 3,FALSE)/100, VLOOKUP($B36&amp;$D36, 'NCAAT Simulations'!$C$2:$H$9999, 3,FALSE)/100), "")</f>
        <v/>
      </c>
      <c r="G36" s="2" t="str">
        <f>_xlfn.IFNA(IF(ROUND(VLOOKUP($B36&amp;$D36, 'NCAAT Simulations'!$C$2:$H$9999, 4,FALSE), 1)&gt;0, _xlfn.CONCAT("+",ROUND(VLOOKUP($B36&amp;$D36, 'NCAAT Simulations'!$C$2:$H$9999, 4,FALSE), 1)), ROUND(VLOOKUP($B36&amp;$D36, 'NCAAT Simulations'!$C$2:$H$9999, 4,FALSE), 1)), "")</f>
        <v/>
      </c>
      <c r="H36" s="7" t="e">
        <f>IF(G36&lt;0,(VLOOKUP($B36&amp;$D36, 'NCAAT Simulations'!$C$2:$I$9999, 6,FALSE)/138.8)*G36, _xlfn.CONCAT("+", ROUND((VLOOKUP($B36&amp;$D36, 'NCAAT Simulations'!$C$2:$I$9999, 6,FALSE)/138.8)*G36, 1)))</f>
        <v>#N/A</v>
      </c>
      <c r="I36" s="3" t="str">
        <f>_xlfn.IFNA(IF(ABS(VLOOKUP($B36&amp;$D36, 'NCAAT Simulations'!$C$2:$H$9999, 5,FALSE))&gt;10000,_xlfn.FLOOR.MATH(VLOOKUP($B36&amp;$D36, 'NCAAT Simulations'!$C$2:$H$9999, 5,FALSE), 1000), IF(ABS(VLOOKUP($B36&amp;$D36, 'NCAAT Simulations'!$C$2:$H$9999, 5,FALSE))&gt;1000,_xlfn.FLOOR.MATH(VLOOKUP($B36&amp;$D36, 'NCAAT Simulations'!$C$2:$H$9999, 5,FALSE), 100), _xlfn.FLOOR.MATH(VLOOKUP($B36&amp;$D36, 'NCAAT Simulations'!$C$2:$H$9999, 5,FALSE), 10))), "")</f>
        <v/>
      </c>
      <c r="J36" s="1" t="str">
        <f>_xlfn.IFNA(VLOOKUP($B36&amp;$D36, 'NCAAT Simulations'!$C$2:$I$9999, 7,FALSE), "")</f>
        <v/>
      </c>
    </row>
    <row r="37" spans="5:10" x14ac:dyDescent="0.45">
      <c r="E37" t="str">
        <f>_xlfn.IFNA(VLOOKUP($B37&amp;$D37, 'NCAAT Simulations'!$C$2:$H$9999, 2,FALSE), "")</f>
        <v/>
      </c>
      <c r="F37" s="4" t="str">
        <f>_xlfn.IFNA(IF(VLOOKUP($B37&amp;$D37, 'NCAAT Simulations'!$C$2:$H$9999, 3,FALSE)&lt;50,1-VLOOKUP($B37&amp;$D37, 'NCAAT Simulations'!$C$2:$H$9999, 3,FALSE)/100, VLOOKUP($B37&amp;$D37, 'NCAAT Simulations'!$C$2:$H$9999, 3,FALSE)/100), "")</f>
        <v/>
      </c>
      <c r="G37" s="2" t="str">
        <f>_xlfn.IFNA(IF(ROUND(VLOOKUP($B37&amp;$D37, 'NCAAT Simulations'!$C$2:$H$9999, 4,FALSE), 1)&gt;0, _xlfn.CONCAT("+",ROUND(VLOOKUP($B37&amp;$D37, 'NCAAT Simulations'!$C$2:$H$9999, 4,FALSE), 1)), ROUND(VLOOKUP($B37&amp;$D37, 'NCAAT Simulations'!$C$2:$H$9999, 4,FALSE), 1)), "")</f>
        <v/>
      </c>
      <c r="H37" s="7" t="e">
        <f>IF(G37&lt;0,(VLOOKUP($B37&amp;$D37, 'NCAAT Simulations'!$C$2:$I$9999, 6,FALSE)/138.8)*G37, _xlfn.CONCAT("+", ROUND((VLOOKUP($B37&amp;$D37, 'NCAAT Simulations'!$C$2:$I$9999, 6,FALSE)/138.8)*G37, 1)))</f>
        <v>#N/A</v>
      </c>
      <c r="I37" s="3" t="str">
        <f>_xlfn.IFNA(IF(ABS(VLOOKUP($B37&amp;$D37, 'NCAAT Simulations'!$C$2:$H$9999, 5,FALSE))&gt;10000,_xlfn.FLOOR.MATH(VLOOKUP($B37&amp;$D37, 'NCAAT Simulations'!$C$2:$H$9999, 5,FALSE), 1000), IF(ABS(VLOOKUP($B37&amp;$D37, 'NCAAT Simulations'!$C$2:$H$9999, 5,FALSE))&gt;1000,_xlfn.FLOOR.MATH(VLOOKUP($B37&amp;$D37, 'NCAAT Simulations'!$C$2:$H$9999, 5,FALSE), 100), _xlfn.FLOOR.MATH(VLOOKUP($B37&amp;$D37, 'NCAAT Simulations'!$C$2:$H$9999, 5,FALSE), 10))), "")</f>
        <v/>
      </c>
      <c r="J37" s="1" t="str">
        <f>_xlfn.IFNA(VLOOKUP($B37&amp;$D37, 'NCAAT Simulations'!$C$2:$I$9999, 7,FALSE), "")</f>
        <v/>
      </c>
    </row>
    <row r="38" spans="5:10" x14ac:dyDescent="0.45">
      <c r="E38" t="str">
        <f>_xlfn.IFNA(VLOOKUP($B38&amp;$D38, 'NCAAT Simulations'!$C$2:$H$9999, 2,FALSE), "")</f>
        <v/>
      </c>
      <c r="F38" s="4" t="str">
        <f>_xlfn.IFNA(IF(VLOOKUP($B38&amp;$D38, 'NCAAT Simulations'!$C$2:$H$9999, 3,FALSE)&lt;50,1-VLOOKUP($B38&amp;$D38, 'NCAAT Simulations'!$C$2:$H$9999, 3,FALSE)/100, VLOOKUP($B38&amp;$D38, 'NCAAT Simulations'!$C$2:$H$9999, 3,FALSE)/100), "")</f>
        <v/>
      </c>
      <c r="G38" s="2" t="str">
        <f>_xlfn.IFNA(IF(ROUND(VLOOKUP($B38&amp;$D38, 'NCAAT Simulations'!$C$2:$H$9999, 4,FALSE), 1)&gt;0, _xlfn.CONCAT("+",ROUND(VLOOKUP($B38&amp;$D38, 'NCAAT Simulations'!$C$2:$H$9999, 4,FALSE), 1)), ROUND(VLOOKUP($B38&amp;$D38, 'NCAAT Simulations'!$C$2:$H$9999, 4,FALSE), 1)), "")</f>
        <v/>
      </c>
      <c r="H38" s="7" t="e">
        <f>IF(G38&lt;0,(VLOOKUP($B38&amp;$D38, 'NCAAT Simulations'!$C$2:$I$9999, 6,FALSE)/138.8)*G38, _xlfn.CONCAT("+", ROUND((VLOOKUP($B38&amp;$D38, 'NCAAT Simulations'!$C$2:$I$9999, 6,FALSE)/138.8)*G38, 1)))</f>
        <v>#N/A</v>
      </c>
      <c r="I38" s="3" t="str">
        <f>_xlfn.IFNA(IF(ABS(VLOOKUP($B38&amp;$D38, 'NCAAT Simulations'!$C$2:$H$9999, 5,FALSE))&gt;10000,_xlfn.FLOOR.MATH(VLOOKUP($B38&amp;$D38, 'NCAAT Simulations'!$C$2:$H$9999, 5,FALSE), 1000), IF(ABS(VLOOKUP($B38&amp;$D38, 'NCAAT Simulations'!$C$2:$H$9999, 5,FALSE))&gt;1000,_xlfn.FLOOR.MATH(VLOOKUP($B38&amp;$D38, 'NCAAT Simulations'!$C$2:$H$9999, 5,FALSE), 100), _xlfn.FLOOR.MATH(VLOOKUP($B38&amp;$D38, 'NCAAT Simulations'!$C$2:$H$9999, 5,FALSE), 10))), "")</f>
        <v/>
      </c>
      <c r="J38" s="1" t="str">
        <f>_xlfn.IFNA(VLOOKUP($B38&amp;$D38, 'NCAAT Simulations'!$C$2:$I$9999, 7,FALSE), "")</f>
        <v/>
      </c>
    </row>
    <row r="39" spans="5:10" x14ac:dyDescent="0.45">
      <c r="E39" t="str">
        <f>_xlfn.IFNA(VLOOKUP($B39&amp;$D39, 'NCAAT Simulations'!$C$2:$H$9999, 2,FALSE), "")</f>
        <v/>
      </c>
      <c r="F39" s="4" t="str">
        <f>_xlfn.IFNA(IF(VLOOKUP($B39&amp;$D39, 'NCAAT Simulations'!$C$2:$H$9999, 3,FALSE)&lt;50,1-VLOOKUP($B39&amp;$D39, 'NCAAT Simulations'!$C$2:$H$9999, 3,FALSE)/100, VLOOKUP($B39&amp;$D39, 'NCAAT Simulations'!$C$2:$H$9999, 3,FALSE)/100), "")</f>
        <v/>
      </c>
      <c r="G39" s="2" t="str">
        <f>_xlfn.IFNA(IF(ROUND(VLOOKUP($B39&amp;$D39, 'NCAAT Simulations'!$C$2:$H$9999, 4,FALSE), 1)&gt;0, _xlfn.CONCAT("+",ROUND(VLOOKUP($B39&amp;$D39, 'NCAAT Simulations'!$C$2:$H$9999, 4,FALSE), 1)), ROUND(VLOOKUP($B39&amp;$D39, 'NCAAT Simulations'!$C$2:$H$9999, 4,FALSE), 1)), "")</f>
        <v/>
      </c>
      <c r="H39" s="7" t="e">
        <f>IF(G39&lt;0,(VLOOKUP($B39&amp;$D39, 'NCAAT Simulations'!$C$2:$I$9999, 6,FALSE)/138.8)*G39, _xlfn.CONCAT("+", ROUND((VLOOKUP($B39&amp;$D39, 'NCAAT Simulations'!$C$2:$I$9999, 6,FALSE)/138.8)*G39, 1)))</f>
        <v>#N/A</v>
      </c>
      <c r="I39" s="3" t="str">
        <f>_xlfn.IFNA(IF(ABS(VLOOKUP($B39&amp;$D39, 'NCAAT Simulations'!$C$2:$H$9999, 5,FALSE))&gt;10000,_xlfn.FLOOR.MATH(VLOOKUP($B39&amp;$D39, 'NCAAT Simulations'!$C$2:$H$9999, 5,FALSE), 1000), IF(ABS(VLOOKUP($B39&amp;$D39, 'NCAAT Simulations'!$C$2:$H$9999, 5,FALSE))&gt;1000,_xlfn.FLOOR.MATH(VLOOKUP($B39&amp;$D39, 'NCAAT Simulations'!$C$2:$H$9999, 5,FALSE), 100), _xlfn.FLOOR.MATH(VLOOKUP($B39&amp;$D39, 'NCAAT Simulations'!$C$2:$H$9999, 5,FALSE), 10))), "")</f>
        <v/>
      </c>
      <c r="J39" s="1" t="str">
        <f>_xlfn.IFNA(VLOOKUP($B39&amp;$D39, 'NCAAT Simulations'!$C$2:$I$9999, 7,FALSE), "")</f>
        <v/>
      </c>
    </row>
    <row r="40" spans="5:10" x14ac:dyDescent="0.45">
      <c r="E40" t="str">
        <f>_xlfn.IFNA(VLOOKUP($B40&amp;$D40, 'NCAAT Simulations'!$C$2:$H$9999, 2,FALSE), "")</f>
        <v/>
      </c>
      <c r="F40" s="4" t="str">
        <f>_xlfn.IFNA(IF(VLOOKUP($B40&amp;$D40, 'NCAAT Simulations'!$C$2:$H$9999, 3,FALSE)&lt;50,1-VLOOKUP($B40&amp;$D40, 'NCAAT Simulations'!$C$2:$H$9999, 3,FALSE)/100, VLOOKUP($B40&amp;$D40, 'NCAAT Simulations'!$C$2:$H$9999, 3,FALSE)/100), "")</f>
        <v/>
      </c>
      <c r="G40" s="2" t="str">
        <f>_xlfn.IFNA(IF(ROUND(VLOOKUP($B40&amp;$D40, 'NCAAT Simulations'!$C$2:$H$9999, 4,FALSE), 1)&gt;0, _xlfn.CONCAT("+",ROUND(VLOOKUP($B40&amp;$D40, 'NCAAT Simulations'!$C$2:$H$9999, 4,FALSE), 1)), ROUND(VLOOKUP($B40&amp;$D40, 'NCAAT Simulations'!$C$2:$H$9999, 4,FALSE), 1)), "")</f>
        <v/>
      </c>
      <c r="H40" s="7" t="e">
        <f>IF(G40&lt;0,(VLOOKUP($B40&amp;$D40, 'NCAAT Simulations'!$C$2:$I$9999, 6,FALSE)/138.8)*G40, _xlfn.CONCAT("+", ROUND((VLOOKUP($B40&amp;$D40, 'NCAAT Simulations'!$C$2:$I$9999, 6,FALSE)/138.8)*G40, 1)))</f>
        <v>#N/A</v>
      </c>
      <c r="I40" s="3" t="str">
        <f>_xlfn.IFNA(IF(ABS(VLOOKUP($B40&amp;$D40, 'NCAAT Simulations'!$C$2:$H$9999, 5,FALSE))&gt;10000,_xlfn.FLOOR.MATH(VLOOKUP($B40&amp;$D40, 'NCAAT Simulations'!$C$2:$H$9999, 5,FALSE), 1000), IF(ABS(VLOOKUP($B40&amp;$D40, 'NCAAT Simulations'!$C$2:$H$9999, 5,FALSE))&gt;1000,_xlfn.FLOOR.MATH(VLOOKUP($B40&amp;$D40, 'NCAAT Simulations'!$C$2:$H$9999, 5,FALSE), 100), _xlfn.FLOOR.MATH(VLOOKUP($B40&amp;$D40, 'NCAAT Simulations'!$C$2:$H$9999, 5,FALSE), 10))), "")</f>
        <v/>
      </c>
      <c r="J40" s="1" t="str">
        <f>_xlfn.IFNA(VLOOKUP($B40&amp;$D40, 'NCAAT Simulations'!$C$2:$I$9999, 7,FALSE), "")</f>
        <v/>
      </c>
    </row>
    <row r="41" spans="5:10" x14ac:dyDescent="0.45">
      <c r="E41" t="str">
        <f>_xlfn.IFNA(VLOOKUP($B41&amp;$D41, 'NCAAT Simulations'!$C$2:$H$9999, 2,FALSE), "")</f>
        <v/>
      </c>
      <c r="F41" s="4" t="str">
        <f>_xlfn.IFNA(IF(VLOOKUP($B41&amp;$D41, 'NCAAT Simulations'!$C$2:$H$9999, 3,FALSE)&lt;50,1-VLOOKUP($B41&amp;$D41, 'NCAAT Simulations'!$C$2:$H$9999, 3,FALSE)/100, VLOOKUP($B41&amp;$D41, 'NCAAT Simulations'!$C$2:$H$9999, 3,FALSE)/100), "")</f>
        <v/>
      </c>
      <c r="G41" s="2" t="str">
        <f>_xlfn.IFNA(IF(ROUND(VLOOKUP($B41&amp;$D41, 'NCAAT Simulations'!$C$2:$H$9999, 4,FALSE), 1)&gt;0, _xlfn.CONCAT("+",ROUND(VLOOKUP($B41&amp;$D41, 'NCAAT Simulations'!$C$2:$H$9999, 4,FALSE), 1)), ROUND(VLOOKUP($B41&amp;$D41, 'NCAAT Simulations'!$C$2:$H$9999, 4,FALSE), 1)), "")</f>
        <v/>
      </c>
      <c r="H41" s="7" t="e">
        <f>IF(G41&lt;0,(VLOOKUP($B41&amp;$D41, 'NCAAT Simulations'!$C$2:$I$9999, 6,FALSE)/138.8)*G41, _xlfn.CONCAT("+", ROUND((VLOOKUP($B41&amp;$D41, 'NCAAT Simulations'!$C$2:$I$9999, 6,FALSE)/138.8)*G41, 1)))</f>
        <v>#N/A</v>
      </c>
      <c r="I41" s="3" t="str">
        <f>_xlfn.IFNA(IF(ABS(VLOOKUP($B41&amp;$D41, 'NCAAT Simulations'!$C$2:$H$9999, 5,FALSE))&gt;10000,_xlfn.FLOOR.MATH(VLOOKUP($B41&amp;$D41, 'NCAAT Simulations'!$C$2:$H$9999, 5,FALSE), 1000), IF(ABS(VLOOKUP($B41&amp;$D41, 'NCAAT Simulations'!$C$2:$H$9999, 5,FALSE))&gt;1000,_xlfn.FLOOR.MATH(VLOOKUP($B41&amp;$D41, 'NCAAT Simulations'!$C$2:$H$9999, 5,FALSE), 100), _xlfn.FLOOR.MATH(VLOOKUP($B41&amp;$D41, 'NCAAT Simulations'!$C$2:$H$9999, 5,FALSE), 10))), "")</f>
        <v/>
      </c>
      <c r="J41" s="1" t="str">
        <f>_xlfn.IFNA(VLOOKUP($B41&amp;$D41, 'NCAAT Simulations'!$C$2:$I$9999, 7,FALSE), "")</f>
        <v/>
      </c>
    </row>
    <row r="42" spans="5:10" x14ac:dyDescent="0.45">
      <c r="E42" t="str">
        <f>_xlfn.IFNA(VLOOKUP($B42&amp;$D42, 'NCAAT Simulations'!$C$2:$H$9999, 2,FALSE), "")</f>
        <v/>
      </c>
      <c r="F42" s="4" t="str">
        <f>_xlfn.IFNA(IF(VLOOKUP($B42&amp;$D42, 'NCAAT Simulations'!$C$2:$H$9999, 3,FALSE)&lt;50,1-VLOOKUP($B42&amp;$D42, 'NCAAT Simulations'!$C$2:$H$9999, 3,FALSE)/100, VLOOKUP($B42&amp;$D42, 'NCAAT Simulations'!$C$2:$H$9999, 3,FALSE)/100), "")</f>
        <v/>
      </c>
      <c r="G42" s="2" t="str">
        <f>_xlfn.IFNA(IF(ROUND(VLOOKUP($B42&amp;$D42, 'NCAAT Simulations'!$C$2:$H$9999, 4,FALSE), 1)&gt;0, _xlfn.CONCAT("+",ROUND(VLOOKUP($B42&amp;$D42, 'NCAAT Simulations'!$C$2:$H$9999, 4,FALSE), 1)), ROUND(VLOOKUP($B42&amp;$D42, 'NCAAT Simulations'!$C$2:$H$9999, 4,FALSE), 1)), "")</f>
        <v/>
      </c>
      <c r="H42" s="7" t="e">
        <f>IF(G42&lt;0,(VLOOKUP($B42&amp;$D42, 'NCAAT Simulations'!$C$2:$I$9999, 6,FALSE)/138.8)*G42, _xlfn.CONCAT("+", ROUND((VLOOKUP($B42&amp;$D42, 'NCAAT Simulations'!$C$2:$I$9999, 6,FALSE)/138.8)*G42, 1)))</f>
        <v>#N/A</v>
      </c>
      <c r="I42" s="3" t="str">
        <f>_xlfn.IFNA(IF(ABS(VLOOKUP($B42&amp;$D42, 'NCAAT Simulations'!$C$2:$H$9999, 5,FALSE))&gt;10000,_xlfn.FLOOR.MATH(VLOOKUP($B42&amp;$D42, 'NCAAT Simulations'!$C$2:$H$9999, 5,FALSE), 1000), IF(ABS(VLOOKUP($B42&amp;$D42, 'NCAAT Simulations'!$C$2:$H$9999, 5,FALSE))&gt;1000,_xlfn.FLOOR.MATH(VLOOKUP($B42&amp;$D42, 'NCAAT Simulations'!$C$2:$H$9999, 5,FALSE), 100), _xlfn.FLOOR.MATH(VLOOKUP($B42&amp;$D42, 'NCAAT Simulations'!$C$2:$H$9999, 5,FALSE), 10))), "")</f>
        <v/>
      </c>
      <c r="J42" s="1" t="str">
        <f>_xlfn.IFNA(VLOOKUP($B42&amp;$D42, 'NCAAT Simulations'!$C$2:$I$9999, 7,FALSE), "")</f>
        <v/>
      </c>
    </row>
    <row r="43" spans="5:10" x14ac:dyDescent="0.45">
      <c r="E43" t="str">
        <f>_xlfn.IFNA(VLOOKUP($B43&amp;$D43, 'NCAAT Simulations'!$C$2:$H$9999, 2,FALSE), "")</f>
        <v/>
      </c>
      <c r="F43" s="4" t="str">
        <f>_xlfn.IFNA(IF(VLOOKUP($B43&amp;$D43, 'NCAAT Simulations'!$C$2:$H$9999, 3,FALSE)&lt;50,1-VLOOKUP($B43&amp;$D43, 'NCAAT Simulations'!$C$2:$H$9999, 3,FALSE)/100, VLOOKUP($B43&amp;$D43, 'NCAAT Simulations'!$C$2:$H$9999, 3,FALSE)/100), "")</f>
        <v/>
      </c>
      <c r="G43" s="2" t="str">
        <f>_xlfn.IFNA(IF(ROUND(VLOOKUP($B43&amp;$D43, 'NCAAT Simulations'!$C$2:$H$9999, 4,FALSE), 1)&gt;0, _xlfn.CONCAT("+",ROUND(VLOOKUP($B43&amp;$D43, 'NCAAT Simulations'!$C$2:$H$9999, 4,FALSE), 1)), ROUND(VLOOKUP($B43&amp;$D43, 'NCAAT Simulations'!$C$2:$H$9999, 4,FALSE), 1)), "")</f>
        <v/>
      </c>
      <c r="H43" s="7" t="e">
        <f>IF(G43&lt;0,(VLOOKUP($B43&amp;$D43, 'NCAAT Simulations'!$C$2:$I$9999, 6,FALSE)/138.8)*G43, _xlfn.CONCAT("+", ROUND((VLOOKUP($B43&amp;$D43, 'NCAAT Simulations'!$C$2:$I$9999, 6,FALSE)/138.8)*G43, 1)))</f>
        <v>#N/A</v>
      </c>
      <c r="I43" s="3" t="str">
        <f>_xlfn.IFNA(IF(ABS(VLOOKUP($B43&amp;$D43, 'NCAAT Simulations'!$C$2:$H$9999, 5,FALSE))&gt;10000,_xlfn.FLOOR.MATH(VLOOKUP($B43&amp;$D43, 'NCAAT Simulations'!$C$2:$H$9999, 5,FALSE), 1000), IF(ABS(VLOOKUP($B43&amp;$D43, 'NCAAT Simulations'!$C$2:$H$9999, 5,FALSE))&gt;1000,_xlfn.FLOOR.MATH(VLOOKUP($B43&amp;$D43, 'NCAAT Simulations'!$C$2:$H$9999, 5,FALSE), 100), _xlfn.FLOOR.MATH(VLOOKUP($B43&amp;$D43, 'NCAAT Simulations'!$C$2:$H$9999, 5,FALSE), 10))), "")</f>
        <v/>
      </c>
      <c r="J43" s="1" t="str">
        <f>_xlfn.IFNA(VLOOKUP($B43&amp;$D43, 'NCAAT Simulations'!$C$2:$I$9999, 7,FALSE), "")</f>
        <v/>
      </c>
    </row>
    <row r="44" spans="5:10" x14ac:dyDescent="0.45">
      <c r="E44" t="str">
        <f>_xlfn.IFNA(VLOOKUP($B44&amp;$D44, 'NCAAT Simulations'!$C$2:$H$9999, 2,FALSE), "")</f>
        <v/>
      </c>
      <c r="F44" s="4" t="str">
        <f>_xlfn.IFNA(IF(VLOOKUP($B44&amp;$D44, 'NCAAT Simulations'!$C$2:$H$9999, 3,FALSE)&lt;50,1-VLOOKUP($B44&amp;$D44, 'NCAAT Simulations'!$C$2:$H$9999, 3,FALSE)/100, VLOOKUP($B44&amp;$D44, 'NCAAT Simulations'!$C$2:$H$9999, 3,FALSE)/100), "")</f>
        <v/>
      </c>
      <c r="G44" s="2" t="str">
        <f>_xlfn.IFNA(IF(ROUND(VLOOKUP($B44&amp;$D44, 'NCAAT Simulations'!$C$2:$H$9999, 4,FALSE), 1)&gt;0, _xlfn.CONCAT("+",ROUND(VLOOKUP($B44&amp;$D44, 'NCAAT Simulations'!$C$2:$H$9999, 4,FALSE), 1)), ROUND(VLOOKUP($B44&amp;$D44, 'NCAAT Simulations'!$C$2:$H$9999, 4,FALSE), 1)), "")</f>
        <v/>
      </c>
      <c r="H44" s="7" t="e">
        <f>IF(G44&lt;0,(VLOOKUP($B44&amp;$D44, 'NCAAT Simulations'!$C$2:$I$9999, 6,FALSE)/138.8)*G44, _xlfn.CONCAT("+", ROUND((VLOOKUP($B44&amp;$D44, 'NCAAT Simulations'!$C$2:$I$9999, 6,FALSE)/138.8)*G44, 1)))</f>
        <v>#N/A</v>
      </c>
      <c r="I44" s="3" t="str">
        <f>_xlfn.IFNA(IF(ABS(VLOOKUP($B44&amp;$D44, 'NCAAT Simulations'!$C$2:$H$9999, 5,FALSE))&gt;10000,_xlfn.FLOOR.MATH(VLOOKUP($B44&amp;$D44, 'NCAAT Simulations'!$C$2:$H$9999, 5,FALSE), 1000), IF(ABS(VLOOKUP($B44&amp;$D44, 'NCAAT Simulations'!$C$2:$H$9999, 5,FALSE))&gt;1000,_xlfn.FLOOR.MATH(VLOOKUP($B44&amp;$D44, 'NCAAT Simulations'!$C$2:$H$9999, 5,FALSE), 100), _xlfn.FLOOR.MATH(VLOOKUP($B44&amp;$D44, 'NCAAT Simulations'!$C$2:$H$9999, 5,FALSE), 10))), "")</f>
        <v/>
      </c>
      <c r="J44" s="1" t="str">
        <f>_xlfn.IFNA(VLOOKUP($B44&amp;$D44, 'NCAAT Simulations'!$C$2:$I$9999, 7,FALSE), "")</f>
        <v/>
      </c>
    </row>
    <row r="45" spans="5:10" x14ac:dyDescent="0.45">
      <c r="E45" t="str">
        <f>_xlfn.IFNA(VLOOKUP($B45&amp;$D45, 'NCAAT Simulations'!$C$2:$H$9999, 2,FALSE), "")</f>
        <v/>
      </c>
      <c r="F45" s="4" t="str">
        <f>_xlfn.IFNA(IF(VLOOKUP($B45&amp;$D45, 'NCAAT Simulations'!$C$2:$H$9999, 3,FALSE)&lt;50,1-VLOOKUP($B45&amp;$D45, 'NCAAT Simulations'!$C$2:$H$9999, 3,FALSE)/100, VLOOKUP($B45&amp;$D45, 'NCAAT Simulations'!$C$2:$H$9999, 3,FALSE)/100), "")</f>
        <v/>
      </c>
      <c r="G45" s="2" t="str">
        <f>_xlfn.IFNA(IF(ROUND(VLOOKUP($B45&amp;$D45, 'NCAAT Simulations'!$C$2:$H$9999, 4,FALSE), 1)&gt;0, _xlfn.CONCAT("+",ROUND(VLOOKUP($B45&amp;$D45, 'NCAAT Simulations'!$C$2:$H$9999, 4,FALSE), 1)), ROUND(VLOOKUP($B45&amp;$D45, 'NCAAT Simulations'!$C$2:$H$9999, 4,FALSE), 1)), "")</f>
        <v/>
      </c>
      <c r="H45" s="7" t="e">
        <f>IF(G45&lt;0,(VLOOKUP($B45&amp;$D45, 'NCAAT Simulations'!$C$2:$I$9999, 6,FALSE)/138.8)*G45, _xlfn.CONCAT("+", ROUND((VLOOKUP($B45&amp;$D45, 'NCAAT Simulations'!$C$2:$I$9999, 6,FALSE)/138.8)*G45, 1)))</f>
        <v>#N/A</v>
      </c>
      <c r="I45" s="3" t="str">
        <f>_xlfn.IFNA(IF(ABS(VLOOKUP($B45&amp;$D45, 'NCAAT Simulations'!$C$2:$H$9999, 5,FALSE))&gt;10000,_xlfn.FLOOR.MATH(VLOOKUP($B45&amp;$D45, 'NCAAT Simulations'!$C$2:$H$9999, 5,FALSE), 1000), IF(ABS(VLOOKUP($B45&amp;$D45, 'NCAAT Simulations'!$C$2:$H$9999, 5,FALSE))&gt;1000,_xlfn.FLOOR.MATH(VLOOKUP($B45&amp;$D45, 'NCAAT Simulations'!$C$2:$H$9999, 5,FALSE), 100), _xlfn.FLOOR.MATH(VLOOKUP($B45&amp;$D45, 'NCAAT Simulations'!$C$2:$H$9999, 5,FALSE), 10))), "")</f>
        <v/>
      </c>
      <c r="J45" s="1" t="str">
        <f>_xlfn.IFNA(VLOOKUP($B45&amp;$D45, 'NCAAT Simulations'!$C$2:$I$9999, 7,FALSE), "")</f>
        <v/>
      </c>
    </row>
    <row r="46" spans="5:10" x14ac:dyDescent="0.45">
      <c r="E46" t="str">
        <f>_xlfn.IFNA(VLOOKUP($B46&amp;$D46, 'NCAAT Simulations'!$C$2:$H$9999, 2,FALSE), "")</f>
        <v/>
      </c>
      <c r="F46" s="4" t="str">
        <f>_xlfn.IFNA(IF(VLOOKUP($B46&amp;$D46, 'NCAAT Simulations'!$C$2:$H$9999, 3,FALSE)&lt;50,1-VLOOKUP($B46&amp;$D46, 'NCAAT Simulations'!$C$2:$H$9999, 3,FALSE)/100, VLOOKUP($B46&amp;$D46, 'NCAAT Simulations'!$C$2:$H$9999, 3,FALSE)/100), "")</f>
        <v/>
      </c>
      <c r="G46" s="2" t="str">
        <f>_xlfn.IFNA(IF(ROUND(VLOOKUP($B46&amp;$D46, 'NCAAT Simulations'!$C$2:$H$9999, 4,FALSE), 1)&gt;0, _xlfn.CONCAT("+",ROUND(VLOOKUP($B46&amp;$D46, 'NCAAT Simulations'!$C$2:$H$9999, 4,FALSE), 1)), ROUND(VLOOKUP($B46&amp;$D46, 'NCAAT Simulations'!$C$2:$H$9999, 4,FALSE), 1)), "")</f>
        <v/>
      </c>
      <c r="H46" s="7" t="e">
        <f>IF(G46&lt;0,(VLOOKUP($B46&amp;$D46, 'NCAAT Simulations'!$C$2:$I$9999, 6,FALSE)/138.8)*G46, _xlfn.CONCAT("+", ROUND((VLOOKUP($B46&amp;$D46, 'NCAAT Simulations'!$C$2:$I$9999, 6,FALSE)/138.8)*G46, 1)))</f>
        <v>#N/A</v>
      </c>
      <c r="I46" s="3" t="str">
        <f>_xlfn.IFNA(IF(ABS(VLOOKUP($B46&amp;$D46, 'NCAAT Simulations'!$C$2:$H$9999, 5,FALSE))&gt;10000,_xlfn.FLOOR.MATH(VLOOKUP($B46&amp;$D46, 'NCAAT Simulations'!$C$2:$H$9999, 5,FALSE), 1000), IF(ABS(VLOOKUP($B46&amp;$D46, 'NCAAT Simulations'!$C$2:$H$9999, 5,FALSE))&gt;1000,_xlfn.FLOOR.MATH(VLOOKUP($B46&amp;$D46, 'NCAAT Simulations'!$C$2:$H$9999, 5,FALSE), 100), _xlfn.FLOOR.MATH(VLOOKUP($B46&amp;$D46, 'NCAAT Simulations'!$C$2:$H$9999, 5,FALSE), 10))), "")</f>
        <v/>
      </c>
      <c r="J46" s="1" t="str">
        <f>_xlfn.IFNA(VLOOKUP($B46&amp;$D46, 'NCAAT Simulations'!$C$2:$I$9999, 7,FALSE), "")</f>
        <v/>
      </c>
    </row>
    <row r="47" spans="5:10" x14ac:dyDescent="0.45">
      <c r="E47" t="str">
        <f>_xlfn.IFNA(VLOOKUP($B47&amp;$D47, 'NCAAT Simulations'!$C$2:$H$9999, 2,FALSE), "")</f>
        <v/>
      </c>
      <c r="F47" s="4" t="str">
        <f>_xlfn.IFNA(IF(VLOOKUP($B47&amp;$D47, 'NCAAT Simulations'!$C$2:$H$9999, 3,FALSE)&lt;50,1-VLOOKUP($B47&amp;$D47, 'NCAAT Simulations'!$C$2:$H$9999, 3,FALSE)/100, VLOOKUP($B47&amp;$D47, 'NCAAT Simulations'!$C$2:$H$9999, 3,FALSE)/100), "")</f>
        <v/>
      </c>
      <c r="G47" s="2" t="str">
        <f>_xlfn.IFNA(IF(ROUND(VLOOKUP($B47&amp;$D47, 'NCAAT Simulations'!$C$2:$H$9999, 4,FALSE), 1)&gt;0, _xlfn.CONCAT("+",ROUND(VLOOKUP($B47&amp;$D47, 'NCAAT Simulations'!$C$2:$H$9999, 4,FALSE), 1)), ROUND(VLOOKUP($B47&amp;$D47, 'NCAAT Simulations'!$C$2:$H$9999, 4,FALSE), 1)), "")</f>
        <v/>
      </c>
      <c r="H47" s="7" t="e">
        <f>IF(G47&lt;0,(VLOOKUP($B47&amp;$D47, 'NCAAT Simulations'!$C$2:$I$9999, 6,FALSE)/138.8)*G47, _xlfn.CONCAT("+", ROUND((VLOOKUP($B47&amp;$D47, 'NCAAT Simulations'!$C$2:$I$9999, 6,FALSE)/138.8)*G47, 1)))</f>
        <v>#N/A</v>
      </c>
      <c r="I47" s="3" t="str">
        <f>_xlfn.IFNA(IF(ABS(VLOOKUP($B47&amp;$D47, 'NCAAT Simulations'!$C$2:$H$9999, 5,FALSE))&gt;10000,_xlfn.FLOOR.MATH(VLOOKUP($B47&amp;$D47, 'NCAAT Simulations'!$C$2:$H$9999, 5,FALSE), 1000), IF(ABS(VLOOKUP($B47&amp;$D47, 'NCAAT Simulations'!$C$2:$H$9999, 5,FALSE))&gt;1000,_xlfn.FLOOR.MATH(VLOOKUP($B47&amp;$D47, 'NCAAT Simulations'!$C$2:$H$9999, 5,FALSE), 100), _xlfn.FLOOR.MATH(VLOOKUP($B47&amp;$D47, 'NCAAT Simulations'!$C$2:$H$9999, 5,FALSE), 10))), "")</f>
        <v/>
      </c>
      <c r="J47" s="1" t="str">
        <f>_xlfn.IFNA(VLOOKUP($B47&amp;$D47, 'NCAAT Simulations'!$C$2:$I$9999, 7,FALSE), "")</f>
        <v/>
      </c>
    </row>
    <row r="48" spans="5:10" x14ac:dyDescent="0.45">
      <c r="E48" t="str">
        <f>_xlfn.IFNA(VLOOKUP($B48&amp;$D48, 'NCAAT Simulations'!$C$2:$H$9999, 2,FALSE), "")</f>
        <v/>
      </c>
      <c r="F48" s="4" t="str">
        <f>_xlfn.IFNA(IF(VLOOKUP($B48&amp;$D48, 'NCAAT Simulations'!$C$2:$H$9999, 3,FALSE)&lt;50,1-VLOOKUP($B48&amp;$D48, 'NCAAT Simulations'!$C$2:$H$9999, 3,FALSE)/100, VLOOKUP($B48&amp;$D48, 'NCAAT Simulations'!$C$2:$H$9999, 3,FALSE)/100), "")</f>
        <v/>
      </c>
      <c r="G48" s="2" t="str">
        <f>_xlfn.IFNA(IF(ROUND(VLOOKUP($B48&amp;$D48, 'NCAAT Simulations'!$C$2:$H$9999, 4,FALSE), 1)&gt;0, _xlfn.CONCAT("+",ROUND(VLOOKUP($B48&amp;$D48, 'NCAAT Simulations'!$C$2:$H$9999, 4,FALSE), 1)), ROUND(VLOOKUP($B48&amp;$D48, 'NCAAT Simulations'!$C$2:$H$9999, 4,FALSE), 1)), "")</f>
        <v/>
      </c>
      <c r="H48" s="7" t="e">
        <f>IF(G48&lt;0,(VLOOKUP($B48&amp;$D48, 'NCAAT Simulations'!$C$2:$I$9999, 6,FALSE)/138.8)*G48, _xlfn.CONCAT("+", ROUND((VLOOKUP($B48&amp;$D48, 'NCAAT Simulations'!$C$2:$I$9999, 6,FALSE)/138.8)*G48, 1)))</f>
        <v>#N/A</v>
      </c>
      <c r="I48" s="3" t="str">
        <f>_xlfn.IFNA(IF(ABS(VLOOKUP($B48&amp;$D48, 'NCAAT Simulations'!$C$2:$H$9999, 5,FALSE))&gt;10000,_xlfn.FLOOR.MATH(VLOOKUP($B48&amp;$D48, 'NCAAT Simulations'!$C$2:$H$9999, 5,FALSE), 1000), IF(ABS(VLOOKUP($B48&amp;$D48, 'NCAAT Simulations'!$C$2:$H$9999, 5,FALSE))&gt;1000,_xlfn.FLOOR.MATH(VLOOKUP($B48&amp;$D48, 'NCAAT Simulations'!$C$2:$H$9999, 5,FALSE), 100), _xlfn.FLOOR.MATH(VLOOKUP($B48&amp;$D48, 'NCAAT Simulations'!$C$2:$H$9999, 5,FALSE), 10))), "")</f>
        <v/>
      </c>
      <c r="J48" s="1" t="str">
        <f>_xlfn.IFNA(VLOOKUP($B48&amp;$D48, 'NCAAT Simulations'!$C$2:$I$9999, 7,FALSE), "")</f>
        <v/>
      </c>
    </row>
    <row r="49" spans="5:10" x14ac:dyDescent="0.45">
      <c r="E49" t="str">
        <f>_xlfn.IFNA(VLOOKUP($B49&amp;$D49, 'NCAAT Simulations'!$C$2:$H$9999, 2,FALSE), "")</f>
        <v/>
      </c>
      <c r="F49" s="4" t="str">
        <f>_xlfn.IFNA(IF(VLOOKUP($B49&amp;$D49, 'NCAAT Simulations'!$C$2:$H$9999, 3,FALSE)&lt;50,1-VLOOKUP($B49&amp;$D49, 'NCAAT Simulations'!$C$2:$H$9999, 3,FALSE)/100, VLOOKUP($B49&amp;$D49, 'NCAAT Simulations'!$C$2:$H$9999, 3,FALSE)/100), "")</f>
        <v/>
      </c>
      <c r="G49" s="2" t="str">
        <f>_xlfn.IFNA(IF(ROUND(VLOOKUP($B49&amp;$D49, 'NCAAT Simulations'!$C$2:$H$9999, 4,FALSE), 1)&gt;0, _xlfn.CONCAT("+",ROUND(VLOOKUP($B49&amp;$D49, 'NCAAT Simulations'!$C$2:$H$9999, 4,FALSE), 1)), ROUND(VLOOKUP($B49&amp;$D49, 'NCAAT Simulations'!$C$2:$H$9999, 4,FALSE), 1)), "")</f>
        <v/>
      </c>
      <c r="H49" s="7" t="e">
        <f>IF(G49&lt;0,(VLOOKUP($B49&amp;$D49, 'NCAAT Simulations'!$C$2:$I$9999, 6,FALSE)/138.8)*G49, _xlfn.CONCAT("+", ROUND((VLOOKUP($B49&amp;$D49, 'NCAAT Simulations'!$C$2:$I$9999, 6,FALSE)/138.8)*G49, 1)))</f>
        <v>#N/A</v>
      </c>
      <c r="I49" s="3" t="str">
        <f>_xlfn.IFNA(IF(ABS(VLOOKUP($B49&amp;$D49, 'NCAAT Simulations'!$C$2:$H$9999, 5,FALSE))&gt;10000,_xlfn.FLOOR.MATH(VLOOKUP($B49&amp;$D49, 'NCAAT Simulations'!$C$2:$H$9999, 5,FALSE), 1000), IF(ABS(VLOOKUP($B49&amp;$D49, 'NCAAT Simulations'!$C$2:$H$9999, 5,FALSE))&gt;1000,_xlfn.FLOOR.MATH(VLOOKUP($B49&amp;$D49, 'NCAAT Simulations'!$C$2:$H$9999, 5,FALSE), 100), _xlfn.FLOOR.MATH(VLOOKUP($B49&amp;$D49, 'NCAAT Simulations'!$C$2:$H$9999, 5,FALSE), 10))), "")</f>
        <v/>
      </c>
      <c r="J49" s="1" t="str">
        <f>_xlfn.IFNA(VLOOKUP($B49&amp;$D49, 'NCAAT Simulations'!$C$2:$I$9999, 7,FALSE), "")</f>
        <v/>
      </c>
    </row>
    <row r="50" spans="5:10" x14ac:dyDescent="0.45">
      <c r="E50" t="str">
        <f>_xlfn.IFNA(VLOOKUP($B50&amp;$D50, 'NCAAT Simulations'!$C$2:$H$9999, 2,FALSE), "")</f>
        <v/>
      </c>
      <c r="F50" s="4" t="str">
        <f>_xlfn.IFNA(IF(VLOOKUP($B50&amp;$D50, 'NCAAT Simulations'!$C$2:$H$9999, 3,FALSE)&lt;50,1-VLOOKUP($B50&amp;$D50, 'NCAAT Simulations'!$C$2:$H$9999, 3,FALSE)/100, VLOOKUP($B50&amp;$D50, 'NCAAT Simulations'!$C$2:$H$9999, 3,FALSE)/100), "")</f>
        <v/>
      </c>
      <c r="G50" s="2" t="str">
        <f>_xlfn.IFNA(IF(ROUND(VLOOKUP($B50&amp;$D50, 'NCAAT Simulations'!$C$2:$H$9999, 4,FALSE), 1)&gt;0, _xlfn.CONCAT("+",ROUND(VLOOKUP($B50&amp;$D50, 'NCAAT Simulations'!$C$2:$H$9999, 4,FALSE), 1)), ROUND(VLOOKUP($B50&amp;$D50, 'NCAAT Simulations'!$C$2:$H$9999, 4,FALSE), 1)), "")</f>
        <v/>
      </c>
      <c r="H50" s="7" t="e">
        <f>IF(G50&lt;0,(VLOOKUP($B50&amp;$D50, 'NCAAT Simulations'!$C$2:$I$9999, 6,FALSE)/138.8)*G50, _xlfn.CONCAT("+", ROUND((VLOOKUP($B50&amp;$D50, 'NCAAT Simulations'!$C$2:$I$9999, 6,FALSE)/138.8)*G50, 1)))</f>
        <v>#N/A</v>
      </c>
      <c r="I50" s="3" t="str">
        <f>_xlfn.IFNA(IF(ABS(VLOOKUP($B50&amp;$D50, 'NCAAT Simulations'!$C$2:$H$9999, 5,FALSE))&gt;10000,_xlfn.FLOOR.MATH(VLOOKUP($B50&amp;$D50, 'NCAAT Simulations'!$C$2:$H$9999, 5,FALSE), 1000), IF(ABS(VLOOKUP($B50&amp;$D50, 'NCAAT Simulations'!$C$2:$H$9999, 5,FALSE))&gt;1000,_xlfn.FLOOR.MATH(VLOOKUP($B50&amp;$D50, 'NCAAT Simulations'!$C$2:$H$9999, 5,FALSE), 100), _xlfn.FLOOR.MATH(VLOOKUP($B50&amp;$D50, 'NCAAT Simulations'!$C$2:$H$9999, 5,FALSE), 10))), "")</f>
        <v/>
      </c>
      <c r="J50" s="1" t="str">
        <f>_xlfn.IFNA(VLOOKUP($B50&amp;$D50, 'NCAAT Simulations'!$C$2:$I$9999, 7,FALSE), "")</f>
        <v/>
      </c>
    </row>
    <row r="51" spans="5:10" x14ac:dyDescent="0.45">
      <c r="E51" t="str">
        <f>_xlfn.IFNA(VLOOKUP($B51&amp;$D51, 'NCAAT Simulations'!$C$2:$H$9999, 2,FALSE), "")</f>
        <v/>
      </c>
      <c r="F51" s="4" t="str">
        <f>_xlfn.IFNA(IF(VLOOKUP($B51&amp;$D51, 'NCAAT Simulations'!$C$2:$H$9999, 3,FALSE)&lt;50,1-VLOOKUP($B51&amp;$D51, 'NCAAT Simulations'!$C$2:$H$9999, 3,FALSE)/100, VLOOKUP($B51&amp;$D51, 'NCAAT Simulations'!$C$2:$H$9999, 3,FALSE)/100), "")</f>
        <v/>
      </c>
      <c r="G51" s="2" t="str">
        <f>_xlfn.IFNA(IF(ROUND(VLOOKUP($B51&amp;$D51, 'NCAAT Simulations'!$C$2:$H$9999, 4,FALSE), 1)&gt;0, _xlfn.CONCAT("+",ROUND(VLOOKUP($B51&amp;$D51, 'NCAAT Simulations'!$C$2:$H$9999, 4,FALSE), 1)), ROUND(VLOOKUP($B51&amp;$D51, 'NCAAT Simulations'!$C$2:$H$9999, 4,FALSE), 1)), "")</f>
        <v/>
      </c>
      <c r="H51" s="7" t="e">
        <f>IF(G51&lt;0,(VLOOKUP($B51&amp;$D51, 'NCAAT Simulations'!$C$2:$I$9999, 6,FALSE)/138.8)*G51, _xlfn.CONCAT("+", ROUND((VLOOKUP($B51&amp;$D51, 'NCAAT Simulations'!$C$2:$I$9999, 6,FALSE)/138.8)*G51, 1)))</f>
        <v>#N/A</v>
      </c>
      <c r="I51" s="3" t="str">
        <f>_xlfn.IFNA(IF(ABS(VLOOKUP($B51&amp;$D51, 'NCAAT Simulations'!$C$2:$H$9999, 5,FALSE))&gt;10000,_xlfn.FLOOR.MATH(VLOOKUP($B51&amp;$D51, 'NCAAT Simulations'!$C$2:$H$9999, 5,FALSE), 1000), IF(ABS(VLOOKUP($B51&amp;$D51, 'NCAAT Simulations'!$C$2:$H$9999, 5,FALSE))&gt;1000,_xlfn.FLOOR.MATH(VLOOKUP($B51&amp;$D51, 'NCAAT Simulations'!$C$2:$H$9999, 5,FALSE), 100), _xlfn.FLOOR.MATH(VLOOKUP($B51&amp;$D51, 'NCAAT Simulations'!$C$2:$H$9999, 5,FALSE), 10))), "")</f>
        <v/>
      </c>
      <c r="J51" s="1" t="str">
        <f>_xlfn.IFNA(VLOOKUP($B51&amp;$D51, 'NCAAT Simulations'!$C$2:$I$9999, 7,FALSE), "")</f>
        <v/>
      </c>
    </row>
    <row r="52" spans="5:10" x14ac:dyDescent="0.45">
      <c r="E52" t="str">
        <f>_xlfn.IFNA(VLOOKUP($B52&amp;$D52, 'NCAAT Simulations'!$C$2:$H$9999, 2,FALSE), "")</f>
        <v/>
      </c>
      <c r="F52" s="4" t="str">
        <f>_xlfn.IFNA(IF(VLOOKUP($B52&amp;$D52, 'NCAAT Simulations'!$C$2:$H$9999, 3,FALSE)&lt;50,1-VLOOKUP($B52&amp;$D52, 'NCAAT Simulations'!$C$2:$H$9999, 3,FALSE)/100, VLOOKUP($B52&amp;$D52, 'NCAAT Simulations'!$C$2:$H$9999, 3,FALSE)/100), "")</f>
        <v/>
      </c>
      <c r="G52" s="2" t="str">
        <f>_xlfn.IFNA(IF(ROUND(VLOOKUP($B52&amp;$D52, 'NCAAT Simulations'!$C$2:$H$9999, 4,FALSE), 1)&gt;0, _xlfn.CONCAT("+",ROUND(VLOOKUP($B52&amp;$D52, 'NCAAT Simulations'!$C$2:$H$9999, 4,FALSE), 1)), ROUND(VLOOKUP($B52&amp;$D52, 'NCAAT Simulations'!$C$2:$H$9999, 4,FALSE), 1)), "")</f>
        <v/>
      </c>
      <c r="H52" s="7" t="e">
        <f>IF(G52&lt;0,(VLOOKUP($B52&amp;$D52, 'NCAAT Simulations'!$C$2:$I$9999, 6,FALSE)/138.8)*G52, _xlfn.CONCAT("+", ROUND((VLOOKUP($B52&amp;$D52, 'NCAAT Simulations'!$C$2:$I$9999, 6,FALSE)/138.8)*G52, 1)))</f>
        <v>#N/A</v>
      </c>
      <c r="I52" s="3" t="str">
        <f>_xlfn.IFNA(IF(ABS(VLOOKUP($B52&amp;$D52, 'NCAAT Simulations'!$C$2:$H$9999, 5,FALSE))&gt;10000,_xlfn.FLOOR.MATH(VLOOKUP($B52&amp;$D52, 'NCAAT Simulations'!$C$2:$H$9999, 5,FALSE), 1000), IF(ABS(VLOOKUP($B52&amp;$D52, 'NCAAT Simulations'!$C$2:$H$9999, 5,FALSE))&gt;1000,_xlfn.FLOOR.MATH(VLOOKUP($B52&amp;$D52, 'NCAAT Simulations'!$C$2:$H$9999, 5,FALSE), 100), _xlfn.FLOOR.MATH(VLOOKUP($B52&amp;$D52, 'NCAAT Simulations'!$C$2:$H$9999, 5,FALSE), 10))), "")</f>
        <v/>
      </c>
      <c r="J52" s="1" t="str">
        <f>_xlfn.IFNA(VLOOKUP($B52&amp;$D52, 'NCAAT Simulations'!$C$2:$I$9999, 7,FALSE), "")</f>
        <v/>
      </c>
    </row>
    <row r="53" spans="5:10" x14ac:dyDescent="0.45">
      <c r="E53" t="str">
        <f>_xlfn.IFNA(VLOOKUP($B53&amp;$D53, 'NCAAT Simulations'!$C$2:$H$9999, 2,FALSE), "")</f>
        <v/>
      </c>
      <c r="F53" s="4" t="str">
        <f>_xlfn.IFNA(IF(VLOOKUP($B53&amp;$D53, 'NCAAT Simulations'!$C$2:$H$9999, 3,FALSE)&lt;50,1-VLOOKUP($B53&amp;$D53, 'NCAAT Simulations'!$C$2:$H$9999, 3,FALSE)/100, VLOOKUP($B53&amp;$D53, 'NCAAT Simulations'!$C$2:$H$9999, 3,FALSE)/100), "")</f>
        <v/>
      </c>
      <c r="G53" s="2" t="str">
        <f>_xlfn.IFNA(IF(ROUND(VLOOKUP($B53&amp;$D53, 'NCAAT Simulations'!$C$2:$H$9999, 4,FALSE), 1)&gt;0, _xlfn.CONCAT("+",ROUND(VLOOKUP($B53&amp;$D53, 'NCAAT Simulations'!$C$2:$H$9999, 4,FALSE), 1)), ROUND(VLOOKUP($B53&amp;$D53, 'NCAAT Simulations'!$C$2:$H$9999, 4,FALSE), 1)), "")</f>
        <v/>
      </c>
      <c r="H53" s="7" t="e">
        <f>IF(G53&lt;0,(VLOOKUP($B53&amp;$D53, 'NCAAT Simulations'!$C$2:$I$9999, 6,FALSE)/138.8)*G53, _xlfn.CONCAT("+", ROUND((VLOOKUP($B53&amp;$D53, 'NCAAT Simulations'!$C$2:$I$9999, 6,FALSE)/138.8)*G53, 1)))</f>
        <v>#N/A</v>
      </c>
      <c r="I53" s="3" t="str">
        <f>_xlfn.IFNA(IF(ABS(VLOOKUP($B53&amp;$D53, 'NCAAT Simulations'!$C$2:$H$9999, 5,FALSE))&gt;10000,_xlfn.FLOOR.MATH(VLOOKUP($B53&amp;$D53, 'NCAAT Simulations'!$C$2:$H$9999, 5,FALSE), 1000), IF(ABS(VLOOKUP($B53&amp;$D53, 'NCAAT Simulations'!$C$2:$H$9999, 5,FALSE))&gt;1000,_xlfn.FLOOR.MATH(VLOOKUP($B53&amp;$D53, 'NCAAT Simulations'!$C$2:$H$9999, 5,FALSE), 100), _xlfn.FLOOR.MATH(VLOOKUP($B53&amp;$D53, 'NCAAT Simulations'!$C$2:$H$9999, 5,FALSE), 10))), "")</f>
        <v/>
      </c>
      <c r="J53" s="1" t="str">
        <f>_xlfn.IFNA(VLOOKUP($B53&amp;$D53, 'NCAAT Simulations'!$C$2:$I$9999, 7,FALSE), "")</f>
        <v/>
      </c>
    </row>
    <row r="54" spans="5:10" x14ac:dyDescent="0.45">
      <c r="E54" t="str">
        <f>_xlfn.IFNA(VLOOKUP($B54&amp;$D54, 'NCAAT Simulations'!$C$2:$H$9999, 2,FALSE), "")</f>
        <v/>
      </c>
      <c r="F54" s="4" t="str">
        <f>_xlfn.IFNA(IF(VLOOKUP($B54&amp;$D54, 'NCAAT Simulations'!$C$2:$H$9999, 3,FALSE)&lt;50,1-VLOOKUP($B54&amp;$D54, 'NCAAT Simulations'!$C$2:$H$9999, 3,FALSE)/100, VLOOKUP($B54&amp;$D54, 'NCAAT Simulations'!$C$2:$H$9999, 3,FALSE)/100), "")</f>
        <v/>
      </c>
      <c r="G54" s="2" t="str">
        <f>_xlfn.IFNA(IF(ROUND(VLOOKUP($B54&amp;$D54, 'NCAAT Simulations'!$C$2:$H$9999, 4,FALSE), 1)&gt;0, _xlfn.CONCAT("+",ROUND(VLOOKUP($B54&amp;$D54, 'NCAAT Simulations'!$C$2:$H$9999, 4,FALSE), 1)), ROUND(VLOOKUP($B54&amp;$D54, 'NCAAT Simulations'!$C$2:$H$9999, 4,FALSE), 1)), "")</f>
        <v/>
      </c>
      <c r="H54" s="7" t="e">
        <f>IF(G54&lt;0,(VLOOKUP($B54&amp;$D54, 'NCAAT Simulations'!$C$2:$I$9999, 6,FALSE)/138.8)*G54, _xlfn.CONCAT("+", ROUND((VLOOKUP($B54&amp;$D54, 'NCAAT Simulations'!$C$2:$I$9999, 6,FALSE)/138.8)*G54, 1)))</f>
        <v>#N/A</v>
      </c>
      <c r="I54" s="3" t="str">
        <f>_xlfn.IFNA(IF(ABS(VLOOKUP($B54&amp;$D54, 'NCAAT Simulations'!$C$2:$H$9999, 5,FALSE))&gt;10000,_xlfn.FLOOR.MATH(VLOOKUP($B54&amp;$D54, 'NCAAT Simulations'!$C$2:$H$9999, 5,FALSE), 1000), IF(ABS(VLOOKUP($B54&amp;$D54, 'NCAAT Simulations'!$C$2:$H$9999, 5,FALSE))&gt;1000,_xlfn.FLOOR.MATH(VLOOKUP($B54&amp;$D54, 'NCAAT Simulations'!$C$2:$H$9999, 5,FALSE), 100), _xlfn.FLOOR.MATH(VLOOKUP($B54&amp;$D54, 'NCAAT Simulations'!$C$2:$H$9999, 5,FALSE), 10))), "")</f>
        <v/>
      </c>
      <c r="J54" s="1" t="str">
        <f>_xlfn.IFNA(VLOOKUP($B54&amp;$D54, 'NCAAT Simulations'!$C$2:$I$9999, 7,FALSE), "")</f>
        <v/>
      </c>
    </row>
    <row r="55" spans="5:10" x14ac:dyDescent="0.45">
      <c r="E55" t="str">
        <f>_xlfn.IFNA(VLOOKUP($B55&amp;$D55, 'NCAAT Simulations'!$C$2:$H$9999, 2,FALSE), "")</f>
        <v/>
      </c>
      <c r="F55" s="4" t="str">
        <f>_xlfn.IFNA(IF(VLOOKUP($B55&amp;$D55, 'NCAAT Simulations'!$C$2:$H$9999, 3,FALSE)&lt;50,1-VLOOKUP($B55&amp;$D55, 'NCAAT Simulations'!$C$2:$H$9999, 3,FALSE)/100, VLOOKUP($B55&amp;$D55, 'NCAAT Simulations'!$C$2:$H$9999, 3,FALSE)/100), "")</f>
        <v/>
      </c>
      <c r="G55" s="2" t="str">
        <f>_xlfn.IFNA(IF(ROUND(VLOOKUP($B55&amp;$D55, 'NCAAT Simulations'!$C$2:$H$9999, 4,FALSE), 1)&gt;0, _xlfn.CONCAT("+",ROUND(VLOOKUP($B55&amp;$D55, 'NCAAT Simulations'!$C$2:$H$9999, 4,FALSE), 1)), ROUND(VLOOKUP($B55&amp;$D55, 'NCAAT Simulations'!$C$2:$H$9999, 4,FALSE), 1)), "")</f>
        <v/>
      </c>
      <c r="H55" s="7" t="e">
        <f>IF(G55&lt;0,(VLOOKUP($B55&amp;$D55, 'NCAAT Simulations'!$C$2:$I$9999, 6,FALSE)/138.8)*G55, _xlfn.CONCAT("+", ROUND((VLOOKUP($B55&amp;$D55, 'NCAAT Simulations'!$C$2:$I$9999, 6,FALSE)/138.8)*G55, 1)))</f>
        <v>#N/A</v>
      </c>
      <c r="I55" s="3" t="str">
        <f>_xlfn.IFNA(IF(ABS(VLOOKUP($B55&amp;$D55, 'NCAAT Simulations'!$C$2:$H$9999, 5,FALSE))&gt;10000,_xlfn.FLOOR.MATH(VLOOKUP($B55&amp;$D55, 'NCAAT Simulations'!$C$2:$H$9999, 5,FALSE), 1000), IF(ABS(VLOOKUP($B55&amp;$D55, 'NCAAT Simulations'!$C$2:$H$9999, 5,FALSE))&gt;1000,_xlfn.FLOOR.MATH(VLOOKUP($B55&amp;$D55, 'NCAAT Simulations'!$C$2:$H$9999, 5,FALSE), 100), _xlfn.FLOOR.MATH(VLOOKUP($B55&amp;$D55, 'NCAAT Simulations'!$C$2:$H$9999, 5,FALSE), 10))), "")</f>
        <v/>
      </c>
      <c r="J55" s="1" t="str">
        <f>_xlfn.IFNA(VLOOKUP($B55&amp;$D55, 'NCAAT Simulations'!$C$2:$I$9999, 7,FALSE), "")</f>
        <v/>
      </c>
    </row>
    <row r="56" spans="5:10" x14ac:dyDescent="0.45">
      <c r="E56" t="str">
        <f>_xlfn.IFNA(VLOOKUP($B56&amp;$D56, 'NCAAT Simulations'!$C$2:$H$9999, 2,FALSE), "")</f>
        <v/>
      </c>
      <c r="F56" s="4" t="str">
        <f>_xlfn.IFNA(IF(VLOOKUP($B56&amp;$D56, 'NCAAT Simulations'!$C$2:$H$9999, 3,FALSE)&lt;50,1-VLOOKUP($B56&amp;$D56, 'NCAAT Simulations'!$C$2:$H$9999, 3,FALSE)/100, VLOOKUP($B56&amp;$D56, 'NCAAT Simulations'!$C$2:$H$9999, 3,FALSE)/100), "")</f>
        <v/>
      </c>
      <c r="G56" s="2" t="str">
        <f>_xlfn.IFNA(IF(ROUND(VLOOKUP($B56&amp;$D56, 'NCAAT Simulations'!$C$2:$H$9999, 4,FALSE), 1)&gt;0, _xlfn.CONCAT("+",ROUND(VLOOKUP($B56&amp;$D56, 'NCAAT Simulations'!$C$2:$H$9999, 4,FALSE), 1)), ROUND(VLOOKUP($B56&amp;$D56, 'NCAAT Simulations'!$C$2:$H$9999, 4,FALSE), 1)), "")</f>
        <v/>
      </c>
      <c r="H56" s="7" t="e">
        <f>IF(G56&lt;0,(VLOOKUP($B56&amp;$D56, 'NCAAT Simulations'!$C$2:$I$9999, 6,FALSE)/138.8)*G56, _xlfn.CONCAT("+", ROUND((VLOOKUP($B56&amp;$D56, 'NCAAT Simulations'!$C$2:$I$9999, 6,FALSE)/138.8)*G56, 1)))</f>
        <v>#N/A</v>
      </c>
      <c r="I56" s="3" t="str">
        <f>_xlfn.IFNA(IF(ABS(VLOOKUP($B56&amp;$D56, 'NCAAT Simulations'!$C$2:$H$9999, 5,FALSE))&gt;10000,_xlfn.FLOOR.MATH(VLOOKUP($B56&amp;$D56, 'NCAAT Simulations'!$C$2:$H$9999, 5,FALSE), 1000), IF(ABS(VLOOKUP($B56&amp;$D56, 'NCAAT Simulations'!$C$2:$H$9999, 5,FALSE))&gt;1000,_xlfn.FLOOR.MATH(VLOOKUP($B56&amp;$D56, 'NCAAT Simulations'!$C$2:$H$9999, 5,FALSE), 100), _xlfn.FLOOR.MATH(VLOOKUP($B56&amp;$D56, 'NCAAT Simulations'!$C$2:$H$9999, 5,FALSE), 10))), "")</f>
        <v/>
      </c>
      <c r="J56" s="1" t="str">
        <f>_xlfn.IFNA(VLOOKUP($B56&amp;$D56, 'NCAAT Simulations'!$C$2:$I$9999, 7,FALSE), "")</f>
        <v/>
      </c>
    </row>
    <row r="57" spans="5:10" x14ac:dyDescent="0.45">
      <c r="E57" t="str">
        <f>_xlfn.IFNA(VLOOKUP($B57&amp;$D57, 'NCAAT Simulations'!$C$2:$H$9999, 2,FALSE), "")</f>
        <v/>
      </c>
      <c r="F57" s="4" t="str">
        <f>_xlfn.IFNA(IF(VLOOKUP($B57&amp;$D57, 'NCAAT Simulations'!$C$2:$H$9999, 3,FALSE)&lt;50,1-VLOOKUP($B57&amp;$D57, 'NCAAT Simulations'!$C$2:$H$9999, 3,FALSE)/100, VLOOKUP($B57&amp;$D57, 'NCAAT Simulations'!$C$2:$H$9999, 3,FALSE)/100), "")</f>
        <v/>
      </c>
      <c r="G57" s="2" t="str">
        <f>_xlfn.IFNA(IF(ROUND(VLOOKUP($B57&amp;$D57, 'NCAAT Simulations'!$C$2:$H$9999, 4,FALSE), 1)&gt;0, _xlfn.CONCAT("+",ROUND(VLOOKUP($B57&amp;$D57, 'NCAAT Simulations'!$C$2:$H$9999, 4,FALSE), 1)), ROUND(VLOOKUP($B57&amp;$D57, 'NCAAT Simulations'!$C$2:$H$9999, 4,FALSE), 1)), "")</f>
        <v/>
      </c>
      <c r="H57" s="7" t="e">
        <f>IF(G57&lt;0,(VLOOKUP($B57&amp;$D57, 'NCAAT Simulations'!$C$2:$I$9999, 6,FALSE)/138.8)*G57, _xlfn.CONCAT("+", ROUND((VLOOKUP($B57&amp;$D57, 'NCAAT Simulations'!$C$2:$I$9999, 6,FALSE)/138.8)*G57, 1)))</f>
        <v>#N/A</v>
      </c>
      <c r="I57" s="3" t="str">
        <f>_xlfn.IFNA(IF(ABS(VLOOKUP($B57&amp;$D57, 'NCAAT Simulations'!$C$2:$H$9999, 5,FALSE))&gt;10000,_xlfn.FLOOR.MATH(VLOOKUP($B57&amp;$D57, 'NCAAT Simulations'!$C$2:$H$9999, 5,FALSE), 1000), IF(ABS(VLOOKUP($B57&amp;$D57, 'NCAAT Simulations'!$C$2:$H$9999, 5,FALSE))&gt;1000,_xlfn.FLOOR.MATH(VLOOKUP($B57&amp;$D57, 'NCAAT Simulations'!$C$2:$H$9999, 5,FALSE), 100), _xlfn.FLOOR.MATH(VLOOKUP($B57&amp;$D57, 'NCAAT Simulations'!$C$2:$H$9999, 5,FALSE), 10))), "")</f>
        <v/>
      </c>
      <c r="J57" s="1" t="str">
        <f>_xlfn.IFNA(VLOOKUP($B57&amp;$D57, 'NCAAT Simulations'!$C$2:$I$9999, 7,FALSE), "")</f>
        <v/>
      </c>
    </row>
    <row r="58" spans="5:10" x14ac:dyDescent="0.45">
      <c r="E58" t="str">
        <f>_xlfn.IFNA(VLOOKUP($B58&amp;$D58, 'NCAAT Simulations'!$C$2:$H$9999, 2,FALSE), "")</f>
        <v/>
      </c>
      <c r="F58" s="4" t="str">
        <f>_xlfn.IFNA(IF(VLOOKUP($B58&amp;$D58, 'NCAAT Simulations'!$C$2:$H$9999, 3,FALSE)&lt;50,1-VLOOKUP($B58&amp;$D58, 'NCAAT Simulations'!$C$2:$H$9999, 3,FALSE)/100, VLOOKUP($B58&amp;$D58, 'NCAAT Simulations'!$C$2:$H$9999, 3,FALSE)/100), "")</f>
        <v/>
      </c>
      <c r="G58" s="2" t="str">
        <f>_xlfn.IFNA(IF(ROUND(VLOOKUP($B58&amp;$D58, 'NCAAT Simulations'!$C$2:$H$9999, 4,FALSE), 1)&gt;0, _xlfn.CONCAT("+",ROUND(VLOOKUP($B58&amp;$D58, 'NCAAT Simulations'!$C$2:$H$9999, 4,FALSE), 1)), ROUND(VLOOKUP($B58&amp;$D58, 'NCAAT Simulations'!$C$2:$H$9999, 4,FALSE), 1)), "")</f>
        <v/>
      </c>
      <c r="H58" s="7" t="e">
        <f>IF(G58&lt;0,(VLOOKUP($B58&amp;$D58, 'NCAAT Simulations'!$C$2:$I$9999, 6,FALSE)/138.8)*G58, _xlfn.CONCAT("+", ROUND((VLOOKUP($B58&amp;$D58, 'NCAAT Simulations'!$C$2:$I$9999, 6,FALSE)/138.8)*G58, 1)))</f>
        <v>#N/A</v>
      </c>
      <c r="I58" s="3" t="str">
        <f>_xlfn.IFNA(IF(ABS(VLOOKUP($B58&amp;$D58, 'NCAAT Simulations'!$C$2:$H$9999, 5,FALSE))&gt;10000,_xlfn.FLOOR.MATH(VLOOKUP($B58&amp;$D58, 'NCAAT Simulations'!$C$2:$H$9999, 5,FALSE), 1000), IF(ABS(VLOOKUP($B58&amp;$D58, 'NCAAT Simulations'!$C$2:$H$9999, 5,FALSE))&gt;1000,_xlfn.FLOOR.MATH(VLOOKUP($B58&amp;$D58, 'NCAAT Simulations'!$C$2:$H$9999, 5,FALSE), 100), _xlfn.FLOOR.MATH(VLOOKUP($B58&amp;$D58, 'NCAAT Simulations'!$C$2:$H$9999, 5,FALSE), 10))), "")</f>
        <v/>
      </c>
      <c r="J58" s="1" t="str">
        <f>_xlfn.IFNA(VLOOKUP($B58&amp;$D58, 'NCAAT Simulations'!$C$2:$I$9999, 7,FALSE), "")</f>
        <v/>
      </c>
    </row>
    <row r="59" spans="5:10" x14ac:dyDescent="0.45">
      <c r="E59" t="str">
        <f>_xlfn.IFNA(VLOOKUP($B59&amp;$D59, 'NCAAT Simulations'!$C$2:$H$9999, 2,FALSE), "")</f>
        <v/>
      </c>
      <c r="F59" s="4" t="str">
        <f>_xlfn.IFNA(IF(VLOOKUP($B59&amp;$D59, 'NCAAT Simulations'!$C$2:$H$9999, 3,FALSE)&lt;50,1-VLOOKUP($B59&amp;$D59, 'NCAAT Simulations'!$C$2:$H$9999, 3,FALSE)/100, VLOOKUP($B59&amp;$D59, 'NCAAT Simulations'!$C$2:$H$9999, 3,FALSE)/100), "")</f>
        <v/>
      </c>
      <c r="G59" s="2" t="str">
        <f>_xlfn.IFNA(IF(ROUND(VLOOKUP($B59&amp;$D59, 'NCAAT Simulations'!$C$2:$H$9999, 4,FALSE), 1)&gt;0, _xlfn.CONCAT("+",ROUND(VLOOKUP($B59&amp;$D59, 'NCAAT Simulations'!$C$2:$H$9999, 4,FALSE), 1)), ROUND(VLOOKUP($B59&amp;$D59, 'NCAAT Simulations'!$C$2:$H$9999, 4,FALSE), 1)), "")</f>
        <v/>
      </c>
      <c r="H59" s="7" t="e">
        <f>IF(G59&lt;0,(VLOOKUP($B59&amp;$D59, 'NCAAT Simulations'!$C$2:$I$9999, 6,FALSE)/138.8)*G59, _xlfn.CONCAT("+", ROUND((VLOOKUP($B59&amp;$D59, 'NCAAT Simulations'!$C$2:$I$9999, 6,FALSE)/138.8)*G59, 1)))</f>
        <v>#N/A</v>
      </c>
      <c r="I59" s="3" t="str">
        <f>_xlfn.IFNA(IF(ABS(VLOOKUP($B59&amp;$D59, 'NCAAT Simulations'!$C$2:$H$9999, 5,FALSE))&gt;10000,_xlfn.FLOOR.MATH(VLOOKUP($B59&amp;$D59, 'NCAAT Simulations'!$C$2:$H$9999, 5,FALSE), 1000), IF(ABS(VLOOKUP($B59&amp;$D59, 'NCAAT Simulations'!$C$2:$H$9999, 5,FALSE))&gt;1000,_xlfn.FLOOR.MATH(VLOOKUP($B59&amp;$D59, 'NCAAT Simulations'!$C$2:$H$9999, 5,FALSE), 100), _xlfn.FLOOR.MATH(VLOOKUP($B59&amp;$D59, 'NCAAT Simulations'!$C$2:$H$9999, 5,FALSE), 10))), "")</f>
        <v/>
      </c>
      <c r="J59" s="1" t="str">
        <f>_xlfn.IFNA(VLOOKUP($B59&amp;$D59, 'NCAAT Simulations'!$C$2:$I$9999, 7,FALSE), "")</f>
        <v/>
      </c>
    </row>
    <row r="60" spans="5:10" x14ac:dyDescent="0.45">
      <c r="E60" t="str">
        <f>_xlfn.IFNA(VLOOKUP($B60&amp;$D60, 'NCAAT Simulations'!$C$2:$H$9999, 2,FALSE), "")</f>
        <v/>
      </c>
      <c r="F60" s="4" t="str">
        <f>_xlfn.IFNA(IF(VLOOKUP($B60&amp;$D60, 'NCAAT Simulations'!$C$2:$H$9999, 3,FALSE)&lt;50,1-VLOOKUP($B60&amp;$D60, 'NCAAT Simulations'!$C$2:$H$9999, 3,FALSE)/100, VLOOKUP($B60&amp;$D60, 'NCAAT Simulations'!$C$2:$H$9999, 3,FALSE)/100), "")</f>
        <v/>
      </c>
      <c r="G60" s="2" t="str">
        <f>_xlfn.IFNA(IF(ROUND(VLOOKUP($B60&amp;$D60, 'NCAAT Simulations'!$C$2:$H$9999, 4,FALSE), 1)&gt;0, _xlfn.CONCAT("+",ROUND(VLOOKUP($B60&amp;$D60, 'NCAAT Simulations'!$C$2:$H$9999, 4,FALSE), 1)), ROUND(VLOOKUP($B60&amp;$D60, 'NCAAT Simulations'!$C$2:$H$9999, 4,FALSE), 1)), "")</f>
        <v/>
      </c>
      <c r="H60" s="7" t="e">
        <f>IF(G60&lt;0,(VLOOKUP($B60&amp;$D60, 'NCAAT Simulations'!$C$2:$I$9999, 6,FALSE)/138.8)*G60, _xlfn.CONCAT("+", ROUND((VLOOKUP($B60&amp;$D60, 'NCAAT Simulations'!$C$2:$I$9999, 6,FALSE)/138.8)*G60, 1)))</f>
        <v>#N/A</v>
      </c>
      <c r="I60" s="3" t="str">
        <f>_xlfn.IFNA(IF(ABS(VLOOKUP($B60&amp;$D60, 'NCAAT Simulations'!$C$2:$H$9999, 5,FALSE))&gt;10000,_xlfn.FLOOR.MATH(VLOOKUP($B60&amp;$D60, 'NCAAT Simulations'!$C$2:$H$9999, 5,FALSE), 1000), IF(ABS(VLOOKUP($B60&amp;$D60, 'NCAAT Simulations'!$C$2:$H$9999, 5,FALSE))&gt;1000,_xlfn.FLOOR.MATH(VLOOKUP($B60&amp;$D60, 'NCAAT Simulations'!$C$2:$H$9999, 5,FALSE), 100), _xlfn.FLOOR.MATH(VLOOKUP($B60&amp;$D60, 'NCAAT Simulations'!$C$2:$H$9999, 5,FALSE), 10))), "")</f>
        <v/>
      </c>
      <c r="J60" s="1" t="str">
        <f>_xlfn.IFNA(VLOOKUP($B60&amp;$D60, 'NCAAT Simulations'!$C$2:$I$9999, 7,FALSE), "")</f>
        <v/>
      </c>
    </row>
    <row r="61" spans="5:10" x14ac:dyDescent="0.45">
      <c r="E61" t="str">
        <f>_xlfn.IFNA(VLOOKUP($B61&amp;$D61, 'NCAAT Simulations'!$C$2:$H$9999, 2,FALSE), "")</f>
        <v/>
      </c>
      <c r="F61" s="4" t="str">
        <f>_xlfn.IFNA(IF(VLOOKUP($B61&amp;$D61, 'NCAAT Simulations'!$C$2:$H$9999, 3,FALSE)&lt;50,1-VLOOKUP($B61&amp;$D61, 'NCAAT Simulations'!$C$2:$H$9999, 3,FALSE)/100, VLOOKUP($B61&amp;$D61, 'NCAAT Simulations'!$C$2:$H$9999, 3,FALSE)/100), "")</f>
        <v/>
      </c>
      <c r="G61" s="2" t="str">
        <f>_xlfn.IFNA(IF(ROUND(VLOOKUP($B61&amp;$D61, 'NCAAT Simulations'!$C$2:$H$9999, 4,FALSE), 1)&gt;0, _xlfn.CONCAT("+",ROUND(VLOOKUP($B61&amp;$D61, 'NCAAT Simulations'!$C$2:$H$9999, 4,FALSE), 1)), ROUND(VLOOKUP($B61&amp;$D61, 'NCAAT Simulations'!$C$2:$H$9999, 4,FALSE), 1)), "")</f>
        <v/>
      </c>
      <c r="H61" s="7" t="e">
        <f>IF(G61&lt;0,(VLOOKUP($B61&amp;$D61, 'NCAAT Simulations'!$C$2:$I$9999, 6,FALSE)/138.8)*G61, _xlfn.CONCAT("+", ROUND((VLOOKUP($B61&amp;$D61, 'NCAAT Simulations'!$C$2:$I$9999, 6,FALSE)/138.8)*G61, 1)))</f>
        <v>#N/A</v>
      </c>
      <c r="I61" s="3" t="str">
        <f>_xlfn.IFNA(IF(ABS(VLOOKUP($B61&amp;$D61, 'NCAAT Simulations'!$C$2:$H$9999, 5,FALSE))&gt;10000,_xlfn.FLOOR.MATH(VLOOKUP($B61&amp;$D61, 'NCAAT Simulations'!$C$2:$H$9999, 5,FALSE), 1000), IF(ABS(VLOOKUP($B61&amp;$D61, 'NCAAT Simulations'!$C$2:$H$9999, 5,FALSE))&gt;1000,_xlfn.FLOOR.MATH(VLOOKUP($B61&amp;$D61, 'NCAAT Simulations'!$C$2:$H$9999, 5,FALSE), 100), _xlfn.FLOOR.MATH(VLOOKUP($B61&amp;$D61, 'NCAAT Simulations'!$C$2:$H$9999, 5,FALSE), 10))), "")</f>
        <v/>
      </c>
      <c r="J61" s="1" t="str">
        <f>_xlfn.IFNA(VLOOKUP($B61&amp;$D61, 'NCAAT Simulations'!$C$2:$I$9999, 7,FALSE), "")</f>
        <v/>
      </c>
    </row>
    <row r="62" spans="5:10" x14ac:dyDescent="0.45">
      <c r="E62" t="str">
        <f>_xlfn.IFNA(VLOOKUP($B62&amp;$D62, 'NCAAT Simulations'!$C$2:$H$9999, 2,FALSE), "")</f>
        <v/>
      </c>
      <c r="F62" s="4" t="str">
        <f>_xlfn.IFNA(IF(VLOOKUP($B62&amp;$D62, 'NCAAT Simulations'!$C$2:$H$9999, 3,FALSE)&lt;50,1-VLOOKUP($B62&amp;$D62, 'NCAAT Simulations'!$C$2:$H$9999, 3,FALSE)/100, VLOOKUP($B62&amp;$D62, 'NCAAT Simulations'!$C$2:$H$9999, 3,FALSE)/100), "")</f>
        <v/>
      </c>
      <c r="G62" s="2" t="str">
        <f>_xlfn.IFNA(IF(ROUND(VLOOKUP($B62&amp;$D62, 'NCAAT Simulations'!$C$2:$H$9999, 4,FALSE), 1)&gt;0, _xlfn.CONCAT("+",ROUND(VLOOKUP($B62&amp;$D62, 'NCAAT Simulations'!$C$2:$H$9999, 4,FALSE), 1)), ROUND(VLOOKUP($B62&amp;$D62, 'NCAAT Simulations'!$C$2:$H$9999, 4,FALSE), 1)), "")</f>
        <v/>
      </c>
      <c r="H62" s="7" t="e">
        <f>IF(G62&lt;0,(VLOOKUP($B62&amp;$D62, 'NCAAT Simulations'!$C$2:$I$9999, 6,FALSE)/138.8)*G62, _xlfn.CONCAT("+", ROUND((VLOOKUP($B62&amp;$D62, 'NCAAT Simulations'!$C$2:$I$9999, 6,FALSE)/138.8)*G62, 1)))</f>
        <v>#N/A</v>
      </c>
      <c r="I62" s="3" t="str">
        <f>_xlfn.IFNA(IF(ABS(VLOOKUP($B62&amp;$D62, 'NCAAT Simulations'!$C$2:$H$9999, 5,FALSE))&gt;10000,_xlfn.FLOOR.MATH(VLOOKUP($B62&amp;$D62, 'NCAAT Simulations'!$C$2:$H$9999, 5,FALSE), 1000), IF(ABS(VLOOKUP($B62&amp;$D62, 'NCAAT Simulations'!$C$2:$H$9999, 5,FALSE))&gt;1000,_xlfn.FLOOR.MATH(VLOOKUP($B62&amp;$D62, 'NCAAT Simulations'!$C$2:$H$9999, 5,FALSE), 100), _xlfn.FLOOR.MATH(VLOOKUP($B62&amp;$D62, 'NCAAT Simulations'!$C$2:$H$9999, 5,FALSE), 10))), "")</f>
        <v/>
      </c>
      <c r="J62" s="1" t="str">
        <f>_xlfn.IFNA(VLOOKUP($B62&amp;$D62, 'NCAAT Simulations'!$C$2:$I$9999, 7,FALSE), "")</f>
        <v/>
      </c>
    </row>
    <row r="63" spans="5:10" x14ac:dyDescent="0.45">
      <c r="E63" t="str">
        <f>_xlfn.IFNA(VLOOKUP($B63&amp;$D63, 'NCAAT Simulations'!$C$2:$H$9999, 2,FALSE), "")</f>
        <v/>
      </c>
      <c r="F63" s="4" t="str">
        <f>_xlfn.IFNA(IF(VLOOKUP($B63&amp;$D63, 'NCAAT Simulations'!$C$2:$H$9999, 3,FALSE)&lt;50,1-VLOOKUP($B63&amp;$D63, 'NCAAT Simulations'!$C$2:$H$9999, 3,FALSE)/100, VLOOKUP($B63&amp;$D63, 'NCAAT Simulations'!$C$2:$H$9999, 3,FALSE)/100), "")</f>
        <v/>
      </c>
      <c r="G63" s="2" t="str">
        <f>_xlfn.IFNA(IF(ROUND(VLOOKUP($B63&amp;$D63, 'NCAAT Simulations'!$C$2:$H$9999, 4,FALSE), 1)&gt;0, _xlfn.CONCAT("+",ROUND(VLOOKUP($B63&amp;$D63, 'NCAAT Simulations'!$C$2:$H$9999, 4,FALSE), 1)), ROUND(VLOOKUP($B63&amp;$D63, 'NCAAT Simulations'!$C$2:$H$9999, 4,FALSE), 1)), "")</f>
        <v/>
      </c>
      <c r="H63" s="7" t="e">
        <f>IF(G63&lt;0,(VLOOKUP($B63&amp;$D63, 'NCAAT Simulations'!$C$2:$I$9999, 6,FALSE)/138.8)*G63, _xlfn.CONCAT("+", ROUND((VLOOKUP($B63&amp;$D63, 'NCAAT Simulations'!$C$2:$I$9999, 6,FALSE)/138.8)*G63, 1)))</f>
        <v>#N/A</v>
      </c>
      <c r="I63" s="3" t="str">
        <f>_xlfn.IFNA(IF(ABS(VLOOKUP($B63&amp;$D63, 'NCAAT Simulations'!$C$2:$H$9999, 5,FALSE))&gt;10000,_xlfn.FLOOR.MATH(VLOOKUP($B63&amp;$D63, 'NCAAT Simulations'!$C$2:$H$9999, 5,FALSE), 1000), IF(ABS(VLOOKUP($B63&amp;$D63, 'NCAAT Simulations'!$C$2:$H$9999, 5,FALSE))&gt;1000,_xlfn.FLOOR.MATH(VLOOKUP($B63&amp;$D63, 'NCAAT Simulations'!$C$2:$H$9999, 5,FALSE), 100), _xlfn.FLOOR.MATH(VLOOKUP($B63&amp;$D63, 'NCAAT Simulations'!$C$2:$H$9999, 5,FALSE), 10))), "")</f>
        <v/>
      </c>
      <c r="J63" s="1" t="str">
        <f>_xlfn.IFNA(VLOOKUP($B63&amp;$D63, 'NCAAT Simulations'!$C$2:$I$9999, 7,FALSE), "")</f>
        <v/>
      </c>
    </row>
    <row r="64" spans="5:10" x14ac:dyDescent="0.45">
      <c r="E64" t="str">
        <f>_xlfn.IFNA(VLOOKUP($B64&amp;$D64, 'NCAAT Simulations'!$C$2:$H$9999, 2,FALSE), "")</f>
        <v/>
      </c>
      <c r="F64" s="4" t="str">
        <f>_xlfn.IFNA(IF(VLOOKUP($B64&amp;$D64, 'NCAAT Simulations'!$C$2:$H$9999, 3,FALSE)&lt;50,1-VLOOKUP($B64&amp;$D64, 'NCAAT Simulations'!$C$2:$H$9999, 3,FALSE)/100, VLOOKUP($B64&amp;$D64, 'NCAAT Simulations'!$C$2:$H$9999, 3,FALSE)/100), "")</f>
        <v/>
      </c>
      <c r="G64" s="2" t="str">
        <f>_xlfn.IFNA(IF(ROUND(VLOOKUP($B64&amp;$D64, 'NCAAT Simulations'!$C$2:$H$9999, 4,FALSE), 1)&gt;0, _xlfn.CONCAT("+",ROUND(VLOOKUP($B64&amp;$D64, 'NCAAT Simulations'!$C$2:$H$9999, 4,FALSE), 1)), ROUND(VLOOKUP($B64&amp;$D64, 'NCAAT Simulations'!$C$2:$H$9999, 4,FALSE), 1)), "")</f>
        <v/>
      </c>
      <c r="H64" s="7" t="e">
        <f>IF(G64&lt;0,(VLOOKUP($B64&amp;$D64, 'NCAAT Simulations'!$C$2:$I$9999, 6,FALSE)/138.8)*G64, _xlfn.CONCAT("+", ROUND((VLOOKUP($B64&amp;$D64, 'NCAAT Simulations'!$C$2:$I$9999, 6,FALSE)/138.8)*G64, 1)))</f>
        <v>#N/A</v>
      </c>
      <c r="I64" s="3" t="str">
        <f>_xlfn.IFNA(IF(ABS(VLOOKUP($B64&amp;$D64, 'NCAAT Simulations'!$C$2:$H$9999, 5,FALSE))&gt;10000,_xlfn.FLOOR.MATH(VLOOKUP($B64&amp;$D64, 'NCAAT Simulations'!$C$2:$H$9999, 5,FALSE), 1000), IF(ABS(VLOOKUP($B64&amp;$D64, 'NCAAT Simulations'!$C$2:$H$9999, 5,FALSE))&gt;1000,_xlfn.FLOOR.MATH(VLOOKUP($B64&amp;$D64, 'NCAAT Simulations'!$C$2:$H$9999, 5,FALSE), 100), _xlfn.FLOOR.MATH(VLOOKUP($B64&amp;$D64, 'NCAAT Simulations'!$C$2:$H$9999, 5,FALSE), 10))), "")</f>
        <v/>
      </c>
      <c r="J64" s="1" t="str">
        <f>_xlfn.IFNA(VLOOKUP($B64&amp;$D64, 'NCAAT Simulations'!$C$2:$I$9999, 7,FALSE), "")</f>
        <v/>
      </c>
    </row>
    <row r="65" spans="5:10" x14ac:dyDescent="0.45">
      <c r="E65" t="str">
        <f>_xlfn.IFNA(VLOOKUP($B65&amp;$D65, 'NCAAT Simulations'!$C$2:$H$9999, 2,FALSE), "")</f>
        <v/>
      </c>
      <c r="F65" s="4" t="str">
        <f>_xlfn.IFNA(IF(VLOOKUP($B65&amp;$D65, 'NCAAT Simulations'!$C$2:$H$9999, 3,FALSE)&lt;50,1-VLOOKUP($B65&amp;$D65, 'NCAAT Simulations'!$C$2:$H$9999, 3,FALSE)/100, VLOOKUP($B65&amp;$D65, 'NCAAT Simulations'!$C$2:$H$9999, 3,FALSE)/100), "")</f>
        <v/>
      </c>
      <c r="G65" s="2" t="str">
        <f>_xlfn.IFNA(IF(ROUND(VLOOKUP($B65&amp;$D65, 'NCAAT Simulations'!$C$2:$H$9999, 4,FALSE), 1)&gt;0, _xlfn.CONCAT("+",ROUND(VLOOKUP($B65&amp;$D65, 'NCAAT Simulations'!$C$2:$H$9999, 4,FALSE), 1)), ROUND(VLOOKUP($B65&amp;$D65, 'NCAAT Simulations'!$C$2:$H$9999, 4,FALSE), 1)), "")</f>
        <v/>
      </c>
      <c r="H65" s="7" t="e">
        <f>IF(G65&lt;0,(VLOOKUP($B65&amp;$D65, 'NCAAT Simulations'!$C$2:$I$9999, 6,FALSE)/138.8)*G65, _xlfn.CONCAT("+", ROUND((VLOOKUP($B65&amp;$D65, 'NCAAT Simulations'!$C$2:$I$9999, 6,FALSE)/138.8)*G65, 1)))</f>
        <v>#N/A</v>
      </c>
      <c r="I65" s="3" t="str">
        <f>_xlfn.IFNA(IF(ABS(VLOOKUP($B65&amp;$D65, 'NCAAT Simulations'!$C$2:$H$9999, 5,FALSE))&gt;10000,_xlfn.FLOOR.MATH(VLOOKUP($B65&amp;$D65, 'NCAAT Simulations'!$C$2:$H$9999, 5,FALSE), 1000), IF(ABS(VLOOKUP($B65&amp;$D65, 'NCAAT Simulations'!$C$2:$H$9999, 5,FALSE))&gt;1000,_xlfn.FLOOR.MATH(VLOOKUP($B65&amp;$D65, 'NCAAT Simulations'!$C$2:$H$9999, 5,FALSE), 100), _xlfn.FLOOR.MATH(VLOOKUP($B65&amp;$D65, 'NCAAT Simulations'!$C$2:$H$9999, 5,FALSE), 10))), "")</f>
        <v/>
      </c>
      <c r="J65" s="1" t="str">
        <f>_xlfn.IFNA(VLOOKUP($B65&amp;$D65, 'NCAAT Simulations'!$C$2:$I$9999, 7,FALSE), "")</f>
        <v/>
      </c>
    </row>
    <row r="66" spans="5:10" x14ac:dyDescent="0.45">
      <c r="E66" t="str">
        <f>_xlfn.IFNA(VLOOKUP($B66&amp;$D66, 'NCAAT Simulations'!$C$2:$H$9999, 2,FALSE), "")</f>
        <v/>
      </c>
      <c r="F66" s="4" t="str">
        <f>_xlfn.IFNA(IF(VLOOKUP($B66&amp;$D66, 'NCAAT Simulations'!$C$2:$H$9999, 3,FALSE)&lt;50,1-VLOOKUP($B66&amp;$D66, 'NCAAT Simulations'!$C$2:$H$9999, 3,FALSE)/100, VLOOKUP($B66&amp;$D66, 'NCAAT Simulations'!$C$2:$H$9999, 3,FALSE)/100), "")</f>
        <v/>
      </c>
      <c r="G66" s="2" t="str">
        <f>_xlfn.IFNA(IF(ROUND(VLOOKUP($B66&amp;$D66, 'NCAAT Simulations'!$C$2:$H$9999, 4,FALSE), 1)&gt;0, _xlfn.CONCAT("+",ROUND(VLOOKUP($B66&amp;$D66, 'NCAAT Simulations'!$C$2:$H$9999, 4,FALSE), 1)), ROUND(VLOOKUP($B66&amp;$D66, 'NCAAT Simulations'!$C$2:$H$9999, 4,FALSE), 1)), "")</f>
        <v/>
      </c>
      <c r="H66" s="7" t="e">
        <f>IF(G66&lt;0,(VLOOKUP($B66&amp;$D66, 'NCAAT Simulations'!$C$2:$I$9999, 6,FALSE)/138.8)*G66, _xlfn.CONCAT("+", ROUND((VLOOKUP($B66&amp;$D66, 'NCAAT Simulations'!$C$2:$I$9999, 6,FALSE)/138.8)*G66, 1)))</f>
        <v>#N/A</v>
      </c>
      <c r="I66" s="3" t="str">
        <f>_xlfn.IFNA(IF(ABS(VLOOKUP($B66&amp;$D66, 'NCAAT Simulations'!$C$2:$H$9999, 5,FALSE))&gt;10000,_xlfn.FLOOR.MATH(VLOOKUP($B66&amp;$D66, 'NCAAT Simulations'!$C$2:$H$9999, 5,FALSE), 1000), IF(ABS(VLOOKUP($B66&amp;$D66, 'NCAAT Simulations'!$C$2:$H$9999, 5,FALSE))&gt;1000,_xlfn.FLOOR.MATH(VLOOKUP($B66&amp;$D66, 'NCAAT Simulations'!$C$2:$H$9999, 5,FALSE), 100), _xlfn.FLOOR.MATH(VLOOKUP($B66&amp;$D66, 'NCAAT Simulations'!$C$2:$H$9999, 5,FALSE), 10))), "")</f>
        <v/>
      </c>
      <c r="J66" s="1" t="str">
        <f>_xlfn.IFNA(VLOOKUP($B66&amp;$D66, 'NCAAT Simulations'!$C$2:$I$9999, 7,FALSE), "")</f>
        <v/>
      </c>
    </row>
    <row r="67" spans="5:10" x14ac:dyDescent="0.45">
      <c r="E67" t="str">
        <f>_xlfn.IFNA(VLOOKUP($B67&amp;$D67, 'NCAAT Simulations'!$C$2:$H$9999, 2,FALSE), "")</f>
        <v/>
      </c>
      <c r="F67" s="4" t="str">
        <f>_xlfn.IFNA(IF(VLOOKUP($B67&amp;$D67, 'NCAAT Simulations'!$C$2:$H$9999, 3,FALSE)&lt;50,1-VLOOKUP($B67&amp;$D67, 'NCAAT Simulations'!$C$2:$H$9999, 3,FALSE)/100, VLOOKUP($B67&amp;$D67, 'NCAAT Simulations'!$C$2:$H$9999, 3,FALSE)/100), "")</f>
        <v/>
      </c>
      <c r="G67" s="2" t="str">
        <f>_xlfn.IFNA(IF(ROUND(VLOOKUP($B67&amp;$D67, 'NCAAT Simulations'!$C$2:$H$9999, 4,FALSE), 1)&gt;0, _xlfn.CONCAT("+",ROUND(VLOOKUP($B67&amp;$D67, 'NCAAT Simulations'!$C$2:$H$9999, 4,FALSE), 1)), ROUND(VLOOKUP($B67&amp;$D67, 'NCAAT Simulations'!$C$2:$H$9999, 4,FALSE), 1)), "")</f>
        <v/>
      </c>
      <c r="H67" s="7" t="e">
        <f>IF(G67&lt;0,(VLOOKUP($B67&amp;$D67, 'NCAAT Simulations'!$C$2:$I$9999, 6,FALSE)/138.8)*G67, _xlfn.CONCAT("+", ROUND((VLOOKUP($B67&amp;$D67, 'NCAAT Simulations'!$C$2:$I$9999, 6,FALSE)/138.8)*G67, 1)))</f>
        <v>#N/A</v>
      </c>
      <c r="I67" s="3" t="str">
        <f>_xlfn.IFNA(IF(ABS(VLOOKUP($B67&amp;$D67, 'NCAAT Simulations'!$C$2:$H$9999, 5,FALSE))&gt;10000,_xlfn.FLOOR.MATH(VLOOKUP($B67&amp;$D67, 'NCAAT Simulations'!$C$2:$H$9999, 5,FALSE), 1000), IF(ABS(VLOOKUP($B67&amp;$D67, 'NCAAT Simulations'!$C$2:$H$9999, 5,FALSE))&gt;1000,_xlfn.FLOOR.MATH(VLOOKUP($B67&amp;$D67, 'NCAAT Simulations'!$C$2:$H$9999, 5,FALSE), 100), _xlfn.FLOOR.MATH(VLOOKUP($B67&amp;$D67, 'NCAAT Simulations'!$C$2:$H$9999, 5,FALSE), 10))), "")</f>
        <v/>
      </c>
      <c r="J67" s="1" t="str">
        <f>_xlfn.IFNA(VLOOKUP($B67&amp;$D67, 'NCAAT Simulations'!$C$2:$I$9999, 7,FALSE), "")</f>
        <v/>
      </c>
    </row>
    <row r="68" spans="5:10" x14ac:dyDescent="0.45">
      <c r="E68" t="str">
        <f>_xlfn.IFNA(VLOOKUP($B68&amp;$D68, 'NCAAT Simulations'!$C$2:$H$9999, 2,FALSE), "")</f>
        <v/>
      </c>
      <c r="F68" s="4" t="str">
        <f>_xlfn.IFNA(IF(VLOOKUP($B68&amp;$D68, 'NCAAT Simulations'!$C$2:$H$9999, 3,FALSE)&lt;50,1-VLOOKUP($B68&amp;$D68, 'NCAAT Simulations'!$C$2:$H$9999, 3,FALSE)/100, VLOOKUP($B68&amp;$D68, 'NCAAT Simulations'!$C$2:$H$9999, 3,FALSE)/100), "")</f>
        <v/>
      </c>
      <c r="G68" s="2" t="str">
        <f>_xlfn.IFNA(IF(ROUND(VLOOKUP($B68&amp;$D68, 'NCAAT Simulations'!$C$2:$H$9999, 4,FALSE), 1)&gt;0, _xlfn.CONCAT("+",ROUND(VLOOKUP($B68&amp;$D68, 'NCAAT Simulations'!$C$2:$H$9999, 4,FALSE), 1)), ROUND(VLOOKUP($B68&amp;$D68, 'NCAAT Simulations'!$C$2:$H$9999, 4,FALSE), 1)), "")</f>
        <v/>
      </c>
      <c r="H68" s="7" t="e">
        <f>IF(G68&lt;0,(VLOOKUP($B68&amp;$D68, 'NCAAT Simulations'!$C$2:$I$9999, 6,FALSE)/138.8)*G68, _xlfn.CONCAT("+", ROUND((VLOOKUP($B68&amp;$D68, 'NCAAT Simulations'!$C$2:$I$9999, 6,FALSE)/138.8)*G68, 1)))</f>
        <v>#N/A</v>
      </c>
      <c r="I68" s="3" t="str">
        <f>_xlfn.IFNA(IF(ABS(VLOOKUP($B68&amp;$D68, 'NCAAT Simulations'!$C$2:$H$9999, 5,FALSE))&gt;10000,_xlfn.FLOOR.MATH(VLOOKUP($B68&amp;$D68, 'NCAAT Simulations'!$C$2:$H$9999, 5,FALSE), 1000), IF(ABS(VLOOKUP($B68&amp;$D68, 'NCAAT Simulations'!$C$2:$H$9999, 5,FALSE))&gt;1000,_xlfn.FLOOR.MATH(VLOOKUP($B68&amp;$D68, 'NCAAT Simulations'!$C$2:$H$9999, 5,FALSE), 100), _xlfn.FLOOR.MATH(VLOOKUP($B68&amp;$D68, 'NCAAT Simulations'!$C$2:$H$9999, 5,FALSE), 10))), "")</f>
        <v/>
      </c>
      <c r="J68" s="1" t="str">
        <f>_xlfn.IFNA(VLOOKUP($B68&amp;$D68, 'NCAAT Simulations'!$C$2:$I$9999, 7,FALSE), "")</f>
        <v/>
      </c>
    </row>
    <row r="69" spans="5:10" x14ac:dyDescent="0.45">
      <c r="E69" t="str">
        <f>_xlfn.IFNA(VLOOKUP($B69&amp;$D69, 'NCAAT Simulations'!$C$2:$H$9999, 2,FALSE), "")</f>
        <v/>
      </c>
      <c r="F69" s="4" t="str">
        <f>_xlfn.IFNA(IF(VLOOKUP($B69&amp;$D69, 'NCAAT Simulations'!$C$2:$H$9999, 3,FALSE)&lt;50,1-VLOOKUP($B69&amp;$D69, 'NCAAT Simulations'!$C$2:$H$9999, 3,FALSE)/100, VLOOKUP($B69&amp;$D69, 'NCAAT Simulations'!$C$2:$H$9999, 3,FALSE)/100), "")</f>
        <v/>
      </c>
      <c r="G69" s="2" t="str">
        <f>_xlfn.IFNA(IF(ROUND(VLOOKUP($B69&amp;$D69, 'NCAAT Simulations'!$C$2:$H$9999, 4,FALSE), 1)&gt;0, _xlfn.CONCAT("+",ROUND(VLOOKUP($B69&amp;$D69, 'NCAAT Simulations'!$C$2:$H$9999, 4,FALSE), 1)), ROUND(VLOOKUP($B69&amp;$D69, 'NCAAT Simulations'!$C$2:$H$9999, 4,FALSE), 1)), "")</f>
        <v/>
      </c>
      <c r="H69" s="7" t="e">
        <f>IF(G69&lt;0,(VLOOKUP($B69&amp;$D69, 'NCAAT Simulations'!$C$2:$I$9999, 6,FALSE)/138.8)*G69, _xlfn.CONCAT("+", ROUND((VLOOKUP($B69&amp;$D69, 'NCAAT Simulations'!$C$2:$I$9999, 6,FALSE)/138.8)*G69, 1)))</f>
        <v>#N/A</v>
      </c>
      <c r="I69" s="3" t="str">
        <f>_xlfn.IFNA(IF(ABS(VLOOKUP($B69&amp;$D69, 'NCAAT Simulations'!$C$2:$H$9999, 5,FALSE))&gt;10000,_xlfn.FLOOR.MATH(VLOOKUP($B69&amp;$D69, 'NCAAT Simulations'!$C$2:$H$9999, 5,FALSE), 1000), IF(ABS(VLOOKUP($B69&amp;$D69, 'NCAAT Simulations'!$C$2:$H$9999, 5,FALSE))&gt;1000,_xlfn.FLOOR.MATH(VLOOKUP($B69&amp;$D69, 'NCAAT Simulations'!$C$2:$H$9999, 5,FALSE), 100), _xlfn.FLOOR.MATH(VLOOKUP($B69&amp;$D69, 'NCAAT Simulations'!$C$2:$H$9999, 5,FALSE), 10))), "")</f>
        <v/>
      </c>
      <c r="J69" s="1" t="str">
        <f>_xlfn.IFNA(VLOOKUP($B69&amp;$D69, 'NCAAT Simulations'!$C$2:$I$9999, 7,FALSE), "")</f>
        <v/>
      </c>
    </row>
    <row r="70" spans="5:10" x14ac:dyDescent="0.45">
      <c r="E70" t="str">
        <f>_xlfn.IFNA(VLOOKUP($B70&amp;$D70, 'NCAAT Simulations'!$C$2:$H$9999, 2,FALSE), "")</f>
        <v/>
      </c>
      <c r="F70" s="4" t="str">
        <f>_xlfn.IFNA(IF(VLOOKUP($B70&amp;$D70, 'NCAAT Simulations'!$C$2:$H$9999, 3,FALSE)&lt;50,1-VLOOKUP($B70&amp;$D70, 'NCAAT Simulations'!$C$2:$H$9999, 3,FALSE)/100, VLOOKUP($B70&amp;$D70, 'NCAAT Simulations'!$C$2:$H$9999, 3,FALSE)/100), "")</f>
        <v/>
      </c>
      <c r="G70" s="2" t="str">
        <f>_xlfn.IFNA(IF(ROUND(VLOOKUP($B70&amp;$D70, 'NCAAT Simulations'!$C$2:$H$9999, 4,FALSE), 1)&gt;0, _xlfn.CONCAT("+",ROUND(VLOOKUP($B70&amp;$D70, 'NCAAT Simulations'!$C$2:$H$9999, 4,FALSE), 1)), ROUND(VLOOKUP($B70&amp;$D70, 'NCAAT Simulations'!$C$2:$H$9999, 4,FALSE), 1)), "")</f>
        <v/>
      </c>
      <c r="H70" s="7" t="e">
        <f>IF(G70&lt;0,(VLOOKUP($B70&amp;$D70, 'NCAAT Simulations'!$C$2:$I$9999, 6,FALSE)/138.8)*G70, _xlfn.CONCAT("+", ROUND((VLOOKUP($B70&amp;$D70, 'NCAAT Simulations'!$C$2:$I$9999, 6,FALSE)/138.8)*G70, 1)))</f>
        <v>#N/A</v>
      </c>
      <c r="I70" s="3" t="str">
        <f>_xlfn.IFNA(IF(ABS(VLOOKUP($B70&amp;$D70, 'NCAAT Simulations'!$C$2:$H$9999, 5,FALSE))&gt;10000,_xlfn.FLOOR.MATH(VLOOKUP($B70&amp;$D70, 'NCAAT Simulations'!$C$2:$H$9999, 5,FALSE), 1000), IF(ABS(VLOOKUP($B70&amp;$D70, 'NCAAT Simulations'!$C$2:$H$9999, 5,FALSE))&gt;1000,_xlfn.FLOOR.MATH(VLOOKUP($B70&amp;$D70, 'NCAAT Simulations'!$C$2:$H$9999, 5,FALSE), 100), _xlfn.FLOOR.MATH(VLOOKUP($B70&amp;$D70, 'NCAAT Simulations'!$C$2:$H$9999, 5,FALSE), 10))), "")</f>
        <v/>
      </c>
      <c r="J70" s="1" t="str">
        <f>_xlfn.IFNA(VLOOKUP($B70&amp;$D70, 'NCAAT Simulations'!$C$2:$I$9999, 7,FALSE), "")</f>
        <v/>
      </c>
    </row>
    <row r="71" spans="5:10" x14ac:dyDescent="0.45">
      <c r="E71" t="str">
        <f>_xlfn.IFNA(VLOOKUP($B71&amp;$D71, 'NCAAT Simulations'!$C$2:$H$9999, 2,FALSE), "")</f>
        <v/>
      </c>
      <c r="F71" s="4" t="str">
        <f>_xlfn.IFNA(IF(VLOOKUP($B71&amp;$D71, 'NCAAT Simulations'!$C$2:$H$9999, 3,FALSE)&lt;50,1-VLOOKUP($B71&amp;$D71, 'NCAAT Simulations'!$C$2:$H$9999, 3,FALSE)/100, VLOOKUP($B71&amp;$D71, 'NCAAT Simulations'!$C$2:$H$9999, 3,FALSE)/100), "")</f>
        <v/>
      </c>
      <c r="G71" s="2" t="str">
        <f>_xlfn.IFNA(IF(ROUND(VLOOKUP($B71&amp;$D71, 'NCAAT Simulations'!$C$2:$H$9999, 4,FALSE), 1)&gt;0, _xlfn.CONCAT("+",ROUND(VLOOKUP($B71&amp;$D71, 'NCAAT Simulations'!$C$2:$H$9999, 4,FALSE), 1)), ROUND(VLOOKUP($B71&amp;$D71, 'NCAAT Simulations'!$C$2:$H$9999, 4,FALSE), 1)), "")</f>
        <v/>
      </c>
      <c r="H71" s="7" t="e">
        <f>IF(G71&lt;0,(VLOOKUP($B71&amp;$D71, 'NCAAT Simulations'!$C$2:$I$9999, 6,FALSE)/138.8)*G71, _xlfn.CONCAT("+", ROUND((VLOOKUP($B71&amp;$D71, 'NCAAT Simulations'!$C$2:$I$9999, 6,FALSE)/138.8)*G71, 1)))</f>
        <v>#N/A</v>
      </c>
      <c r="I71" s="3" t="str">
        <f>_xlfn.IFNA(IF(ABS(VLOOKUP($B71&amp;$D71, 'NCAAT Simulations'!$C$2:$H$9999, 5,FALSE))&gt;10000,_xlfn.FLOOR.MATH(VLOOKUP($B71&amp;$D71, 'NCAAT Simulations'!$C$2:$H$9999, 5,FALSE), 1000), IF(ABS(VLOOKUP($B71&amp;$D71, 'NCAAT Simulations'!$C$2:$H$9999, 5,FALSE))&gt;1000,_xlfn.FLOOR.MATH(VLOOKUP($B71&amp;$D71, 'NCAAT Simulations'!$C$2:$H$9999, 5,FALSE), 100), _xlfn.FLOOR.MATH(VLOOKUP($B71&amp;$D71, 'NCAAT Simulations'!$C$2:$H$9999, 5,FALSE), 10))), "")</f>
        <v/>
      </c>
      <c r="J71" s="1" t="str">
        <f>_xlfn.IFNA(VLOOKUP($B71&amp;$D71, 'NCAAT Simulations'!$C$2:$I$9999, 7,FALSE), "")</f>
        <v/>
      </c>
    </row>
    <row r="72" spans="5:10" x14ac:dyDescent="0.45">
      <c r="E72" t="str">
        <f>_xlfn.IFNA(VLOOKUP($B72&amp;$D72, 'NCAAT Simulations'!$C$2:$H$9999, 2,FALSE), "")</f>
        <v/>
      </c>
      <c r="F72" s="4" t="str">
        <f>_xlfn.IFNA(IF(VLOOKUP($B72&amp;$D72, 'NCAAT Simulations'!$C$2:$H$9999, 3,FALSE)&lt;50,1-VLOOKUP($B72&amp;$D72, 'NCAAT Simulations'!$C$2:$H$9999, 3,FALSE)/100, VLOOKUP($B72&amp;$D72, 'NCAAT Simulations'!$C$2:$H$9999, 3,FALSE)/100), "")</f>
        <v/>
      </c>
      <c r="G72" s="2" t="str">
        <f>_xlfn.IFNA(IF(ROUND(VLOOKUP($B72&amp;$D72, 'NCAAT Simulations'!$C$2:$H$9999, 4,FALSE), 1)&gt;0, _xlfn.CONCAT("+",ROUND(VLOOKUP($B72&amp;$D72, 'NCAAT Simulations'!$C$2:$H$9999, 4,FALSE), 1)), ROUND(VLOOKUP($B72&amp;$D72, 'NCAAT Simulations'!$C$2:$H$9999, 4,FALSE), 1)), "")</f>
        <v/>
      </c>
      <c r="H72" s="7" t="e">
        <f>IF(G72&lt;0,(VLOOKUP($B72&amp;$D72, 'NCAAT Simulations'!$C$2:$I$9999, 6,FALSE)/138.8)*G72, _xlfn.CONCAT("+", ROUND((VLOOKUP($B72&amp;$D72, 'NCAAT Simulations'!$C$2:$I$9999, 6,FALSE)/138.8)*G72, 1)))</f>
        <v>#N/A</v>
      </c>
      <c r="I72" s="3" t="str">
        <f>_xlfn.IFNA(IF(ABS(VLOOKUP($B72&amp;$D72, 'NCAAT Simulations'!$C$2:$H$9999, 5,FALSE))&gt;10000,_xlfn.FLOOR.MATH(VLOOKUP($B72&amp;$D72, 'NCAAT Simulations'!$C$2:$H$9999, 5,FALSE), 1000), IF(ABS(VLOOKUP($B72&amp;$D72, 'NCAAT Simulations'!$C$2:$H$9999, 5,FALSE))&gt;1000,_xlfn.FLOOR.MATH(VLOOKUP($B72&amp;$D72, 'NCAAT Simulations'!$C$2:$H$9999, 5,FALSE), 100), _xlfn.FLOOR.MATH(VLOOKUP($B72&amp;$D72, 'NCAAT Simulations'!$C$2:$H$9999, 5,FALSE), 10))), "")</f>
        <v/>
      </c>
      <c r="J72" s="1" t="str">
        <f>_xlfn.IFNA(VLOOKUP($B72&amp;$D72, 'NCAAT Simulations'!$C$2:$I$9999, 7,FALSE), "")</f>
        <v/>
      </c>
    </row>
    <row r="73" spans="5:10" x14ac:dyDescent="0.45">
      <c r="E73" t="str">
        <f>_xlfn.IFNA(VLOOKUP($B73&amp;$D73, 'NCAAT Simulations'!$C$2:$H$9999, 2,FALSE), "")</f>
        <v/>
      </c>
      <c r="F73" s="4" t="str">
        <f>_xlfn.IFNA(IF(VLOOKUP($B73&amp;$D73, 'NCAAT Simulations'!$C$2:$H$9999, 3,FALSE)&lt;50,1-VLOOKUP($B73&amp;$D73, 'NCAAT Simulations'!$C$2:$H$9999, 3,FALSE)/100, VLOOKUP($B73&amp;$D73, 'NCAAT Simulations'!$C$2:$H$9999, 3,FALSE)/100), "")</f>
        <v/>
      </c>
      <c r="G73" s="2" t="str">
        <f>_xlfn.IFNA(IF(ROUND(VLOOKUP($B73&amp;$D73, 'NCAAT Simulations'!$C$2:$H$9999, 4,FALSE), 1)&gt;0, _xlfn.CONCAT("+",ROUND(VLOOKUP($B73&amp;$D73, 'NCAAT Simulations'!$C$2:$H$9999, 4,FALSE), 1)), ROUND(VLOOKUP($B73&amp;$D73, 'NCAAT Simulations'!$C$2:$H$9999, 4,FALSE), 1)), "")</f>
        <v/>
      </c>
      <c r="H73" s="7" t="e">
        <f>IF(G73&lt;0,(VLOOKUP($B73&amp;$D73, 'NCAAT Simulations'!$C$2:$I$9999, 6,FALSE)/138.8)*G73, _xlfn.CONCAT("+", ROUND((VLOOKUP($B73&amp;$D73, 'NCAAT Simulations'!$C$2:$I$9999, 6,FALSE)/138.8)*G73, 1)))</f>
        <v>#N/A</v>
      </c>
      <c r="I73" s="3" t="str">
        <f>_xlfn.IFNA(IF(ABS(VLOOKUP($B73&amp;$D73, 'NCAAT Simulations'!$C$2:$H$9999, 5,FALSE))&gt;10000,_xlfn.FLOOR.MATH(VLOOKUP($B73&amp;$D73, 'NCAAT Simulations'!$C$2:$H$9999, 5,FALSE), 1000), IF(ABS(VLOOKUP($B73&amp;$D73, 'NCAAT Simulations'!$C$2:$H$9999, 5,FALSE))&gt;1000,_xlfn.FLOOR.MATH(VLOOKUP($B73&amp;$D73, 'NCAAT Simulations'!$C$2:$H$9999, 5,FALSE), 100), _xlfn.FLOOR.MATH(VLOOKUP($B73&amp;$D73, 'NCAAT Simulations'!$C$2:$H$9999, 5,FALSE), 10))), "")</f>
        <v/>
      </c>
      <c r="J73" s="1" t="str">
        <f>_xlfn.IFNA(VLOOKUP($B73&amp;$D73, 'NCAAT Simulations'!$C$2:$I$9999, 7,FALSE), "")</f>
        <v/>
      </c>
    </row>
    <row r="74" spans="5:10" x14ac:dyDescent="0.45">
      <c r="E74" t="str">
        <f>_xlfn.IFNA(VLOOKUP($B74&amp;$D74, 'NCAAT Simulations'!$C$2:$H$9999, 2,FALSE), "")</f>
        <v/>
      </c>
      <c r="F74" s="4"/>
      <c r="G74" s="2"/>
      <c r="H74" s="7"/>
      <c r="I74" s="3"/>
      <c r="J74" s="1"/>
    </row>
    <row r="75" spans="5:10" x14ac:dyDescent="0.45">
      <c r="E75" t="str">
        <f>_xlfn.IFNA(VLOOKUP($B75&amp;$D75, 'NCAAT Simulations'!$C$2:$H$9999, 2,FALSE), "")</f>
        <v/>
      </c>
      <c r="F75" s="4"/>
      <c r="G75" s="2"/>
      <c r="H75" s="7"/>
      <c r="I75" s="3"/>
      <c r="J75" s="1"/>
    </row>
    <row r="76" spans="5:10" x14ac:dyDescent="0.45">
      <c r="E76" t="str">
        <f>_xlfn.IFNA(VLOOKUP($B76&amp;$D76, 'NCAAT Simulations'!$C$2:$H$9999, 2,FALSE), "")</f>
        <v/>
      </c>
      <c r="F76" s="4"/>
      <c r="G76" s="2"/>
      <c r="H76" s="7"/>
      <c r="I76" s="3"/>
      <c r="J76" s="1"/>
    </row>
    <row r="77" spans="5:10" x14ac:dyDescent="0.45">
      <c r="E77" t="str">
        <f>_xlfn.IFNA(VLOOKUP($B77&amp;$D77, 'NCAAT Simulations'!$C$2:$H$9999, 2,FALSE), "")</f>
        <v/>
      </c>
      <c r="F77" s="4"/>
      <c r="G77" s="2"/>
      <c r="H77" s="7"/>
      <c r="I77" s="3"/>
      <c r="J77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D31A54-862F-4296-B9E6-A927CBF3FBDB}">
          <x14:formula1>
            <xm:f>'NCAAT Simulations'!$A$2:$A$4490</xm:f>
          </x14:formula1>
          <xm:sqref>B2:B77</xm:sqref>
        </x14:dataValidation>
        <x14:dataValidation type="list" allowBlank="1" showInputMessage="1" showErrorMessage="1" xr:uid="{70694E05-2BDA-41E3-BAD8-4E06816AD728}">
          <x14:formula1>
            <xm:f>'NCAAT Simulations'!$B$2:$B$4490</xm:f>
          </x14:formula1>
          <xm:sqref>D2:D77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5"/>
  <sheetViews>
    <sheetView workbookViewId="0">
      <selection activeCell="K1" sqref="K1:Q1048576"/>
    </sheetView>
  </sheetViews>
  <sheetFormatPr defaultColWidth="10.6640625" defaultRowHeight="14.25" x14ac:dyDescent="0.45"/>
  <cols>
    <col min="3" max="3" width="10.6640625" customWidth="1"/>
    <col min="9" max="9" width="11.59765625" bestFit="1" customWidth="1"/>
  </cols>
  <sheetData>
    <row r="1" spans="1:9" x14ac:dyDescent="0.45">
      <c r="A1" t="s">
        <v>0</v>
      </c>
      <c r="B1" t="s">
        <v>1</v>
      </c>
      <c r="C1" t="s">
        <v>74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84</v>
      </c>
    </row>
    <row r="2" spans="1:9" x14ac:dyDescent="0.45">
      <c r="A2" t="s">
        <v>7</v>
      </c>
      <c r="B2" t="s">
        <v>7</v>
      </c>
      <c r="C2" t="str">
        <f>A2&amp;B2</f>
        <v>AkronAkron</v>
      </c>
      <c r="D2" t="s">
        <v>7</v>
      </c>
      <c r="E2">
        <v>41.2</v>
      </c>
      <c r="F2">
        <v>2.3283018867924499</v>
      </c>
      <c r="G2">
        <v>142.64273539779199</v>
      </c>
      <c r="H2">
        <v>138.77771517530499</v>
      </c>
      <c r="I2" s="1">
        <f>18*(H2-AVERAGE($H$2:$H$4625))/_xlfn.STDEV.P($H$2:$H$4625)+AVERAGE($H$2:$H$4625)</f>
        <v>138.77771517530277</v>
      </c>
    </row>
    <row r="3" spans="1:9" x14ac:dyDescent="0.45">
      <c r="A3" t="s">
        <v>8</v>
      </c>
      <c r="B3" t="s">
        <v>7</v>
      </c>
      <c r="C3" t="str">
        <f t="shared" ref="C3:C66" si="0">A3&amp;B3</f>
        <v>AlabamaAkron</v>
      </c>
      <c r="D3" t="s">
        <v>8</v>
      </c>
      <c r="E3">
        <v>98.1</v>
      </c>
      <c r="F3">
        <v>-25.845283018867899</v>
      </c>
      <c r="G3">
        <v>-5155.5382625775601</v>
      </c>
      <c r="H3">
        <v>140.52581118744499</v>
      </c>
      <c r="I3" s="1">
        <f t="shared" ref="I3:I66" si="1">18*(H3-AVERAGE($H$2:$H$4625))/_xlfn.STDEV.P($H$2:$H$4625)+AVERAGE($H$2:$H$4625)</f>
        <v>163.39280462808372</v>
      </c>
    </row>
    <row r="4" spans="1:9" x14ac:dyDescent="0.45">
      <c r="A4" t="s">
        <v>9</v>
      </c>
      <c r="B4" t="s">
        <v>7</v>
      </c>
      <c r="C4" t="str">
        <f t="shared" si="0"/>
        <v>Alabama St.Akron</v>
      </c>
      <c r="D4" t="s">
        <v>7</v>
      </c>
      <c r="E4">
        <v>9.9</v>
      </c>
      <c r="F4">
        <v>14.4679245283019</v>
      </c>
      <c r="G4">
        <v>908.894312642317</v>
      </c>
      <c r="H4">
        <v>139.00455603111899</v>
      </c>
      <c r="I4" s="1">
        <f t="shared" si="1"/>
        <v>141.97188066657438</v>
      </c>
    </row>
    <row r="5" spans="1:9" x14ac:dyDescent="0.45">
      <c r="A5" t="s">
        <v>10</v>
      </c>
      <c r="B5" t="s">
        <v>7</v>
      </c>
      <c r="C5" t="str">
        <f t="shared" si="0"/>
        <v>AmericanAkron</v>
      </c>
      <c r="D5" t="s">
        <v>7</v>
      </c>
      <c r="E5">
        <v>11.8</v>
      </c>
      <c r="F5">
        <v>13.203773584905701</v>
      </c>
      <c r="G5">
        <v>749.57616065237403</v>
      </c>
      <c r="H5">
        <v>139.09564191272301</v>
      </c>
      <c r="I5" s="1">
        <f t="shared" si="1"/>
        <v>143.2544687555567</v>
      </c>
    </row>
    <row r="6" spans="1:9" x14ac:dyDescent="0.45">
      <c r="A6" t="s">
        <v>11</v>
      </c>
      <c r="B6" t="s">
        <v>7</v>
      </c>
      <c r="C6" t="str">
        <f t="shared" si="0"/>
        <v>ArizonaAkron</v>
      </c>
      <c r="D6" t="s">
        <v>11</v>
      </c>
      <c r="E6">
        <v>97.3</v>
      </c>
      <c r="F6">
        <v>-23.603773584905699</v>
      </c>
      <c r="G6">
        <v>-3662.99060665555</v>
      </c>
      <c r="H6">
        <v>140.288170006435</v>
      </c>
      <c r="I6" s="1">
        <f t="shared" si="1"/>
        <v>160.04655883403007</v>
      </c>
    </row>
    <row r="7" spans="1:9" x14ac:dyDescent="0.45">
      <c r="A7" t="s">
        <v>12</v>
      </c>
      <c r="B7" t="s">
        <v>7</v>
      </c>
      <c r="C7" t="str">
        <f t="shared" si="0"/>
        <v>ArkansasAkron</v>
      </c>
      <c r="D7" t="s">
        <v>12</v>
      </c>
      <c r="E7">
        <v>68.900000000000006</v>
      </c>
      <c r="F7">
        <v>-5.2113207547169802</v>
      </c>
      <c r="G7">
        <v>-221.486706023728</v>
      </c>
      <c r="H7">
        <v>138.40577384029299</v>
      </c>
      <c r="I7" s="1">
        <f t="shared" si="1"/>
        <v>133.54037742673185</v>
      </c>
    </row>
    <row r="8" spans="1:9" x14ac:dyDescent="0.45">
      <c r="A8" t="s">
        <v>13</v>
      </c>
      <c r="B8" t="s">
        <v>7</v>
      </c>
      <c r="C8" t="str">
        <f t="shared" si="0"/>
        <v>AuburnAkron</v>
      </c>
      <c r="D8" t="s">
        <v>13</v>
      </c>
      <c r="E8">
        <v>99</v>
      </c>
      <c r="F8">
        <v>-30.256603773584899</v>
      </c>
      <c r="G8">
        <v>-10103.5811792565</v>
      </c>
      <c r="H8">
        <v>141.54449324555401</v>
      </c>
      <c r="I8" s="1">
        <f t="shared" si="1"/>
        <v>177.73695381105691</v>
      </c>
    </row>
    <row r="9" spans="1:9" x14ac:dyDescent="0.45">
      <c r="A9" t="s">
        <v>14</v>
      </c>
      <c r="B9" t="s">
        <v>7</v>
      </c>
      <c r="C9" t="str">
        <f t="shared" si="0"/>
        <v>BaylorAkron</v>
      </c>
      <c r="D9" t="s">
        <v>14</v>
      </c>
      <c r="E9">
        <v>91.4</v>
      </c>
      <c r="F9">
        <v>-15.5245283018868</v>
      </c>
      <c r="G9">
        <v>-1067.7943939991201</v>
      </c>
      <c r="H9">
        <v>140.07949125827901</v>
      </c>
      <c r="I9" s="1">
        <f t="shared" si="1"/>
        <v>157.10813553400445</v>
      </c>
    </row>
    <row r="10" spans="1:9" x14ac:dyDescent="0.45">
      <c r="A10" t="s">
        <v>15</v>
      </c>
      <c r="B10" t="s">
        <v>7</v>
      </c>
      <c r="C10" t="str">
        <f t="shared" si="0"/>
        <v>BryantAkron</v>
      </c>
      <c r="D10" t="s">
        <v>7</v>
      </c>
      <c r="E10">
        <v>32.6</v>
      </c>
      <c r="F10">
        <v>4.7622641509434001</v>
      </c>
      <c r="G10">
        <v>206.75332775590201</v>
      </c>
      <c r="H10">
        <v>139.62848900817301</v>
      </c>
      <c r="I10" s="1">
        <f t="shared" si="1"/>
        <v>150.75753427831344</v>
      </c>
    </row>
    <row r="11" spans="1:9" x14ac:dyDescent="0.45">
      <c r="A11" t="s">
        <v>16</v>
      </c>
      <c r="B11" t="s">
        <v>7</v>
      </c>
      <c r="C11" t="str">
        <f t="shared" si="0"/>
        <v>BYUAkron</v>
      </c>
      <c r="D11" t="s">
        <v>16</v>
      </c>
      <c r="E11">
        <v>92.9</v>
      </c>
      <c r="F11">
        <v>-16.818867924528298</v>
      </c>
      <c r="G11">
        <v>-1300.84100878405</v>
      </c>
      <c r="H11">
        <v>139.88900948639699</v>
      </c>
      <c r="I11" s="1">
        <f t="shared" si="1"/>
        <v>154.42594541318823</v>
      </c>
    </row>
    <row r="12" spans="1:9" x14ac:dyDescent="0.45">
      <c r="A12" t="s">
        <v>17</v>
      </c>
      <c r="B12" t="s">
        <v>7</v>
      </c>
      <c r="C12" t="str">
        <f t="shared" si="0"/>
        <v>ClemsonAkron</v>
      </c>
      <c r="D12" t="s">
        <v>17</v>
      </c>
      <c r="E12">
        <v>94.3</v>
      </c>
      <c r="F12">
        <v>-18.445283018867901</v>
      </c>
      <c r="G12">
        <v>-1666.77027075004</v>
      </c>
      <c r="H12">
        <v>140.11092134268799</v>
      </c>
      <c r="I12" s="1">
        <f t="shared" si="1"/>
        <v>157.55070524062396</v>
      </c>
    </row>
    <row r="13" spans="1:9" x14ac:dyDescent="0.45">
      <c r="A13" t="s">
        <v>18</v>
      </c>
      <c r="B13" t="s">
        <v>7</v>
      </c>
      <c r="C13" t="str">
        <f t="shared" si="0"/>
        <v>Colorado St.Akron</v>
      </c>
      <c r="D13" t="s">
        <v>18</v>
      </c>
      <c r="E13">
        <v>73.3</v>
      </c>
      <c r="F13">
        <v>-6.6037735849056602</v>
      </c>
      <c r="G13">
        <v>-273.86353872295501</v>
      </c>
      <c r="H13">
        <v>139.41831319079401</v>
      </c>
      <c r="I13" s="1">
        <f t="shared" si="1"/>
        <v>147.79803061852189</v>
      </c>
    </row>
    <row r="14" spans="1:9" x14ac:dyDescent="0.45">
      <c r="A14" t="s">
        <v>19</v>
      </c>
      <c r="B14" t="s">
        <v>7</v>
      </c>
      <c r="C14" t="str">
        <f t="shared" si="0"/>
        <v>ConnecticutAkron</v>
      </c>
      <c r="D14" t="s">
        <v>19</v>
      </c>
      <c r="E14">
        <v>96.6</v>
      </c>
      <c r="F14">
        <v>-21.905660377358501</v>
      </c>
      <c r="G14">
        <v>-2827.0354639064099</v>
      </c>
      <c r="H14">
        <v>140.05386509313001</v>
      </c>
      <c r="I14" s="1">
        <f t="shared" si="1"/>
        <v>156.7472913108648</v>
      </c>
    </row>
    <row r="15" spans="1:9" x14ac:dyDescent="0.45">
      <c r="A15" t="s">
        <v>20</v>
      </c>
      <c r="B15" t="s">
        <v>7</v>
      </c>
      <c r="C15" t="str">
        <f t="shared" si="0"/>
        <v>CreightonAkron</v>
      </c>
      <c r="D15" t="s">
        <v>20</v>
      </c>
      <c r="E15">
        <v>89.7</v>
      </c>
      <c r="F15">
        <v>-14.215094339622601</v>
      </c>
      <c r="G15">
        <v>-874.48271449834203</v>
      </c>
      <c r="H15">
        <v>139.526807455393</v>
      </c>
      <c r="I15" s="1">
        <f t="shared" si="1"/>
        <v>149.32574763730764</v>
      </c>
    </row>
    <row r="16" spans="1:9" x14ac:dyDescent="0.45">
      <c r="A16" t="s">
        <v>21</v>
      </c>
      <c r="B16" t="s">
        <v>7</v>
      </c>
      <c r="C16" t="str">
        <f t="shared" si="0"/>
        <v>DrakeAkron</v>
      </c>
      <c r="D16" t="s">
        <v>21</v>
      </c>
      <c r="E16">
        <v>73.099999999999994</v>
      </c>
      <c r="F16">
        <v>-6.5547169811320796</v>
      </c>
      <c r="G16">
        <v>-271.754233253672</v>
      </c>
      <c r="H16">
        <v>139.58027255954801</v>
      </c>
      <c r="I16" s="1">
        <f t="shared" si="1"/>
        <v>150.0785943415151</v>
      </c>
    </row>
    <row r="17" spans="1:9" x14ac:dyDescent="0.45">
      <c r="A17" t="s">
        <v>22</v>
      </c>
      <c r="B17" t="s">
        <v>7</v>
      </c>
      <c r="C17" t="str">
        <f t="shared" si="0"/>
        <v>DukeAkron</v>
      </c>
      <c r="D17" t="s">
        <v>22</v>
      </c>
      <c r="E17">
        <v>99.3</v>
      </c>
      <c r="F17">
        <v>-32.766037735849103</v>
      </c>
      <c r="G17">
        <v>-14814.423457482901</v>
      </c>
      <c r="H17">
        <v>141.86759302100401</v>
      </c>
      <c r="I17" s="1">
        <f t="shared" si="1"/>
        <v>182.28654938226308</v>
      </c>
    </row>
    <row r="18" spans="1:9" x14ac:dyDescent="0.45">
      <c r="A18" t="s">
        <v>23</v>
      </c>
      <c r="B18" t="s">
        <v>7</v>
      </c>
      <c r="C18" t="str">
        <f t="shared" si="0"/>
        <v>FloridaAkron</v>
      </c>
      <c r="D18" t="s">
        <v>23</v>
      </c>
      <c r="E18">
        <v>98.8</v>
      </c>
      <c r="F18">
        <v>-28.864150943396201</v>
      </c>
      <c r="G18">
        <v>-8172.1838595978097</v>
      </c>
      <c r="H18">
        <v>141.59134929694599</v>
      </c>
      <c r="I18" s="1">
        <f t="shared" si="1"/>
        <v>178.39673787806925</v>
      </c>
    </row>
    <row r="19" spans="1:9" x14ac:dyDescent="0.45">
      <c r="A19" t="s">
        <v>24</v>
      </c>
      <c r="B19" t="s">
        <v>7</v>
      </c>
      <c r="C19" t="str">
        <f t="shared" si="0"/>
        <v>GeorgiaAkron</v>
      </c>
      <c r="D19" t="s">
        <v>24</v>
      </c>
      <c r="E19">
        <v>75.400000000000006</v>
      </c>
      <c r="F19">
        <v>-7.35849056603774</v>
      </c>
      <c r="G19">
        <v>-307.25813975295699</v>
      </c>
      <c r="H19">
        <v>138.73316282129099</v>
      </c>
      <c r="I19" s="1">
        <f t="shared" si="1"/>
        <v>138.15036966809342</v>
      </c>
    </row>
    <row r="20" spans="1:9" x14ac:dyDescent="0.45">
      <c r="A20" t="s">
        <v>25</v>
      </c>
      <c r="B20" t="s">
        <v>7</v>
      </c>
      <c r="C20" t="str">
        <f t="shared" si="0"/>
        <v>GonzagaAkron</v>
      </c>
      <c r="D20" t="s">
        <v>25</v>
      </c>
      <c r="E20">
        <v>94.5</v>
      </c>
      <c r="F20">
        <v>-18.686792452830201</v>
      </c>
      <c r="G20">
        <v>-1729.5162785960599</v>
      </c>
      <c r="H20">
        <v>140.870803940819</v>
      </c>
      <c r="I20" s="1">
        <f t="shared" si="1"/>
        <v>168.25067709383393</v>
      </c>
    </row>
    <row r="21" spans="1:9" x14ac:dyDescent="0.45">
      <c r="A21" t="s">
        <v>26</v>
      </c>
      <c r="B21" t="s">
        <v>7</v>
      </c>
      <c r="C21" t="str">
        <f t="shared" si="0"/>
        <v>Grand CanyonAkron</v>
      </c>
      <c r="D21" t="s">
        <v>26</v>
      </c>
      <c r="E21">
        <v>62.8</v>
      </c>
      <c r="F21">
        <v>-3.4377358490566001</v>
      </c>
      <c r="G21">
        <v>-168.90482562596401</v>
      </c>
      <c r="H21">
        <v>139.522772187123</v>
      </c>
      <c r="I21" s="1">
        <f t="shared" si="1"/>
        <v>149.26892667968158</v>
      </c>
    </row>
    <row r="22" spans="1:9" x14ac:dyDescent="0.45">
      <c r="A22" t="s">
        <v>27</v>
      </c>
      <c r="B22" t="s">
        <v>7</v>
      </c>
      <c r="C22" t="str">
        <f t="shared" si="0"/>
        <v>High PointAkron</v>
      </c>
      <c r="D22" t="s">
        <v>27</v>
      </c>
      <c r="E22">
        <v>52.5</v>
      </c>
      <c r="F22">
        <v>-0.66415094339622605</v>
      </c>
      <c r="G22">
        <v>-110.65371237097</v>
      </c>
      <c r="H22">
        <v>139.803663934779</v>
      </c>
      <c r="I22" s="1">
        <f t="shared" si="1"/>
        <v>153.22418740168061</v>
      </c>
    </row>
    <row r="23" spans="1:9" x14ac:dyDescent="0.45">
      <c r="A23" t="s">
        <v>28</v>
      </c>
      <c r="B23" t="s">
        <v>7</v>
      </c>
      <c r="C23" t="str">
        <f t="shared" si="0"/>
        <v>HoustonAkron</v>
      </c>
      <c r="D23" t="s">
        <v>28</v>
      </c>
      <c r="E23">
        <v>99.6</v>
      </c>
      <c r="F23">
        <v>-36.279245283018902</v>
      </c>
      <c r="G23">
        <v>-25320.483862240199</v>
      </c>
      <c r="H23">
        <v>142.01125737063299</v>
      </c>
      <c r="I23" s="1">
        <f t="shared" si="1"/>
        <v>184.30949937627616</v>
      </c>
    </row>
    <row r="24" spans="1:9" x14ac:dyDescent="0.45">
      <c r="A24" t="s">
        <v>29</v>
      </c>
      <c r="B24" t="s">
        <v>7</v>
      </c>
      <c r="C24" t="str">
        <f t="shared" si="0"/>
        <v>IllinoisAkron</v>
      </c>
      <c r="D24" t="s">
        <v>29</v>
      </c>
      <c r="E24">
        <v>96.2</v>
      </c>
      <c r="F24">
        <v>-21.166037735849098</v>
      </c>
      <c r="G24">
        <v>-2525.6278182461701</v>
      </c>
      <c r="H24">
        <v>140.06150252456999</v>
      </c>
      <c r="I24" s="1">
        <f t="shared" si="1"/>
        <v>156.85483463616208</v>
      </c>
    </row>
    <row r="25" spans="1:9" x14ac:dyDescent="0.45">
      <c r="A25" t="s">
        <v>30</v>
      </c>
      <c r="B25" t="s">
        <v>7</v>
      </c>
      <c r="C25" t="str">
        <f t="shared" si="0"/>
        <v>Iowa St.Akron</v>
      </c>
      <c r="D25" t="s">
        <v>30</v>
      </c>
      <c r="E25">
        <v>98.2</v>
      </c>
      <c r="F25">
        <v>-26.052830188679199</v>
      </c>
      <c r="G25">
        <v>-5319.9767155832697</v>
      </c>
      <c r="H25">
        <v>140.98777110292801</v>
      </c>
      <c r="I25" s="1">
        <f t="shared" si="1"/>
        <v>169.89770170710244</v>
      </c>
    </row>
    <row r="26" spans="1:9" x14ac:dyDescent="0.45">
      <c r="A26" t="s">
        <v>31</v>
      </c>
      <c r="B26" t="s">
        <v>7</v>
      </c>
      <c r="C26" t="str">
        <f t="shared" si="0"/>
        <v>KansasAkron</v>
      </c>
      <c r="D26" t="s">
        <v>31</v>
      </c>
      <c r="E26">
        <v>93.9</v>
      </c>
      <c r="F26">
        <v>-17.947169811320801</v>
      </c>
      <c r="G26">
        <v>-1545.6040419972101</v>
      </c>
      <c r="H26">
        <v>139.94316138724</v>
      </c>
      <c r="I26" s="1">
        <f t="shared" si="1"/>
        <v>155.18846296029767</v>
      </c>
    </row>
    <row r="27" spans="1:9" x14ac:dyDescent="0.45">
      <c r="A27" t="s">
        <v>32</v>
      </c>
      <c r="B27" t="s">
        <v>7</v>
      </c>
      <c r="C27" t="str">
        <f t="shared" si="0"/>
        <v>KentuckyAkron</v>
      </c>
      <c r="D27" t="s">
        <v>32</v>
      </c>
      <c r="E27">
        <v>96.3</v>
      </c>
      <c r="F27">
        <v>-21.377358490565999</v>
      </c>
      <c r="G27">
        <v>-2607.3996857781299</v>
      </c>
      <c r="H27">
        <v>139.890198987632</v>
      </c>
      <c r="I27" s="1">
        <f t="shared" si="1"/>
        <v>154.44269488181055</v>
      </c>
    </row>
    <row r="28" spans="1:9" x14ac:dyDescent="0.45">
      <c r="A28" t="s">
        <v>33</v>
      </c>
      <c r="B28" t="s">
        <v>7</v>
      </c>
      <c r="C28" t="str">
        <f t="shared" si="0"/>
        <v>LibertyAkron</v>
      </c>
      <c r="D28" t="s">
        <v>7</v>
      </c>
      <c r="E28">
        <v>42</v>
      </c>
      <c r="F28">
        <v>2.11320754716981</v>
      </c>
      <c r="G28">
        <v>138.02331991041399</v>
      </c>
      <c r="H28">
        <v>139.099135236031</v>
      </c>
      <c r="I28" s="1">
        <f t="shared" si="1"/>
        <v>143.30365853982286</v>
      </c>
    </row>
    <row r="29" spans="1:9" x14ac:dyDescent="0.45">
      <c r="A29" t="s">
        <v>34</v>
      </c>
      <c r="B29" t="s">
        <v>7</v>
      </c>
      <c r="C29" t="str">
        <f t="shared" si="0"/>
        <v>LipscombAkron</v>
      </c>
      <c r="D29" t="s">
        <v>7</v>
      </c>
      <c r="E29">
        <v>35.700000000000003</v>
      </c>
      <c r="F29">
        <v>3.8566037735849101</v>
      </c>
      <c r="G29">
        <v>180.04551968871701</v>
      </c>
      <c r="H29">
        <v>139.53105546728901</v>
      </c>
      <c r="I29" s="1">
        <f t="shared" si="1"/>
        <v>149.3855642561264</v>
      </c>
    </row>
    <row r="30" spans="1:9" x14ac:dyDescent="0.45">
      <c r="A30" t="s">
        <v>35</v>
      </c>
      <c r="B30" t="s">
        <v>7</v>
      </c>
      <c r="C30" t="str">
        <f t="shared" si="0"/>
        <v>LouisvilleAkron</v>
      </c>
      <c r="D30" t="s">
        <v>35</v>
      </c>
      <c r="E30">
        <v>58.5</v>
      </c>
      <c r="F30">
        <v>-2.2528301886792499</v>
      </c>
      <c r="G30">
        <v>-141.00384411955201</v>
      </c>
      <c r="H30">
        <v>138.81677877925699</v>
      </c>
      <c r="I30" s="1">
        <f t="shared" si="1"/>
        <v>139.32777312346397</v>
      </c>
    </row>
    <row r="31" spans="1:9" x14ac:dyDescent="0.45">
      <c r="A31" t="s">
        <v>36</v>
      </c>
      <c r="B31" t="s">
        <v>7</v>
      </c>
      <c r="C31" t="str">
        <f t="shared" si="0"/>
        <v>MarquetteAkron</v>
      </c>
      <c r="D31" t="s">
        <v>36</v>
      </c>
      <c r="E31">
        <v>95.2</v>
      </c>
      <c r="F31">
        <v>-19.5962264150943</v>
      </c>
      <c r="G31">
        <v>-1987.6337338907599</v>
      </c>
      <c r="H31">
        <v>140.14853541416201</v>
      </c>
      <c r="I31" s="1">
        <f t="shared" si="1"/>
        <v>158.08035219799157</v>
      </c>
    </row>
    <row r="32" spans="1:9" x14ac:dyDescent="0.45">
      <c r="A32" t="s">
        <v>37</v>
      </c>
      <c r="B32" t="s">
        <v>7</v>
      </c>
      <c r="C32" t="str">
        <f t="shared" si="0"/>
        <v>MarylandAkron</v>
      </c>
      <c r="D32" t="s">
        <v>37</v>
      </c>
      <c r="E32">
        <v>93.1</v>
      </c>
      <c r="F32">
        <v>-17.052830188679199</v>
      </c>
      <c r="G32">
        <v>-1348.3169706246299</v>
      </c>
      <c r="H32">
        <v>139.75847472583999</v>
      </c>
      <c r="I32" s="1">
        <f t="shared" si="1"/>
        <v>152.58787428580524</v>
      </c>
    </row>
    <row r="33" spans="1:9" x14ac:dyDescent="0.45">
      <c r="A33" t="s">
        <v>38</v>
      </c>
      <c r="B33" t="s">
        <v>7</v>
      </c>
      <c r="C33" t="str">
        <f t="shared" si="0"/>
        <v>McNeese St.Akron</v>
      </c>
      <c r="D33" t="s">
        <v>38</v>
      </c>
      <c r="E33">
        <v>70.599999999999994</v>
      </c>
      <c r="F33">
        <v>-5.7471698113207497</v>
      </c>
      <c r="G33">
        <v>-240.238628184307</v>
      </c>
      <c r="H33">
        <v>139.59388634004199</v>
      </c>
      <c r="I33" s="1">
        <f t="shared" si="1"/>
        <v>150.27029114896888</v>
      </c>
    </row>
    <row r="34" spans="1:9" x14ac:dyDescent="0.45">
      <c r="A34" t="s">
        <v>39</v>
      </c>
      <c r="B34" t="s">
        <v>7</v>
      </c>
      <c r="C34" t="str">
        <f t="shared" si="0"/>
        <v>MemphisAkron</v>
      </c>
      <c r="D34" t="s">
        <v>39</v>
      </c>
      <c r="E34">
        <v>87.4</v>
      </c>
      <c r="F34">
        <v>-12.667924528301899</v>
      </c>
      <c r="G34">
        <v>-690.59828654758405</v>
      </c>
      <c r="H34">
        <v>138.73610953886001</v>
      </c>
      <c r="I34" s="1">
        <f t="shared" si="1"/>
        <v>138.19186265020062</v>
      </c>
    </row>
    <row r="35" spans="1:9" x14ac:dyDescent="0.45">
      <c r="A35" t="s">
        <v>40</v>
      </c>
      <c r="B35" t="s">
        <v>7</v>
      </c>
      <c r="C35" t="str">
        <f t="shared" si="0"/>
        <v>MichiganAkron</v>
      </c>
      <c r="D35" t="s">
        <v>40</v>
      </c>
      <c r="E35">
        <v>78.5</v>
      </c>
      <c r="F35">
        <v>-8.4792452830188694</v>
      </c>
      <c r="G35">
        <v>-364.54945805319102</v>
      </c>
      <c r="H35">
        <v>138.39303062354301</v>
      </c>
      <c r="I35" s="1">
        <f t="shared" si="1"/>
        <v>133.36093910181228</v>
      </c>
    </row>
    <row r="36" spans="1:9" x14ac:dyDescent="0.45">
      <c r="A36" t="s">
        <v>41</v>
      </c>
      <c r="B36" t="s">
        <v>7</v>
      </c>
      <c r="C36" t="str">
        <f t="shared" si="0"/>
        <v>Michigan St.Akron</v>
      </c>
      <c r="D36" t="s">
        <v>41</v>
      </c>
      <c r="E36">
        <v>97.2</v>
      </c>
      <c r="F36">
        <v>-23.301886792452802</v>
      </c>
      <c r="G36">
        <v>-3498.0844679464999</v>
      </c>
      <c r="H36">
        <v>140.09192258437201</v>
      </c>
      <c r="I36" s="1">
        <f t="shared" si="1"/>
        <v>157.28318209990874</v>
      </c>
    </row>
    <row r="37" spans="1:9" x14ac:dyDescent="0.45">
      <c r="A37" t="s">
        <v>42</v>
      </c>
      <c r="B37" t="s">
        <v>7</v>
      </c>
      <c r="C37" t="str">
        <f t="shared" si="0"/>
        <v>MississippiAkron</v>
      </c>
      <c r="D37" t="s">
        <v>42</v>
      </c>
      <c r="E37">
        <v>90</v>
      </c>
      <c r="F37">
        <v>-14.3924528301887</v>
      </c>
      <c r="G37">
        <v>-898.48618081668701</v>
      </c>
      <c r="H37">
        <v>139.222843689467</v>
      </c>
      <c r="I37" s="1">
        <f t="shared" si="1"/>
        <v>145.04560785281538</v>
      </c>
    </row>
    <row r="38" spans="1:9" x14ac:dyDescent="0.45">
      <c r="A38" t="s">
        <v>43</v>
      </c>
      <c r="B38" t="s">
        <v>7</v>
      </c>
      <c r="C38" t="str">
        <f t="shared" si="0"/>
        <v>Mississippi St.Akron</v>
      </c>
      <c r="D38" t="s">
        <v>43</v>
      </c>
      <c r="E38">
        <v>87.1</v>
      </c>
      <c r="F38">
        <v>-12.5433962264151</v>
      </c>
      <c r="G38">
        <v>-677.67290187180799</v>
      </c>
      <c r="H38">
        <v>139.347215043256</v>
      </c>
      <c r="I38" s="1">
        <f t="shared" si="1"/>
        <v>146.7968915223731</v>
      </c>
    </row>
    <row r="39" spans="1:9" x14ac:dyDescent="0.45">
      <c r="A39" t="s">
        <v>44</v>
      </c>
      <c r="B39" t="s">
        <v>7</v>
      </c>
      <c r="C39" t="str">
        <f t="shared" si="0"/>
        <v>MissouriAkron</v>
      </c>
      <c r="D39" t="s">
        <v>44</v>
      </c>
      <c r="E39">
        <v>74.8</v>
      </c>
      <c r="F39">
        <v>-7.1320754716981103</v>
      </c>
      <c r="G39">
        <v>-296.770807818989</v>
      </c>
      <c r="H39">
        <v>138.61168697943</v>
      </c>
      <c r="I39" s="1">
        <f t="shared" si="1"/>
        <v>136.43985794963262</v>
      </c>
    </row>
    <row r="40" spans="1:9" x14ac:dyDescent="0.45">
      <c r="A40" t="s">
        <v>45</v>
      </c>
      <c r="B40" t="s">
        <v>7</v>
      </c>
      <c r="C40" t="str">
        <f t="shared" si="0"/>
        <v>MontanaAkron</v>
      </c>
      <c r="D40" t="s">
        <v>7</v>
      </c>
      <c r="E40">
        <v>22.4</v>
      </c>
      <c r="F40">
        <v>8.1245283018867909</v>
      </c>
      <c r="G40">
        <v>345.43862247137298</v>
      </c>
      <c r="H40">
        <v>137.92042170444901</v>
      </c>
      <c r="I40" s="1">
        <f t="shared" si="1"/>
        <v>126.7060924921918</v>
      </c>
    </row>
    <row r="41" spans="1:9" x14ac:dyDescent="0.45">
      <c r="A41" t="s">
        <v>46</v>
      </c>
      <c r="B41" t="s">
        <v>7</v>
      </c>
      <c r="C41" t="str">
        <f t="shared" si="0"/>
        <v>Mount St. Mary'sAkron</v>
      </c>
      <c r="D41" t="s">
        <v>7</v>
      </c>
      <c r="E41">
        <v>10.199999999999999</v>
      </c>
      <c r="F41">
        <v>14.2415094339623</v>
      </c>
      <c r="G41">
        <v>878.155830228176</v>
      </c>
      <c r="H41">
        <v>139.26829592639601</v>
      </c>
      <c r="I41" s="1">
        <f t="shared" si="1"/>
        <v>145.6856246883134</v>
      </c>
    </row>
    <row r="42" spans="1:9" x14ac:dyDescent="0.45">
      <c r="A42" t="s">
        <v>47</v>
      </c>
      <c r="B42" t="s">
        <v>7</v>
      </c>
      <c r="C42" t="str">
        <f t="shared" si="0"/>
        <v>Nebraska OmahaAkron</v>
      </c>
      <c r="D42" t="s">
        <v>7</v>
      </c>
      <c r="E42">
        <v>12.9</v>
      </c>
      <c r="F42">
        <v>12.5283018867925</v>
      </c>
      <c r="G42">
        <v>675.92922675325303</v>
      </c>
      <c r="H42">
        <v>138.55229710629601</v>
      </c>
      <c r="I42" s="1">
        <f t="shared" si="1"/>
        <v>135.60358406671645</v>
      </c>
    </row>
    <row r="43" spans="1:9" x14ac:dyDescent="0.45">
      <c r="A43" t="s">
        <v>48</v>
      </c>
      <c r="B43" t="s">
        <v>7</v>
      </c>
      <c r="C43" t="str">
        <f t="shared" si="0"/>
        <v>New MexicoAkron</v>
      </c>
      <c r="D43" t="s">
        <v>48</v>
      </c>
      <c r="E43">
        <v>79.099999999999994</v>
      </c>
      <c r="F43">
        <v>-8.7207547169811299</v>
      </c>
      <c r="G43">
        <v>-378.21112677466101</v>
      </c>
      <c r="H43">
        <v>139.43004145357199</v>
      </c>
      <c r="I43" s="1">
        <f t="shared" si="1"/>
        <v>147.96317728975777</v>
      </c>
    </row>
    <row r="44" spans="1:9" x14ac:dyDescent="0.45">
      <c r="A44" t="s">
        <v>49</v>
      </c>
      <c r="B44" t="s">
        <v>7</v>
      </c>
      <c r="C44" t="str">
        <f t="shared" si="0"/>
        <v>Norfolk St.Akron</v>
      </c>
      <c r="D44" t="s">
        <v>7</v>
      </c>
      <c r="E44">
        <v>17.899999999999999</v>
      </c>
      <c r="F44">
        <v>9.9924528301886806</v>
      </c>
      <c r="G44">
        <v>459.32342006716698</v>
      </c>
      <c r="H44">
        <v>138.442405115773</v>
      </c>
      <c r="I44" s="1">
        <f t="shared" si="1"/>
        <v>134.05618554965409</v>
      </c>
    </row>
    <row r="45" spans="1:9" x14ac:dyDescent="0.45">
      <c r="A45" t="s">
        <v>50</v>
      </c>
      <c r="B45" t="s">
        <v>7</v>
      </c>
      <c r="C45" t="str">
        <f t="shared" si="0"/>
        <v>North CarolinaAkron</v>
      </c>
      <c r="D45" t="s">
        <v>50</v>
      </c>
      <c r="E45">
        <v>92.8</v>
      </c>
      <c r="F45">
        <v>-16.762264150943398</v>
      </c>
      <c r="G45">
        <v>-1289.51777943859</v>
      </c>
      <c r="H45">
        <v>140.51433654772899</v>
      </c>
      <c r="I45" s="1">
        <f t="shared" si="1"/>
        <v>163.23122924487467</v>
      </c>
    </row>
    <row r="46" spans="1:9" x14ac:dyDescent="0.45">
      <c r="A46" t="s">
        <v>51</v>
      </c>
      <c r="B46" t="s">
        <v>7</v>
      </c>
      <c r="C46" t="str">
        <f t="shared" si="0"/>
        <v>OklahomaAkron</v>
      </c>
      <c r="D46" t="s">
        <v>51</v>
      </c>
      <c r="E46">
        <v>80.900000000000006</v>
      </c>
      <c r="F46">
        <v>-9.4566037735849093</v>
      </c>
      <c r="G46">
        <v>-423.07641189798898</v>
      </c>
      <c r="H46">
        <v>138.85693984323399</v>
      </c>
      <c r="I46" s="1">
        <f t="shared" si="1"/>
        <v>139.89328450009737</v>
      </c>
    </row>
    <row r="47" spans="1:9" x14ac:dyDescent="0.45">
      <c r="A47" t="s">
        <v>52</v>
      </c>
      <c r="B47" t="s">
        <v>7</v>
      </c>
      <c r="C47" t="str">
        <f t="shared" si="0"/>
        <v>OregonAkron</v>
      </c>
      <c r="D47" t="s">
        <v>52</v>
      </c>
      <c r="E47">
        <v>93.3</v>
      </c>
      <c r="F47">
        <v>-17.279245283018899</v>
      </c>
      <c r="G47">
        <v>-1395.86436108832</v>
      </c>
      <c r="H47">
        <v>139.451317631374</v>
      </c>
      <c r="I47" s="1">
        <f t="shared" si="1"/>
        <v>148.26276896903207</v>
      </c>
    </row>
    <row r="48" spans="1:9" x14ac:dyDescent="0.45">
      <c r="A48" t="s">
        <v>53</v>
      </c>
      <c r="B48" t="s">
        <v>7</v>
      </c>
      <c r="C48" t="str">
        <f t="shared" si="0"/>
        <v>PurdueAkron</v>
      </c>
      <c r="D48" t="s">
        <v>53</v>
      </c>
      <c r="E48">
        <v>98.7</v>
      </c>
      <c r="F48">
        <v>-28.192452830188699</v>
      </c>
      <c r="G48">
        <v>-7373.1129923308099</v>
      </c>
      <c r="H48">
        <v>140.799304960163</v>
      </c>
      <c r="I48" s="1">
        <f t="shared" si="1"/>
        <v>167.24389383226944</v>
      </c>
    </row>
    <row r="49" spans="1:9" x14ac:dyDescent="0.45">
      <c r="A49" t="s">
        <v>54</v>
      </c>
      <c r="B49" t="s">
        <v>7</v>
      </c>
      <c r="C49" t="str">
        <f t="shared" si="0"/>
        <v>Robert MorrisAkron</v>
      </c>
      <c r="D49" t="s">
        <v>7</v>
      </c>
      <c r="E49">
        <v>8.3000000000000007</v>
      </c>
      <c r="F49">
        <v>15.7509433962264</v>
      </c>
      <c r="G49">
        <v>1105.4270611588199</v>
      </c>
      <c r="H49">
        <v>137.857941808926</v>
      </c>
      <c r="I49" s="1">
        <f t="shared" si="1"/>
        <v>125.82630773974184</v>
      </c>
    </row>
    <row r="50" spans="1:9" x14ac:dyDescent="0.45">
      <c r="A50" t="s">
        <v>55</v>
      </c>
      <c r="B50" t="s">
        <v>7</v>
      </c>
      <c r="C50" t="str">
        <f t="shared" si="0"/>
        <v>Saint FrancisAkron</v>
      </c>
      <c r="D50" t="s">
        <v>7</v>
      </c>
      <c r="E50">
        <v>5.6</v>
      </c>
      <c r="F50">
        <v>18.479245283018901</v>
      </c>
      <c r="G50">
        <v>1675.5022387823601</v>
      </c>
      <c r="H50">
        <v>138.91079734213301</v>
      </c>
      <c r="I50" s="1">
        <f t="shared" si="1"/>
        <v>140.65165654825478</v>
      </c>
    </row>
    <row r="51" spans="1:9" x14ac:dyDescent="0.45">
      <c r="A51" t="s">
        <v>56</v>
      </c>
      <c r="B51" t="s">
        <v>7</v>
      </c>
      <c r="C51" t="str">
        <f t="shared" si="0"/>
        <v>Saint Mary'sAkron</v>
      </c>
      <c r="D51" t="s">
        <v>56</v>
      </c>
      <c r="E51">
        <v>92.3</v>
      </c>
      <c r="F51">
        <v>-16.237735849056602</v>
      </c>
      <c r="G51">
        <v>-1190.5253918626099</v>
      </c>
      <c r="H51">
        <v>140.16205254322301</v>
      </c>
      <c r="I51" s="1">
        <f t="shared" si="1"/>
        <v>158.27068804835142</v>
      </c>
    </row>
    <row r="52" spans="1:9" x14ac:dyDescent="0.45">
      <c r="A52" t="s">
        <v>57</v>
      </c>
      <c r="B52" t="s">
        <v>7</v>
      </c>
      <c r="C52" t="str">
        <f t="shared" si="0"/>
        <v>San Diego St.Akron</v>
      </c>
      <c r="D52" t="s">
        <v>57</v>
      </c>
      <c r="E52">
        <v>77.599999999999994</v>
      </c>
      <c r="F52">
        <v>-8.1433962264150992</v>
      </c>
      <c r="G52">
        <v>-346.41570797910401</v>
      </c>
      <c r="H52">
        <v>139.30830742302101</v>
      </c>
      <c r="I52" s="1">
        <f t="shared" si="1"/>
        <v>146.24902999427158</v>
      </c>
    </row>
    <row r="53" spans="1:9" x14ac:dyDescent="0.45">
      <c r="A53" t="s">
        <v>58</v>
      </c>
      <c r="B53" t="s">
        <v>7</v>
      </c>
      <c r="C53" t="str">
        <f t="shared" si="0"/>
        <v>SIU EdwardsvilleAkron</v>
      </c>
      <c r="D53" t="s">
        <v>7</v>
      </c>
      <c r="E53">
        <v>14.8</v>
      </c>
      <c r="F53">
        <v>11.452830188679201</v>
      </c>
      <c r="G53">
        <v>573.82490349534896</v>
      </c>
      <c r="H53">
        <v>139.45599518986899</v>
      </c>
      <c r="I53" s="1">
        <f t="shared" si="1"/>
        <v>148.328634070248</v>
      </c>
    </row>
    <row r="54" spans="1:9" x14ac:dyDescent="0.45">
      <c r="A54" t="s">
        <v>59</v>
      </c>
      <c r="B54" t="s">
        <v>7</v>
      </c>
      <c r="C54" t="str">
        <f t="shared" si="0"/>
        <v>St. John'sAkron</v>
      </c>
      <c r="D54" t="s">
        <v>59</v>
      </c>
      <c r="E54">
        <v>97.4</v>
      </c>
      <c r="F54">
        <v>-23.705660377358502</v>
      </c>
      <c r="G54">
        <v>-3719.0165865744998</v>
      </c>
      <c r="H54">
        <v>140.43367796241401</v>
      </c>
      <c r="I54" s="1">
        <f t="shared" si="1"/>
        <v>162.09546880673236</v>
      </c>
    </row>
    <row r="55" spans="1:9" x14ac:dyDescent="0.45">
      <c r="A55" t="s">
        <v>60</v>
      </c>
      <c r="B55" t="s">
        <v>7</v>
      </c>
      <c r="C55" t="str">
        <f t="shared" si="0"/>
        <v>TennesseeAkron</v>
      </c>
      <c r="D55" t="s">
        <v>60</v>
      </c>
      <c r="E55">
        <v>98.7</v>
      </c>
      <c r="F55">
        <v>-28.2490566037736</v>
      </c>
      <c r="G55">
        <v>-7439.9079715818998</v>
      </c>
      <c r="H55">
        <v>141.02766083910501</v>
      </c>
      <c r="I55" s="1">
        <f t="shared" si="1"/>
        <v>170.45939249377881</v>
      </c>
    </row>
    <row r="56" spans="1:9" x14ac:dyDescent="0.45">
      <c r="A56" t="s">
        <v>61</v>
      </c>
      <c r="B56" t="s">
        <v>7</v>
      </c>
      <c r="C56" t="str">
        <f t="shared" si="0"/>
        <v>TexasAkron</v>
      </c>
      <c r="D56" t="s">
        <v>61</v>
      </c>
      <c r="E56">
        <v>75.3</v>
      </c>
      <c r="F56">
        <v>-7.2981132075471704</v>
      </c>
      <c r="G56">
        <v>-304.36930222327601</v>
      </c>
      <c r="H56">
        <v>138.783375370177</v>
      </c>
      <c r="I56" s="1">
        <f t="shared" si="1"/>
        <v>138.85741686338343</v>
      </c>
    </row>
    <row r="57" spans="1:9" x14ac:dyDescent="0.45">
      <c r="A57" t="s">
        <v>62</v>
      </c>
      <c r="B57" t="s">
        <v>7</v>
      </c>
      <c r="C57" t="str">
        <f t="shared" si="0"/>
        <v>Texas A&amp;MAkron</v>
      </c>
      <c r="D57" t="s">
        <v>62</v>
      </c>
      <c r="E57">
        <v>94.6</v>
      </c>
      <c r="F57">
        <v>-18.792452830188701</v>
      </c>
      <c r="G57">
        <v>-1757.93058348108</v>
      </c>
      <c r="H57">
        <v>139.58117439777101</v>
      </c>
      <c r="I57" s="1">
        <f t="shared" si="1"/>
        <v>150.09129320266285</v>
      </c>
    </row>
    <row r="58" spans="1:9" x14ac:dyDescent="0.45">
      <c r="A58" t="s">
        <v>63</v>
      </c>
      <c r="B58" t="s">
        <v>7</v>
      </c>
      <c r="C58" t="str">
        <f t="shared" si="0"/>
        <v>Texas TechAkron</v>
      </c>
      <c r="D58" t="s">
        <v>63</v>
      </c>
      <c r="E58">
        <v>97.2</v>
      </c>
      <c r="F58">
        <v>-23.245283018867902</v>
      </c>
      <c r="G58">
        <v>-3466.7159193369198</v>
      </c>
      <c r="H58">
        <v>140.620958516835</v>
      </c>
      <c r="I58" s="1">
        <f t="shared" si="1"/>
        <v>164.73258231069588</v>
      </c>
    </row>
    <row r="59" spans="1:9" x14ac:dyDescent="0.45">
      <c r="A59" t="s">
        <v>64</v>
      </c>
      <c r="B59" t="s">
        <v>7</v>
      </c>
      <c r="C59" t="str">
        <f t="shared" si="0"/>
        <v>TroyAkron</v>
      </c>
      <c r="D59" t="s">
        <v>7</v>
      </c>
      <c r="E59">
        <v>32.799999999999997</v>
      </c>
      <c r="F59">
        <v>4.7018867924528296</v>
      </c>
      <c r="G59">
        <v>204.90032640481101</v>
      </c>
      <c r="H59">
        <v>139.32452293656399</v>
      </c>
      <c r="I59" s="1">
        <f t="shared" si="1"/>
        <v>146.4773620273015</v>
      </c>
    </row>
    <row r="60" spans="1:9" x14ac:dyDescent="0.45">
      <c r="A60" t="s">
        <v>65</v>
      </c>
      <c r="B60" t="s">
        <v>7</v>
      </c>
      <c r="C60" t="str">
        <f t="shared" si="0"/>
        <v>UC San DiegoAkron</v>
      </c>
      <c r="D60" t="s">
        <v>65</v>
      </c>
      <c r="E60">
        <v>55.5</v>
      </c>
      <c r="F60">
        <v>-1.45660377358491</v>
      </c>
      <c r="G60">
        <v>-124.911817860957</v>
      </c>
      <c r="H60">
        <v>139.41264467995501</v>
      </c>
      <c r="I60" s="1">
        <f t="shared" si="1"/>
        <v>147.71821183259874</v>
      </c>
    </row>
    <row r="61" spans="1:9" x14ac:dyDescent="0.45">
      <c r="A61" t="s">
        <v>66</v>
      </c>
      <c r="B61" t="s">
        <v>7</v>
      </c>
      <c r="C61" t="str">
        <f t="shared" si="0"/>
        <v>UCLAAkron</v>
      </c>
      <c r="D61" t="s">
        <v>66</v>
      </c>
      <c r="E61">
        <v>83.2</v>
      </c>
      <c r="F61">
        <v>-10.501886792452799</v>
      </c>
      <c r="G61">
        <v>-496.37087667983701</v>
      </c>
      <c r="H61">
        <v>138.884099193064</v>
      </c>
      <c r="I61" s="1">
        <f t="shared" si="1"/>
        <v>140.27571762785604</v>
      </c>
    </row>
    <row r="62" spans="1:9" x14ac:dyDescent="0.45">
      <c r="A62" t="s">
        <v>67</v>
      </c>
      <c r="B62" t="s">
        <v>7</v>
      </c>
      <c r="C62" t="str">
        <f t="shared" si="0"/>
        <v>UNC WilmingtonAkron</v>
      </c>
      <c r="D62" t="s">
        <v>7</v>
      </c>
      <c r="E62">
        <v>42.8</v>
      </c>
      <c r="F62">
        <v>1.90188679245283</v>
      </c>
      <c r="G62">
        <v>133.67021942959599</v>
      </c>
      <c r="H62">
        <v>139.999114866984</v>
      </c>
      <c r="I62" s="1">
        <f t="shared" si="1"/>
        <v>155.97634869399201</v>
      </c>
    </row>
    <row r="63" spans="1:9" x14ac:dyDescent="0.45">
      <c r="A63" t="s">
        <v>68</v>
      </c>
      <c r="B63" t="s">
        <v>7</v>
      </c>
      <c r="C63" t="str">
        <f t="shared" si="0"/>
        <v>Utah St.Akron</v>
      </c>
      <c r="D63" t="s">
        <v>68</v>
      </c>
      <c r="E63">
        <v>79.099999999999994</v>
      </c>
      <c r="F63">
        <v>-8.74339622641509</v>
      </c>
      <c r="G63">
        <v>-379.44107747122098</v>
      </c>
      <c r="H63">
        <v>139.370485270811</v>
      </c>
      <c r="I63" s="1">
        <f t="shared" si="1"/>
        <v>147.12456158676034</v>
      </c>
    </row>
    <row r="64" spans="1:9" x14ac:dyDescent="0.45">
      <c r="A64" t="s">
        <v>69</v>
      </c>
      <c r="B64" t="s">
        <v>7</v>
      </c>
      <c r="C64" t="str">
        <f t="shared" si="0"/>
        <v>VanderbiltAkron</v>
      </c>
      <c r="D64" t="s">
        <v>7</v>
      </c>
      <c r="E64">
        <v>44.8</v>
      </c>
      <c r="F64">
        <v>1.3811320754717</v>
      </c>
      <c r="G64">
        <v>123.437081334385</v>
      </c>
      <c r="H64">
        <v>137.945055759409</v>
      </c>
      <c r="I64" s="1">
        <f t="shared" si="1"/>
        <v>127.05296672690991</v>
      </c>
    </row>
    <row r="65" spans="1:9" x14ac:dyDescent="0.45">
      <c r="A65" t="s">
        <v>70</v>
      </c>
      <c r="B65" t="s">
        <v>7</v>
      </c>
      <c r="C65" t="str">
        <f t="shared" si="0"/>
        <v>VCUAkron</v>
      </c>
      <c r="D65" t="s">
        <v>70</v>
      </c>
      <c r="E65">
        <v>71.3</v>
      </c>
      <c r="F65">
        <v>-5.9660377358490599</v>
      </c>
      <c r="G65">
        <v>-248.475983406393</v>
      </c>
      <c r="H65">
        <v>139.78996692128499</v>
      </c>
      <c r="I65" s="1">
        <f t="shared" si="1"/>
        <v>153.03131858323493</v>
      </c>
    </row>
    <row r="66" spans="1:9" x14ac:dyDescent="0.45">
      <c r="A66" t="s">
        <v>71</v>
      </c>
      <c r="B66" t="s">
        <v>7</v>
      </c>
      <c r="C66" t="str">
        <f t="shared" si="0"/>
        <v>WisconsinAkron</v>
      </c>
      <c r="D66" t="s">
        <v>71</v>
      </c>
      <c r="E66">
        <v>96.8</v>
      </c>
      <c r="F66">
        <v>-22.430188679245301</v>
      </c>
      <c r="G66">
        <v>-3061.4364449537802</v>
      </c>
      <c r="H66">
        <v>140.59064577655101</v>
      </c>
      <c r="I66" s="1">
        <f t="shared" si="1"/>
        <v>164.30574602226119</v>
      </c>
    </row>
    <row r="67" spans="1:9" x14ac:dyDescent="0.45">
      <c r="A67" t="s">
        <v>80</v>
      </c>
      <c r="B67" t="s">
        <v>7</v>
      </c>
      <c r="C67" t="str">
        <f t="shared" ref="C67:C130" si="2">A67&amp;B67</f>
        <v>WoffordAkron</v>
      </c>
      <c r="D67" t="s">
        <v>7</v>
      </c>
      <c r="E67">
        <v>20.3</v>
      </c>
      <c r="F67">
        <v>8.9547169811320799</v>
      </c>
      <c r="G67">
        <v>392.05756155131002</v>
      </c>
      <c r="H67">
        <v>138.62010151564601</v>
      </c>
      <c r="I67" s="1">
        <f t="shared" ref="I67:I130" si="3">18*(H67-AVERAGE($H$2:$H$4625))/_xlfn.STDEV.P($H$2:$H$4625)+AVERAGE($H$2:$H$4625)</f>
        <v>136.55834375374309</v>
      </c>
    </row>
    <row r="68" spans="1:9" x14ac:dyDescent="0.45">
      <c r="A68" t="s">
        <v>72</v>
      </c>
      <c r="B68" t="s">
        <v>7</v>
      </c>
      <c r="C68" t="str">
        <f t="shared" si="2"/>
        <v>XavierAkron</v>
      </c>
      <c r="D68" t="s">
        <v>72</v>
      </c>
      <c r="E68">
        <v>71.099999999999994</v>
      </c>
      <c r="F68">
        <v>-5.8905660377358497</v>
      </c>
      <c r="G68">
        <v>-245.600761796429</v>
      </c>
      <c r="H68">
        <v>139.196015085797</v>
      </c>
      <c r="I68" s="1">
        <f t="shared" si="3"/>
        <v>144.66783199002296</v>
      </c>
    </row>
    <row r="69" spans="1:9" x14ac:dyDescent="0.45">
      <c r="A69" t="s">
        <v>73</v>
      </c>
      <c r="B69" t="s">
        <v>7</v>
      </c>
      <c r="C69" t="str">
        <f t="shared" si="2"/>
        <v>YaleAkron</v>
      </c>
      <c r="D69" t="s">
        <v>73</v>
      </c>
      <c r="E69">
        <v>57.8</v>
      </c>
      <c r="F69">
        <v>-2.0679245283018899</v>
      </c>
      <c r="G69">
        <v>-137.06233601319599</v>
      </c>
      <c r="H69">
        <v>139.99524971986</v>
      </c>
      <c r="I69" s="1">
        <f t="shared" si="3"/>
        <v>155.92192322677238</v>
      </c>
    </row>
    <row r="70" spans="1:9" x14ac:dyDescent="0.45">
      <c r="A70" t="s">
        <v>7</v>
      </c>
      <c r="B70" t="s">
        <v>8</v>
      </c>
      <c r="C70" t="str">
        <f t="shared" si="2"/>
        <v>AkronAlabama</v>
      </c>
      <c r="D70" t="s">
        <v>8</v>
      </c>
      <c r="E70">
        <v>0.9</v>
      </c>
      <c r="F70">
        <v>30.501886792452801</v>
      </c>
      <c r="G70">
        <v>10489.947905462799</v>
      </c>
      <c r="H70">
        <v>137.02961916316599</v>
      </c>
      <c r="I70" s="1">
        <f t="shared" si="3"/>
        <v>114.16262572253579</v>
      </c>
    </row>
    <row r="71" spans="1:9" x14ac:dyDescent="0.45">
      <c r="A71" t="s">
        <v>8</v>
      </c>
      <c r="B71" t="s">
        <v>8</v>
      </c>
      <c r="C71" t="str">
        <f t="shared" si="2"/>
        <v>AlabamaAlabama</v>
      </c>
      <c r="D71" t="s">
        <v>8</v>
      </c>
      <c r="E71">
        <v>41.2</v>
      </c>
      <c r="F71">
        <v>2.3283018867924499</v>
      </c>
      <c r="G71">
        <v>142.64273539779199</v>
      </c>
      <c r="H71">
        <v>138.77771517530499</v>
      </c>
      <c r="I71" s="1">
        <f t="shared" si="3"/>
        <v>138.77771517530277</v>
      </c>
    </row>
    <row r="72" spans="1:9" x14ac:dyDescent="0.45">
      <c r="A72" t="s">
        <v>9</v>
      </c>
      <c r="B72" t="s">
        <v>8</v>
      </c>
      <c r="C72" t="str">
        <f t="shared" si="2"/>
        <v>Alabama St.Alabama</v>
      </c>
      <c r="D72" t="s">
        <v>8</v>
      </c>
      <c r="E72">
        <v>0.1</v>
      </c>
      <c r="F72">
        <v>42.641509433962298</v>
      </c>
      <c r="G72">
        <v>66840.095043051901</v>
      </c>
      <c r="H72">
        <v>137.256460018979</v>
      </c>
      <c r="I72" s="1">
        <f t="shared" si="3"/>
        <v>117.3567912137934</v>
      </c>
    </row>
    <row r="73" spans="1:9" x14ac:dyDescent="0.45">
      <c r="A73" t="s">
        <v>10</v>
      </c>
      <c r="B73" t="s">
        <v>8</v>
      </c>
      <c r="C73" t="str">
        <f t="shared" si="2"/>
        <v>AmericanAlabama</v>
      </c>
      <c r="D73" t="s">
        <v>8</v>
      </c>
      <c r="E73">
        <v>0.2</v>
      </c>
      <c r="F73">
        <v>41.377358490566003</v>
      </c>
      <c r="G73">
        <v>55123.836867628597</v>
      </c>
      <c r="H73">
        <v>137.34754590058299</v>
      </c>
      <c r="I73" s="1">
        <f t="shared" si="3"/>
        <v>118.63937930277532</v>
      </c>
    </row>
    <row r="74" spans="1:9" x14ac:dyDescent="0.45">
      <c r="A74" t="s">
        <v>11</v>
      </c>
      <c r="B74" t="s">
        <v>8</v>
      </c>
      <c r="C74" t="str">
        <f t="shared" si="2"/>
        <v>ArizonaAlabama</v>
      </c>
      <c r="D74" t="s">
        <v>8</v>
      </c>
      <c r="E74">
        <v>33.200000000000003</v>
      </c>
      <c r="F74">
        <v>4.5698113207547202</v>
      </c>
      <c r="G74">
        <v>200.76493750375499</v>
      </c>
      <c r="H74">
        <v>138.540073994295</v>
      </c>
      <c r="I74" s="1">
        <f t="shared" si="3"/>
        <v>135.43146938124909</v>
      </c>
    </row>
    <row r="75" spans="1:9" x14ac:dyDescent="0.45">
      <c r="A75" t="s">
        <v>12</v>
      </c>
      <c r="B75" t="s">
        <v>8</v>
      </c>
      <c r="C75" t="str">
        <f t="shared" si="2"/>
        <v>ArkansasAlabama</v>
      </c>
      <c r="D75" t="s">
        <v>8</v>
      </c>
      <c r="E75">
        <v>2.9</v>
      </c>
      <c r="F75">
        <v>22.962264150943401</v>
      </c>
      <c r="G75">
        <v>3320.28993263036</v>
      </c>
      <c r="H75">
        <v>136.657677828153</v>
      </c>
      <c r="I75" s="1">
        <f t="shared" si="3"/>
        <v>108.92528797395087</v>
      </c>
    </row>
    <row r="76" spans="1:9" x14ac:dyDescent="0.45">
      <c r="A76" t="s">
        <v>13</v>
      </c>
      <c r="B76" t="s">
        <v>8</v>
      </c>
      <c r="C76" t="str">
        <f t="shared" si="2"/>
        <v>AuburnAlabama</v>
      </c>
      <c r="D76" t="s">
        <v>13</v>
      </c>
      <c r="E76">
        <v>57.9</v>
      </c>
      <c r="F76">
        <v>-2.0830188679245301</v>
      </c>
      <c r="G76">
        <v>-137.38890504616</v>
      </c>
      <c r="H76">
        <v>139.79639723341501</v>
      </c>
      <c r="I76" s="1">
        <f t="shared" si="3"/>
        <v>153.12186435828994</v>
      </c>
    </row>
    <row r="77" spans="1:9" x14ac:dyDescent="0.45">
      <c r="A77" t="s">
        <v>14</v>
      </c>
      <c r="B77" t="s">
        <v>8</v>
      </c>
      <c r="C77" t="str">
        <f t="shared" si="2"/>
        <v>BaylorAlabama</v>
      </c>
      <c r="D77" t="s">
        <v>8</v>
      </c>
      <c r="E77">
        <v>12.7</v>
      </c>
      <c r="F77">
        <v>12.6490566037736</v>
      </c>
      <c r="G77">
        <v>688.70944102619899</v>
      </c>
      <c r="H77">
        <v>138.33139524614</v>
      </c>
      <c r="I77" s="1">
        <f t="shared" si="3"/>
        <v>132.49304608123748</v>
      </c>
    </row>
    <row r="78" spans="1:9" x14ac:dyDescent="0.45">
      <c r="A78" t="s">
        <v>15</v>
      </c>
      <c r="B78" t="s">
        <v>8</v>
      </c>
      <c r="C78" t="str">
        <f t="shared" si="2"/>
        <v>BryantAlabama</v>
      </c>
      <c r="D78" t="s">
        <v>8</v>
      </c>
      <c r="E78">
        <v>0.7</v>
      </c>
      <c r="F78">
        <v>32.9358490566038</v>
      </c>
      <c r="G78">
        <v>15204.6413817865</v>
      </c>
      <c r="H78">
        <v>137.880392996034</v>
      </c>
      <c r="I78" s="1">
        <f t="shared" si="3"/>
        <v>126.14244482554648</v>
      </c>
    </row>
    <row r="79" spans="1:9" x14ac:dyDescent="0.45">
      <c r="A79" t="s">
        <v>16</v>
      </c>
      <c r="B79" t="s">
        <v>8</v>
      </c>
      <c r="C79" t="str">
        <f t="shared" si="2"/>
        <v>BYUAlabama</v>
      </c>
      <c r="D79" t="s">
        <v>8</v>
      </c>
      <c r="E79">
        <v>15</v>
      </c>
      <c r="F79">
        <v>11.3547169811321</v>
      </c>
      <c r="G79">
        <v>565.32664273049897</v>
      </c>
      <c r="H79">
        <v>138.14091347425699</v>
      </c>
      <c r="I79" s="1">
        <f t="shared" si="3"/>
        <v>129.81085596040725</v>
      </c>
    </row>
    <row r="80" spans="1:9" x14ac:dyDescent="0.45">
      <c r="A80" t="s">
        <v>17</v>
      </c>
      <c r="B80" t="s">
        <v>8</v>
      </c>
      <c r="C80" t="str">
        <f t="shared" si="2"/>
        <v>ClemsonAlabama</v>
      </c>
      <c r="D80" t="s">
        <v>8</v>
      </c>
      <c r="E80">
        <v>18.5</v>
      </c>
      <c r="F80">
        <v>9.7320754716981099</v>
      </c>
      <c r="G80">
        <v>441.21262127570702</v>
      </c>
      <c r="H80">
        <v>138.36282533054899</v>
      </c>
      <c r="I80" s="1">
        <f t="shared" si="3"/>
        <v>132.93561578785699</v>
      </c>
    </row>
    <row r="81" spans="1:9" x14ac:dyDescent="0.45">
      <c r="A81" t="s">
        <v>18</v>
      </c>
      <c r="B81" t="s">
        <v>8</v>
      </c>
      <c r="C81" t="str">
        <f t="shared" si="2"/>
        <v>Colorado St.Alabama</v>
      </c>
      <c r="D81" t="s">
        <v>8</v>
      </c>
      <c r="E81">
        <v>3.6</v>
      </c>
      <c r="F81">
        <v>21.569811320754699</v>
      </c>
      <c r="G81">
        <v>2685.27925860911</v>
      </c>
      <c r="H81">
        <v>137.67021717865401</v>
      </c>
      <c r="I81" s="1">
        <f t="shared" si="3"/>
        <v>123.18294116574091</v>
      </c>
    </row>
    <row r="82" spans="1:9" x14ac:dyDescent="0.45">
      <c r="A82" t="s">
        <v>19</v>
      </c>
      <c r="B82" t="s">
        <v>8</v>
      </c>
      <c r="C82" t="str">
        <f t="shared" si="2"/>
        <v>ConnecticutAlabama</v>
      </c>
      <c r="D82" t="s">
        <v>8</v>
      </c>
      <c r="E82">
        <v>27.8</v>
      </c>
      <c r="F82">
        <v>6.2679245283018901</v>
      </c>
      <c r="G82">
        <v>260.13118321687602</v>
      </c>
      <c r="H82">
        <v>138.30576908098999</v>
      </c>
      <c r="I82" s="1">
        <f t="shared" si="3"/>
        <v>132.13220185808342</v>
      </c>
    </row>
    <row r="83" spans="1:9" x14ac:dyDescent="0.45">
      <c r="A83" t="s">
        <v>20</v>
      </c>
      <c r="B83" t="s">
        <v>8</v>
      </c>
      <c r="C83" t="str">
        <f t="shared" si="2"/>
        <v>CreightonAlabama</v>
      </c>
      <c r="D83" t="s">
        <v>8</v>
      </c>
      <c r="E83">
        <v>10.6</v>
      </c>
      <c r="F83">
        <v>13.9584905660377</v>
      </c>
      <c r="G83">
        <v>840.95439284230497</v>
      </c>
      <c r="H83">
        <v>137.778711443254</v>
      </c>
      <c r="I83" s="1">
        <f t="shared" si="3"/>
        <v>124.71065818454068</v>
      </c>
    </row>
    <row r="84" spans="1:9" x14ac:dyDescent="0.45">
      <c r="A84" t="s">
        <v>21</v>
      </c>
      <c r="B84" t="s">
        <v>8</v>
      </c>
      <c r="C84" t="str">
        <f t="shared" si="2"/>
        <v>DrakeAlabama</v>
      </c>
      <c r="D84" t="s">
        <v>8</v>
      </c>
      <c r="E84">
        <v>3.6</v>
      </c>
      <c r="F84">
        <v>21.618867924528299</v>
      </c>
      <c r="G84">
        <v>2706.1218933637601</v>
      </c>
      <c r="H84">
        <v>137.83217654740801</v>
      </c>
      <c r="I84" s="1">
        <f t="shared" si="3"/>
        <v>125.46350488873412</v>
      </c>
    </row>
    <row r="85" spans="1:9" x14ac:dyDescent="0.45">
      <c r="A85" t="s">
        <v>22</v>
      </c>
      <c r="B85" t="s">
        <v>8</v>
      </c>
      <c r="C85" t="str">
        <f t="shared" si="2"/>
        <v>DukeAlabama</v>
      </c>
      <c r="D85" t="s">
        <v>22</v>
      </c>
      <c r="E85">
        <v>66.8</v>
      </c>
      <c r="F85">
        <v>-4.5924528301886802</v>
      </c>
      <c r="G85">
        <v>-201.44712865696101</v>
      </c>
      <c r="H85">
        <v>140.11949700886399</v>
      </c>
      <c r="I85" s="1">
        <f t="shared" si="3"/>
        <v>157.6714599294817</v>
      </c>
    </row>
    <row r="86" spans="1:9" x14ac:dyDescent="0.45">
      <c r="A86" t="s">
        <v>23</v>
      </c>
      <c r="B86" t="s">
        <v>8</v>
      </c>
      <c r="C86" t="str">
        <f t="shared" si="2"/>
        <v>FloridaAlabama</v>
      </c>
      <c r="D86" t="s">
        <v>23</v>
      </c>
      <c r="E86">
        <v>52.6</v>
      </c>
      <c r="F86">
        <v>-0.69056603773584901</v>
      </c>
      <c r="G86">
        <v>-111.12568626767499</v>
      </c>
      <c r="H86">
        <v>139.84325328480699</v>
      </c>
      <c r="I86" s="1">
        <f t="shared" si="3"/>
        <v>153.78164842530228</v>
      </c>
    </row>
    <row r="87" spans="1:9" x14ac:dyDescent="0.45">
      <c r="A87" t="s">
        <v>24</v>
      </c>
      <c r="B87" t="s">
        <v>8</v>
      </c>
      <c r="C87" t="str">
        <f t="shared" si="2"/>
        <v>GeorgiaAlabama</v>
      </c>
      <c r="D87" t="s">
        <v>8</v>
      </c>
      <c r="E87">
        <v>4</v>
      </c>
      <c r="F87">
        <v>20.8150943396226</v>
      </c>
      <c r="G87">
        <v>2393.42749654516</v>
      </c>
      <c r="H87">
        <v>136.98506680915099</v>
      </c>
      <c r="I87" s="1">
        <f t="shared" si="3"/>
        <v>113.53528021531243</v>
      </c>
    </row>
    <row r="88" spans="1:9" x14ac:dyDescent="0.45">
      <c r="A88" t="s">
        <v>25</v>
      </c>
      <c r="B88" t="s">
        <v>8</v>
      </c>
      <c r="C88" t="str">
        <f t="shared" si="2"/>
        <v>GonzagaAlabama</v>
      </c>
      <c r="D88" t="s">
        <v>8</v>
      </c>
      <c r="E88">
        <v>19</v>
      </c>
      <c r="F88">
        <v>9.4867924528301906</v>
      </c>
      <c r="G88">
        <v>425.20564236550899</v>
      </c>
      <c r="H88">
        <v>139.12270792868</v>
      </c>
      <c r="I88" s="1">
        <f t="shared" si="3"/>
        <v>143.63558764106696</v>
      </c>
    </row>
    <row r="89" spans="1:9" x14ac:dyDescent="0.45">
      <c r="A89" t="s">
        <v>26</v>
      </c>
      <c r="B89" t="s">
        <v>8</v>
      </c>
      <c r="C89" t="str">
        <f t="shared" si="2"/>
        <v>Grand CanyonAlabama</v>
      </c>
      <c r="D89" t="s">
        <v>8</v>
      </c>
      <c r="E89">
        <v>2.2000000000000002</v>
      </c>
      <c r="F89">
        <v>24.739622641509399</v>
      </c>
      <c r="G89">
        <v>4353.9317334281995</v>
      </c>
      <c r="H89">
        <v>137.77467617498399</v>
      </c>
      <c r="I89" s="1">
        <f t="shared" si="3"/>
        <v>124.65383722691463</v>
      </c>
    </row>
    <row r="90" spans="1:9" x14ac:dyDescent="0.45">
      <c r="A90" t="s">
        <v>27</v>
      </c>
      <c r="B90" t="s">
        <v>8</v>
      </c>
      <c r="C90" t="str">
        <f t="shared" si="2"/>
        <v>High PointAlabama</v>
      </c>
      <c r="D90" t="s">
        <v>8</v>
      </c>
      <c r="E90">
        <v>1.5</v>
      </c>
      <c r="F90">
        <v>27.5094339622642</v>
      </c>
      <c r="G90">
        <v>6645.9594031205497</v>
      </c>
      <c r="H90">
        <v>138.05556792263999</v>
      </c>
      <c r="I90" s="1">
        <f t="shared" si="3"/>
        <v>128.60909794891364</v>
      </c>
    </row>
    <row r="91" spans="1:9" x14ac:dyDescent="0.45">
      <c r="A91" t="s">
        <v>28</v>
      </c>
      <c r="B91" t="s">
        <v>8</v>
      </c>
      <c r="C91" t="str">
        <f t="shared" si="2"/>
        <v>HoustonAlabama</v>
      </c>
      <c r="D91" t="s">
        <v>28</v>
      </c>
      <c r="E91">
        <v>77.5</v>
      </c>
      <c r="F91">
        <v>-8.1056603773584897</v>
      </c>
      <c r="G91">
        <v>-344.30896247108501</v>
      </c>
      <c r="H91">
        <v>140.26316135849399</v>
      </c>
      <c r="I91" s="1">
        <f t="shared" si="3"/>
        <v>159.6944099235092</v>
      </c>
    </row>
    <row r="92" spans="1:9" x14ac:dyDescent="0.45">
      <c r="A92" t="s">
        <v>29</v>
      </c>
      <c r="B92" t="s">
        <v>8</v>
      </c>
      <c r="C92" t="str">
        <f t="shared" si="2"/>
        <v>IllinoisAlabama</v>
      </c>
      <c r="D92" t="s">
        <v>8</v>
      </c>
      <c r="E92">
        <v>25.6</v>
      </c>
      <c r="F92">
        <v>7.0075471698113203</v>
      </c>
      <c r="G92">
        <v>291.17515847315599</v>
      </c>
      <c r="H92">
        <v>138.31340651242999</v>
      </c>
      <c r="I92" s="1">
        <f t="shared" si="3"/>
        <v>132.2397451833811</v>
      </c>
    </row>
    <row r="93" spans="1:9" x14ac:dyDescent="0.45">
      <c r="A93" t="s">
        <v>30</v>
      </c>
      <c r="B93" t="s">
        <v>8</v>
      </c>
      <c r="C93" t="str">
        <f t="shared" si="2"/>
        <v>Iowa St.Alabama</v>
      </c>
      <c r="D93" t="s">
        <v>8</v>
      </c>
      <c r="E93">
        <v>42</v>
      </c>
      <c r="F93">
        <v>2.1207547169811298</v>
      </c>
      <c r="G93">
        <v>138.23370280323101</v>
      </c>
      <c r="H93">
        <v>139.23967509078901</v>
      </c>
      <c r="I93" s="1">
        <f t="shared" si="3"/>
        <v>145.28261225433548</v>
      </c>
    </row>
    <row r="94" spans="1:9" x14ac:dyDescent="0.45">
      <c r="A94" t="s">
        <v>31</v>
      </c>
      <c r="B94" t="s">
        <v>8</v>
      </c>
      <c r="C94" t="str">
        <f t="shared" si="2"/>
        <v>KansasAlabama</v>
      </c>
      <c r="D94" t="s">
        <v>8</v>
      </c>
      <c r="E94">
        <v>17.399999999999999</v>
      </c>
      <c r="F94">
        <v>10.2264150943396</v>
      </c>
      <c r="G94">
        <v>475.801085038422</v>
      </c>
      <c r="H94">
        <v>138.1950653751</v>
      </c>
      <c r="I94" s="1">
        <f t="shared" si="3"/>
        <v>130.57337350751672</v>
      </c>
    </row>
    <row r="95" spans="1:9" x14ac:dyDescent="0.45">
      <c r="A95" t="s">
        <v>32</v>
      </c>
      <c r="B95" t="s">
        <v>8</v>
      </c>
      <c r="C95" t="str">
        <f t="shared" si="2"/>
        <v>KentuckyAlabama</v>
      </c>
      <c r="D95" t="s">
        <v>8</v>
      </c>
      <c r="E95">
        <v>26.2</v>
      </c>
      <c r="F95">
        <v>6.7962264150943401</v>
      </c>
      <c r="G95">
        <v>282.04347965263202</v>
      </c>
      <c r="H95">
        <v>138.142102975493</v>
      </c>
      <c r="I95" s="1">
        <f t="shared" si="3"/>
        <v>129.82760542904359</v>
      </c>
    </row>
    <row r="96" spans="1:9" x14ac:dyDescent="0.45">
      <c r="A96" t="s">
        <v>33</v>
      </c>
      <c r="B96" t="s">
        <v>8</v>
      </c>
      <c r="C96" t="str">
        <f t="shared" si="2"/>
        <v>LibertyAlabama</v>
      </c>
      <c r="D96" t="s">
        <v>8</v>
      </c>
      <c r="E96">
        <v>1</v>
      </c>
      <c r="F96">
        <v>30.286792452830198</v>
      </c>
      <c r="G96">
        <v>10150.236053463101</v>
      </c>
      <c r="H96">
        <v>137.35103922389101</v>
      </c>
      <c r="I96" s="1">
        <f t="shared" si="3"/>
        <v>118.6885690870419</v>
      </c>
    </row>
    <row r="97" spans="1:9" x14ac:dyDescent="0.45">
      <c r="A97" t="s">
        <v>34</v>
      </c>
      <c r="B97" t="s">
        <v>8</v>
      </c>
      <c r="C97" t="str">
        <f t="shared" si="2"/>
        <v>LipscombAlabama</v>
      </c>
      <c r="D97" t="s">
        <v>8</v>
      </c>
      <c r="E97">
        <v>0.7</v>
      </c>
      <c r="F97">
        <v>32.030188679245299</v>
      </c>
      <c r="G97">
        <v>13240.548962270201</v>
      </c>
      <c r="H97">
        <v>137.78295945514901</v>
      </c>
      <c r="I97" s="1">
        <f t="shared" si="3"/>
        <v>124.77047480334542</v>
      </c>
    </row>
    <row r="98" spans="1:9" x14ac:dyDescent="0.45">
      <c r="A98" t="s">
        <v>35</v>
      </c>
      <c r="B98" t="s">
        <v>8</v>
      </c>
      <c r="C98" t="str">
        <f t="shared" si="2"/>
        <v>LouisvilleAlabama</v>
      </c>
      <c r="D98" t="s">
        <v>8</v>
      </c>
      <c r="E98">
        <v>1.9</v>
      </c>
      <c r="F98">
        <v>25.920754716981101</v>
      </c>
      <c r="G98">
        <v>5215.4612153589396</v>
      </c>
      <c r="H98">
        <v>137.068682767117</v>
      </c>
      <c r="I98" s="1">
        <f t="shared" si="3"/>
        <v>114.71268367068301</v>
      </c>
    </row>
    <row r="99" spans="1:9" x14ac:dyDescent="0.45">
      <c r="A99" t="s">
        <v>36</v>
      </c>
      <c r="B99" t="s">
        <v>8</v>
      </c>
      <c r="C99" t="str">
        <f t="shared" si="2"/>
        <v>MarquetteAlabama</v>
      </c>
      <c r="D99" t="s">
        <v>8</v>
      </c>
      <c r="E99">
        <v>21.3</v>
      </c>
      <c r="F99">
        <v>8.5773584905660396</v>
      </c>
      <c r="G99">
        <v>369.98772343358701</v>
      </c>
      <c r="H99">
        <v>138.40043940202199</v>
      </c>
      <c r="I99" s="1">
        <f t="shared" si="3"/>
        <v>133.4652627452102</v>
      </c>
    </row>
    <row r="100" spans="1:9" x14ac:dyDescent="0.45">
      <c r="A100" t="s">
        <v>37</v>
      </c>
      <c r="B100" t="s">
        <v>8</v>
      </c>
      <c r="C100" t="str">
        <f t="shared" si="2"/>
        <v>MarylandAlabama</v>
      </c>
      <c r="D100" t="s">
        <v>8</v>
      </c>
      <c r="E100">
        <v>15.5</v>
      </c>
      <c r="F100">
        <v>11.1207547169811</v>
      </c>
      <c r="G100">
        <v>545.42076992575096</v>
      </c>
      <c r="H100">
        <v>138.01037871370099</v>
      </c>
      <c r="I100" s="1">
        <f t="shared" si="3"/>
        <v>127.97278483303828</v>
      </c>
    </row>
    <row r="101" spans="1:9" x14ac:dyDescent="0.45">
      <c r="A101" t="s">
        <v>38</v>
      </c>
      <c r="B101" t="s">
        <v>8</v>
      </c>
      <c r="C101" t="str">
        <f t="shared" si="2"/>
        <v>McNeese St.Alabama</v>
      </c>
      <c r="D101" t="s">
        <v>8</v>
      </c>
      <c r="E101">
        <v>3.2</v>
      </c>
      <c r="F101">
        <v>22.430188679245301</v>
      </c>
      <c r="G101">
        <v>3061.1233746217399</v>
      </c>
      <c r="H101">
        <v>137.84579032790199</v>
      </c>
      <c r="I101" s="1">
        <f t="shared" si="3"/>
        <v>125.65520169618792</v>
      </c>
    </row>
    <row r="102" spans="1:9" x14ac:dyDescent="0.45">
      <c r="A102" t="s">
        <v>39</v>
      </c>
      <c r="B102" t="s">
        <v>8</v>
      </c>
      <c r="C102" t="str">
        <f t="shared" si="2"/>
        <v>MemphisAlabama</v>
      </c>
      <c r="D102" t="s">
        <v>8</v>
      </c>
      <c r="E102">
        <v>8.6</v>
      </c>
      <c r="F102">
        <v>15.505660377358501</v>
      </c>
      <c r="G102">
        <v>1064.8738847853699</v>
      </c>
      <c r="H102">
        <v>136.98801352672101</v>
      </c>
      <c r="I102" s="1">
        <f t="shared" si="3"/>
        <v>113.57677319743367</v>
      </c>
    </row>
    <row r="103" spans="1:9" x14ac:dyDescent="0.45">
      <c r="A103" t="s">
        <v>40</v>
      </c>
      <c r="B103" t="s">
        <v>8</v>
      </c>
      <c r="C103" t="str">
        <f t="shared" si="2"/>
        <v>MichiganAlabama</v>
      </c>
      <c r="D103" t="s">
        <v>8</v>
      </c>
      <c r="E103">
        <v>4.7</v>
      </c>
      <c r="F103">
        <v>19.6943396226415</v>
      </c>
      <c r="G103">
        <v>2017.28479902099</v>
      </c>
      <c r="H103">
        <v>136.64493461140401</v>
      </c>
      <c r="I103" s="1">
        <f t="shared" si="3"/>
        <v>108.74584964904531</v>
      </c>
    </row>
    <row r="104" spans="1:9" x14ac:dyDescent="0.45">
      <c r="A104" t="s">
        <v>41</v>
      </c>
      <c r="B104" t="s">
        <v>8</v>
      </c>
      <c r="C104" t="str">
        <f t="shared" si="2"/>
        <v>Michigan St.Alabama</v>
      </c>
      <c r="D104" t="s">
        <v>8</v>
      </c>
      <c r="E104">
        <v>32.200000000000003</v>
      </c>
      <c r="F104">
        <v>4.8716981132075503</v>
      </c>
      <c r="G104">
        <v>210.22936608896401</v>
      </c>
      <c r="H104">
        <v>138.34382657223301</v>
      </c>
      <c r="I104" s="1">
        <f t="shared" si="3"/>
        <v>132.66809264714178</v>
      </c>
    </row>
    <row r="105" spans="1:9" x14ac:dyDescent="0.45">
      <c r="A105" t="s">
        <v>42</v>
      </c>
      <c r="B105" t="s">
        <v>8</v>
      </c>
      <c r="C105" t="str">
        <f t="shared" si="2"/>
        <v>MississippiAlabama</v>
      </c>
      <c r="D105" t="s">
        <v>8</v>
      </c>
      <c r="E105">
        <v>10.9</v>
      </c>
      <c r="F105">
        <v>13.781132075471699</v>
      </c>
      <c r="G105">
        <v>818.48791436457498</v>
      </c>
      <c r="H105">
        <v>137.474747677328</v>
      </c>
      <c r="I105" s="1">
        <f t="shared" si="3"/>
        <v>120.43051840004841</v>
      </c>
    </row>
    <row r="106" spans="1:9" x14ac:dyDescent="0.45">
      <c r="A106" t="s">
        <v>43</v>
      </c>
      <c r="B106" t="s">
        <v>8</v>
      </c>
      <c r="C106" t="str">
        <f t="shared" si="2"/>
        <v>Mississippi St.Alabama</v>
      </c>
      <c r="D106" t="s">
        <v>8</v>
      </c>
      <c r="E106">
        <v>8.4</v>
      </c>
      <c r="F106">
        <v>15.6301886792453</v>
      </c>
      <c r="G106">
        <v>1085.1844277538401</v>
      </c>
      <c r="H106">
        <v>137.599119031117</v>
      </c>
      <c r="I106" s="1">
        <f t="shared" si="3"/>
        <v>122.18180206960614</v>
      </c>
    </row>
    <row r="107" spans="1:9" x14ac:dyDescent="0.45">
      <c r="A107" t="s">
        <v>44</v>
      </c>
      <c r="B107" t="s">
        <v>8</v>
      </c>
      <c r="C107" t="str">
        <f t="shared" si="2"/>
        <v>MissouriAlabama</v>
      </c>
      <c r="D107" t="s">
        <v>8</v>
      </c>
      <c r="E107">
        <v>3.9</v>
      </c>
      <c r="F107">
        <v>21.0415094339623</v>
      </c>
      <c r="G107">
        <v>2478.0068013650098</v>
      </c>
      <c r="H107">
        <v>136.863590967291</v>
      </c>
      <c r="I107" s="1">
        <f t="shared" si="3"/>
        <v>111.82476849686566</v>
      </c>
    </row>
    <row r="108" spans="1:9" x14ac:dyDescent="0.45">
      <c r="A108" t="s">
        <v>45</v>
      </c>
      <c r="B108" t="s">
        <v>8</v>
      </c>
      <c r="C108" t="str">
        <f t="shared" si="2"/>
        <v>MontanaAlabama</v>
      </c>
      <c r="D108" t="s">
        <v>8</v>
      </c>
      <c r="E108">
        <v>0.4</v>
      </c>
      <c r="F108">
        <v>36.301886792452798</v>
      </c>
      <c r="G108">
        <v>25403.559067724</v>
      </c>
      <c r="H108">
        <v>136.17232569230899</v>
      </c>
      <c r="I108" s="1">
        <f t="shared" si="3"/>
        <v>102.09100303941042</v>
      </c>
    </row>
    <row r="109" spans="1:9" x14ac:dyDescent="0.45">
      <c r="A109" t="s">
        <v>46</v>
      </c>
      <c r="B109" t="s">
        <v>8</v>
      </c>
      <c r="C109" t="str">
        <f t="shared" si="2"/>
        <v>Mount St. Mary'sAlabama</v>
      </c>
      <c r="D109" t="s">
        <v>8</v>
      </c>
      <c r="E109">
        <v>0.2</v>
      </c>
      <c r="F109">
        <v>42.415094339622598</v>
      </c>
      <c r="G109">
        <v>64579.586799725497</v>
      </c>
      <c r="H109">
        <v>137.52019991425701</v>
      </c>
      <c r="I109" s="1">
        <f t="shared" si="3"/>
        <v>121.07053523554643</v>
      </c>
    </row>
    <row r="110" spans="1:9" x14ac:dyDescent="0.45">
      <c r="A110" t="s">
        <v>47</v>
      </c>
      <c r="B110" t="s">
        <v>8</v>
      </c>
      <c r="C110" t="str">
        <f t="shared" si="2"/>
        <v>Nebraska OmahaAlabama</v>
      </c>
      <c r="D110" t="s">
        <v>8</v>
      </c>
      <c r="E110">
        <v>0.2</v>
      </c>
      <c r="F110">
        <v>40.701886792452797</v>
      </c>
      <c r="G110">
        <v>49707.840757876598</v>
      </c>
      <c r="H110">
        <v>136.80420109415601</v>
      </c>
      <c r="I110" s="1">
        <f t="shared" si="3"/>
        <v>110.98849461393547</v>
      </c>
    </row>
    <row r="111" spans="1:9" x14ac:dyDescent="0.45">
      <c r="A111" t="s">
        <v>48</v>
      </c>
      <c r="B111" t="s">
        <v>8</v>
      </c>
      <c r="C111" t="str">
        <f t="shared" si="2"/>
        <v>New MexicoAlabama</v>
      </c>
      <c r="D111" t="s">
        <v>8</v>
      </c>
      <c r="E111">
        <v>4.9000000000000004</v>
      </c>
      <c r="F111">
        <v>19.452830188679201</v>
      </c>
      <c r="G111">
        <v>1944.41683007437</v>
      </c>
      <c r="H111">
        <v>137.68194544143199</v>
      </c>
      <c r="I111" s="1">
        <f t="shared" si="3"/>
        <v>123.3480878369768</v>
      </c>
    </row>
    <row r="112" spans="1:9" x14ac:dyDescent="0.45">
      <c r="A112" t="s">
        <v>49</v>
      </c>
      <c r="B112" t="s">
        <v>8</v>
      </c>
      <c r="C112" t="str">
        <f t="shared" si="2"/>
        <v>Norfolk St.Alabama</v>
      </c>
      <c r="D112" t="s">
        <v>8</v>
      </c>
      <c r="E112">
        <v>0.3</v>
      </c>
      <c r="F112">
        <v>38.169811320754697</v>
      </c>
      <c r="G112">
        <v>33778.647996525797</v>
      </c>
      <c r="H112">
        <v>136.694309103633</v>
      </c>
      <c r="I112" s="1">
        <f t="shared" si="3"/>
        <v>109.44109609687311</v>
      </c>
    </row>
    <row r="113" spans="1:9" x14ac:dyDescent="0.45">
      <c r="A113" t="s">
        <v>50</v>
      </c>
      <c r="B113" t="s">
        <v>8</v>
      </c>
      <c r="C113" t="str">
        <f t="shared" si="2"/>
        <v>North CarolinaAlabama</v>
      </c>
      <c r="D113" t="s">
        <v>8</v>
      </c>
      <c r="E113">
        <v>14.9</v>
      </c>
      <c r="F113">
        <v>11.411320754717</v>
      </c>
      <c r="G113">
        <v>570.29076446096599</v>
      </c>
      <c r="H113">
        <v>138.76624053558899</v>
      </c>
      <c r="I113" s="1">
        <f t="shared" si="3"/>
        <v>138.61613979209369</v>
      </c>
    </row>
    <row r="114" spans="1:9" x14ac:dyDescent="0.45">
      <c r="A114" t="s">
        <v>51</v>
      </c>
      <c r="B114" t="s">
        <v>8</v>
      </c>
      <c r="C114" t="str">
        <f t="shared" si="2"/>
        <v>OklahomaAlabama</v>
      </c>
      <c r="D114" t="s">
        <v>8</v>
      </c>
      <c r="E114">
        <v>5.4</v>
      </c>
      <c r="F114">
        <v>18.7169811320755</v>
      </c>
      <c r="G114">
        <v>1738.22047162336</v>
      </c>
      <c r="H114">
        <v>137.10884383109399</v>
      </c>
      <c r="I114" s="1">
        <f t="shared" si="3"/>
        <v>115.27819504731639</v>
      </c>
    </row>
    <row r="115" spans="1:9" x14ac:dyDescent="0.45">
      <c r="A115" t="s">
        <v>52</v>
      </c>
      <c r="B115" t="s">
        <v>8</v>
      </c>
      <c r="C115" t="str">
        <f t="shared" si="2"/>
        <v>OregonAlabama</v>
      </c>
      <c r="D115" t="s">
        <v>8</v>
      </c>
      <c r="E115">
        <v>16</v>
      </c>
      <c r="F115">
        <v>10.8943396226415</v>
      </c>
      <c r="G115">
        <v>526.84207772786203</v>
      </c>
      <c r="H115">
        <v>137.703221619234</v>
      </c>
      <c r="I115" s="1">
        <f t="shared" si="3"/>
        <v>123.64767951625109</v>
      </c>
    </row>
    <row r="116" spans="1:9" x14ac:dyDescent="0.45">
      <c r="A116" t="s">
        <v>53</v>
      </c>
      <c r="B116" t="s">
        <v>8</v>
      </c>
      <c r="C116" t="str">
        <f t="shared" si="2"/>
        <v>PurdueAlabama</v>
      </c>
      <c r="D116" t="s">
        <v>53</v>
      </c>
      <c r="E116">
        <v>50.1</v>
      </c>
      <c r="F116">
        <v>-1.88679245283019E-2</v>
      </c>
      <c r="G116">
        <v>-100.25988833322801</v>
      </c>
      <c r="H116">
        <v>139.051208948024</v>
      </c>
      <c r="I116" s="1">
        <f t="shared" si="3"/>
        <v>142.62880437950247</v>
      </c>
    </row>
    <row r="117" spans="1:9" x14ac:dyDescent="0.45">
      <c r="A117" t="s">
        <v>54</v>
      </c>
      <c r="B117" t="s">
        <v>8</v>
      </c>
      <c r="C117" t="str">
        <f t="shared" si="2"/>
        <v>Robert MorrisAlabama</v>
      </c>
      <c r="D117" t="s">
        <v>8</v>
      </c>
      <c r="E117">
        <v>0.1</v>
      </c>
      <c r="F117">
        <v>43.924528301886802</v>
      </c>
      <c r="G117">
        <v>81293.114945581401</v>
      </c>
      <c r="H117">
        <v>136.109845796786</v>
      </c>
      <c r="I117" s="1">
        <f t="shared" si="3"/>
        <v>101.21121828696087</v>
      </c>
    </row>
    <row r="118" spans="1:9" x14ac:dyDescent="0.45">
      <c r="A118" t="s">
        <v>55</v>
      </c>
      <c r="B118" t="s">
        <v>8</v>
      </c>
      <c r="C118" t="str">
        <f t="shared" si="2"/>
        <v>Saint FrancisAlabama</v>
      </c>
      <c r="D118" t="s">
        <v>8</v>
      </c>
      <c r="E118">
        <v>0.1</v>
      </c>
      <c r="F118">
        <v>46.652830188679197</v>
      </c>
      <c r="G118">
        <v>123216.448081276</v>
      </c>
      <c r="H118">
        <v>137.16270132999301</v>
      </c>
      <c r="I118" s="1">
        <f t="shared" si="3"/>
        <v>116.03656709547381</v>
      </c>
    </row>
    <row r="119" spans="1:9" x14ac:dyDescent="0.45">
      <c r="A119" t="s">
        <v>56</v>
      </c>
      <c r="B119" t="s">
        <v>8</v>
      </c>
      <c r="C119" t="str">
        <f t="shared" si="2"/>
        <v>Saint Mary'sAlabama</v>
      </c>
      <c r="D119" t="s">
        <v>8</v>
      </c>
      <c r="E119">
        <v>13.9</v>
      </c>
      <c r="F119">
        <v>11.9358490566038</v>
      </c>
      <c r="G119">
        <v>617.71053792602402</v>
      </c>
      <c r="H119">
        <v>138.41395653108401</v>
      </c>
      <c r="I119" s="1">
        <f t="shared" si="3"/>
        <v>133.65559859558445</v>
      </c>
    </row>
    <row r="120" spans="1:9" x14ac:dyDescent="0.45">
      <c r="A120" t="s">
        <v>57</v>
      </c>
      <c r="B120" t="s">
        <v>8</v>
      </c>
      <c r="C120" t="str">
        <f t="shared" si="2"/>
        <v>San Diego St.Alabama</v>
      </c>
      <c r="D120" t="s">
        <v>8</v>
      </c>
      <c r="E120">
        <v>4.5</v>
      </c>
      <c r="F120">
        <v>20.030188679245299</v>
      </c>
      <c r="G120">
        <v>2122.8831813434999</v>
      </c>
      <c r="H120">
        <v>137.56021141088101</v>
      </c>
      <c r="I120" s="1">
        <f t="shared" si="3"/>
        <v>121.6339405414906</v>
      </c>
    </row>
    <row r="121" spans="1:9" x14ac:dyDescent="0.45">
      <c r="A121" t="s">
        <v>58</v>
      </c>
      <c r="B121" t="s">
        <v>8</v>
      </c>
      <c r="C121" t="str">
        <f t="shared" si="2"/>
        <v>SIU EdwardsvilleAlabama</v>
      </c>
      <c r="D121" t="s">
        <v>8</v>
      </c>
      <c r="E121">
        <v>0.2</v>
      </c>
      <c r="F121">
        <v>39.626415094339599</v>
      </c>
      <c r="G121">
        <v>42199.0880063886</v>
      </c>
      <c r="H121">
        <v>137.70789917773001</v>
      </c>
      <c r="I121" s="1">
        <f t="shared" si="3"/>
        <v>123.71354461748145</v>
      </c>
    </row>
    <row r="122" spans="1:9" x14ac:dyDescent="0.45">
      <c r="A122" t="s">
        <v>59</v>
      </c>
      <c r="B122" t="s">
        <v>8</v>
      </c>
      <c r="C122" t="str">
        <f t="shared" si="2"/>
        <v>St. John'sAlabama</v>
      </c>
      <c r="D122" t="s">
        <v>8</v>
      </c>
      <c r="E122">
        <v>33.6</v>
      </c>
      <c r="F122">
        <v>4.4679245283018902</v>
      </c>
      <c r="G122">
        <v>197.74046797124001</v>
      </c>
      <c r="H122">
        <v>138.68558195027501</v>
      </c>
      <c r="I122" s="1">
        <f t="shared" si="3"/>
        <v>137.48037935396539</v>
      </c>
    </row>
    <row r="123" spans="1:9" x14ac:dyDescent="0.45">
      <c r="A123" t="s">
        <v>60</v>
      </c>
      <c r="B123" t="s">
        <v>8</v>
      </c>
      <c r="C123" t="str">
        <f t="shared" si="2"/>
        <v>TennesseeAlabama</v>
      </c>
      <c r="D123" t="s">
        <v>60</v>
      </c>
      <c r="E123">
        <v>50.3</v>
      </c>
      <c r="F123">
        <v>-7.5471698113207503E-2</v>
      </c>
      <c r="G123">
        <v>-101.168169159507</v>
      </c>
      <c r="H123">
        <v>139.27956482696601</v>
      </c>
      <c r="I123" s="1">
        <f t="shared" si="3"/>
        <v>145.84430304101184</v>
      </c>
    </row>
    <row r="124" spans="1:9" x14ac:dyDescent="0.45">
      <c r="A124" t="s">
        <v>61</v>
      </c>
      <c r="B124" t="s">
        <v>8</v>
      </c>
      <c r="C124" t="str">
        <f t="shared" si="2"/>
        <v>TexasAlabama</v>
      </c>
      <c r="D124" t="s">
        <v>8</v>
      </c>
      <c r="E124">
        <v>4</v>
      </c>
      <c r="F124">
        <v>20.875471698113198</v>
      </c>
      <c r="G124">
        <v>2416.1440554296601</v>
      </c>
      <c r="H124">
        <v>137.035279358038</v>
      </c>
      <c r="I124" s="1">
        <f t="shared" si="3"/>
        <v>114.24232741061645</v>
      </c>
    </row>
    <row r="125" spans="1:9" x14ac:dyDescent="0.45">
      <c r="A125" t="s">
        <v>62</v>
      </c>
      <c r="B125" t="s">
        <v>8</v>
      </c>
      <c r="C125" t="str">
        <f t="shared" si="2"/>
        <v>Texas A&amp;MAlabama</v>
      </c>
      <c r="D125" t="s">
        <v>8</v>
      </c>
      <c r="E125">
        <v>19.3</v>
      </c>
      <c r="F125">
        <v>9.3811320754716991</v>
      </c>
      <c r="G125">
        <v>418.33283244085499</v>
      </c>
      <c r="H125">
        <v>137.83307838563101</v>
      </c>
      <c r="I125" s="1">
        <f t="shared" si="3"/>
        <v>125.47620374988188</v>
      </c>
    </row>
    <row r="126" spans="1:9" x14ac:dyDescent="0.45">
      <c r="A126" t="s">
        <v>63</v>
      </c>
      <c r="B126" t="s">
        <v>8</v>
      </c>
      <c r="C126" t="str">
        <f t="shared" si="2"/>
        <v>Texas TechAlabama</v>
      </c>
      <c r="D126" t="s">
        <v>8</v>
      </c>
      <c r="E126">
        <v>32</v>
      </c>
      <c r="F126">
        <v>4.9283018867924504</v>
      </c>
      <c r="G126">
        <v>212.13162466531301</v>
      </c>
      <c r="H126">
        <v>138.87286250469501</v>
      </c>
      <c r="I126" s="1">
        <f t="shared" si="3"/>
        <v>140.11749285791493</v>
      </c>
    </row>
    <row r="127" spans="1:9" x14ac:dyDescent="0.45">
      <c r="A127" t="s">
        <v>64</v>
      </c>
      <c r="B127" t="s">
        <v>8</v>
      </c>
      <c r="C127" t="str">
        <f t="shared" si="2"/>
        <v>TroyAlabama</v>
      </c>
      <c r="D127" t="s">
        <v>8</v>
      </c>
      <c r="E127">
        <v>0.7</v>
      </c>
      <c r="F127">
        <v>32.875471698113202</v>
      </c>
      <c r="G127">
        <v>15068.3716475621</v>
      </c>
      <c r="H127">
        <v>137.57642692442499</v>
      </c>
      <c r="I127" s="1">
        <f t="shared" si="3"/>
        <v>121.86227257453453</v>
      </c>
    </row>
    <row r="128" spans="1:9" x14ac:dyDescent="0.45">
      <c r="A128" t="s">
        <v>65</v>
      </c>
      <c r="B128" t="s">
        <v>8</v>
      </c>
      <c r="C128" t="str">
        <f t="shared" si="2"/>
        <v>UC San DiegoAlabama</v>
      </c>
      <c r="D128" t="s">
        <v>8</v>
      </c>
      <c r="E128">
        <v>1.7</v>
      </c>
      <c r="F128">
        <v>26.7169811320755</v>
      </c>
      <c r="G128">
        <v>5887.3539174703301</v>
      </c>
      <c r="H128">
        <v>137.66454866781601</v>
      </c>
      <c r="I128" s="1">
        <f t="shared" si="3"/>
        <v>123.10312237983179</v>
      </c>
    </row>
    <row r="129" spans="1:9" x14ac:dyDescent="0.45">
      <c r="A129" t="s">
        <v>66</v>
      </c>
      <c r="B129" t="s">
        <v>8</v>
      </c>
      <c r="C129" t="str">
        <f t="shared" si="2"/>
        <v>UCLAAlabama</v>
      </c>
      <c r="D129" t="s">
        <v>8</v>
      </c>
      <c r="E129">
        <v>6.3</v>
      </c>
      <c r="F129">
        <v>17.671698113207501</v>
      </c>
      <c r="G129">
        <v>1481.5536421899701</v>
      </c>
      <c r="H129">
        <v>137.13600318092401</v>
      </c>
      <c r="I129" s="1">
        <f t="shared" si="3"/>
        <v>115.66062817507506</v>
      </c>
    </row>
    <row r="130" spans="1:9" x14ac:dyDescent="0.45">
      <c r="A130" t="s">
        <v>67</v>
      </c>
      <c r="B130" t="s">
        <v>8</v>
      </c>
      <c r="C130" t="str">
        <f t="shared" si="2"/>
        <v>UNC WilmingtonAlabama</v>
      </c>
      <c r="D130" t="s">
        <v>8</v>
      </c>
      <c r="E130">
        <v>1</v>
      </c>
      <c r="F130">
        <v>30.075471698113201</v>
      </c>
      <c r="G130">
        <v>9830.1090091822698</v>
      </c>
      <c r="H130">
        <v>138.25101885484401</v>
      </c>
      <c r="I130" s="1">
        <f t="shared" si="3"/>
        <v>131.36125924121103</v>
      </c>
    </row>
    <row r="131" spans="1:9" x14ac:dyDescent="0.45">
      <c r="A131" t="s">
        <v>68</v>
      </c>
      <c r="B131" t="s">
        <v>8</v>
      </c>
      <c r="C131" t="str">
        <f t="shared" ref="C131:C194" si="4">A131&amp;B131</f>
        <v>Utah St.Alabama</v>
      </c>
      <c r="D131" t="s">
        <v>8</v>
      </c>
      <c r="E131">
        <v>4.9000000000000004</v>
      </c>
      <c r="F131">
        <v>19.4339622641509</v>
      </c>
      <c r="G131">
        <v>1938.1140416401499</v>
      </c>
      <c r="H131">
        <v>137.62238925867101</v>
      </c>
      <c r="I131" s="1">
        <f t="shared" ref="I131:I194" si="5">18*(H131-AVERAGE($H$2:$H$4625))/_xlfn.STDEV.P($H$2:$H$4625)+AVERAGE($H$2:$H$4625)</f>
        <v>122.50947213397934</v>
      </c>
    </row>
    <row r="132" spans="1:9" x14ac:dyDescent="0.45">
      <c r="A132" t="s">
        <v>69</v>
      </c>
      <c r="B132" t="s">
        <v>8</v>
      </c>
      <c r="C132" t="str">
        <f t="shared" si="4"/>
        <v>VanderbiltAlabama</v>
      </c>
      <c r="D132" t="s">
        <v>8</v>
      </c>
      <c r="E132">
        <v>1.1000000000000001</v>
      </c>
      <c r="F132">
        <v>29.554716981132099</v>
      </c>
      <c r="G132">
        <v>9077.5639515681505</v>
      </c>
      <c r="H132">
        <v>136.19695974726901</v>
      </c>
      <c r="I132" s="1">
        <f t="shared" si="5"/>
        <v>102.43787727412894</v>
      </c>
    </row>
    <row r="133" spans="1:9" x14ac:dyDescent="0.45">
      <c r="A133" t="s">
        <v>70</v>
      </c>
      <c r="B133" t="s">
        <v>8</v>
      </c>
      <c r="C133" t="str">
        <f t="shared" si="4"/>
        <v>VCUAlabama</v>
      </c>
      <c r="D133" t="s">
        <v>8</v>
      </c>
      <c r="E133">
        <v>3.3</v>
      </c>
      <c r="F133">
        <v>22.207547169811299</v>
      </c>
      <c r="G133">
        <v>2959.64249800056</v>
      </c>
      <c r="H133">
        <v>138.04187090914499</v>
      </c>
      <c r="I133" s="1">
        <f t="shared" si="5"/>
        <v>128.41622913045396</v>
      </c>
    </row>
    <row r="134" spans="1:9" x14ac:dyDescent="0.45">
      <c r="A134" t="s">
        <v>71</v>
      </c>
      <c r="B134" t="s">
        <v>8</v>
      </c>
      <c r="C134" t="str">
        <f t="shared" si="4"/>
        <v>WisconsinAlabama</v>
      </c>
      <c r="D134" t="s">
        <v>8</v>
      </c>
      <c r="E134">
        <v>29.4</v>
      </c>
      <c r="F134">
        <v>5.74339622641509</v>
      </c>
      <c r="G134">
        <v>240.214060766872</v>
      </c>
      <c r="H134">
        <v>138.84254976441201</v>
      </c>
      <c r="I134" s="1">
        <f t="shared" si="5"/>
        <v>139.69065656949422</v>
      </c>
    </row>
    <row r="135" spans="1:9" x14ac:dyDescent="0.45">
      <c r="A135" t="s">
        <v>80</v>
      </c>
      <c r="B135" t="s">
        <v>8</v>
      </c>
      <c r="C135" t="str">
        <f t="shared" si="4"/>
        <v>WoffordAlabama</v>
      </c>
      <c r="D135" t="s">
        <v>8</v>
      </c>
      <c r="E135">
        <v>0.3</v>
      </c>
      <c r="F135">
        <v>37.1283018867924</v>
      </c>
      <c r="G135">
        <v>28831.9162216492</v>
      </c>
      <c r="H135">
        <v>136.87200550350599</v>
      </c>
      <c r="I135" s="1">
        <f t="shared" si="5"/>
        <v>111.94325430096173</v>
      </c>
    </row>
    <row r="136" spans="1:9" x14ac:dyDescent="0.45">
      <c r="A136" t="s">
        <v>72</v>
      </c>
      <c r="B136" t="s">
        <v>8</v>
      </c>
      <c r="C136" t="str">
        <f t="shared" si="4"/>
        <v>XavierAlabama</v>
      </c>
      <c r="D136" t="s">
        <v>8</v>
      </c>
      <c r="E136">
        <v>3.2</v>
      </c>
      <c r="F136">
        <v>22.2830188679245</v>
      </c>
      <c r="G136">
        <v>2994.2907132820501</v>
      </c>
      <c r="H136">
        <v>137.447919073658</v>
      </c>
      <c r="I136" s="1">
        <f t="shared" si="5"/>
        <v>120.05274253725598</v>
      </c>
    </row>
    <row r="137" spans="1:9" x14ac:dyDescent="0.45">
      <c r="A137" t="s">
        <v>73</v>
      </c>
      <c r="B137" t="s">
        <v>8</v>
      </c>
      <c r="C137" t="str">
        <f t="shared" si="4"/>
        <v>YaleAlabama</v>
      </c>
      <c r="D137" t="s">
        <v>8</v>
      </c>
      <c r="E137">
        <v>1.8</v>
      </c>
      <c r="F137">
        <v>26.1056603773585</v>
      </c>
      <c r="G137">
        <v>5365.4424812316201</v>
      </c>
      <c r="H137">
        <v>138.247153707721</v>
      </c>
      <c r="I137" s="1">
        <f t="shared" si="5"/>
        <v>131.30683377400541</v>
      </c>
    </row>
    <row r="138" spans="1:9" x14ac:dyDescent="0.45">
      <c r="A138" t="s">
        <v>7</v>
      </c>
      <c r="B138" t="s">
        <v>9</v>
      </c>
      <c r="C138" t="str">
        <f t="shared" si="4"/>
        <v>AkronAlabama St.</v>
      </c>
      <c r="D138" t="s">
        <v>7</v>
      </c>
      <c r="E138">
        <v>81.7</v>
      </c>
      <c r="F138">
        <v>-9.8113207547169807</v>
      </c>
      <c r="G138">
        <v>-446.69806253531402</v>
      </c>
      <c r="H138">
        <v>138.55087431949201</v>
      </c>
      <c r="I138" s="1">
        <f t="shared" si="5"/>
        <v>135.58354968404555</v>
      </c>
    </row>
    <row r="139" spans="1:9" x14ac:dyDescent="0.45">
      <c r="A139" t="s">
        <v>8</v>
      </c>
      <c r="B139" t="s">
        <v>9</v>
      </c>
      <c r="C139" t="str">
        <f t="shared" si="4"/>
        <v>AlabamaAlabama St.</v>
      </c>
      <c r="D139" t="s">
        <v>8</v>
      </c>
      <c r="E139">
        <v>99.7</v>
      </c>
      <c r="F139">
        <v>-37.9849056603774</v>
      </c>
      <c r="G139">
        <v>-32850.179102350201</v>
      </c>
      <c r="H139">
        <v>140.29897033163201</v>
      </c>
      <c r="I139" s="1">
        <f t="shared" si="5"/>
        <v>160.19863913682653</v>
      </c>
    </row>
    <row r="140" spans="1:9" x14ac:dyDescent="0.45">
      <c r="A140" t="s">
        <v>9</v>
      </c>
      <c r="B140" t="s">
        <v>9</v>
      </c>
      <c r="C140" t="str">
        <f t="shared" si="4"/>
        <v>Alabama St.Alabama St.</v>
      </c>
      <c r="D140" t="s">
        <v>9</v>
      </c>
      <c r="E140">
        <v>41.2</v>
      </c>
      <c r="F140">
        <v>2.3283018867924499</v>
      </c>
      <c r="G140">
        <v>142.64273539779199</v>
      </c>
      <c r="H140">
        <v>138.77771517530499</v>
      </c>
      <c r="I140" s="1">
        <f t="shared" si="5"/>
        <v>138.77771517530277</v>
      </c>
    </row>
    <row r="141" spans="1:9" x14ac:dyDescent="0.45">
      <c r="A141" t="s">
        <v>10</v>
      </c>
      <c r="B141" t="s">
        <v>9</v>
      </c>
      <c r="C141" t="str">
        <f t="shared" si="4"/>
        <v>AmericanAlabama St.</v>
      </c>
      <c r="D141" t="s">
        <v>9</v>
      </c>
      <c r="E141">
        <v>45.9</v>
      </c>
      <c r="F141">
        <v>1.06415094339623</v>
      </c>
      <c r="G141">
        <v>117.639193531302</v>
      </c>
      <c r="H141">
        <v>138.86880105691</v>
      </c>
      <c r="I141" s="1">
        <f t="shared" si="5"/>
        <v>140.06030326429911</v>
      </c>
    </row>
    <row r="142" spans="1:9" x14ac:dyDescent="0.45">
      <c r="A142" t="s">
        <v>11</v>
      </c>
      <c r="B142" t="s">
        <v>9</v>
      </c>
      <c r="C142" t="str">
        <f t="shared" si="4"/>
        <v>ArizonaAlabama St.</v>
      </c>
      <c r="D142" t="s">
        <v>11</v>
      </c>
      <c r="E142">
        <v>99.6</v>
      </c>
      <c r="F142">
        <v>-35.743396226415101</v>
      </c>
      <c r="G142">
        <v>-23339.929091846101</v>
      </c>
      <c r="H142">
        <v>140.06132915062199</v>
      </c>
      <c r="I142" s="1">
        <f t="shared" si="5"/>
        <v>156.85239334277247</v>
      </c>
    </row>
    <row r="143" spans="1:9" x14ac:dyDescent="0.45">
      <c r="A143" t="s">
        <v>12</v>
      </c>
      <c r="B143" t="s">
        <v>9</v>
      </c>
      <c r="C143" t="str">
        <f t="shared" si="4"/>
        <v>ArkansasAlabama St.</v>
      </c>
      <c r="D143" t="s">
        <v>12</v>
      </c>
      <c r="E143">
        <v>93.4</v>
      </c>
      <c r="F143">
        <v>-17.350943396226398</v>
      </c>
      <c r="G143">
        <v>-1411.27416597455</v>
      </c>
      <c r="H143">
        <v>138.17893298448001</v>
      </c>
      <c r="I143" s="1">
        <f t="shared" si="5"/>
        <v>130.34621193547466</v>
      </c>
    </row>
    <row r="144" spans="1:9" x14ac:dyDescent="0.45">
      <c r="A144" t="s">
        <v>13</v>
      </c>
      <c r="B144" t="s">
        <v>9</v>
      </c>
      <c r="C144" t="str">
        <f t="shared" si="4"/>
        <v>AuburnAlabama St.</v>
      </c>
      <c r="D144" t="s">
        <v>13</v>
      </c>
      <c r="E144">
        <v>99.8</v>
      </c>
      <c r="F144">
        <v>-42.396226415094297</v>
      </c>
      <c r="G144">
        <v>-64378.234513918498</v>
      </c>
      <c r="H144">
        <v>141.317652389741</v>
      </c>
      <c r="I144" s="1">
        <f t="shared" si="5"/>
        <v>174.54278831979931</v>
      </c>
    </row>
    <row r="145" spans="1:9" x14ac:dyDescent="0.45">
      <c r="A145" t="s">
        <v>14</v>
      </c>
      <c r="B145" t="s">
        <v>9</v>
      </c>
      <c r="C145" t="str">
        <f t="shared" si="4"/>
        <v>BaylorAlabama St.</v>
      </c>
      <c r="D145" t="s">
        <v>14</v>
      </c>
      <c r="E145">
        <v>98.6</v>
      </c>
      <c r="F145">
        <v>-27.664150943396201</v>
      </c>
      <c r="G145">
        <v>-6803.7972566261697</v>
      </c>
      <c r="H145">
        <v>139.852650402466</v>
      </c>
      <c r="I145" s="1">
        <f t="shared" si="5"/>
        <v>153.91397004274685</v>
      </c>
    </row>
    <row r="146" spans="1:9" x14ac:dyDescent="0.45">
      <c r="A146" t="s">
        <v>15</v>
      </c>
      <c r="B146" t="s">
        <v>9</v>
      </c>
      <c r="C146" t="str">
        <f t="shared" si="4"/>
        <v>BryantAlabama St.</v>
      </c>
      <c r="D146" t="s">
        <v>15</v>
      </c>
      <c r="E146">
        <v>75.5</v>
      </c>
      <c r="F146">
        <v>-7.3773584905660403</v>
      </c>
      <c r="G146">
        <v>-308.18480277211501</v>
      </c>
      <c r="H146">
        <v>139.40164815236</v>
      </c>
      <c r="I146" s="1">
        <f t="shared" si="5"/>
        <v>147.56336878705582</v>
      </c>
    </row>
    <row r="147" spans="1:9" x14ac:dyDescent="0.45">
      <c r="A147" t="s">
        <v>16</v>
      </c>
      <c r="B147" t="s">
        <v>9</v>
      </c>
      <c r="C147" t="str">
        <f t="shared" si="4"/>
        <v>BYUAlabama St.</v>
      </c>
      <c r="D147" t="s">
        <v>16</v>
      </c>
      <c r="E147">
        <v>98.8</v>
      </c>
      <c r="F147">
        <v>-28.9584905660377</v>
      </c>
      <c r="G147">
        <v>-8288.7291192119592</v>
      </c>
      <c r="H147">
        <v>139.66216863058401</v>
      </c>
      <c r="I147" s="1">
        <f t="shared" si="5"/>
        <v>151.23177992193104</v>
      </c>
    </row>
    <row r="148" spans="1:9" x14ac:dyDescent="0.45">
      <c r="A148" t="s">
        <v>17</v>
      </c>
      <c r="B148" t="s">
        <v>9</v>
      </c>
      <c r="C148" t="str">
        <f t="shared" si="4"/>
        <v>ClemsonAlabama St.</v>
      </c>
      <c r="D148" t="s">
        <v>17</v>
      </c>
      <c r="E148">
        <v>99.1</v>
      </c>
      <c r="F148">
        <v>-30.584905660377402</v>
      </c>
      <c r="G148">
        <v>-10620.3657364065</v>
      </c>
      <c r="H148">
        <v>139.88408048687501</v>
      </c>
      <c r="I148" s="1">
        <f t="shared" si="5"/>
        <v>154.35653974936676</v>
      </c>
    </row>
    <row r="149" spans="1:9" x14ac:dyDescent="0.45">
      <c r="A149" t="s">
        <v>18</v>
      </c>
      <c r="B149" t="s">
        <v>9</v>
      </c>
      <c r="C149" t="str">
        <f t="shared" si="4"/>
        <v>Colorado St.Alabama St.</v>
      </c>
      <c r="D149" t="s">
        <v>18</v>
      </c>
      <c r="E149">
        <v>94.6</v>
      </c>
      <c r="F149">
        <v>-18.743396226415101</v>
      </c>
      <c r="G149">
        <v>-1745.01009175997</v>
      </c>
      <c r="H149">
        <v>139.191472334981</v>
      </c>
      <c r="I149" s="1">
        <f t="shared" si="5"/>
        <v>144.60386512726427</v>
      </c>
    </row>
    <row r="150" spans="1:9" x14ac:dyDescent="0.45">
      <c r="A150" t="s">
        <v>19</v>
      </c>
      <c r="B150" t="s">
        <v>9</v>
      </c>
      <c r="C150" t="str">
        <f t="shared" si="4"/>
        <v>ConnecticutAlabama St.</v>
      </c>
      <c r="D150" t="s">
        <v>19</v>
      </c>
      <c r="E150">
        <v>99.4</v>
      </c>
      <c r="F150">
        <v>-34.045283018867899</v>
      </c>
      <c r="G150">
        <v>-18013.3705906379</v>
      </c>
      <c r="H150">
        <v>139.82702423731601</v>
      </c>
      <c r="I150" s="1">
        <f t="shared" si="5"/>
        <v>153.55312581959319</v>
      </c>
    </row>
    <row r="151" spans="1:9" x14ac:dyDescent="0.45">
      <c r="A151" t="s">
        <v>20</v>
      </c>
      <c r="B151" t="s">
        <v>9</v>
      </c>
      <c r="C151" t="str">
        <f t="shared" si="4"/>
        <v>CreightonAlabama St.</v>
      </c>
      <c r="D151" t="s">
        <v>20</v>
      </c>
      <c r="E151">
        <v>98.2</v>
      </c>
      <c r="F151">
        <v>-26.3547169811321</v>
      </c>
      <c r="G151">
        <v>-5572.0493826414704</v>
      </c>
      <c r="H151">
        <v>139.29996659957999</v>
      </c>
      <c r="I151" s="1">
        <f t="shared" si="5"/>
        <v>146.13158214605005</v>
      </c>
    </row>
    <row r="152" spans="1:9" x14ac:dyDescent="0.45">
      <c r="A152" t="s">
        <v>21</v>
      </c>
      <c r="B152" t="s">
        <v>9</v>
      </c>
      <c r="C152" t="str">
        <f t="shared" si="4"/>
        <v>DrakeAlabama St.</v>
      </c>
      <c r="D152" t="s">
        <v>21</v>
      </c>
      <c r="E152">
        <v>94.5</v>
      </c>
      <c r="F152">
        <v>-18.6943396226415</v>
      </c>
      <c r="G152">
        <v>-1731.5699699107099</v>
      </c>
      <c r="H152">
        <v>139.353431703734</v>
      </c>
      <c r="I152" s="1">
        <f t="shared" si="5"/>
        <v>146.88442885024349</v>
      </c>
    </row>
    <row r="153" spans="1:9" x14ac:dyDescent="0.45">
      <c r="A153" t="s">
        <v>22</v>
      </c>
      <c r="B153" t="s">
        <v>9</v>
      </c>
      <c r="C153" t="str">
        <f t="shared" si="4"/>
        <v>DukeAlabama St.</v>
      </c>
      <c r="D153" t="s">
        <v>22</v>
      </c>
      <c r="E153">
        <v>99.9</v>
      </c>
      <c r="F153">
        <v>-44.905660377358501</v>
      </c>
      <c r="G153">
        <v>-94394.889357884094</v>
      </c>
      <c r="H153">
        <v>141.640752165191</v>
      </c>
      <c r="I153" s="1">
        <f t="shared" si="5"/>
        <v>179.09238389100548</v>
      </c>
    </row>
    <row r="154" spans="1:9" x14ac:dyDescent="0.45">
      <c r="A154" t="s">
        <v>23</v>
      </c>
      <c r="B154" t="s">
        <v>9</v>
      </c>
      <c r="C154" t="str">
        <f t="shared" si="4"/>
        <v>FloridaAlabama St.</v>
      </c>
      <c r="D154" t="s">
        <v>23</v>
      </c>
      <c r="E154">
        <v>99.8</v>
      </c>
      <c r="F154">
        <v>-41.003773584905701</v>
      </c>
      <c r="G154">
        <v>-52071.711967259398</v>
      </c>
      <c r="H154">
        <v>141.36450844113301</v>
      </c>
      <c r="I154" s="1">
        <f t="shared" si="5"/>
        <v>175.20257238681205</v>
      </c>
    </row>
    <row r="155" spans="1:9" x14ac:dyDescent="0.45">
      <c r="A155" t="s">
        <v>24</v>
      </c>
      <c r="B155" t="s">
        <v>9</v>
      </c>
      <c r="C155" t="str">
        <f t="shared" si="4"/>
        <v>GeorgiaAlabama St.</v>
      </c>
      <c r="D155" t="s">
        <v>24</v>
      </c>
      <c r="E155">
        <v>95.1</v>
      </c>
      <c r="F155">
        <v>-19.498113207547199</v>
      </c>
      <c r="G155">
        <v>-1957.7945904901901</v>
      </c>
      <c r="H155">
        <v>138.50632196547701</v>
      </c>
      <c r="I155" s="1">
        <f t="shared" si="5"/>
        <v>134.95620417682218</v>
      </c>
    </row>
    <row r="156" spans="1:9" x14ac:dyDescent="0.45">
      <c r="A156" t="s">
        <v>25</v>
      </c>
      <c r="B156" t="s">
        <v>9</v>
      </c>
      <c r="C156" t="str">
        <f t="shared" si="4"/>
        <v>GonzagaAlabama St.</v>
      </c>
      <c r="D156" t="s">
        <v>25</v>
      </c>
      <c r="E156">
        <v>99.1</v>
      </c>
      <c r="F156">
        <v>-30.826415094339598</v>
      </c>
      <c r="G156">
        <v>-11020.172214550899</v>
      </c>
      <c r="H156">
        <v>140.64396308500599</v>
      </c>
      <c r="I156" s="1">
        <f t="shared" si="5"/>
        <v>165.05651160257631</v>
      </c>
    </row>
    <row r="157" spans="1:9" x14ac:dyDescent="0.45">
      <c r="A157" t="s">
        <v>26</v>
      </c>
      <c r="B157" t="s">
        <v>9</v>
      </c>
      <c r="C157" t="str">
        <f t="shared" si="4"/>
        <v>Grand CanyonAlabama St.</v>
      </c>
      <c r="D157" t="s">
        <v>26</v>
      </c>
      <c r="E157">
        <v>91.5</v>
      </c>
      <c r="F157">
        <v>-15.577358490566001</v>
      </c>
      <c r="G157">
        <v>-1076.23171247498</v>
      </c>
      <c r="H157">
        <v>139.29593133130999</v>
      </c>
      <c r="I157" s="1">
        <f t="shared" si="5"/>
        <v>146.07476118842399</v>
      </c>
    </row>
    <row r="158" spans="1:9" x14ac:dyDescent="0.45">
      <c r="A158" t="s">
        <v>27</v>
      </c>
      <c r="B158" t="s">
        <v>9</v>
      </c>
      <c r="C158" t="str">
        <f t="shared" si="4"/>
        <v>High PointAlabama St.</v>
      </c>
      <c r="D158" t="s">
        <v>27</v>
      </c>
      <c r="E158">
        <v>87.6</v>
      </c>
      <c r="F158">
        <v>-12.8037735849057</v>
      </c>
      <c r="G158">
        <v>-705.06590865818498</v>
      </c>
      <c r="H158">
        <v>139.57682307896599</v>
      </c>
      <c r="I158" s="1">
        <f t="shared" si="5"/>
        <v>150.03002191042299</v>
      </c>
    </row>
    <row r="159" spans="1:9" x14ac:dyDescent="0.45">
      <c r="A159" t="s">
        <v>28</v>
      </c>
      <c r="B159" t="s">
        <v>9</v>
      </c>
      <c r="C159" t="str">
        <f t="shared" si="4"/>
        <v>HoustonAlabama St.</v>
      </c>
      <c r="D159" t="s">
        <v>28</v>
      </c>
      <c r="E159">
        <v>99.9</v>
      </c>
      <c r="F159">
        <v>-48.4188679245283</v>
      </c>
      <c r="G159">
        <v>-161337.650400235</v>
      </c>
      <c r="H159">
        <v>141.78441651482001</v>
      </c>
      <c r="I159" s="1">
        <f t="shared" si="5"/>
        <v>181.11533388501897</v>
      </c>
    </row>
    <row r="160" spans="1:9" x14ac:dyDescent="0.45">
      <c r="A160" t="s">
        <v>29</v>
      </c>
      <c r="B160" t="s">
        <v>9</v>
      </c>
      <c r="C160" t="str">
        <f t="shared" si="4"/>
        <v>IllinoisAlabama St.</v>
      </c>
      <c r="D160" t="s">
        <v>29</v>
      </c>
      <c r="E160">
        <v>99.4</v>
      </c>
      <c r="F160">
        <v>-33.309433962264201</v>
      </c>
      <c r="G160">
        <v>-16092.854315037701</v>
      </c>
      <c r="H160">
        <v>139.83466166875701</v>
      </c>
      <c r="I160" s="1">
        <f t="shared" si="5"/>
        <v>153.66066914490489</v>
      </c>
    </row>
    <row r="161" spans="1:9" x14ac:dyDescent="0.45">
      <c r="A161" t="s">
        <v>30</v>
      </c>
      <c r="B161" t="s">
        <v>9</v>
      </c>
      <c r="C161" t="str">
        <f t="shared" si="4"/>
        <v>Iowa St.Alabama St.</v>
      </c>
      <c r="D161" t="s">
        <v>30</v>
      </c>
      <c r="E161">
        <v>99.7</v>
      </c>
      <c r="F161">
        <v>-38.192452830188699</v>
      </c>
      <c r="G161">
        <v>-33897.951877457897</v>
      </c>
      <c r="H161">
        <v>140.760930247115</v>
      </c>
      <c r="I161" s="1">
        <f t="shared" si="5"/>
        <v>166.70353621584485</v>
      </c>
    </row>
    <row r="162" spans="1:9" x14ac:dyDescent="0.45">
      <c r="A162" t="s">
        <v>31</v>
      </c>
      <c r="B162" t="s">
        <v>9</v>
      </c>
      <c r="C162" t="str">
        <f t="shared" si="4"/>
        <v>KansasAlabama St.</v>
      </c>
      <c r="D162" t="s">
        <v>31</v>
      </c>
      <c r="E162">
        <v>99</v>
      </c>
      <c r="F162">
        <v>-30.086792452830199</v>
      </c>
      <c r="G162">
        <v>-9848.3159303603206</v>
      </c>
      <c r="H162">
        <v>139.71632053142699</v>
      </c>
      <c r="I162" s="1">
        <f t="shared" si="5"/>
        <v>151.99429746904008</v>
      </c>
    </row>
    <row r="163" spans="1:9" x14ac:dyDescent="0.45">
      <c r="A163" t="s">
        <v>32</v>
      </c>
      <c r="B163" t="s">
        <v>9</v>
      </c>
      <c r="C163" t="str">
        <f t="shared" si="4"/>
        <v>KentuckyAlabama St.</v>
      </c>
      <c r="D163" t="s">
        <v>32</v>
      </c>
      <c r="E163">
        <v>99.4</v>
      </c>
      <c r="F163">
        <v>-33.5169811320755</v>
      </c>
      <c r="G163">
        <v>-16613.890210253201</v>
      </c>
      <c r="H163">
        <v>139.663358131819</v>
      </c>
      <c r="I163" s="1">
        <f t="shared" si="5"/>
        <v>151.24852939055296</v>
      </c>
    </row>
    <row r="164" spans="1:9" x14ac:dyDescent="0.45">
      <c r="A164" t="s">
        <v>33</v>
      </c>
      <c r="B164" t="s">
        <v>9</v>
      </c>
      <c r="C164" t="str">
        <f t="shared" si="4"/>
        <v>LibertyAlabama St.</v>
      </c>
      <c r="D164" t="s">
        <v>33</v>
      </c>
      <c r="E164">
        <v>82.2</v>
      </c>
      <c r="F164">
        <v>-10.026415094339599</v>
      </c>
      <c r="G164">
        <v>-461.64831840219802</v>
      </c>
      <c r="H164">
        <v>138.87229438021799</v>
      </c>
      <c r="I164" s="1">
        <f t="shared" si="5"/>
        <v>140.10949304856527</v>
      </c>
    </row>
    <row r="165" spans="1:9" x14ac:dyDescent="0.45">
      <c r="A165" t="s">
        <v>34</v>
      </c>
      <c r="B165" t="s">
        <v>9</v>
      </c>
      <c r="C165" t="str">
        <f t="shared" si="4"/>
        <v>LipscombAlabama St.</v>
      </c>
      <c r="D165" t="s">
        <v>34</v>
      </c>
      <c r="E165">
        <v>78</v>
      </c>
      <c r="F165">
        <v>-8.2867924528301895</v>
      </c>
      <c r="G165">
        <v>-353.90068937618997</v>
      </c>
      <c r="H165">
        <v>139.304214611475</v>
      </c>
      <c r="I165" s="1">
        <f t="shared" si="5"/>
        <v>146.1913987648548</v>
      </c>
    </row>
    <row r="166" spans="1:9" x14ac:dyDescent="0.45">
      <c r="A166" t="s">
        <v>35</v>
      </c>
      <c r="B166" t="s">
        <v>9</v>
      </c>
      <c r="C166" t="str">
        <f t="shared" si="4"/>
        <v>LouisvilleAlabama St.</v>
      </c>
      <c r="D166" t="s">
        <v>35</v>
      </c>
      <c r="E166">
        <v>90</v>
      </c>
      <c r="F166">
        <v>-14.3924528301887</v>
      </c>
      <c r="G166">
        <v>-898.45158692146697</v>
      </c>
      <c r="H166">
        <v>138.58993792344299</v>
      </c>
      <c r="I166" s="1">
        <f t="shared" si="5"/>
        <v>136.13360763219237</v>
      </c>
    </row>
    <row r="167" spans="1:9" x14ac:dyDescent="0.45">
      <c r="A167" t="s">
        <v>36</v>
      </c>
      <c r="B167" t="s">
        <v>9</v>
      </c>
      <c r="C167" t="str">
        <f t="shared" si="4"/>
        <v>MarquetteAlabama St.</v>
      </c>
      <c r="D167" t="s">
        <v>36</v>
      </c>
      <c r="E167">
        <v>99.2</v>
      </c>
      <c r="F167">
        <v>-31.735849056603801</v>
      </c>
      <c r="G167">
        <v>-12664.8510441934</v>
      </c>
      <c r="H167">
        <v>139.921694558349</v>
      </c>
      <c r="I167" s="1">
        <f t="shared" si="5"/>
        <v>154.88618670673398</v>
      </c>
    </row>
    <row r="168" spans="1:9" x14ac:dyDescent="0.45">
      <c r="A168" t="s">
        <v>37</v>
      </c>
      <c r="B168" t="s">
        <v>9</v>
      </c>
      <c r="C168" t="str">
        <f t="shared" si="4"/>
        <v>MarylandAlabama St.</v>
      </c>
      <c r="D168" t="s">
        <v>37</v>
      </c>
      <c r="E168">
        <v>98.8</v>
      </c>
      <c r="F168">
        <v>-29.192452830188699</v>
      </c>
      <c r="G168">
        <v>-8591.2375616067402</v>
      </c>
      <c r="H168">
        <v>139.53163387002701</v>
      </c>
      <c r="I168" s="1">
        <f t="shared" si="5"/>
        <v>149.39370879454805</v>
      </c>
    </row>
    <row r="169" spans="1:9" x14ac:dyDescent="0.45">
      <c r="A169" t="s">
        <v>38</v>
      </c>
      <c r="B169" t="s">
        <v>9</v>
      </c>
      <c r="C169" t="str">
        <f t="shared" si="4"/>
        <v>McNeese St.Alabama St.</v>
      </c>
      <c r="D169" t="s">
        <v>38</v>
      </c>
      <c r="E169">
        <v>93.9</v>
      </c>
      <c r="F169">
        <v>-17.8867924528302</v>
      </c>
      <c r="G169">
        <v>-1530.75810152396</v>
      </c>
      <c r="H169">
        <v>139.36704548422799</v>
      </c>
      <c r="I169" s="1">
        <f t="shared" si="5"/>
        <v>147.07612565769728</v>
      </c>
    </row>
    <row r="170" spans="1:9" x14ac:dyDescent="0.45">
      <c r="A170" t="s">
        <v>39</v>
      </c>
      <c r="B170" t="s">
        <v>9</v>
      </c>
      <c r="C170" t="str">
        <f t="shared" si="4"/>
        <v>MemphisAlabama St.</v>
      </c>
      <c r="D170" t="s">
        <v>39</v>
      </c>
      <c r="E170">
        <v>97.8</v>
      </c>
      <c r="F170">
        <v>-24.807547169811301</v>
      </c>
      <c r="G170">
        <v>-4400.3702902443401</v>
      </c>
      <c r="H170">
        <v>138.509268683047</v>
      </c>
      <c r="I170" s="1">
        <f t="shared" si="5"/>
        <v>134.99769715894303</v>
      </c>
    </row>
    <row r="171" spans="1:9" x14ac:dyDescent="0.45">
      <c r="A171" t="s">
        <v>40</v>
      </c>
      <c r="B171" t="s">
        <v>9</v>
      </c>
      <c r="C171" t="str">
        <f t="shared" si="4"/>
        <v>MichiganAlabama St.</v>
      </c>
      <c r="D171" t="s">
        <v>40</v>
      </c>
      <c r="E171">
        <v>95.9</v>
      </c>
      <c r="F171">
        <v>-20.618867924528299</v>
      </c>
      <c r="G171">
        <v>-2322.8447503994898</v>
      </c>
      <c r="H171">
        <v>138.16618976773</v>
      </c>
      <c r="I171" s="1">
        <f t="shared" si="5"/>
        <v>130.16677361055469</v>
      </c>
    </row>
    <row r="172" spans="1:9" x14ac:dyDescent="0.45">
      <c r="A172" t="s">
        <v>41</v>
      </c>
      <c r="B172" t="s">
        <v>9</v>
      </c>
      <c r="C172" t="str">
        <f t="shared" si="4"/>
        <v>Michigan St.Alabama St.</v>
      </c>
      <c r="D172" t="s">
        <v>41</v>
      </c>
      <c r="E172">
        <v>99.6</v>
      </c>
      <c r="F172">
        <v>-35.441509433962302</v>
      </c>
      <c r="G172">
        <v>-22289.176306052799</v>
      </c>
      <c r="H172">
        <v>139.86508172855901</v>
      </c>
      <c r="I172" s="1">
        <f t="shared" si="5"/>
        <v>154.08901660865112</v>
      </c>
    </row>
    <row r="173" spans="1:9" x14ac:dyDescent="0.45">
      <c r="A173" t="s">
        <v>42</v>
      </c>
      <c r="B173" t="s">
        <v>9</v>
      </c>
      <c r="C173" t="str">
        <f t="shared" si="4"/>
        <v>MississippiAlabama St.</v>
      </c>
      <c r="D173" t="s">
        <v>42</v>
      </c>
      <c r="E173">
        <v>98.3</v>
      </c>
      <c r="F173">
        <v>-26.5320754716981</v>
      </c>
      <c r="G173">
        <v>-5724.9952298983198</v>
      </c>
      <c r="H173">
        <v>138.99600283365399</v>
      </c>
      <c r="I173" s="1">
        <f t="shared" si="5"/>
        <v>141.85144236155779</v>
      </c>
    </row>
    <row r="174" spans="1:9" x14ac:dyDescent="0.45">
      <c r="A174" t="s">
        <v>43</v>
      </c>
      <c r="B174" t="s">
        <v>9</v>
      </c>
      <c r="C174" t="str">
        <f t="shared" si="4"/>
        <v>Mississippi St.Alabama St.</v>
      </c>
      <c r="D174" t="s">
        <v>43</v>
      </c>
      <c r="E174">
        <v>97.7</v>
      </c>
      <c r="F174">
        <v>-24.683018867924499</v>
      </c>
      <c r="G174">
        <v>-4318.0120223117701</v>
      </c>
      <c r="H174">
        <v>139.12037418744299</v>
      </c>
      <c r="I174" s="1">
        <f t="shared" si="5"/>
        <v>143.60272603111551</v>
      </c>
    </row>
    <row r="175" spans="1:9" x14ac:dyDescent="0.45">
      <c r="A175" t="s">
        <v>44</v>
      </c>
      <c r="B175" t="s">
        <v>9</v>
      </c>
      <c r="C175" t="str">
        <f t="shared" si="4"/>
        <v>MissouriAlabama St.</v>
      </c>
      <c r="D175" t="s">
        <v>44</v>
      </c>
      <c r="E175">
        <v>95</v>
      </c>
      <c r="F175">
        <v>-19.271698113207499</v>
      </c>
      <c r="G175">
        <v>-1890.9711639554</v>
      </c>
      <c r="H175">
        <v>138.384846123617</v>
      </c>
      <c r="I175" s="1">
        <f t="shared" si="5"/>
        <v>133.24569245837503</v>
      </c>
    </row>
    <row r="176" spans="1:9" x14ac:dyDescent="0.45">
      <c r="A176" t="s">
        <v>45</v>
      </c>
      <c r="B176" t="s">
        <v>9</v>
      </c>
      <c r="C176" t="str">
        <f t="shared" si="4"/>
        <v>MontanaAlabama St.</v>
      </c>
      <c r="D176" t="s">
        <v>45</v>
      </c>
      <c r="E176">
        <v>64.8</v>
      </c>
      <c r="F176">
        <v>-4.0150943396226397</v>
      </c>
      <c r="G176">
        <v>-184.45602023616101</v>
      </c>
      <c r="H176">
        <v>137.693580848636</v>
      </c>
      <c r="I176" s="1">
        <f t="shared" si="5"/>
        <v>123.51192700093419</v>
      </c>
    </row>
    <row r="177" spans="1:9" x14ac:dyDescent="0.45">
      <c r="A177" t="s">
        <v>46</v>
      </c>
      <c r="B177" t="s">
        <v>9</v>
      </c>
      <c r="C177" t="str">
        <f t="shared" si="4"/>
        <v>Mount St. Mary'sAlabama St.</v>
      </c>
      <c r="D177" t="s">
        <v>9</v>
      </c>
      <c r="E177">
        <v>42</v>
      </c>
      <c r="F177">
        <v>2.1018867924528299</v>
      </c>
      <c r="G177">
        <v>137.81860881614</v>
      </c>
      <c r="H177">
        <v>139.041455070583</v>
      </c>
      <c r="I177" s="1">
        <f t="shared" si="5"/>
        <v>142.4914591970558</v>
      </c>
    </row>
    <row r="178" spans="1:9" x14ac:dyDescent="0.45">
      <c r="A178" t="s">
        <v>47</v>
      </c>
      <c r="B178" t="s">
        <v>9</v>
      </c>
      <c r="C178" t="str">
        <f t="shared" si="4"/>
        <v>Nebraska OmahaAlabama St.</v>
      </c>
      <c r="D178" t="s">
        <v>9</v>
      </c>
      <c r="E178">
        <v>48.5</v>
      </c>
      <c r="F178">
        <v>0.388679245283019</v>
      </c>
      <c r="G178">
        <v>106.080973880339</v>
      </c>
      <c r="H178">
        <v>138.325456250483</v>
      </c>
      <c r="I178" s="1">
        <f t="shared" si="5"/>
        <v>132.40941857545886</v>
      </c>
    </row>
    <row r="179" spans="1:9" x14ac:dyDescent="0.45">
      <c r="A179" t="s">
        <v>48</v>
      </c>
      <c r="B179" t="s">
        <v>9</v>
      </c>
      <c r="C179" t="str">
        <f t="shared" si="4"/>
        <v>New MexicoAlabama St.</v>
      </c>
      <c r="D179" t="s">
        <v>48</v>
      </c>
      <c r="E179">
        <v>96</v>
      </c>
      <c r="F179">
        <v>-20.860377358490599</v>
      </c>
      <c r="G179">
        <v>-2409.8944902093699</v>
      </c>
      <c r="H179">
        <v>139.20320059775801</v>
      </c>
      <c r="I179" s="1">
        <f t="shared" si="5"/>
        <v>144.76901179848656</v>
      </c>
    </row>
    <row r="180" spans="1:9" x14ac:dyDescent="0.45">
      <c r="A180" t="s">
        <v>49</v>
      </c>
      <c r="B180" t="s">
        <v>9</v>
      </c>
      <c r="C180" t="str">
        <f t="shared" si="4"/>
        <v>Norfolk St.Alabama St.</v>
      </c>
      <c r="D180" t="s">
        <v>49</v>
      </c>
      <c r="E180">
        <v>58.1</v>
      </c>
      <c r="F180">
        <v>-2.14716981132075</v>
      </c>
      <c r="G180">
        <v>-138.72193481363001</v>
      </c>
      <c r="H180">
        <v>138.21556425995999</v>
      </c>
      <c r="I180" s="1">
        <f t="shared" si="5"/>
        <v>130.8620200583965</v>
      </c>
    </row>
    <row r="181" spans="1:9" x14ac:dyDescent="0.45">
      <c r="A181" t="s">
        <v>50</v>
      </c>
      <c r="B181" t="s">
        <v>9</v>
      </c>
      <c r="C181" t="str">
        <f t="shared" si="4"/>
        <v>North CarolinaAlabama St.</v>
      </c>
      <c r="D181" t="s">
        <v>50</v>
      </c>
      <c r="E181">
        <v>98.8</v>
      </c>
      <c r="F181">
        <v>-28.9018867924528</v>
      </c>
      <c r="G181">
        <v>-8216.5795020293408</v>
      </c>
      <c r="H181">
        <v>140.28749569191601</v>
      </c>
      <c r="I181" s="1">
        <f t="shared" si="5"/>
        <v>160.03706375361747</v>
      </c>
    </row>
    <row r="182" spans="1:9" x14ac:dyDescent="0.45">
      <c r="A182" t="s">
        <v>51</v>
      </c>
      <c r="B182" t="s">
        <v>9</v>
      </c>
      <c r="C182" t="str">
        <f t="shared" si="4"/>
        <v>OklahomaAlabama St.</v>
      </c>
      <c r="D182" t="s">
        <v>51</v>
      </c>
      <c r="E182">
        <v>96.4</v>
      </c>
      <c r="F182">
        <v>-21.5962264150943</v>
      </c>
      <c r="G182">
        <v>-2695.7681617283001</v>
      </c>
      <c r="H182">
        <v>138.63009898742001</v>
      </c>
      <c r="I182" s="1">
        <f t="shared" si="5"/>
        <v>136.69911900882613</v>
      </c>
    </row>
    <row r="183" spans="1:9" x14ac:dyDescent="0.45">
      <c r="A183" t="s">
        <v>52</v>
      </c>
      <c r="B183" t="s">
        <v>9</v>
      </c>
      <c r="C183" t="str">
        <f t="shared" si="4"/>
        <v>OregonAlabama St.</v>
      </c>
      <c r="D183" t="s">
        <v>52</v>
      </c>
      <c r="E183">
        <v>98.9</v>
      </c>
      <c r="F183">
        <v>-29.4188679245283</v>
      </c>
      <c r="G183">
        <v>-8894.2011345705196</v>
      </c>
      <c r="H183">
        <v>139.22447677556099</v>
      </c>
      <c r="I183" s="1">
        <f t="shared" si="5"/>
        <v>145.06860347777447</v>
      </c>
    </row>
    <row r="184" spans="1:9" x14ac:dyDescent="0.45">
      <c r="A184" t="s">
        <v>53</v>
      </c>
      <c r="B184" t="s">
        <v>9</v>
      </c>
      <c r="C184" t="str">
        <f t="shared" si="4"/>
        <v>PurdueAlabama St.</v>
      </c>
      <c r="D184" t="s">
        <v>53</v>
      </c>
      <c r="E184">
        <v>99.8</v>
      </c>
      <c r="F184">
        <v>-40.332075471698097</v>
      </c>
      <c r="G184">
        <v>-46980.173553950997</v>
      </c>
      <c r="H184">
        <v>140.57246410434999</v>
      </c>
      <c r="I184" s="1">
        <f t="shared" si="5"/>
        <v>164.04972834101184</v>
      </c>
    </row>
    <row r="185" spans="1:9" x14ac:dyDescent="0.45">
      <c r="A185" t="s">
        <v>54</v>
      </c>
      <c r="B185" t="s">
        <v>9</v>
      </c>
      <c r="C185" t="str">
        <f t="shared" si="4"/>
        <v>Robert MorrisAlabama St.</v>
      </c>
      <c r="D185" t="s">
        <v>9</v>
      </c>
      <c r="E185">
        <v>36.6</v>
      </c>
      <c r="F185">
        <v>3.6113207547169801</v>
      </c>
      <c r="G185">
        <v>173.48677133651501</v>
      </c>
      <c r="H185">
        <v>137.63110095311299</v>
      </c>
      <c r="I185" s="1">
        <f t="shared" si="5"/>
        <v>122.63214224848423</v>
      </c>
    </row>
    <row r="186" spans="1:9" x14ac:dyDescent="0.45">
      <c r="A186" t="s">
        <v>55</v>
      </c>
      <c r="B186" t="s">
        <v>9</v>
      </c>
      <c r="C186" t="str">
        <f t="shared" si="4"/>
        <v>Saint FrancisAlabama St.</v>
      </c>
      <c r="D186" t="s">
        <v>9</v>
      </c>
      <c r="E186">
        <v>27.6</v>
      </c>
      <c r="F186">
        <v>6.3396226415094299</v>
      </c>
      <c r="G186">
        <v>262.95491035721102</v>
      </c>
      <c r="H186">
        <v>138.68395648632</v>
      </c>
      <c r="I186" s="1">
        <f t="shared" si="5"/>
        <v>137.45749105699718</v>
      </c>
    </row>
    <row r="187" spans="1:9" x14ac:dyDescent="0.45">
      <c r="A187" t="s">
        <v>56</v>
      </c>
      <c r="B187" t="s">
        <v>9</v>
      </c>
      <c r="C187" t="str">
        <f t="shared" si="4"/>
        <v>Saint Mary'sAlabama St.</v>
      </c>
      <c r="D187" t="s">
        <v>56</v>
      </c>
      <c r="E187">
        <v>98.7</v>
      </c>
      <c r="F187">
        <v>-28.377358490565999</v>
      </c>
      <c r="G187">
        <v>-7585.8174950347202</v>
      </c>
      <c r="H187">
        <v>139.93521168741</v>
      </c>
      <c r="I187" s="1">
        <f t="shared" si="5"/>
        <v>155.07652255709382</v>
      </c>
    </row>
    <row r="188" spans="1:9" x14ac:dyDescent="0.45">
      <c r="A188" t="s">
        <v>57</v>
      </c>
      <c r="B188" t="s">
        <v>9</v>
      </c>
      <c r="C188" t="str">
        <f t="shared" si="4"/>
        <v>San Diego St.Alabama St.</v>
      </c>
      <c r="D188" t="s">
        <v>57</v>
      </c>
      <c r="E188">
        <v>95.7</v>
      </c>
      <c r="F188">
        <v>-20.2830188679245</v>
      </c>
      <c r="G188">
        <v>-2207.2996981873898</v>
      </c>
      <c r="H188">
        <v>139.081466567208</v>
      </c>
      <c r="I188" s="1">
        <f t="shared" si="5"/>
        <v>143.05486450301396</v>
      </c>
    </row>
    <row r="189" spans="1:9" x14ac:dyDescent="0.45">
      <c r="A189" t="s">
        <v>58</v>
      </c>
      <c r="B189" t="s">
        <v>9</v>
      </c>
      <c r="C189" t="str">
        <f t="shared" si="4"/>
        <v>SIU EdwardsvilleAlabama St.</v>
      </c>
      <c r="D189" t="s">
        <v>58</v>
      </c>
      <c r="E189">
        <v>52.6</v>
      </c>
      <c r="F189">
        <v>-0.68679245283018897</v>
      </c>
      <c r="G189">
        <v>-111.04124820795199</v>
      </c>
      <c r="H189">
        <v>139.22915433405601</v>
      </c>
      <c r="I189" s="1">
        <f t="shared" si="5"/>
        <v>145.13446857899081</v>
      </c>
    </row>
    <row r="190" spans="1:9" x14ac:dyDescent="0.45">
      <c r="A190" t="s">
        <v>59</v>
      </c>
      <c r="B190" t="s">
        <v>9</v>
      </c>
      <c r="C190" t="str">
        <f t="shared" si="4"/>
        <v>St. John'sAlabama St.</v>
      </c>
      <c r="D190" t="s">
        <v>59</v>
      </c>
      <c r="E190">
        <v>99.6</v>
      </c>
      <c r="F190">
        <v>-35.845283018867903</v>
      </c>
      <c r="G190">
        <v>-23696.916739107401</v>
      </c>
      <c r="H190">
        <v>140.206837106601</v>
      </c>
      <c r="I190" s="1">
        <f t="shared" si="5"/>
        <v>158.90130331547476</v>
      </c>
    </row>
    <row r="191" spans="1:9" x14ac:dyDescent="0.45">
      <c r="A191" t="s">
        <v>60</v>
      </c>
      <c r="B191" t="s">
        <v>9</v>
      </c>
      <c r="C191" t="str">
        <f t="shared" si="4"/>
        <v>TennesseeAlabama St.</v>
      </c>
      <c r="D191" t="s">
        <v>60</v>
      </c>
      <c r="E191">
        <v>99.8</v>
      </c>
      <c r="F191">
        <v>-40.388679245283001</v>
      </c>
      <c r="G191">
        <v>-47405.779362652102</v>
      </c>
      <c r="H191">
        <v>140.800819983292</v>
      </c>
      <c r="I191" s="1">
        <f t="shared" si="5"/>
        <v>167.26522700252121</v>
      </c>
    </row>
    <row r="192" spans="1:9" x14ac:dyDescent="0.45">
      <c r="A192" t="s">
        <v>61</v>
      </c>
      <c r="B192" t="s">
        <v>9</v>
      </c>
      <c r="C192" t="str">
        <f t="shared" si="4"/>
        <v>TexasAlabama St.</v>
      </c>
      <c r="D192" t="s">
        <v>61</v>
      </c>
      <c r="E192">
        <v>95.1</v>
      </c>
      <c r="F192">
        <v>-19.437735849056601</v>
      </c>
      <c r="G192">
        <v>-1939.3874280535399</v>
      </c>
      <c r="H192">
        <v>138.55653451436399</v>
      </c>
      <c r="I192" s="1">
        <f t="shared" si="5"/>
        <v>135.66325137212581</v>
      </c>
    </row>
    <row r="193" spans="1:9" x14ac:dyDescent="0.45">
      <c r="A193" t="s">
        <v>62</v>
      </c>
      <c r="B193" t="s">
        <v>9</v>
      </c>
      <c r="C193" t="str">
        <f t="shared" si="4"/>
        <v>Texas A&amp;MAlabama St.</v>
      </c>
      <c r="D193" t="s">
        <v>62</v>
      </c>
      <c r="E193">
        <v>99.1</v>
      </c>
      <c r="F193">
        <v>-30.932075471698099</v>
      </c>
      <c r="G193">
        <v>-11201.2231459961</v>
      </c>
      <c r="H193">
        <v>139.354333541958</v>
      </c>
      <c r="I193" s="1">
        <f t="shared" si="5"/>
        <v>146.89712771140526</v>
      </c>
    </row>
    <row r="194" spans="1:9" x14ac:dyDescent="0.45">
      <c r="A194" t="s">
        <v>63</v>
      </c>
      <c r="B194" t="s">
        <v>9</v>
      </c>
      <c r="C194" t="str">
        <f t="shared" si="4"/>
        <v>Texas TechAlabama St.</v>
      </c>
      <c r="D194" t="s">
        <v>63</v>
      </c>
      <c r="E194">
        <v>99.5</v>
      </c>
      <c r="F194">
        <v>-35.384905660377399</v>
      </c>
      <c r="G194">
        <v>-22089.301455450601</v>
      </c>
      <c r="H194">
        <v>140.39411766102199</v>
      </c>
      <c r="I194" s="1">
        <f t="shared" si="5"/>
        <v>161.53841681943828</v>
      </c>
    </row>
    <row r="195" spans="1:9" x14ac:dyDescent="0.45">
      <c r="A195" t="s">
        <v>64</v>
      </c>
      <c r="B195" t="s">
        <v>9</v>
      </c>
      <c r="C195" t="str">
        <f t="shared" ref="C195:C258" si="6">A195&amp;B195</f>
        <v>TroyAlabama St.</v>
      </c>
      <c r="D195" t="s">
        <v>64</v>
      </c>
      <c r="E195">
        <v>75.7</v>
      </c>
      <c r="F195">
        <v>-7.4377358490566001</v>
      </c>
      <c r="G195">
        <v>-310.971849849796</v>
      </c>
      <c r="H195">
        <v>139.09768208075101</v>
      </c>
      <c r="I195" s="1">
        <f t="shared" ref="I195:I258" si="7">18*(H195-AVERAGE($H$2:$H$4625))/_xlfn.STDEV.P($H$2:$H$4625)+AVERAGE($H$2:$H$4625)</f>
        <v>143.2831965360443</v>
      </c>
    </row>
    <row r="196" spans="1:9" x14ac:dyDescent="0.45">
      <c r="A196" t="s">
        <v>65</v>
      </c>
      <c r="B196" t="s">
        <v>9</v>
      </c>
      <c r="C196" t="str">
        <f t="shared" si="6"/>
        <v>UC San DiegoAlabama St.</v>
      </c>
      <c r="D196" t="s">
        <v>65</v>
      </c>
      <c r="E196">
        <v>88.8</v>
      </c>
      <c r="F196">
        <v>-13.5962264150943</v>
      </c>
      <c r="G196">
        <v>-795.91603819870295</v>
      </c>
      <c r="H196">
        <v>139.185803824142</v>
      </c>
      <c r="I196" s="1">
        <f t="shared" si="7"/>
        <v>144.52404634134115</v>
      </c>
    </row>
    <row r="197" spans="1:9" x14ac:dyDescent="0.45">
      <c r="A197" t="s">
        <v>66</v>
      </c>
      <c r="B197" t="s">
        <v>9</v>
      </c>
      <c r="C197" t="str">
        <f t="shared" si="6"/>
        <v>UCLAAlabama St.</v>
      </c>
      <c r="D197" t="s">
        <v>66</v>
      </c>
      <c r="E197">
        <v>96.9</v>
      </c>
      <c r="F197">
        <v>-22.641509433962302</v>
      </c>
      <c r="G197">
        <v>-3162.7875441217402</v>
      </c>
      <c r="H197">
        <v>138.65725833725099</v>
      </c>
      <c r="I197" s="1">
        <f t="shared" si="7"/>
        <v>137.08155213659845</v>
      </c>
    </row>
    <row r="198" spans="1:9" x14ac:dyDescent="0.45">
      <c r="A198" t="s">
        <v>67</v>
      </c>
      <c r="B198" t="s">
        <v>9</v>
      </c>
      <c r="C198" t="str">
        <f t="shared" si="6"/>
        <v>UNC WilmingtonAlabama St.</v>
      </c>
      <c r="D198" t="s">
        <v>67</v>
      </c>
      <c r="E198">
        <v>82.7</v>
      </c>
      <c r="F198">
        <v>-10.2377358490566</v>
      </c>
      <c r="G198">
        <v>-476.68234412147098</v>
      </c>
      <c r="H198">
        <v>139.77227401117099</v>
      </c>
      <c r="I198" s="1">
        <f t="shared" si="7"/>
        <v>152.78218320273442</v>
      </c>
    </row>
    <row r="199" spans="1:9" x14ac:dyDescent="0.45">
      <c r="A199" t="s">
        <v>68</v>
      </c>
      <c r="B199" t="s">
        <v>9</v>
      </c>
      <c r="C199" t="str">
        <f t="shared" si="6"/>
        <v>Utah St.Alabama St.</v>
      </c>
      <c r="D199" t="s">
        <v>68</v>
      </c>
      <c r="E199">
        <v>96</v>
      </c>
      <c r="F199">
        <v>-20.883018867924498</v>
      </c>
      <c r="G199">
        <v>-2417.7315187815998</v>
      </c>
      <c r="H199">
        <v>139.143644414997</v>
      </c>
      <c r="I199" s="1">
        <f t="shared" si="7"/>
        <v>143.9303960954887</v>
      </c>
    </row>
    <row r="200" spans="1:9" x14ac:dyDescent="0.45">
      <c r="A200" t="s">
        <v>69</v>
      </c>
      <c r="B200" t="s">
        <v>9</v>
      </c>
      <c r="C200" t="str">
        <f t="shared" si="6"/>
        <v>VanderbiltAlabama St.</v>
      </c>
      <c r="D200" t="s">
        <v>69</v>
      </c>
      <c r="E200">
        <v>83.8</v>
      </c>
      <c r="F200">
        <v>-10.7584905660377</v>
      </c>
      <c r="G200">
        <v>-516.20009844790195</v>
      </c>
      <c r="H200">
        <v>137.71821490359599</v>
      </c>
      <c r="I200" s="1">
        <f t="shared" si="7"/>
        <v>123.85880123565231</v>
      </c>
    </row>
    <row r="201" spans="1:9" x14ac:dyDescent="0.45">
      <c r="A201" t="s">
        <v>70</v>
      </c>
      <c r="B201" t="s">
        <v>9</v>
      </c>
      <c r="C201" t="str">
        <f t="shared" si="6"/>
        <v>VCUAlabama St.</v>
      </c>
      <c r="D201" t="s">
        <v>70</v>
      </c>
      <c r="E201">
        <v>94.1</v>
      </c>
      <c r="F201">
        <v>-18.1056603773585</v>
      </c>
      <c r="G201">
        <v>-1583.2450739007099</v>
      </c>
      <c r="H201">
        <v>139.56312606547101</v>
      </c>
      <c r="I201" s="1">
        <f t="shared" si="7"/>
        <v>149.83715309196373</v>
      </c>
    </row>
    <row r="202" spans="1:9" x14ac:dyDescent="0.45">
      <c r="A202" t="s">
        <v>71</v>
      </c>
      <c r="B202" t="s">
        <v>9</v>
      </c>
      <c r="C202" t="str">
        <f t="shared" si="6"/>
        <v>WisconsinAlabama St.</v>
      </c>
      <c r="D202" t="s">
        <v>71</v>
      </c>
      <c r="E202">
        <v>99.5</v>
      </c>
      <c r="F202">
        <v>-34.569811320754702</v>
      </c>
      <c r="G202">
        <v>-19506.932235803801</v>
      </c>
      <c r="H202">
        <v>140.363804920738</v>
      </c>
      <c r="I202" s="1">
        <f t="shared" si="7"/>
        <v>161.1115805310036</v>
      </c>
    </row>
    <row r="203" spans="1:9" x14ac:dyDescent="0.45">
      <c r="A203" t="s">
        <v>80</v>
      </c>
      <c r="B203" t="s">
        <v>9</v>
      </c>
      <c r="C203" t="str">
        <f t="shared" si="6"/>
        <v>WoffordAlabama St.</v>
      </c>
      <c r="D203" t="s">
        <v>80</v>
      </c>
      <c r="E203">
        <v>61.9</v>
      </c>
      <c r="F203">
        <v>-3.18490566037736</v>
      </c>
      <c r="G203">
        <v>-162.52264918653299</v>
      </c>
      <c r="H203">
        <v>138.393260659833</v>
      </c>
      <c r="I203" s="1">
        <f t="shared" si="7"/>
        <v>133.3641782624855</v>
      </c>
    </row>
    <row r="204" spans="1:9" x14ac:dyDescent="0.45">
      <c r="A204" t="s">
        <v>72</v>
      </c>
      <c r="B204" t="s">
        <v>9</v>
      </c>
      <c r="C204" t="str">
        <f t="shared" si="6"/>
        <v>XavierAlabama St.</v>
      </c>
      <c r="D204" t="s">
        <v>72</v>
      </c>
      <c r="E204">
        <v>94</v>
      </c>
      <c r="F204">
        <v>-18.030188679245299</v>
      </c>
      <c r="G204">
        <v>-1564.92466969931</v>
      </c>
      <c r="H204">
        <v>138.96917422998399</v>
      </c>
      <c r="I204" s="1">
        <f t="shared" si="7"/>
        <v>141.47366649876534</v>
      </c>
    </row>
    <row r="205" spans="1:9" x14ac:dyDescent="0.45">
      <c r="A205" t="s">
        <v>73</v>
      </c>
      <c r="B205" t="s">
        <v>9</v>
      </c>
      <c r="C205" t="str">
        <f t="shared" si="6"/>
        <v>YaleAlabama St.</v>
      </c>
      <c r="D205" t="s">
        <v>73</v>
      </c>
      <c r="E205">
        <v>89.7</v>
      </c>
      <c r="F205">
        <v>-14.207547169811299</v>
      </c>
      <c r="G205">
        <v>-873.33699352061399</v>
      </c>
      <c r="H205">
        <v>139.76840886404699</v>
      </c>
      <c r="I205" s="1">
        <f t="shared" si="7"/>
        <v>152.72775773551479</v>
      </c>
    </row>
    <row r="206" spans="1:9" x14ac:dyDescent="0.45">
      <c r="A206" t="s">
        <v>7</v>
      </c>
      <c r="B206" t="s">
        <v>10</v>
      </c>
      <c r="C206" t="str">
        <f t="shared" si="6"/>
        <v>AkronAmerican</v>
      </c>
      <c r="D206" t="s">
        <v>7</v>
      </c>
      <c r="E206">
        <v>78.7</v>
      </c>
      <c r="F206">
        <v>-8.5471698113207495</v>
      </c>
      <c r="G206">
        <v>-368.39730871750402</v>
      </c>
      <c r="H206">
        <v>138.45978843788799</v>
      </c>
      <c r="I206" s="1">
        <f t="shared" si="7"/>
        <v>134.30096159506323</v>
      </c>
    </row>
    <row r="207" spans="1:9" x14ac:dyDescent="0.45">
      <c r="A207" t="s">
        <v>8</v>
      </c>
      <c r="B207" t="s">
        <v>10</v>
      </c>
      <c r="C207" t="str">
        <f t="shared" si="6"/>
        <v>AlabamaAmerican</v>
      </c>
      <c r="D207" t="s">
        <v>8</v>
      </c>
      <c r="E207">
        <v>99.6</v>
      </c>
      <c r="F207">
        <v>-36.720754716981098</v>
      </c>
      <c r="G207">
        <v>-27091.941038443802</v>
      </c>
      <c r="H207">
        <v>140.20788445002799</v>
      </c>
      <c r="I207" s="1">
        <f t="shared" si="7"/>
        <v>158.91605104784421</v>
      </c>
    </row>
    <row r="208" spans="1:9" x14ac:dyDescent="0.45">
      <c r="A208" t="s">
        <v>9</v>
      </c>
      <c r="B208" t="s">
        <v>10</v>
      </c>
      <c r="C208" t="str">
        <f t="shared" si="6"/>
        <v>Alabama St.American</v>
      </c>
      <c r="D208" t="s">
        <v>10</v>
      </c>
      <c r="E208">
        <v>36.6</v>
      </c>
      <c r="F208">
        <v>3.5924528301886798</v>
      </c>
      <c r="G208">
        <v>172.960637955669</v>
      </c>
      <c r="H208">
        <v>138.686629293701</v>
      </c>
      <c r="I208" s="1">
        <f t="shared" si="7"/>
        <v>137.49512708632082</v>
      </c>
    </row>
    <row r="209" spans="1:9" x14ac:dyDescent="0.45">
      <c r="A209" t="s">
        <v>10</v>
      </c>
      <c r="B209" t="s">
        <v>10</v>
      </c>
      <c r="C209" t="str">
        <f t="shared" si="6"/>
        <v>AmericanAmerican</v>
      </c>
      <c r="D209" t="s">
        <v>10</v>
      </c>
      <c r="E209">
        <v>41.2</v>
      </c>
      <c r="F209">
        <v>2.3283018867924499</v>
      </c>
      <c r="G209">
        <v>142.64273539779199</v>
      </c>
      <c r="H209">
        <v>138.77771517530499</v>
      </c>
      <c r="I209" s="1">
        <f t="shared" si="7"/>
        <v>138.77771517530277</v>
      </c>
    </row>
    <row r="210" spans="1:9" x14ac:dyDescent="0.45">
      <c r="A210" t="s">
        <v>11</v>
      </c>
      <c r="B210" t="s">
        <v>10</v>
      </c>
      <c r="C210" t="str">
        <f t="shared" si="6"/>
        <v>ArizonaAmerican</v>
      </c>
      <c r="D210" t="s">
        <v>11</v>
      </c>
      <c r="E210">
        <v>99.5</v>
      </c>
      <c r="F210">
        <v>-34.4830188679245</v>
      </c>
      <c r="G210">
        <v>-19248.722535960998</v>
      </c>
      <c r="H210">
        <v>139.970243269018</v>
      </c>
      <c r="I210" s="1">
        <f t="shared" si="7"/>
        <v>155.56980525379055</v>
      </c>
    </row>
    <row r="211" spans="1:9" x14ac:dyDescent="0.45">
      <c r="A211" t="s">
        <v>12</v>
      </c>
      <c r="B211" t="s">
        <v>10</v>
      </c>
      <c r="C211" t="str">
        <f t="shared" si="6"/>
        <v>ArkansasAmerican</v>
      </c>
      <c r="D211" t="s">
        <v>12</v>
      </c>
      <c r="E211">
        <v>92.1</v>
      </c>
      <c r="F211">
        <v>-16.090566037735801</v>
      </c>
      <c r="G211">
        <v>-1163.8949174230199</v>
      </c>
      <c r="H211">
        <v>138.087847102876</v>
      </c>
      <c r="I211" s="1">
        <f t="shared" si="7"/>
        <v>129.06362384649231</v>
      </c>
    </row>
    <row r="212" spans="1:9" x14ac:dyDescent="0.45">
      <c r="A212" t="s">
        <v>13</v>
      </c>
      <c r="B212" t="s">
        <v>10</v>
      </c>
      <c r="C212" t="str">
        <f t="shared" si="6"/>
        <v>AuburnAmerican</v>
      </c>
      <c r="D212" t="s">
        <v>13</v>
      </c>
      <c r="E212">
        <v>99.8</v>
      </c>
      <c r="F212">
        <v>-41.132075471698101</v>
      </c>
      <c r="G212">
        <v>-53093.510637372397</v>
      </c>
      <c r="H212">
        <v>141.22656650813701</v>
      </c>
      <c r="I212" s="1">
        <f t="shared" si="7"/>
        <v>173.26020023081739</v>
      </c>
    </row>
    <row r="213" spans="1:9" x14ac:dyDescent="0.45">
      <c r="A213" t="s">
        <v>14</v>
      </c>
      <c r="B213" t="s">
        <v>10</v>
      </c>
      <c r="C213" t="str">
        <f t="shared" si="6"/>
        <v>BaylorAmerican</v>
      </c>
      <c r="D213" t="s">
        <v>14</v>
      </c>
      <c r="E213">
        <v>98.2</v>
      </c>
      <c r="F213">
        <v>-26.4</v>
      </c>
      <c r="G213">
        <v>-5611.1740986171499</v>
      </c>
      <c r="H213">
        <v>139.76156452086201</v>
      </c>
      <c r="I213" s="1">
        <f t="shared" si="7"/>
        <v>152.6313819537649</v>
      </c>
    </row>
    <row r="214" spans="1:9" x14ac:dyDescent="0.45">
      <c r="A214" t="s">
        <v>15</v>
      </c>
      <c r="B214" t="s">
        <v>10</v>
      </c>
      <c r="C214" t="str">
        <f t="shared" si="6"/>
        <v>BryantAmerican</v>
      </c>
      <c r="D214" t="s">
        <v>15</v>
      </c>
      <c r="E214">
        <v>71.8</v>
      </c>
      <c r="F214">
        <v>-6.11320754716981</v>
      </c>
      <c r="G214">
        <v>-254.16374381499801</v>
      </c>
      <c r="H214">
        <v>139.31056227075601</v>
      </c>
      <c r="I214" s="1">
        <f t="shared" si="7"/>
        <v>146.2807806980739</v>
      </c>
    </row>
    <row r="215" spans="1:9" x14ac:dyDescent="0.45">
      <c r="A215" t="s">
        <v>16</v>
      </c>
      <c r="B215" t="s">
        <v>10</v>
      </c>
      <c r="C215" t="str">
        <f t="shared" si="6"/>
        <v>BYUAmerican</v>
      </c>
      <c r="D215" t="s">
        <v>16</v>
      </c>
      <c r="E215">
        <v>98.6</v>
      </c>
      <c r="F215">
        <v>-27.6943396226415</v>
      </c>
      <c r="G215">
        <v>-6835.8154115895704</v>
      </c>
      <c r="H215">
        <v>139.57108274897999</v>
      </c>
      <c r="I215" s="1">
        <f t="shared" si="7"/>
        <v>149.94919183294869</v>
      </c>
    </row>
    <row r="216" spans="1:9" x14ac:dyDescent="0.45">
      <c r="A216" t="s">
        <v>17</v>
      </c>
      <c r="B216" t="s">
        <v>10</v>
      </c>
      <c r="C216" t="str">
        <f t="shared" si="6"/>
        <v>ClemsonAmerican</v>
      </c>
      <c r="D216" t="s">
        <v>17</v>
      </c>
      <c r="E216">
        <v>98.9</v>
      </c>
      <c r="F216">
        <v>-29.320754716981099</v>
      </c>
      <c r="G216">
        <v>-8758.7444026095509</v>
      </c>
      <c r="H216">
        <v>139.79299460527099</v>
      </c>
      <c r="I216" s="1">
        <f t="shared" si="7"/>
        <v>153.07395166038444</v>
      </c>
    </row>
    <row r="217" spans="1:9" x14ac:dyDescent="0.45">
      <c r="A217" t="s">
        <v>18</v>
      </c>
      <c r="B217" t="s">
        <v>10</v>
      </c>
      <c r="C217" t="str">
        <f t="shared" si="6"/>
        <v>Colorado St.American</v>
      </c>
      <c r="D217" t="s">
        <v>18</v>
      </c>
      <c r="E217">
        <v>93.5</v>
      </c>
      <c r="F217">
        <v>-17.479245283018901</v>
      </c>
      <c r="G217">
        <v>-1439.1309822133701</v>
      </c>
      <c r="H217">
        <v>139.10038645337701</v>
      </c>
      <c r="I217" s="1">
        <f t="shared" si="7"/>
        <v>143.32127703828235</v>
      </c>
    </row>
    <row r="218" spans="1:9" x14ac:dyDescent="0.45">
      <c r="A218" t="s">
        <v>19</v>
      </c>
      <c r="B218" t="s">
        <v>10</v>
      </c>
      <c r="C218" t="str">
        <f t="shared" si="6"/>
        <v>ConnecticutAmerican</v>
      </c>
      <c r="D218" t="s">
        <v>19</v>
      </c>
      <c r="E218">
        <v>99.3</v>
      </c>
      <c r="F218">
        <v>-32.784905660377397</v>
      </c>
      <c r="G218">
        <v>-14855.84515155</v>
      </c>
      <c r="H218">
        <v>139.73593835571199</v>
      </c>
      <c r="I218" s="1">
        <f t="shared" si="7"/>
        <v>152.27053773061084</v>
      </c>
    </row>
    <row r="219" spans="1:9" x14ac:dyDescent="0.45">
      <c r="A219" t="s">
        <v>20</v>
      </c>
      <c r="B219" t="s">
        <v>10</v>
      </c>
      <c r="C219" t="str">
        <f t="shared" si="6"/>
        <v>CreightonAmerican</v>
      </c>
      <c r="D219" t="s">
        <v>20</v>
      </c>
      <c r="E219">
        <v>97.9</v>
      </c>
      <c r="F219">
        <v>-25.090566037735801</v>
      </c>
      <c r="G219">
        <v>-4595.3366910872901</v>
      </c>
      <c r="H219">
        <v>139.208880717976</v>
      </c>
      <c r="I219" s="1">
        <f t="shared" si="7"/>
        <v>144.8489940570681</v>
      </c>
    </row>
    <row r="220" spans="1:9" x14ac:dyDescent="0.45">
      <c r="A220" t="s">
        <v>21</v>
      </c>
      <c r="B220" t="s">
        <v>10</v>
      </c>
      <c r="C220" t="str">
        <f t="shared" si="6"/>
        <v>DrakeAmerican</v>
      </c>
      <c r="D220" t="s">
        <v>21</v>
      </c>
      <c r="E220">
        <v>93.5</v>
      </c>
      <c r="F220">
        <v>-17.430188679245301</v>
      </c>
      <c r="G220">
        <v>-1428.0467507528599</v>
      </c>
      <c r="H220">
        <v>139.26234582212999</v>
      </c>
      <c r="I220" s="1">
        <f t="shared" si="7"/>
        <v>145.60184076126114</v>
      </c>
    </row>
    <row r="221" spans="1:9" x14ac:dyDescent="0.45">
      <c r="A221" t="s">
        <v>22</v>
      </c>
      <c r="B221" t="s">
        <v>10</v>
      </c>
      <c r="C221" t="str">
        <f t="shared" si="6"/>
        <v>DukeAmerican</v>
      </c>
      <c r="D221" t="s">
        <v>22</v>
      </c>
      <c r="E221">
        <v>99.9</v>
      </c>
      <c r="F221">
        <v>-43.641509433962298</v>
      </c>
      <c r="G221">
        <v>-77848.609861360193</v>
      </c>
      <c r="H221">
        <v>141.54966628358599</v>
      </c>
      <c r="I221" s="1">
        <f t="shared" si="7"/>
        <v>177.80979580200915</v>
      </c>
    </row>
    <row r="222" spans="1:9" x14ac:dyDescent="0.45">
      <c r="A222" t="s">
        <v>23</v>
      </c>
      <c r="B222" t="s">
        <v>10</v>
      </c>
      <c r="C222" t="str">
        <f t="shared" si="6"/>
        <v>FloridaAmerican</v>
      </c>
      <c r="D222" t="s">
        <v>23</v>
      </c>
      <c r="E222">
        <v>99.8</v>
      </c>
      <c r="F222">
        <v>-39.743396226415101</v>
      </c>
      <c r="G222">
        <v>-42944.172267445698</v>
      </c>
      <c r="H222">
        <v>141.273422559529</v>
      </c>
      <c r="I222" s="1">
        <f t="shared" si="7"/>
        <v>173.91998429782973</v>
      </c>
    </row>
    <row r="223" spans="1:9" x14ac:dyDescent="0.45">
      <c r="A223" t="s">
        <v>24</v>
      </c>
      <c r="B223" t="s">
        <v>10</v>
      </c>
      <c r="C223" t="str">
        <f t="shared" si="6"/>
        <v>GeorgiaAmerican</v>
      </c>
      <c r="D223" t="s">
        <v>24</v>
      </c>
      <c r="E223">
        <v>94.2</v>
      </c>
      <c r="F223">
        <v>-18.2339622641509</v>
      </c>
      <c r="G223">
        <v>-1614.6169384857201</v>
      </c>
      <c r="H223">
        <v>138.415236083873</v>
      </c>
      <c r="I223" s="1">
        <f t="shared" si="7"/>
        <v>133.67361608783986</v>
      </c>
    </row>
    <row r="224" spans="1:9" x14ac:dyDescent="0.45">
      <c r="A224" t="s">
        <v>25</v>
      </c>
      <c r="B224" t="s">
        <v>10</v>
      </c>
      <c r="C224" t="str">
        <f t="shared" si="6"/>
        <v>GonzagaAmerican</v>
      </c>
      <c r="D224" t="s">
        <v>25</v>
      </c>
      <c r="E224">
        <v>98.9</v>
      </c>
      <c r="F224">
        <v>-29.562264150943399</v>
      </c>
      <c r="G224">
        <v>-9088.4696530847796</v>
      </c>
      <c r="H224">
        <v>140.55287720340201</v>
      </c>
      <c r="I224" s="1">
        <f t="shared" si="7"/>
        <v>163.77392351359438</v>
      </c>
    </row>
    <row r="225" spans="1:9" x14ac:dyDescent="0.45">
      <c r="A225" t="s">
        <v>26</v>
      </c>
      <c r="B225" t="s">
        <v>10</v>
      </c>
      <c r="C225" t="str">
        <f t="shared" si="6"/>
        <v>Grand CanyonAmerican</v>
      </c>
      <c r="D225" t="s">
        <v>26</v>
      </c>
      <c r="E225">
        <v>89.9</v>
      </c>
      <c r="F225">
        <v>-14.313207547169799</v>
      </c>
      <c r="G225">
        <v>-887.58134338419995</v>
      </c>
      <c r="H225">
        <v>139.204845449706</v>
      </c>
      <c r="I225" s="1">
        <f t="shared" si="7"/>
        <v>144.79217309944207</v>
      </c>
    </row>
    <row r="226" spans="1:9" x14ac:dyDescent="0.45">
      <c r="A226" t="s">
        <v>27</v>
      </c>
      <c r="B226" t="s">
        <v>10</v>
      </c>
      <c r="C226" t="str">
        <f t="shared" si="6"/>
        <v>High PointAmerican</v>
      </c>
      <c r="D226" t="s">
        <v>27</v>
      </c>
      <c r="E226">
        <v>85.3</v>
      </c>
      <c r="F226">
        <v>-11.5396226415094</v>
      </c>
      <c r="G226">
        <v>-581.47640431639797</v>
      </c>
      <c r="H226">
        <v>139.485737197362</v>
      </c>
      <c r="I226" s="1">
        <f t="shared" si="7"/>
        <v>148.74743382144106</v>
      </c>
    </row>
    <row r="227" spans="1:9" x14ac:dyDescent="0.45">
      <c r="A227" t="s">
        <v>28</v>
      </c>
      <c r="B227" t="s">
        <v>10</v>
      </c>
      <c r="C227" t="str">
        <f t="shared" si="6"/>
        <v>HoustonAmerican</v>
      </c>
      <c r="D227" t="s">
        <v>28</v>
      </c>
      <c r="E227">
        <v>99.9</v>
      </c>
      <c r="F227">
        <v>-47.154716981132097</v>
      </c>
      <c r="G227">
        <v>-133057.11662347399</v>
      </c>
      <c r="H227">
        <v>141.69333063321599</v>
      </c>
      <c r="I227" s="1">
        <f t="shared" si="7"/>
        <v>179.83274579603662</v>
      </c>
    </row>
    <row r="228" spans="1:9" x14ac:dyDescent="0.45">
      <c r="A228" t="s">
        <v>29</v>
      </c>
      <c r="B228" t="s">
        <v>10</v>
      </c>
      <c r="C228" t="str">
        <f t="shared" si="6"/>
        <v>IllinoisAmerican</v>
      </c>
      <c r="D228" t="s">
        <v>29</v>
      </c>
      <c r="E228">
        <v>99.3</v>
      </c>
      <c r="F228">
        <v>-32.045283018867899</v>
      </c>
      <c r="G228">
        <v>-13271.9720913815</v>
      </c>
      <c r="H228">
        <v>139.74357578715299</v>
      </c>
      <c r="I228" s="1">
        <f t="shared" si="7"/>
        <v>152.37808105592254</v>
      </c>
    </row>
    <row r="229" spans="1:9" x14ac:dyDescent="0.45">
      <c r="A229" t="s">
        <v>30</v>
      </c>
      <c r="B229" t="s">
        <v>10</v>
      </c>
      <c r="C229" t="str">
        <f t="shared" si="6"/>
        <v>Iowa St.American</v>
      </c>
      <c r="D229" t="s">
        <v>30</v>
      </c>
      <c r="E229">
        <v>99.6</v>
      </c>
      <c r="F229">
        <v>-36.928301886792497</v>
      </c>
      <c r="G229">
        <v>-27956.051951095102</v>
      </c>
      <c r="H229">
        <v>140.66984436551101</v>
      </c>
      <c r="I229" s="1">
        <f t="shared" si="7"/>
        <v>165.4209481268629</v>
      </c>
    </row>
    <row r="230" spans="1:9" x14ac:dyDescent="0.45">
      <c r="A230" t="s">
        <v>31</v>
      </c>
      <c r="B230" t="s">
        <v>10</v>
      </c>
      <c r="C230" t="str">
        <f t="shared" si="6"/>
        <v>KansasAmerican</v>
      </c>
      <c r="D230" t="s">
        <v>31</v>
      </c>
      <c r="E230">
        <v>98.8</v>
      </c>
      <c r="F230">
        <v>-28.826415094339598</v>
      </c>
      <c r="G230">
        <v>-8122.0255658879896</v>
      </c>
      <c r="H230">
        <v>139.625234649823</v>
      </c>
      <c r="I230" s="1">
        <f t="shared" si="7"/>
        <v>150.71170938005815</v>
      </c>
    </row>
    <row r="231" spans="1:9" x14ac:dyDescent="0.45">
      <c r="A231" t="s">
        <v>32</v>
      </c>
      <c r="B231" t="s">
        <v>10</v>
      </c>
      <c r="C231" t="str">
        <f t="shared" si="6"/>
        <v>KentuckyAmerican</v>
      </c>
      <c r="D231" t="s">
        <v>32</v>
      </c>
      <c r="E231">
        <v>99.3</v>
      </c>
      <c r="F231">
        <v>-32.252830188679198</v>
      </c>
      <c r="G231">
        <v>-13701.676712111101</v>
      </c>
      <c r="H231">
        <v>139.57227225021501</v>
      </c>
      <c r="I231" s="1">
        <f t="shared" si="7"/>
        <v>149.96594130157104</v>
      </c>
    </row>
    <row r="232" spans="1:9" x14ac:dyDescent="0.45">
      <c r="A232" t="s">
        <v>33</v>
      </c>
      <c r="B232" t="s">
        <v>10</v>
      </c>
      <c r="C232" t="str">
        <f t="shared" si="6"/>
        <v>LibertyAmerican</v>
      </c>
      <c r="D232" t="s">
        <v>33</v>
      </c>
      <c r="E232">
        <v>79.2</v>
      </c>
      <c r="F232">
        <v>-8.7622641509434001</v>
      </c>
      <c r="G232">
        <v>-380.72696601384098</v>
      </c>
      <c r="H232">
        <v>138.78120849861401</v>
      </c>
      <c r="I232" s="1">
        <f t="shared" si="7"/>
        <v>138.82690495958335</v>
      </c>
    </row>
    <row r="233" spans="1:9" x14ac:dyDescent="0.45">
      <c r="A233" t="s">
        <v>34</v>
      </c>
      <c r="B233" t="s">
        <v>10</v>
      </c>
      <c r="C233" t="str">
        <f t="shared" si="6"/>
        <v>LipscombAmerican</v>
      </c>
      <c r="D233" t="s">
        <v>34</v>
      </c>
      <c r="E233">
        <v>74.5</v>
      </c>
      <c r="F233">
        <v>-7.02264150943396</v>
      </c>
      <c r="G233">
        <v>-291.86618983634003</v>
      </c>
      <c r="H233">
        <v>139.21312872987099</v>
      </c>
      <c r="I233" s="1">
        <f t="shared" si="7"/>
        <v>144.90881067587245</v>
      </c>
    </row>
    <row r="234" spans="1:9" x14ac:dyDescent="0.45">
      <c r="A234" t="s">
        <v>35</v>
      </c>
      <c r="B234" t="s">
        <v>10</v>
      </c>
      <c r="C234" t="str">
        <f t="shared" si="6"/>
        <v>LouisvilleAmerican</v>
      </c>
      <c r="D234" t="s">
        <v>35</v>
      </c>
      <c r="E234">
        <v>88.1</v>
      </c>
      <c r="F234">
        <v>-13.128301886792499</v>
      </c>
      <c r="G234">
        <v>-740.96391812460899</v>
      </c>
      <c r="H234">
        <v>138.498852041839</v>
      </c>
      <c r="I234" s="1">
        <f t="shared" si="7"/>
        <v>134.85101954321044</v>
      </c>
    </row>
    <row r="235" spans="1:9" x14ac:dyDescent="0.45">
      <c r="A235" t="s">
        <v>36</v>
      </c>
      <c r="B235" t="s">
        <v>10</v>
      </c>
      <c r="C235" t="str">
        <f t="shared" si="6"/>
        <v>MarquetteAmerican</v>
      </c>
      <c r="D235" t="s">
        <v>36</v>
      </c>
      <c r="E235">
        <v>99.1</v>
      </c>
      <c r="F235">
        <v>-30.4754716981132</v>
      </c>
      <c r="G235">
        <v>-10444.8562268389</v>
      </c>
      <c r="H235">
        <v>139.83060867674399</v>
      </c>
      <c r="I235" s="1">
        <f t="shared" si="7"/>
        <v>153.60359861773765</v>
      </c>
    </row>
    <row r="236" spans="1:9" x14ac:dyDescent="0.45">
      <c r="A236" t="s">
        <v>37</v>
      </c>
      <c r="B236" t="s">
        <v>10</v>
      </c>
      <c r="C236" t="str">
        <f t="shared" si="6"/>
        <v>MarylandAmerican</v>
      </c>
      <c r="D236" t="s">
        <v>37</v>
      </c>
      <c r="E236">
        <v>98.6</v>
      </c>
      <c r="F236">
        <v>-27.9283018867925</v>
      </c>
      <c r="G236">
        <v>-7085.29779217132</v>
      </c>
      <c r="H236">
        <v>139.44054798842299</v>
      </c>
      <c r="I236" s="1">
        <f t="shared" si="7"/>
        <v>148.11112070556572</v>
      </c>
    </row>
    <row r="237" spans="1:9" x14ac:dyDescent="0.45">
      <c r="A237" t="s">
        <v>38</v>
      </c>
      <c r="B237" t="s">
        <v>10</v>
      </c>
      <c r="C237" t="str">
        <f t="shared" si="6"/>
        <v>McNeese St.American</v>
      </c>
      <c r="D237" t="s">
        <v>38</v>
      </c>
      <c r="E237">
        <v>92.7</v>
      </c>
      <c r="F237">
        <v>-16.622641509434001</v>
      </c>
      <c r="G237">
        <v>-1262.4347679017801</v>
      </c>
      <c r="H237">
        <v>139.275959602624</v>
      </c>
      <c r="I237" s="1">
        <f t="shared" si="7"/>
        <v>145.79353756871535</v>
      </c>
    </row>
    <row r="238" spans="1:9" x14ac:dyDescent="0.45">
      <c r="A238" t="s">
        <v>39</v>
      </c>
      <c r="B238" t="s">
        <v>10</v>
      </c>
      <c r="C238" t="str">
        <f t="shared" si="6"/>
        <v>MemphisAmerican</v>
      </c>
      <c r="D238" t="s">
        <v>39</v>
      </c>
      <c r="E238">
        <v>97.3</v>
      </c>
      <c r="F238">
        <v>-23.543396226415101</v>
      </c>
      <c r="G238">
        <v>-3629.0387361111998</v>
      </c>
      <c r="H238">
        <v>138.41818280144301</v>
      </c>
      <c r="I238" s="1">
        <f t="shared" si="7"/>
        <v>133.7151090699611</v>
      </c>
    </row>
    <row r="239" spans="1:9" x14ac:dyDescent="0.45">
      <c r="A239" t="s">
        <v>40</v>
      </c>
      <c r="B239" t="s">
        <v>10</v>
      </c>
      <c r="C239" t="str">
        <f t="shared" si="6"/>
        <v>MichiganAmerican</v>
      </c>
      <c r="D239" t="s">
        <v>40</v>
      </c>
      <c r="E239">
        <v>95</v>
      </c>
      <c r="F239">
        <v>-19.3547169811321</v>
      </c>
      <c r="G239">
        <v>-1915.6782318663099</v>
      </c>
      <c r="H239">
        <v>138.07510388612599</v>
      </c>
      <c r="I239" s="1">
        <f t="shared" si="7"/>
        <v>128.88418552157233</v>
      </c>
    </row>
    <row r="240" spans="1:9" x14ac:dyDescent="0.45">
      <c r="A240" t="s">
        <v>41</v>
      </c>
      <c r="B240" t="s">
        <v>10</v>
      </c>
      <c r="C240" t="str">
        <f t="shared" si="6"/>
        <v>Michigan St.American</v>
      </c>
      <c r="D240" t="s">
        <v>41</v>
      </c>
      <c r="E240">
        <v>99.5</v>
      </c>
      <c r="F240">
        <v>-34.181132075471702</v>
      </c>
      <c r="G240">
        <v>-18382.153972362099</v>
      </c>
      <c r="H240">
        <v>139.77399584695499</v>
      </c>
      <c r="I240" s="1">
        <f t="shared" si="7"/>
        <v>152.8064285196688</v>
      </c>
    </row>
    <row r="241" spans="1:9" x14ac:dyDescent="0.45">
      <c r="A241" t="s">
        <v>42</v>
      </c>
      <c r="B241" t="s">
        <v>10</v>
      </c>
      <c r="C241" t="str">
        <f t="shared" si="6"/>
        <v>MississippiAmerican</v>
      </c>
      <c r="D241" t="s">
        <v>42</v>
      </c>
      <c r="E241">
        <v>97.9</v>
      </c>
      <c r="F241">
        <v>-25.267924528301901</v>
      </c>
      <c r="G241">
        <v>-4721.4729859016497</v>
      </c>
      <c r="H241">
        <v>138.90491695205</v>
      </c>
      <c r="I241" s="1">
        <f t="shared" si="7"/>
        <v>140.56885427257583</v>
      </c>
    </row>
    <row r="242" spans="1:9" x14ac:dyDescent="0.45">
      <c r="A242" t="s">
        <v>43</v>
      </c>
      <c r="B242" t="s">
        <v>10</v>
      </c>
      <c r="C242" t="str">
        <f t="shared" si="6"/>
        <v>Mississippi St.American</v>
      </c>
      <c r="D242" t="s">
        <v>43</v>
      </c>
      <c r="E242">
        <v>97.3</v>
      </c>
      <c r="F242">
        <v>-23.4188679245283</v>
      </c>
      <c r="G242">
        <v>-3561.1168738922502</v>
      </c>
      <c r="H242">
        <v>139.029288305839</v>
      </c>
      <c r="I242" s="1">
        <f t="shared" si="7"/>
        <v>142.32013794213356</v>
      </c>
    </row>
    <row r="243" spans="1:9" x14ac:dyDescent="0.45">
      <c r="A243" t="s">
        <v>44</v>
      </c>
      <c r="B243" t="s">
        <v>10</v>
      </c>
      <c r="C243" t="str">
        <f t="shared" si="6"/>
        <v>MissouriAmerican</v>
      </c>
      <c r="D243" t="s">
        <v>44</v>
      </c>
      <c r="E243">
        <v>94</v>
      </c>
      <c r="F243">
        <v>-18.0075471698113</v>
      </c>
      <c r="G243">
        <v>-1559.50684833898</v>
      </c>
      <c r="H243">
        <v>138.29376024201301</v>
      </c>
      <c r="I243" s="1">
        <f t="shared" si="7"/>
        <v>131.96310436939308</v>
      </c>
    </row>
    <row r="244" spans="1:9" x14ac:dyDescent="0.45">
      <c r="A244" t="s">
        <v>45</v>
      </c>
      <c r="B244" t="s">
        <v>10</v>
      </c>
      <c r="C244" t="str">
        <f t="shared" si="6"/>
        <v>MontanaAmerican</v>
      </c>
      <c r="D244" t="s">
        <v>45</v>
      </c>
      <c r="E244">
        <v>60.3</v>
      </c>
      <c r="F244">
        <v>-2.75094339622642</v>
      </c>
      <c r="G244">
        <v>-152.123116554532</v>
      </c>
      <c r="H244">
        <v>137.60249496703199</v>
      </c>
      <c r="I244" s="1">
        <f t="shared" si="7"/>
        <v>122.22933891195186</v>
      </c>
    </row>
    <row r="245" spans="1:9" x14ac:dyDescent="0.45">
      <c r="A245" t="s">
        <v>46</v>
      </c>
      <c r="B245" t="s">
        <v>10</v>
      </c>
      <c r="C245" t="str">
        <f t="shared" si="6"/>
        <v>Mount St. Mary'sAmerican</v>
      </c>
      <c r="D245" t="s">
        <v>10</v>
      </c>
      <c r="E245">
        <v>37.4</v>
      </c>
      <c r="F245">
        <v>3.3660377358490599</v>
      </c>
      <c r="G245">
        <v>167.11117069177701</v>
      </c>
      <c r="H245">
        <v>138.95036918897901</v>
      </c>
      <c r="I245" s="1">
        <f t="shared" si="7"/>
        <v>141.20887110807388</v>
      </c>
    </row>
    <row r="246" spans="1:9" x14ac:dyDescent="0.45">
      <c r="A246" t="s">
        <v>47</v>
      </c>
      <c r="B246" t="s">
        <v>10</v>
      </c>
      <c r="C246" t="str">
        <f t="shared" si="6"/>
        <v>Nebraska OmahaAmerican</v>
      </c>
      <c r="D246" t="s">
        <v>10</v>
      </c>
      <c r="E246">
        <v>43.7</v>
      </c>
      <c r="F246">
        <v>1.6490566037735801</v>
      </c>
      <c r="G246">
        <v>128.62788186257799</v>
      </c>
      <c r="H246">
        <v>138.23437036887799</v>
      </c>
      <c r="I246" s="1">
        <f t="shared" si="7"/>
        <v>131.12683048646252</v>
      </c>
    </row>
    <row r="247" spans="1:9" x14ac:dyDescent="0.45">
      <c r="A247" t="s">
        <v>48</v>
      </c>
      <c r="B247" t="s">
        <v>10</v>
      </c>
      <c r="C247" t="str">
        <f t="shared" si="6"/>
        <v>New MexicoAmerican</v>
      </c>
      <c r="D247" t="s">
        <v>48</v>
      </c>
      <c r="E247">
        <v>95.2</v>
      </c>
      <c r="F247">
        <v>-19.5962264150943</v>
      </c>
      <c r="G247">
        <v>-1987.46920783004</v>
      </c>
      <c r="H247">
        <v>139.112114716154</v>
      </c>
      <c r="I247" s="1">
        <f t="shared" si="7"/>
        <v>143.48642370950424</v>
      </c>
    </row>
    <row r="248" spans="1:9" x14ac:dyDescent="0.45">
      <c r="A248" t="s">
        <v>49</v>
      </c>
      <c r="B248" t="s">
        <v>10</v>
      </c>
      <c r="C248" t="str">
        <f t="shared" si="6"/>
        <v>Norfolk St.American</v>
      </c>
      <c r="D248" t="s">
        <v>49</v>
      </c>
      <c r="E248">
        <v>53.4</v>
      </c>
      <c r="F248">
        <v>-0.88301886792452799</v>
      </c>
      <c r="G248">
        <v>-114.405661746935</v>
      </c>
      <c r="H248">
        <v>138.124478378356</v>
      </c>
      <c r="I248" s="1">
        <f t="shared" si="7"/>
        <v>129.57943196941454</v>
      </c>
    </row>
    <row r="249" spans="1:9" x14ac:dyDescent="0.45">
      <c r="A249" t="s">
        <v>50</v>
      </c>
      <c r="B249" t="s">
        <v>10</v>
      </c>
      <c r="C249" t="str">
        <f t="shared" si="6"/>
        <v>North CarolinaAmerican</v>
      </c>
      <c r="D249" t="s">
        <v>50</v>
      </c>
      <c r="E249">
        <v>98.5</v>
      </c>
      <c r="F249">
        <v>-27.6377358490566</v>
      </c>
      <c r="G249">
        <v>-6776.3127474314997</v>
      </c>
      <c r="H249">
        <v>140.19640981031199</v>
      </c>
      <c r="I249" s="1">
        <f t="shared" si="7"/>
        <v>158.75447566463515</v>
      </c>
    </row>
    <row r="250" spans="1:9" x14ac:dyDescent="0.45">
      <c r="A250" t="s">
        <v>51</v>
      </c>
      <c r="B250" t="s">
        <v>10</v>
      </c>
      <c r="C250" t="str">
        <f t="shared" si="6"/>
        <v>OklahomaAmerican</v>
      </c>
      <c r="D250" t="s">
        <v>51</v>
      </c>
      <c r="E250">
        <v>95.7</v>
      </c>
      <c r="F250">
        <v>-20.332075471698101</v>
      </c>
      <c r="G250">
        <v>-2223.2326911615401</v>
      </c>
      <c r="H250">
        <v>138.539013105816</v>
      </c>
      <c r="I250" s="1">
        <f t="shared" si="7"/>
        <v>135.41653091984381</v>
      </c>
    </row>
    <row r="251" spans="1:9" x14ac:dyDescent="0.45">
      <c r="A251" t="s">
        <v>52</v>
      </c>
      <c r="B251" t="s">
        <v>10</v>
      </c>
      <c r="C251" t="str">
        <f t="shared" si="6"/>
        <v>OregonAmerican</v>
      </c>
      <c r="D251" t="s">
        <v>52</v>
      </c>
      <c r="E251">
        <v>98.7</v>
      </c>
      <c r="F251">
        <v>-28.158490566037699</v>
      </c>
      <c r="G251">
        <v>-7335.1555244519304</v>
      </c>
      <c r="H251">
        <v>139.133390893957</v>
      </c>
      <c r="I251" s="1">
        <f t="shared" si="7"/>
        <v>143.78601538879252</v>
      </c>
    </row>
    <row r="252" spans="1:9" x14ac:dyDescent="0.45">
      <c r="A252" t="s">
        <v>53</v>
      </c>
      <c r="B252" t="s">
        <v>10</v>
      </c>
      <c r="C252" t="str">
        <f t="shared" si="6"/>
        <v>PurdueAmerican</v>
      </c>
      <c r="D252" t="s">
        <v>53</v>
      </c>
      <c r="E252">
        <v>99.7</v>
      </c>
      <c r="F252">
        <v>-39.067924528301901</v>
      </c>
      <c r="G252">
        <v>-38745.118799320102</v>
      </c>
      <c r="H252">
        <v>140.481378222746</v>
      </c>
      <c r="I252" s="1">
        <f t="shared" si="7"/>
        <v>162.76714025202992</v>
      </c>
    </row>
    <row r="253" spans="1:9" x14ac:dyDescent="0.45">
      <c r="A253" t="s">
        <v>54</v>
      </c>
      <c r="B253" t="s">
        <v>10</v>
      </c>
      <c r="C253" t="str">
        <f t="shared" si="6"/>
        <v>Robert MorrisAmerican</v>
      </c>
      <c r="D253" t="s">
        <v>10</v>
      </c>
      <c r="E253">
        <v>32.200000000000003</v>
      </c>
      <c r="F253">
        <v>4.87547169811321</v>
      </c>
      <c r="G253">
        <v>210.360398400615</v>
      </c>
      <c r="H253">
        <v>137.540015071509</v>
      </c>
      <c r="I253" s="1">
        <f t="shared" si="7"/>
        <v>121.3495541595023</v>
      </c>
    </row>
    <row r="254" spans="1:9" x14ac:dyDescent="0.45">
      <c r="A254" t="s">
        <v>55</v>
      </c>
      <c r="B254" t="s">
        <v>10</v>
      </c>
      <c r="C254" t="str">
        <f t="shared" si="6"/>
        <v>Saint FrancisAmerican</v>
      </c>
      <c r="D254" t="s">
        <v>10</v>
      </c>
      <c r="E254">
        <v>23.9</v>
      </c>
      <c r="F254">
        <v>7.6</v>
      </c>
      <c r="G254">
        <v>318.844481789594</v>
      </c>
      <c r="H254">
        <v>138.59287060471601</v>
      </c>
      <c r="I254" s="1">
        <f t="shared" si="7"/>
        <v>136.17490296801526</v>
      </c>
    </row>
    <row r="255" spans="1:9" x14ac:dyDescent="0.45">
      <c r="A255" t="s">
        <v>56</v>
      </c>
      <c r="B255" t="s">
        <v>10</v>
      </c>
      <c r="C255" t="str">
        <f t="shared" si="6"/>
        <v>Saint Mary'sAmerican</v>
      </c>
      <c r="D255" t="s">
        <v>56</v>
      </c>
      <c r="E255">
        <v>98.4</v>
      </c>
      <c r="F255">
        <v>-27.1132075471698</v>
      </c>
      <c r="G255">
        <v>-6256.1156718069496</v>
      </c>
      <c r="H255">
        <v>139.84412580580599</v>
      </c>
      <c r="I255" s="1">
        <f t="shared" si="7"/>
        <v>153.79393446811147</v>
      </c>
    </row>
    <row r="256" spans="1:9" x14ac:dyDescent="0.45">
      <c r="A256" t="s">
        <v>57</v>
      </c>
      <c r="B256" t="s">
        <v>10</v>
      </c>
      <c r="C256" t="str">
        <f t="shared" si="6"/>
        <v>San Diego St.American</v>
      </c>
      <c r="D256" t="s">
        <v>57</v>
      </c>
      <c r="E256">
        <v>94.8</v>
      </c>
      <c r="F256">
        <v>-19.022641509433999</v>
      </c>
      <c r="G256">
        <v>-1820.3868262377</v>
      </c>
      <c r="H256">
        <v>138.99038068560401</v>
      </c>
      <c r="I256" s="1">
        <f t="shared" si="7"/>
        <v>141.77227641403204</v>
      </c>
    </row>
    <row r="257" spans="1:9" x14ac:dyDescent="0.45">
      <c r="A257" t="s">
        <v>58</v>
      </c>
      <c r="B257" t="s">
        <v>10</v>
      </c>
      <c r="C257" t="str">
        <f t="shared" si="6"/>
        <v>SIU EdwardsvilleAmerican</v>
      </c>
      <c r="D257" t="s">
        <v>10</v>
      </c>
      <c r="E257">
        <v>47.8</v>
      </c>
      <c r="F257">
        <v>0.57735849056603805</v>
      </c>
      <c r="G257">
        <v>109.19764817855599</v>
      </c>
      <c r="H257">
        <v>139.13806845245199</v>
      </c>
      <c r="I257" s="1">
        <f t="shared" si="7"/>
        <v>143.85188049000848</v>
      </c>
    </row>
    <row r="258" spans="1:9" x14ac:dyDescent="0.45">
      <c r="A258" t="s">
        <v>59</v>
      </c>
      <c r="B258" t="s">
        <v>10</v>
      </c>
      <c r="C258" t="str">
        <f t="shared" si="6"/>
        <v>St. John'sAmerican</v>
      </c>
      <c r="D258" t="s">
        <v>59</v>
      </c>
      <c r="E258">
        <v>99.5</v>
      </c>
      <c r="F258">
        <v>-34.5811320754717</v>
      </c>
      <c r="G258">
        <v>-19543.134577396599</v>
      </c>
      <c r="H258">
        <v>140.11575122499701</v>
      </c>
      <c r="I258" s="1">
        <f t="shared" si="7"/>
        <v>157.61871522649281</v>
      </c>
    </row>
    <row r="259" spans="1:9" x14ac:dyDescent="0.45">
      <c r="A259" t="s">
        <v>60</v>
      </c>
      <c r="B259" t="s">
        <v>10</v>
      </c>
      <c r="C259" t="str">
        <f t="shared" ref="C259:C322" si="8">A259&amp;B259</f>
        <v>TennesseeAmerican</v>
      </c>
      <c r="D259" t="s">
        <v>60</v>
      </c>
      <c r="E259">
        <v>99.7</v>
      </c>
      <c r="F259">
        <v>-39.128301886792499</v>
      </c>
      <c r="G259">
        <v>-39096.1210705431</v>
      </c>
      <c r="H259">
        <v>140.70973410168801</v>
      </c>
      <c r="I259" s="1">
        <f t="shared" ref="I259:I322" si="9">18*(H259-AVERAGE($H$2:$H$4625))/_xlfn.STDEV.P($H$2:$H$4625)+AVERAGE($H$2:$H$4625)</f>
        <v>165.98263891353929</v>
      </c>
    </row>
    <row r="260" spans="1:9" x14ac:dyDescent="0.45">
      <c r="A260" t="s">
        <v>61</v>
      </c>
      <c r="B260" t="s">
        <v>10</v>
      </c>
      <c r="C260" t="str">
        <f t="shared" si="8"/>
        <v>TexasAmerican</v>
      </c>
      <c r="D260" t="s">
        <v>61</v>
      </c>
      <c r="E260">
        <v>94.1</v>
      </c>
      <c r="F260">
        <v>-18.173584905660402</v>
      </c>
      <c r="G260">
        <v>-1599.43632842375</v>
      </c>
      <c r="H260">
        <v>138.46544863276</v>
      </c>
      <c r="I260" s="1">
        <f t="shared" si="9"/>
        <v>134.38066328314389</v>
      </c>
    </row>
    <row r="261" spans="1:9" x14ac:dyDescent="0.45">
      <c r="A261" t="s">
        <v>62</v>
      </c>
      <c r="B261" t="s">
        <v>10</v>
      </c>
      <c r="C261" t="str">
        <f t="shared" si="8"/>
        <v>Texas A&amp;MAmerican</v>
      </c>
      <c r="D261" t="s">
        <v>62</v>
      </c>
      <c r="E261">
        <v>98.9</v>
      </c>
      <c r="F261">
        <v>-29.667924528301899</v>
      </c>
      <c r="G261">
        <v>-9237.7845516241996</v>
      </c>
      <c r="H261">
        <v>139.26324766035401</v>
      </c>
      <c r="I261" s="1">
        <f t="shared" si="9"/>
        <v>145.61453962242331</v>
      </c>
    </row>
    <row r="262" spans="1:9" x14ac:dyDescent="0.45">
      <c r="A262" t="s">
        <v>63</v>
      </c>
      <c r="B262" t="s">
        <v>10</v>
      </c>
      <c r="C262" t="str">
        <f t="shared" si="8"/>
        <v>Texas TechAmerican</v>
      </c>
      <c r="D262" t="s">
        <v>63</v>
      </c>
      <c r="E262">
        <v>99.5</v>
      </c>
      <c r="F262">
        <v>-34.120754716981097</v>
      </c>
      <c r="G262">
        <v>-18217.314759439701</v>
      </c>
      <c r="H262">
        <v>140.30303177941801</v>
      </c>
      <c r="I262" s="1">
        <f t="shared" si="9"/>
        <v>160.25582873045636</v>
      </c>
    </row>
    <row r="263" spans="1:9" x14ac:dyDescent="0.45">
      <c r="A263" t="s">
        <v>64</v>
      </c>
      <c r="B263" t="s">
        <v>10</v>
      </c>
      <c r="C263" t="str">
        <f t="shared" si="8"/>
        <v>TroyAmerican</v>
      </c>
      <c r="D263" t="s">
        <v>64</v>
      </c>
      <c r="E263">
        <v>71.900000000000006</v>
      </c>
      <c r="F263">
        <v>-6.1735849056603804</v>
      </c>
      <c r="G263">
        <v>-256.46225533497</v>
      </c>
      <c r="H263">
        <v>139.006596199147</v>
      </c>
      <c r="I263" s="1">
        <f t="shared" si="9"/>
        <v>142.00060844706198</v>
      </c>
    </row>
    <row r="264" spans="1:9" x14ac:dyDescent="0.45">
      <c r="A264" t="s">
        <v>65</v>
      </c>
      <c r="B264" t="s">
        <v>10</v>
      </c>
      <c r="C264" t="str">
        <f t="shared" si="8"/>
        <v>UC San DiegoAmerican</v>
      </c>
      <c r="D264" t="s">
        <v>65</v>
      </c>
      <c r="E264">
        <v>86.8</v>
      </c>
      <c r="F264">
        <v>-12.3358490566038</v>
      </c>
      <c r="G264">
        <v>-656.40160777352799</v>
      </c>
      <c r="H264">
        <v>139.09471794253801</v>
      </c>
      <c r="I264" s="1">
        <f t="shared" si="9"/>
        <v>143.24145825235922</v>
      </c>
    </row>
    <row r="265" spans="1:9" x14ac:dyDescent="0.45">
      <c r="A265" t="s">
        <v>66</v>
      </c>
      <c r="B265" t="s">
        <v>10</v>
      </c>
      <c r="C265" t="str">
        <f t="shared" si="8"/>
        <v>UCLAAmerican</v>
      </c>
      <c r="D265" t="s">
        <v>66</v>
      </c>
      <c r="E265">
        <v>96.3</v>
      </c>
      <c r="F265">
        <v>-21.377358490565999</v>
      </c>
      <c r="G265">
        <v>-2608.3892387770602</v>
      </c>
      <c r="H265">
        <v>138.56617245564701</v>
      </c>
      <c r="I265" s="1">
        <f t="shared" si="9"/>
        <v>135.79896404761649</v>
      </c>
    </row>
    <row r="266" spans="1:9" x14ac:dyDescent="0.45">
      <c r="A266" t="s">
        <v>67</v>
      </c>
      <c r="B266" t="s">
        <v>10</v>
      </c>
      <c r="C266" t="str">
        <f t="shared" si="8"/>
        <v>UNC WilmingtonAmerican</v>
      </c>
      <c r="D266" t="s">
        <v>67</v>
      </c>
      <c r="E266">
        <v>79.7</v>
      </c>
      <c r="F266">
        <v>-8.9735849056603794</v>
      </c>
      <c r="G266">
        <v>-393.12570932321398</v>
      </c>
      <c r="H266">
        <v>139.68118812956601</v>
      </c>
      <c r="I266" s="1">
        <f t="shared" si="9"/>
        <v>151.49959511373848</v>
      </c>
    </row>
    <row r="267" spans="1:9" x14ac:dyDescent="0.45">
      <c r="A267" t="s">
        <v>68</v>
      </c>
      <c r="B267" t="s">
        <v>10</v>
      </c>
      <c r="C267" t="str">
        <f t="shared" si="8"/>
        <v>Utah St.American</v>
      </c>
      <c r="D267" t="s">
        <v>68</v>
      </c>
      <c r="E267">
        <v>95.2</v>
      </c>
      <c r="F267">
        <v>-19.618867924528299</v>
      </c>
      <c r="G267">
        <v>-1993.93250032333</v>
      </c>
      <c r="H267">
        <v>139.05255853339301</v>
      </c>
      <c r="I267" s="1">
        <f t="shared" si="9"/>
        <v>142.64780800650678</v>
      </c>
    </row>
    <row r="268" spans="1:9" x14ac:dyDescent="0.45">
      <c r="A268" t="s">
        <v>69</v>
      </c>
      <c r="B268" t="s">
        <v>10</v>
      </c>
      <c r="C268" t="str">
        <f t="shared" si="8"/>
        <v>VanderbiltAmerican</v>
      </c>
      <c r="D268" t="s">
        <v>69</v>
      </c>
      <c r="E268">
        <v>81</v>
      </c>
      <c r="F268">
        <v>-9.49433962264151</v>
      </c>
      <c r="G268">
        <v>-425.71648049824103</v>
      </c>
      <c r="H268">
        <v>137.62712902199101</v>
      </c>
      <c r="I268" s="1">
        <f t="shared" si="9"/>
        <v>122.57621314665637</v>
      </c>
    </row>
    <row r="269" spans="1:9" x14ac:dyDescent="0.45">
      <c r="A269" t="s">
        <v>70</v>
      </c>
      <c r="B269" t="s">
        <v>10</v>
      </c>
      <c r="C269" t="str">
        <f t="shared" si="8"/>
        <v>VCUAmerican</v>
      </c>
      <c r="D269" t="s">
        <v>70</v>
      </c>
      <c r="E269">
        <v>92.9</v>
      </c>
      <c r="F269">
        <v>-16.841509433962301</v>
      </c>
      <c r="G269">
        <v>-1305.7214104642701</v>
      </c>
      <c r="H269">
        <v>139.47204018386699</v>
      </c>
      <c r="I269" s="1">
        <f t="shared" si="9"/>
        <v>148.55456500298141</v>
      </c>
    </row>
    <row r="270" spans="1:9" x14ac:dyDescent="0.45">
      <c r="A270" t="s">
        <v>71</v>
      </c>
      <c r="B270" t="s">
        <v>10</v>
      </c>
      <c r="C270" t="str">
        <f t="shared" si="8"/>
        <v>WisconsinAmerican</v>
      </c>
      <c r="D270" t="s">
        <v>71</v>
      </c>
      <c r="E270">
        <v>99.4</v>
      </c>
      <c r="F270">
        <v>-33.3056603773585</v>
      </c>
      <c r="G270">
        <v>-16087.603550858899</v>
      </c>
      <c r="H270">
        <v>140.27271903913399</v>
      </c>
      <c r="I270" s="1">
        <f t="shared" si="9"/>
        <v>159.82899244202127</v>
      </c>
    </row>
    <row r="271" spans="1:9" x14ac:dyDescent="0.45">
      <c r="A271" t="s">
        <v>80</v>
      </c>
      <c r="B271" t="s">
        <v>10</v>
      </c>
      <c r="C271" t="str">
        <f t="shared" si="8"/>
        <v>WoffordAmerican</v>
      </c>
      <c r="D271" t="s">
        <v>80</v>
      </c>
      <c r="E271">
        <v>57.3</v>
      </c>
      <c r="F271">
        <v>-1.9207547169811301</v>
      </c>
      <c r="G271">
        <v>-134.034399491546</v>
      </c>
      <c r="H271">
        <v>138.30217477822899</v>
      </c>
      <c r="I271" s="1">
        <f t="shared" si="9"/>
        <v>132.08159017350317</v>
      </c>
    </row>
    <row r="272" spans="1:9" x14ac:dyDescent="0.45">
      <c r="A272" t="s">
        <v>72</v>
      </c>
      <c r="B272" t="s">
        <v>10</v>
      </c>
      <c r="C272" t="str">
        <f t="shared" si="8"/>
        <v>XavierAmerican</v>
      </c>
      <c r="D272" t="s">
        <v>72</v>
      </c>
      <c r="E272">
        <v>92.8</v>
      </c>
      <c r="F272">
        <v>-16.7660377358491</v>
      </c>
      <c r="G272">
        <v>-1290.61235097091</v>
      </c>
      <c r="H272">
        <v>138.87808834838</v>
      </c>
      <c r="I272" s="1">
        <f t="shared" si="9"/>
        <v>140.19107840978342</v>
      </c>
    </row>
    <row r="273" spans="1:9" x14ac:dyDescent="0.45">
      <c r="A273" t="s">
        <v>73</v>
      </c>
      <c r="B273" t="s">
        <v>10</v>
      </c>
      <c r="C273" t="str">
        <f t="shared" si="8"/>
        <v>YaleAmerican</v>
      </c>
      <c r="D273" t="s">
        <v>73</v>
      </c>
      <c r="E273">
        <v>87.8</v>
      </c>
      <c r="F273">
        <v>-12.9433962264151</v>
      </c>
      <c r="G273">
        <v>-720.25160841389197</v>
      </c>
      <c r="H273">
        <v>139.677322982443</v>
      </c>
      <c r="I273" s="1">
        <f t="shared" si="9"/>
        <v>151.44516964653286</v>
      </c>
    </row>
    <row r="274" spans="1:9" x14ac:dyDescent="0.45">
      <c r="A274" t="s">
        <v>7</v>
      </c>
      <c r="B274" t="s">
        <v>11</v>
      </c>
      <c r="C274" t="str">
        <f t="shared" si="8"/>
        <v>AkronArizona</v>
      </c>
      <c r="D274" t="s">
        <v>11</v>
      </c>
      <c r="E274">
        <v>1.3</v>
      </c>
      <c r="F274">
        <v>28.260377358490601</v>
      </c>
      <c r="G274">
        <v>7453.0686584033701</v>
      </c>
      <c r="H274">
        <v>137.26726034417601</v>
      </c>
      <c r="I274" s="1">
        <f t="shared" si="9"/>
        <v>117.50887151658986</v>
      </c>
    </row>
    <row r="275" spans="1:9" x14ac:dyDescent="0.45">
      <c r="A275" t="s">
        <v>8</v>
      </c>
      <c r="B275" t="s">
        <v>11</v>
      </c>
      <c r="C275" t="str">
        <f t="shared" si="8"/>
        <v>AlabamaArizona</v>
      </c>
      <c r="D275" t="s">
        <v>11</v>
      </c>
      <c r="E275">
        <v>49.7</v>
      </c>
      <c r="F275">
        <v>8.6792452830188702E-2</v>
      </c>
      <c r="G275">
        <v>101.347128710579</v>
      </c>
      <c r="H275">
        <v>139.01535635631501</v>
      </c>
      <c r="I275" s="1">
        <f t="shared" si="9"/>
        <v>142.12396096935683</v>
      </c>
    </row>
    <row r="276" spans="1:9" x14ac:dyDescent="0.45">
      <c r="A276" t="s">
        <v>9</v>
      </c>
      <c r="B276" t="s">
        <v>11</v>
      </c>
      <c r="C276" t="str">
        <f t="shared" si="8"/>
        <v>Alabama St.Arizona</v>
      </c>
      <c r="D276" t="s">
        <v>11</v>
      </c>
      <c r="E276">
        <v>0.2</v>
      </c>
      <c r="F276">
        <v>40.4</v>
      </c>
      <c r="G276">
        <v>47489.636934292903</v>
      </c>
      <c r="H276">
        <v>137.49410119998899</v>
      </c>
      <c r="I276" s="1">
        <f t="shared" si="9"/>
        <v>120.70303700784706</v>
      </c>
    </row>
    <row r="277" spans="1:9" x14ac:dyDescent="0.45">
      <c r="A277" t="s">
        <v>10</v>
      </c>
      <c r="B277" t="s">
        <v>11</v>
      </c>
      <c r="C277" t="str">
        <f t="shared" si="8"/>
        <v>AmericanArizona</v>
      </c>
      <c r="D277" t="s">
        <v>11</v>
      </c>
      <c r="E277">
        <v>0.3</v>
      </c>
      <c r="F277">
        <v>39.139622641509398</v>
      </c>
      <c r="G277">
        <v>39165.279426708301</v>
      </c>
      <c r="H277">
        <v>137.58518708159301</v>
      </c>
      <c r="I277" s="1">
        <f t="shared" si="9"/>
        <v>121.98562509682939</v>
      </c>
    </row>
    <row r="278" spans="1:9" x14ac:dyDescent="0.45">
      <c r="A278" t="s">
        <v>11</v>
      </c>
      <c r="B278" t="s">
        <v>11</v>
      </c>
      <c r="C278" t="str">
        <f t="shared" si="8"/>
        <v>ArizonaArizona</v>
      </c>
      <c r="D278" t="s">
        <v>11</v>
      </c>
      <c r="E278">
        <v>41.2</v>
      </c>
      <c r="F278">
        <v>2.3283018867924499</v>
      </c>
      <c r="G278">
        <v>142.64273539779199</v>
      </c>
      <c r="H278">
        <v>138.77771517530499</v>
      </c>
      <c r="I278" s="1">
        <f t="shared" si="9"/>
        <v>138.77771517530277</v>
      </c>
    </row>
    <row r="279" spans="1:9" x14ac:dyDescent="0.45">
      <c r="A279" t="s">
        <v>12</v>
      </c>
      <c r="B279" t="s">
        <v>11</v>
      </c>
      <c r="C279" t="str">
        <f t="shared" si="8"/>
        <v>ArkansasArizona</v>
      </c>
      <c r="D279" t="s">
        <v>11</v>
      </c>
      <c r="E279">
        <v>4.0999999999999996</v>
      </c>
      <c r="F279">
        <v>20.720754716981101</v>
      </c>
      <c r="G279">
        <v>2359.05354885629</v>
      </c>
      <c r="H279">
        <v>136.89531900916299</v>
      </c>
      <c r="I279" s="1">
        <f t="shared" si="9"/>
        <v>112.27153376800455</v>
      </c>
    </row>
    <row r="280" spans="1:9" x14ac:dyDescent="0.45">
      <c r="A280" t="s">
        <v>13</v>
      </c>
      <c r="B280" t="s">
        <v>11</v>
      </c>
      <c r="C280" t="str">
        <f t="shared" si="8"/>
        <v>AuburnArizona</v>
      </c>
      <c r="D280" t="s">
        <v>13</v>
      </c>
      <c r="E280">
        <v>65.900000000000006</v>
      </c>
      <c r="F280">
        <v>-4.3245283018867902</v>
      </c>
      <c r="G280">
        <v>-193.370344857595</v>
      </c>
      <c r="H280">
        <v>140.034038414425</v>
      </c>
      <c r="I280" s="1">
        <f t="shared" si="9"/>
        <v>156.4681101523436</v>
      </c>
    </row>
    <row r="281" spans="1:9" x14ac:dyDescent="0.45">
      <c r="A281" t="s">
        <v>14</v>
      </c>
      <c r="B281" t="s">
        <v>11</v>
      </c>
      <c r="C281" t="str">
        <f t="shared" si="8"/>
        <v>BaylorArizona</v>
      </c>
      <c r="D281" t="s">
        <v>11</v>
      </c>
      <c r="E281">
        <v>17</v>
      </c>
      <c r="F281">
        <v>10.4075471698113</v>
      </c>
      <c r="G281">
        <v>489.32547577150501</v>
      </c>
      <c r="H281">
        <v>138.56903642715</v>
      </c>
      <c r="I281" s="1">
        <f t="shared" si="9"/>
        <v>135.83929187529114</v>
      </c>
    </row>
    <row r="282" spans="1:9" x14ac:dyDescent="0.45">
      <c r="A282" t="s">
        <v>15</v>
      </c>
      <c r="B282" t="s">
        <v>11</v>
      </c>
      <c r="C282" t="str">
        <f t="shared" si="8"/>
        <v>BryantArizona</v>
      </c>
      <c r="D282" t="s">
        <v>11</v>
      </c>
      <c r="E282">
        <v>0.9</v>
      </c>
      <c r="F282">
        <v>30.6943396226415</v>
      </c>
      <c r="G282">
        <v>10802.840697220499</v>
      </c>
      <c r="H282">
        <v>138.118034177044</v>
      </c>
      <c r="I282" s="1">
        <f t="shared" si="9"/>
        <v>129.48869061960013</v>
      </c>
    </row>
    <row r="283" spans="1:9" x14ac:dyDescent="0.45">
      <c r="A283" t="s">
        <v>16</v>
      </c>
      <c r="B283" t="s">
        <v>11</v>
      </c>
      <c r="C283" t="str">
        <f t="shared" si="8"/>
        <v>BYUArizona</v>
      </c>
      <c r="D283" t="s">
        <v>11</v>
      </c>
      <c r="E283">
        <v>19.899999999999999</v>
      </c>
      <c r="F283">
        <v>9.1132075471698109</v>
      </c>
      <c r="G283">
        <v>401.66246016349498</v>
      </c>
      <c r="H283">
        <v>138.37855465526701</v>
      </c>
      <c r="I283" s="1">
        <f t="shared" si="9"/>
        <v>133.15710175446131</v>
      </c>
    </row>
    <row r="284" spans="1:9" x14ac:dyDescent="0.45">
      <c r="A284" t="s">
        <v>17</v>
      </c>
      <c r="B284" t="s">
        <v>11</v>
      </c>
      <c r="C284" t="str">
        <f t="shared" si="8"/>
        <v>ClemsonArizona</v>
      </c>
      <c r="D284" t="s">
        <v>11</v>
      </c>
      <c r="E284">
        <v>24.2</v>
      </c>
      <c r="F284">
        <v>7.4905660377358503</v>
      </c>
      <c r="G284">
        <v>313.47991324242003</v>
      </c>
      <c r="H284">
        <v>138.60046651155901</v>
      </c>
      <c r="I284" s="1">
        <f t="shared" si="9"/>
        <v>136.28186158191104</v>
      </c>
    </row>
    <row r="285" spans="1:9" x14ac:dyDescent="0.45">
      <c r="A285" t="s">
        <v>18</v>
      </c>
      <c r="B285" t="s">
        <v>11</v>
      </c>
      <c r="C285" t="str">
        <f t="shared" si="8"/>
        <v>Colorado St.Arizona</v>
      </c>
      <c r="D285" t="s">
        <v>11</v>
      </c>
      <c r="E285">
        <v>5</v>
      </c>
      <c r="F285">
        <v>19.328301886792499</v>
      </c>
      <c r="G285">
        <v>1907.88084571686</v>
      </c>
      <c r="H285">
        <v>137.907858359664</v>
      </c>
      <c r="I285" s="1">
        <f t="shared" si="9"/>
        <v>126.52918695979457</v>
      </c>
    </row>
    <row r="286" spans="1:9" x14ac:dyDescent="0.45">
      <c r="A286" t="s">
        <v>19</v>
      </c>
      <c r="B286" t="s">
        <v>11</v>
      </c>
      <c r="C286" t="str">
        <f t="shared" si="8"/>
        <v>ConnecticutArizona</v>
      </c>
      <c r="D286" t="s">
        <v>11</v>
      </c>
      <c r="E286">
        <v>35.1</v>
      </c>
      <c r="F286">
        <v>4.0264150943396197</v>
      </c>
      <c r="G286">
        <v>184.822230403779</v>
      </c>
      <c r="H286">
        <v>138.54341026200001</v>
      </c>
      <c r="I286" s="1">
        <f t="shared" si="9"/>
        <v>135.47844765213748</v>
      </c>
    </row>
    <row r="287" spans="1:9" x14ac:dyDescent="0.45">
      <c r="A287" t="s">
        <v>20</v>
      </c>
      <c r="B287" t="s">
        <v>11</v>
      </c>
      <c r="C287" t="str">
        <f t="shared" si="8"/>
        <v>CreightonArizona</v>
      </c>
      <c r="D287" t="s">
        <v>11</v>
      </c>
      <c r="E287">
        <v>14.3</v>
      </c>
      <c r="F287">
        <v>11.7169811320755</v>
      </c>
      <c r="G287">
        <v>597.49494324710997</v>
      </c>
      <c r="H287">
        <v>138.01635262426399</v>
      </c>
      <c r="I287" s="1">
        <f t="shared" si="9"/>
        <v>128.05690397859433</v>
      </c>
    </row>
    <row r="288" spans="1:9" x14ac:dyDescent="0.45">
      <c r="A288" t="s">
        <v>21</v>
      </c>
      <c r="B288" t="s">
        <v>11</v>
      </c>
      <c r="C288" t="str">
        <f t="shared" si="8"/>
        <v>DrakeArizona</v>
      </c>
      <c r="D288" t="s">
        <v>11</v>
      </c>
      <c r="E288">
        <v>4.9000000000000004</v>
      </c>
      <c r="F288">
        <v>19.381132075471701</v>
      </c>
      <c r="G288">
        <v>1922.68945956781</v>
      </c>
      <c r="H288">
        <v>138.069817728418</v>
      </c>
      <c r="I288" s="1">
        <f t="shared" si="9"/>
        <v>128.80975068278778</v>
      </c>
    </row>
    <row r="289" spans="1:9" x14ac:dyDescent="0.45">
      <c r="A289" t="s">
        <v>22</v>
      </c>
      <c r="B289" t="s">
        <v>11</v>
      </c>
      <c r="C289" t="str">
        <f t="shared" si="8"/>
        <v>DukeArizona</v>
      </c>
      <c r="D289" t="s">
        <v>22</v>
      </c>
      <c r="E289">
        <v>73.900000000000006</v>
      </c>
      <c r="F289">
        <v>-6.8301886792452802</v>
      </c>
      <c r="G289">
        <v>-283.53017826207201</v>
      </c>
      <c r="H289">
        <v>140.35713818987401</v>
      </c>
      <c r="I289" s="1">
        <f t="shared" si="9"/>
        <v>161.01770572353578</v>
      </c>
    </row>
    <row r="290" spans="1:9" x14ac:dyDescent="0.45">
      <c r="A290" t="s">
        <v>23</v>
      </c>
      <c r="B290" t="s">
        <v>11</v>
      </c>
      <c r="C290" t="str">
        <f t="shared" si="8"/>
        <v>FloridaArizona</v>
      </c>
      <c r="D290" t="s">
        <v>23</v>
      </c>
      <c r="E290">
        <v>61</v>
      </c>
      <c r="F290">
        <v>-2.9320754716981101</v>
      </c>
      <c r="G290">
        <v>-156.405732099673</v>
      </c>
      <c r="H290">
        <v>140.08089446581599</v>
      </c>
      <c r="I290" s="1">
        <f t="shared" si="9"/>
        <v>157.12789421934195</v>
      </c>
    </row>
    <row r="291" spans="1:9" x14ac:dyDescent="0.45">
      <c r="A291" t="s">
        <v>24</v>
      </c>
      <c r="B291" t="s">
        <v>11</v>
      </c>
      <c r="C291" t="str">
        <f t="shared" si="8"/>
        <v>GeorgiaArizona</v>
      </c>
      <c r="D291" t="s">
        <v>11</v>
      </c>
      <c r="E291">
        <v>5.6</v>
      </c>
      <c r="F291">
        <v>18.5735849056604</v>
      </c>
      <c r="G291">
        <v>1700.52126296757</v>
      </c>
      <c r="H291">
        <v>137.22270799016101</v>
      </c>
      <c r="I291" s="1">
        <f t="shared" si="9"/>
        <v>116.8815260093665</v>
      </c>
    </row>
    <row r="292" spans="1:9" x14ac:dyDescent="0.45">
      <c r="A292" t="s">
        <v>25</v>
      </c>
      <c r="B292" t="s">
        <v>11</v>
      </c>
      <c r="C292" t="str">
        <f t="shared" si="8"/>
        <v>GonzagaArizona</v>
      </c>
      <c r="D292" t="s">
        <v>11</v>
      </c>
      <c r="E292">
        <v>24.9</v>
      </c>
      <c r="F292">
        <v>7.24905660377358</v>
      </c>
      <c r="G292">
        <v>302.10701473934898</v>
      </c>
      <c r="H292">
        <v>139.36034910968999</v>
      </c>
      <c r="I292" s="1">
        <f t="shared" si="9"/>
        <v>146.98183343512062</v>
      </c>
    </row>
    <row r="293" spans="1:9" x14ac:dyDescent="0.45">
      <c r="A293" t="s">
        <v>26</v>
      </c>
      <c r="B293" t="s">
        <v>11</v>
      </c>
      <c r="C293" t="str">
        <f t="shared" si="8"/>
        <v>Grand CanyonArizona</v>
      </c>
      <c r="D293" t="s">
        <v>11</v>
      </c>
      <c r="E293">
        <v>3.1</v>
      </c>
      <c r="F293">
        <v>22.498113207547199</v>
      </c>
      <c r="G293">
        <v>3093.4521730410802</v>
      </c>
      <c r="H293">
        <v>138.01231735599401</v>
      </c>
      <c r="I293" s="1">
        <f t="shared" si="9"/>
        <v>128.0000830209687</v>
      </c>
    </row>
    <row r="294" spans="1:9" x14ac:dyDescent="0.45">
      <c r="A294" t="s">
        <v>27</v>
      </c>
      <c r="B294" t="s">
        <v>11</v>
      </c>
      <c r="C294" t="str">
        <f t="shared" si="8"/>
        <v>High PointArizona</v>
      </c>
      <c r="D294" t="s">
        <v>11</v>
      </c>
      <c r="E294">
        <v>2.1</v>
      </c>
      <c r="F294">
        <v>25.267924528301901</v>
      </c>
      <c r="G294">
        <v>4721.9292391932804</v>
      </c>
      <c r="H294">
        <v>138.29320910364899</v>
      </c>
      <c r="I294" s="1">
        <f t="shared" si="9"/>
        <v>131.95534374295329</v>
      </c>
    </row>
    <row r="295" spans="1:9" x14ac:dyDescent="0.45">
      <c r="A295" t="s">
        <v>28</v>
      </c>
      <c r="B295" t="s">
        <v>11</v>
      </c>
      <c r="C295" t="str">
        <f t="shared" si="8"/>
        <v>HoustonArizona</v>
      </c>
      <c r="D295" t="s">
        <v>28</v>
      </c>
      <c r="E295">
        <v>82.9</v>
      </c>
      <c r="F295">
        <v>-10.3471698113208</v>
      </c>
      <c r="G295">
        <v>-484.60348954833802</v>
      </c>
      <c r="H295">
        <v>140.50080253950401</v>
      </c>
      <c r="I295" s="1">
        <f t="shared" si="9"/>
        <v>163.04065571756325</v>
      </c>
    </row>
    <row r="296" spans="1:9" x14ac:dyDescent="0.45">
      <c r="A296" t="s">
        <v>29</v>
      </c>
      <c r="B296" t="s">
        <v>11</v>
      </c>
      <c r="C296" t="str">
        <f t="shared" si="8"/>
        <v>IllinoisArizona</v>
      </c>
      <c r="D296" t="s">
        <v>11</v>
      </c>
      <c r="E296">
        <v>32.6</v>
      </c>
      <c r="F296">
        <v>4.7660377358490598</v>
      </c>
      <c r="G296">
        <v>206.87885843472901</v>
      </c>
      <c r="H296">
        <v>138.55104769344001</v>
      </c>
      <c r="I296" s="1">
        <f t="shared" si="9"/>
        <v>135.58599097743516</v>
      </c>
    </row>
    <row r="297" spans="1:9" x14ac:dyDescent="0.45">
      <c r="A297" t="s">
        <v>30</v>
      </c>
      <c r="B297" t="s">
        <v>11</v>
      </c>
      <c r="C297" t="str">
        <f t="shared" si="8"/>
        <v>Iowa St.Arizona</v>
      </c>
      <c r="D297" t="s">
        <v>30</v>
      </c>
      <c r="E297">
        <v>50.5</v>
      </c>
      <c r="F297">
        <v>-0.11698113207547201</v>
      </c>
      <c r="G297">
        <v>-101.817931075644</v>
      </c>
      <c r="H297">
        <v>139.477316271799</v>
      </c>
      <c r="I297" s="1">
        <f t="shared" si="9"/>
        <v>148.62885804838913</v>
      </c>
    </row>
    <row r="298" spans="1:9" x14ac:dyDescent="0.45">
      <c r="A298" t="s">
        <v>31</v>
      </c>
      <c r="B298" t="s">
        <v>11</v>
      </c>
      <c r="C298" t="str">
        <f t="shared" si="8"/>
        <v>KansasArizona</v>
      </c>
      <c r="D298" t="s">
        <v>11</v>
      </c>
      <c r="E298">
        <v>22.8</v>
      </c>
      <c r="F298">
        <v>7.9849056603773603</v>
      </c>
      <c r="G298">
        <v>338.05488706835899</v>
      </c>
      <c r="H298">
        <v>138.43270655610999</v>
      </c>
      <c r="I298" s="1">
        <f t="shared" si="9"/>
        <v>133.91961930157038</v>
      </c>
    </row>
    <row r="299" spans="1:9" x14ac:dyDescent="0.45">
      <c r="A299" t="s">
        <v>32</v>
      </c>
      <c r="B299" t="s">
        <v>11</v>
      </c>
      <c r="C299" t="str">
        <f t="shared" si="8"/>
        <v>KentuckyArizona</v>
      </c>
      <c r="D299" t="s">
        <v>11</v>
      </c>
      <c r="E299">
        <v>33.299999999999997</v>
      </c>
      <c r="F299">
        <v>4.5584905660377402</v>
      </c>
      <c r="G299">
        <v>200.39083486881501</v>
      </c>
      <c r="H299">
        <v>138.37974415650299</v>
      </c>
      <c r="I299" s="1">
        <f t="shared" si="9"/>
        <v>133.17385122309724</v>
      </c>
    </row>
    <row r="300" spans="1:9" x14ac:dyDescent="0.45">
      <c r="A300" t="s">
        <v>33</v>
      </c>
      <c r="B300" t="s">
        <v>11</v>
      </c>
      <c r="C300" t="str">
        <f t="shared" si="8"/>
        <v>LibertyArizona</v>
      </c>
      <c r="D300" t="s">
        <v>11</v>
      </c>
      <c r="E300">
        <v>1.4</v>
      </c>
      <c r="F300">
        <v>28.045283018867899</v>
      </c>
      <c r="G300">
        <v>7211.7046611895703</v>
      </c>
      <c r="H300">
        <v>137.588680404901</v>
      </c>
      <c r="I300" s="1">
        <f t="shared" si="9"/>
        <v>122.03481488109557</v>
      </c>
    </row>
    <row r="301" spans="1:9" x14ac:dyDescent="0.45">
      <c r="A301" t="s">
        <v>34</v>
      </c>
      <c r="B301" t="s">
        <v>11</v>
      </c>
      <c r="C301" t="str">
        <f t="shared" si="8"/>
        <v>LipscombArizona</v>
      </c>
      <c r="D301" t="s">
        <v>11</v>
      </c>
      <c r="E301">
        <v>1.1000000000000001</v>
      </c>
      <c r="F301">
        <v>29.788679245282999</v>
      </c>
      <c r="G301">
        <v>9407.3603968386597</v>
      </c>
      <c r="H301">
        <v>138.020600636159</v>
      </c>
      <c r="I301" s="1">
        <f t="shared" si="9"/>
        <v>128.11672059739908</v>
      </c>
    </row>
    <row r="302" spans="1:9" x14ac:dyDescent="0.45">
      <c r="A302" t="s">
        <v>35</v>
      </c>
      <c r="B302" t="s">
        <v>11</v>
      </c>
      <c r="C302" t="str">
        <f t="shared" si="8"/>
        <v>LouisvilleArizona</v>
      </c>
      <c r="D302" t="s">
        <v>11</v>
      </c>
      <c r="E302">
        <v>2.6</v>
      </c>
      <c r="F302">
        <v>23.679245283018901</v>
      </c>
      <c r="G302">
        <v>3705.5656399463601</v>
      </c>
      <c r="H302">
        <v>137.30632394812699</v>
      </c>
      <c r="I302" s="1">
        <f t="shared" si="9"/>
        <v>118.05892946473666</v>
      </c>
    </row>
    <row r="303" spans="1:9" x14ac:dyDescent="0.45">
      <c r="A303" t="s">
        <v>36</v>
      </c>
      <c r="B303" t="s">
        <v>11</v>
      </c>
      <c r="C303" t="str">
        <f t="shared" si="8"/>
        <v>MarquetteArizona</v>
      </c>
      <c r="D303" t="s">
        <v>11</v>
      </c>
      <c r="E303">
        <v>27.6</v>
      </c>
      <c r="F303">
        <v>6.3358490566037702</v>
      </c>
      <c r="G303">
        <v>262.87489035868902</v>
      </c>
      <c r="H303">
        <v>138.63808058303201</v>
      </c>
      <c r="I303" s="1">
        <f t="shared" si="9"/>
        <v>136.81150853926425</v>
      </c>
    </row>
    <row r="304" spans="1:9" x14ac:dyDescent="0.45">
      <c r="A304" t="s">
        <v>37</v>
      </c>
      <c r="B304" t="s">
        <v>11</v>
      </c>
      <c r="C304" t="str">
        <f t="shared" si="8"/>
        <v>MarylandArizona</v>
      </c>
      <c r="D304" t="s">
        <v>11</v>
      </c>
      <c r="E304">
        <v>20.5</v>
      </c>
      <c r="F304">
        <v>8.8792452830188697</v>
      </c>
      <c r="G304">
        <v>387.51941216590097</v>
      </c>
      <c r="H304">
        <v>138.24801989471101</v>
      </c>
      <c r="I304" s="1">
        <f t="shared" si="9"/>
        <v>131.31903062709236</v>
      </c>
    </row>
    <row r="305" spans="1:9" x14ac:dyDescent="0.45">
      <c r="A305" t="s">
        <v>38</v>
      </c>
      <c r="B305" t="s">
        <v>11</v>
      </c>
      <c r="C305" t="str">
        <f t="shared" si="8"/>
        <v>McNeese St.Arizona</v>
      </c>
      <c r="D305" t="s">
        <v>11</v>
      </c>
      <c r="E305">
        <v>4.4000000000000004</v>
      </c>
      <c r="F305">
        <v>20.188679245283002</v>
      </c>
      <c r="G305">
        <v>2174.9166810464499</v>
      </c>
      <c r="H305">
        <v>138.08343150891201</v>
      </c>
      <c r="I305" s="1">
        <f t="shared" si="9"/>
        <v>129.00144749024199</v>
      </c>
    </row>
    <row r="306" spans="1:9" x14ac:dyDescent="0.45">
      <c r="A306" t="s">
        <v>39</v>
      </c>
      <c r="B306" t="s">
        <v>11</v>
      </c>
      <c r="C306" t="str">
        <f t="shared" si="8"/>
        <v>MemphisArizona</v>
      </c>
      <c r="D306" t="s">
        <v>11</v>
      </c>
      <c r="E306">
        <v>11.7</v>
      </c>
      <c r="F306">
        <v>13.264150943396199</v>
      </c>
      <c r="G306">
        <v>756.58890276404202</v>
      </c>
      <c r="H306">
        <v>137.22565470773</v>
      </c>
      <c r="I306" s="1">
        <f t="shared" si="9"/>
        <v>116.92301899147333</v>
      </c>
    </row>
    <row r="307" spans="1:9" x14ac:dyDescent="0.45">
      <c r="A307" t="s">
        <v>40</v>
      </c>
      <c r="B307" t="s">
        <v>11</v>
      </c>
      <c r="C307" t="str">
        <f t="shared" si="8"/>
        <v>MichiganArizona</v>
      </c>
      <c r="D307" t="s">
        <v>11</v>
      </c>
      <c r="E307">
        <v>6.5</v>
      </c>
      <c r="F307">
        <v>17.452830188679201</v>
      </c>
      <c r="G307">
        <v>1433.2732865934699</v>
      </c>
      <c r="H307">
        <v>136.882575792414</v>
      </c>
      <c r="I307" s="1">
        <f t="shared" si="9"/>
        <v>112.09209544309897</v>
      </c>
    </row>
    <row r="308" spans="1:9" x14ac:dyDescent="0.45">
      <c r="A308" t="s">
        <v>41</v>
      </c>
      <c r="B308" t="s">
        <v>11</v>
      </c>
      <c r="C308" t="str">
        <f t="shared" si="8"/>
        <v>Michigan St.Arizona</v>
      </c>
      <c r="D308" t="s">
        <v>11</v>
      </c>
      <c r="E308">
        <v>40.1</v>
      </c>
      <c r="F308">
        <v>2.63018867924528</v>
      </c>
      <c r="G308">
        <v>149.367176423985</v>
      </c>
      <c r="H308">
        <v>138.581467753243</v>
      </c>
      <c r="I308" s="1">
        <f t="shared" si="9"/>
        <v>136.01433844119543</v>
      </c>
    </row>
    <row r="309" spans="1:9" x14ac:dyDescent="0.45">
      <c r="A309" t="s">
        <v>42</v>
      </c>
      <c r="B309" t="s">
        <v>11</v>
      </c>
      <c r="C309" t="str">
        <f t="shared" si="8"/>
        <v>MississippiArizona</v>
      </c>
      <c r="D309" t="s">
        <v>11</v>
      </c>
      <c r="E309">
        <v>14.7</v>
      </c>
      <c r="F309">
        <v>11.5396226415094</v>
      </c>
      <c r="G309">
        <v>581.53259451896497</v>
      </c>
      <c r="H309">
        <v>137.71238885833799</v>
      </c>
      <c r="I309" s="1">
        <f t="shared" si="9"/>
        <v>123.77676419410209</v>
      </c>
    </row>
    <row r="310" spans="1:9" x14ac:dyDescent="0.45">
      <c r="A310" t="s">
        <v>43</v>
      </c>
      <c r="B310" t="s">
        <v>11</v>
      </c>
      <c r="C310" t="str">
        <f t="shared" si="8"/>
        <v>Mississippi St.Arizona</v>
      </c>
      <c r="D310" t="s">
        <v>11</v>
      </c>
      <c r="E310">
        <v>11.5</v>
      </c>
      <c r="F310">
        <v>13.388679245283001</v>
      </c>
      <c r="G310">
        <v>771.01946739579603</v>
      </c>
      <c r="H310">
        <v>137.83676021212699</v>
      </c>
      <c r="I310" s="1">
        <f t="shared" si="9"/>
        <v>125.52804786365979</v>
      </c>
    </row>
    <row r="311" spans="1:9" x14ac:dyDescent="0.45">
      <c r="A311" t="s">
        <v>44</v>
      </c>
      <c r="B311" t="s">
        <v>11</v>
      </c>
      <c r="C311" t="str">
        <f t="shared" si="8"/>
        <v>MissouriArizona</v>
      </c>
      <c r="D311" t="s">
        <v>11</v>
      </c>
      <c r="E311">
        <v>5.4</v>
      </c>
      <c r="F311">
        <v>18.803773584905699</v>
      </c>
      <c r="G311">
        <v>1760.6145419412601</v>
      </c>
      <c r="H311">
        <v>137.1012321483</v>
      </c>
      <c r="I311" s="1">
        <f t="shared" si="9"/>
        <v>115.17101429090532</v>
      </c>
    </row>
    <row r="312" spans="1:9" x14ac:dyDescent="0.45">
      <c r="A312" t="s">
        <v>45</v>
      </c>
      <c r="B312" t="s">
        <v>11</v>
      </c>
      <c r="C312" t="str">
        <f t="shared" si="8"/>
        <v>MontanaArizona</v>
      </c>
      <c r="D312" t="s">
        <v>11</v>
      </c>
      <c r="E312">
        <v>0.6</v>
      </c>
      <c r="F312">
        <v>34.060377358490598</v>
      </c>
      <c r="G312">
        <v>18049.133475768202</v>
      </c>
      <c r="H312">
        <v>136.40996687331901</v>
      </c>
      <c r="I312" s="1">
        <f t="shared" si="9"/>
        <v>105.43724883346448</v>
      </c>
    </row>
    <row r="313" spans="1:9" x14ac:dyDescent="0.45">
      <c r="A313" t="s">
        <v>46</v>
      </c>
      <c r="B313" t="s">
        <v>11</v>
      </c>
      <c r="C313" t="str">
        <f t="shared" si="8"/>
        <v>Mount St. Mary'sArizona</v>
      </c>
      <c r="D313" t="s">
        <v>11</v>
      </c>
      <c r="E313">
        <v>0.2</v>
      </c>
      <c r="F313">
        <v>40.177358490566</v>
      </c>
      <c r="G313">
        <v>45883.554302402597</v>
      </c>
      <c r="H313">
        <v>137.757841095266</v>
      </c>
      <c r="I313" s="1">
        <f t="shared" si="9"/>
        <v>124.41678102958609</v>
      </c>
    </row>
    <row r="314" spans="1:9" x14ac:dyDescent="0.45">
      <c r="A314" t="s">
        <v>47</v>
      </c>
      <c r="B314" t="s">
        <v>11</v>
      </c>
      <c r="C314" t="str">
        <f t="shared" si="8"/>
        <v>Nebraska OmahaArizona</v>
      </c>
      <c r="D314" t="s">
        <v>11</v>
      </c>
      <c r="E314">
        <v>0.3</v>
      </c>
      <c r="F314">
        <v>38.460377358490597</v>
      </c>
      <c r="G314">
        <v>35317.234496131801</v>
      </c>
      <c r="H314">
        <v>137.041842275166</v>
      </c>
      <c r="I314" s="1">
        <f t="shared" si="9"/>
        <v>114.33474040798914</v>
      </c>
    </row>
    <row r="315" spans="1:9" x14ac:dyDescent="0.45">
      <c r="A315" t="s">
        <v>48</v>
      </c>
      <c r="B315" t="s">
        <v>11</v>
      </c>
      <c r="C315" t="str">
        <f t="shared" si="8"/>
        <v>New MexicoArizona</v>
      </c>
      <c r="D315" t="s">
        <v>11</v>
      </c>
      <c r="E315">
        <v>6.7</v>
      </c>
      <c r="F315">
        <v>17.211320754717001</v>
      </c>
      <c r="G315">
        <v>1381.5008678501199</v>
      </c>
      <c r="H315">
        <v>137.91958662244201</v>
      </c>
      <c r="I315" s="1">
        <f t="shared" si="9"/>
        <v>126.69433363103087</v>
      </c>
    </row>
    <row r="316" spans="1:9" x14ac:dyDescent="0.45">
      <c r="A316" t="s">
        <v>49</v>
      </c>
      <c r="B316" t="s">
        <v>11</v>
      </c>
      <c r="C316" t="str">
        <f t="shared" si="8"/>
        <v>Norfolk St.Arizona</v>
      </c>
      <c r="D316" t="s">
        <v>11</v>
      </c>
      <c r="E316">
        <v>0.4</v>
      </c>
      <c r="F316">
        <v>35.928301886792497</v>
      </c>
      <c r="G316">
        <v>23999.602760185498</v>
      </c>
      <c r="H316">
        <v>136.93195028464299</v>
      </c>
      <c r="I316" s="1">
        <f t="shared" si="9"/>
        <v>112.78734189092678</v>
      </c>
    </row>
    <row r="317" spans="1:9" x14ac:dyDescent="0.45">
      <c r="A317" t="s">
        <v>50</v>
      </c>
      <c r="B317" t="s">
        <v>11</v>
      </c>
      <c r="C317" t="str">
        <f t="shared" si="8"/>
        <v>North CarolinaArizona</v>
      </c>
      <c r="D317" t="s">
        <v>11</v>
      </c>
      <c r="E317">
        <v>19.8</v>
      </c>
      <c r="F317">
        <v>9.1735849056603804</v>
      </c>
      <c r="G317">
        <v>405.18945004173702</v>
      </c>
      <c r="H317">
        <v>139.00388171659901</v>
      </c>
      <c r="I317" s="1">
        <f t="shared" si="9"/>
        <v>141.96238558614778</v>
      </c>
    </row>
    <row r="318" spans="1:9" x14ac:dyDescent="0.45">
      <c r="A318" t="s">
        <v>51</v>
      </c>
      <c r="B318" t="s">
        <v>11</v>
      </c>
      <c r="C318" t="str">
        <f t="shared" si="8"/>
        <v>OklahomaArizona</v>
      </c>
      <c r="D318" t="s">
        <v>11</v>
      </c>
      <c r="E318">
        <v>7.5</v>
      </c>
      <c r="F318">
        <v>16.479245283018901</v>
      </c>
      <c r="G318">
        <v>1234.99912823253</v>
      </c>
      <c r="H318">
        <v>137.34648501210401</v>
      </c>
      <c r="I318" s="1">
        <f t="shared" si="9"/>
        <v>118.62444084137044</v>
      </c>
    </row>
    <row r="319" spans="1:9" x14ac:dyDescent="0.45">
      <c r="A319" t="s">
        <v>52</v>
      </c>
      <c r="B319" t="s">
        <v>11</v>
      </c>
      <c r="C319" t="str">
        <f t="shared" si="8"/>
        <v>OregonArizona</v>
      </c>
      <c r="D319" t="s">
        <v>11</v>
      </c>
      <c r="E319">
        <v>21.1</v>
      </c>
      <c r="F319">
        <v>8.6528301886792498</v>
      </c>
      <c r="G319">
        <v>374.31932101367499</v>
      </c>
      <c r="H319">
        <v>137.94086280024399</v>
      </c>
      <c r="I319" s="1">
        <f t="shared" si="9"/>
        <v>126.99392531030475</v>
      </c>
    </row>
    <row r="320" spans="1:9" x14ac:dyDescent="0.45">
      <c r="A320" t="s">
        <v>53</v>
      </c>
      <c r="B320" t="s">
        <v>11</v>
      </c>
      <c r="C320" t="str">
        <f t="shared" si="8"/>
        <v>PurdueArizona</v>
      </c>
      <c r="D320" t="s">
        <v>53</v>
      </c>
      <c r="E320">
        <v>58.5</v>
      </c>
      <c r="F320">
        <v>-2.25660377358491</v>
      </c>
      <c r="G320">
        <v>-141.11248048644401</v>
      </c>
      <c r="H320">
        <v>139.28885012903299</v>
      </c>
      <c r="I320" s="1">
        <f t="shared" si="9"/>
        <v>145.97505017354214</v>
      </c>
    </row>
    <row r="321" spans="1:9" x14ac:dyDescent="0.45">
      <c r="A321" t="s">
        <v>54</v>
      </c>
      <c r="B321" t="s">
        <v>11</v>
      </c>
      <c r="C321" t="str">
        <f t="shared" si="8"/>
        <v>Robert MorrisArizona</v>
      </c>
      <c r="D321" t="s">
        <v>11</v>
      </c>
      <c r="E321">
        <v>0.2</v>
      </c>
      <c r="F321">
        <v>41.683018867924503</v>
      </c>
      <c r="G321">
        <v>57758.4533884458</v>
      </c>
      <c r="H321">
        <v>136.347486977796</v>
      </c>
      <c r="I321" s="1">
        <f t="shared" si="9"/>
        <v>104.55746408101453</v>
      </c>
    </row>
    <row r="322" spans="1:9" x14ac:dyDescent="0.45">
      <c r="A322" t="s">
        <v>55</v>
      </c>
      <c r="B322" t="s">
        <v>11</v>
      </c>
      <c r="C322" t="str">
        <f t="shared" si="8"/>
        <v>Saint FrancisArizona</v>
      </c>
      <c r="D322" t="s">
        <v>11</v>
      </c>
      <c r="E322">
        <v>0.1</v>
      </c>
      <c r="F322">
        <v>44.411320754717003</v>
      </c>
      <c r="G322">
        <v>87544.824404333398</v>
      </c>
      <c r="H322">
        <v>137.400342511003</v>
      </c>
      <c r="I322" s="1">
        <f t="shared" si="9"/>
        <v>119.38281288952747</v>
      </c>
    </row>
    <row r="323" spans="1:9" x14ac:dyDescent="0.45">
      <c r="A323" t="s">
        <v>56</v>
      </c>
      <c r="B323" t="s">
        <v>11</v>
      </c>
      <c r="C323" t="str">
        <f t="shared" ref="C323:C386" si="10">A323&amp;B323</f>
        <v>Saint Mary'sArizona</v>
      </c>
      <c r="D323" t="s">
        <v>11</v>
      </c>
      <c r="E323">
        <v>18.600000000000001</v>
      </c>
      <c r="F323">
        <v>9.6943396226415093</v>
      </c>
      <c r="G323">
        <v>438.88102130463699</v>
      </c>
      <c r="H323">
        <v>138.651597712094</v>
      </c>
      <c r="I323" s="1">
        <f t="shared" ref="I323:I386" si="11">18*(H323-AVERAGE($H$2:$H$4625))/_xlfn.STDEV.P($H$2:$H$4625)+AVERAGE($H$2:$H$4625)</f>
        <v>137.00184438963811</v>
      </c>
    </row>
    <row r="324" spans="1:9" x14ac:dyDescent="0.45">
      <c r="A324" t="s">
        <v>57</v>
      </c>
      <c r="B324" t="s">
        <v>11</v>
      </c>
      <c r="C324" t="str">
        <f t="shared" si="10"/>
        <v>San Diego St.Arizona</v>
      </c>
      <c r="D324" t="s">
        <v>11</v>
      </c>
      <c r="E324">
        <v>6.2</v>
      </c>
      <c r="F324">
        <v>17.788679245282999</v>
      </c>
      <c r="G324">
        <v>1508.30054132904</v>
      </c>
      <c r="H324">
        <v>137.797852591891</v>
      </c>
      <c r="I324" s="1">
        <f t="shared" si="11"/>
        <v>124.98018633554426</v>
      </c>
    </row>
    <row r="325" spans="1:9" x14ac:dyDescent="0.45">
      <c r="A325" t="s">
        <v>58</v>
      </c>
      <c r="B325" t="s">
        <v>11</v>
      </c>
      <c r="C325" t="str">
        <f t="shared" si="10"/>
        <v>SIU EdwardsvilleArizona</v>
      </c>
      <c r="D325" t="s">
        <v>11</v>
      </c>
      <c r="E325">
        <v>0.3</v>
      </c>
      <c r="F325">
        <v>37.384905660377399</v>
      </c>
      <c r="G325">
        <v>29982.2938176684</v>
      </c>
      <c r="H325">
        <v>137.94554035874</v>
      </c>
      <c r="I325" s="1">
        <f t="shared" si="11"/>
        <v>127.0597904115351</v>
      </c>
    </row>
    <row r="326" spans="1:9" x14ac:dyDescent="0.45">
      <c r="A326" t="s">
        <v>59</v>
      </c>
      <c r="B326" t="s">
        <v>11</v>
      </c>
      <c r="C326" t="str">
        <f t="shared" si="10"/>
        <v>St. John'sArizona</v>
      </c>
      <c r="D326" t="s">
        <v>11</v>
      </c>
      <c r="E326">
        <v>41.6</v>
      </c>
      <c r="F326">
        <v>2.2301886792452801</v>
      </c>
      <c r="G326">
        <v>140.49386113414101</v>
      </c>
      <c r="H326">
        <v>138.923223131284</v>
      </c>
      <c r="I326" s="1">
        <f t="shared" si="11"/>
        <v>140.82662514800504</v>
      </c>
    </row>
    <row r="327" spans="1:9" x14ac:dyDescent="0.45">
      <c r="A327" t="s">
        <v>60</v>
      </c>
      <c r="B327" t="s">
        <v>11</v>
      </c>
      <c r="C327" t="str">
        <f t="shared" si="10"/>
        <v>TennesseeArizona</v>
      </c>
      <c r="D327" t="s">
        <v>60</v>
      </c>
      <c r="E327">
        <v>58.7</v>
      </c>
      <c r="F327">
        <v>-2.3169811320754699</v>
      </c>
      <c r="G327">
        <v>-142.390855742046</v>
      </c>
      <c r="H327">
        <v>139.517206007976</v>
      </c>
      <c r="I327" s="1">
        <f t="shared" si="11"/>
        <v>149.1905488350655</v>
      </c>
    </row>
    <row r="328" spans="1:9" x14ac:dyDescent="0.45">
      <c r="A328" t="s">
        <v>61</v>
      </c>
      <c r="B328" t="s">
        <v>11</v>
      </c>
      <c r="C328" t="str">
        <f t="shared" si="10"/>
        <v>TexasArizona</v>
      </c>
      <c r="D328" t="s">
        <v>11</v>
      </c>
      <c r="E328">
        <v>5.5</v>
      </c>
      <c r="F328">
        <v>18.6377358490566</v>
      </c>
      <c r="G328">
        <v>1716.66129288714</v>
      </c>
      <c r="H328">
        <v>137.27292053904799</v>
      </c>
      <c r="I328" s="1">
        <f t="shared" si="11"/>
        <v>117.58857320467011</v>
      </c>
    </row>
    <row r="329" spans="1:9" x14ac:dyDescent="0.45">
      <c r="A329" t="s">
        <v>62</v>
      </c>
      <c r="B329" t="s">
        <v>11</v>
      </c>
      <c r="C329" t="str">
        <f t="shared" si="10"/>
        <v>Texas A&amp;MArizona</v>
      </c>
      <c r="D329" t="s">
        <v>11</v>
      </c>
      <c r="E329">
        <v>25.2</v>
      </c>
      <c r="F329">
        <v>7.1396226415094297</v>
      </c>
      <c r="G329">
        <v>297.223909055104</v>
      </c>
      <c r="H329">
        <v>138.070719566641</v>
      </c>
      <c r="I329" s="1">
        <f t="shared" si="11"/>
        <v>128.82244954393553</v>
      </c>
    </row>
    <row r="330" spans="1:9" x14ac:dyDescent="0.45">
      <c r="A330" t="s">
        <v>63</v>
      </c>
      <c r="B330" t="s">
        <v>11</v>
      </c>
      <c r="C330" t="str">
        <f t="shared" si="10"/>
        <v>Texas TechArizona</v>
      </c>
      <c r="D330" t="s">
        <v>11</v>
      </c>
      <c r="E330">
        <v>39.9</v>
      </c>
      <c r="F330">
        <v>2.69056603773585</v>
      </c>
      <c r="G330">
        <v>150.718724010621</v>
      </c>
      <c r="H330">
        <v>139.110503685705</v>
      </c>
      <c r="I330" s="1">
        <f t="shared" si="11"/>
        <v>143.46373865196858</v>
      </c>
    </row>
    <row r="331" spans="1:9" x14ac:dyDescent="0.45">
      <c r="A331" t="s">
        <v>64</v>
      </c>
      <c r="B331" t="s">
        <v>11</v>
      </c>
      <c r="C331" t="str">
        <f t="shared" si="10"/>
        <v>TroyArizona</v>
      </c>
      <c r="D331" t="s">
        <v>11</v>
      </c>
      <c r="E331">
        <v>0.9</v>
      </c>
      <c r="F331">
        <v>30.6377358490566</v>
      </c>
      <c r="G331">
        <v>10706.0215619502</v>
      </c>
      <c r="H331">
        <v>137.81406810543501</v>
      </c>
      <c r="I331" s="1">
        <f t="shared" si="11"/>
        <v>125.2085183685886</v>
      </c>
    </row>
    <row r="332" spans="1:9" x14ac:dyDescent="0.45">
      <c r="A332" t="s">
        <v>65</v>
      </c>
      <c r="B332" t="s">
        <v>11</v>
      </c>
      <c r="C332" t="str">
        <f t="shared" si="10"/>
        <v>UC San DiegoArizona</v>
      </c>
      <c r="D332" t="s">
        <v>11</v>
      </c>
      <c r="E332">
        <v>2.2999999999999998</v>
      </c>
      <c r="F332">
        <v>24.4754716981132</v>
      </c>
      <c r="G332">
        <v>4182.9428857674302</v>
      </c>
      <c r="H332">
        <v>137.902189848826</v>
      </c>
      <c r="I332" s="1">
        <f t="shared" si="11"/>
        <v>126.44936817388545</v>
      </c>
    </row>
    <row r="333" spans="1:9" x14ac:dyDescent="0.45">
      <c r="A333" t="s">
        <v>66</v>
      </c>
      <c r="B333" t="s">
        <v>11</v>
      </c>
      <c r="C333" t="str">
        <f t="shared" si="10"/>
        <v>UCLAArizona</v>
      </c>
      <c r="D333" t="s">
        <v>11</v>
      </c>
      <c r="E333">
        <v>8.6999999999999993</v>
      </c>
      <c r="F333">
        <v>15.430188679245299</v>
      </c>
      <c r="G333">
        <v>1052.63830820353</v>
      </c>
      <c r="H333">
        <v>137.373644361934</v>
      </c>
      <c r="I333" s="1">
        <f t="shared" si="11"/>
        <v>119.00687396912873</v>
      </c>
    </row>
    <row r="334" spans="1:9" x14ac:dyDescent="0.45">
      <c r="A334" t="s">
        <v>67</v>
      </c>
      <c r="B334" t="s">
        <v>11</v>
      </c>
      <c r="C334" t="str">
        <f t="shared" si="10"/>
        <v>UNC WilmingtonArizona</v>
      </c>
      <c r="D334" t="s">
        <v>11</v>
      </c>
      <c r="E334">
        <v>1.4</v>
      </c>
      <c r="F334">
        <v>27.833962264150902</v>
      </c>
      <c r="G334">
        <v>6984.2555964335897</v>
      </c>
      <c r="H334">
        <v>138.488660035854</v>
      </c>
      <c r="I334" s="1">
        <f t="shared" si="11"/>
        <v>134.70750503526472</v>
      </c>
    </row>
    <row r="335" spans="1:9" x14ac:dyDescent="0.45">
      <c r="A335" t="s">
        <v>68</v>
      </c>
      <c r="B335" t="s">
        <v>11</v>
      </c>
      <c r="C335" t="str">
        <f t="shared" si="10"/>
        <v>Utah St.Arizona</v>
      </c>
      <c r="D335" t="s">
        <v>11</v>
      </c>
      <c r="E335">
        <v>6.8</v>
      </c>
      <c r="F335">
        <v>17.192452830188699</v>
      </c>
      <c r="G335">
        <v>1377.02276029773</v>
      </c>
      <c r="H335">
        <v>137.860030439681</v>
      </c>
      <c r="I335" s="1">
        <f t="shared" si="11"/>
        <v>125.85571792803302</v>
      </c>
    </row>
    <row r="336" spans="1:9" x14ac:dyDescent="0.45">
      <c r="A336" t="s">
        <v>69</v>
      </c>
      <c r="B336" t="s">
        <v>11</v>
      </c>
      <c r="C336" t="str">
        <f t="shared" si="10"/>
        <v>VanderbiltArizona</v>
      </c>
      <c r="D336" t="s">
        <v>11</v>
      </c>
      <c r="E336">
        <v>1.5</v>
      </c>
      <c r="F336">
        <v>27.313207547169799</v>
      </c>
      <c r="G336">
        <v>6449.5751544058903</v>
      </c>
      <c r="H336">
        <v>136.434600928279</v>
      </c>
      <c r="I336" s="1">
        <f t="shared" si="11"/>
        <v>105.78412306818261</v>
      </c>
    </row>
    <row r="337" spans="1:9" x14ac:dyDescent="0.45">
      <c r="A337" t="s">
        <v>70</v>
      </c>
      <c r="B337" t="s">
        <v>11</v>
      </c>
      <c r="C337" t="str">
        <f t="shared" si="10"/>
        <v>VCUArizona</v>
      </c>
      <c r="D337" t="s">
        <v>11</v>
      </c>
      <c r="E337">
        <v>4.5</v>
      </c>
      <c r="F337">
        <v>19.966037735849099</v>
      </c>
      <c r="G337">
        <v>2102.81489867452</v>
      </c>
      <c r="H337">
        <v>138.27951209015501</v>
      </c>
      <c r="I337" s="1">
        <f t="shared" si="11"/>
        <v>131.76247492450804</v>
      </c>
    </row>
    <row r="338" spans="1:9" x14ac:dyDescent="0.45">
      <c r="A338" t="s">
        <v>71</v>
      </c>
      <c r="B338" t="s">
        <v>11</v>
      </c>
      <c r="C338" t="str">
        <f t="shared" si="10"/>
        <v>WisconsinArizona</v>
      </c>
      <c r="D338" t="s">
        <v>11</v>
      </c>
      <c r="E338">
        <v>36.9</v>
      </c>
      <c r="F338">
        <v>3.50566037735849</v>
      </c>
      <c r="G338">
        <v>170.671189575407</v>
      </c>
      <c r="H338">
        <v>139.080190945422</v>
      </c>
      <c r="I338" s="1">
        <f t="shared" si="11"/>
        <v>143.03690236354791</v>
      </c>
    </row>
    <row r="339" spans="1:9" x14ac:dyDescent="0.45">
      <c r="A339" t="s">
        <v>80</v>
      </c>
      <c r="B339" t="s">
        <v>11</v>
      </c>
      <c r="C339" t="str">
        <f t="shared" si="10"/>
        <v>WoffordArizona</v>
      </c>
      <c r="D339" t="s">
        <v>11</v>
      </c>
      <c r="E339">
        <v>0.5</v>
      </c>
      <c r="F339">
        <v>34.890566037735901</v>
      </c>
      <c r="G339">
        <v>20484.968380193801</v>
      </c>
      <c r="H339">
        <v>137.10964668451601</v>
      </c>
      <c r="I339" s="1">
        <f t="shared" si="11"/>
        <v>115.2895000950158</v>
      </c>
    </row>
    <row r="340" spans="1:9" x14ac:dyDescent="0.45">
      <c r="A340" t="s">
        <v>72</v>
      </c>
      <c r="B340" t="s">
        <v>11</v>
      </c>
      <c r="C340" t="str">
        <f t="shared" si="10"/>
        <v>XavierArizona</v>
      </c>
      <c r="D340" t="s">
        <v>11</v>
      </c>
      <c r="E340">
        <v>4.5</v>
      </c>
      <c r="F340">
        <v>20.0415094339623</v>
      </c>
      <c r="G340">
        <v>2127.43232573052</v>
      </c>
      <c r="H340">
        <v>137.68556025466799</v>
      </c>
      <c r="I340" s="1">
        <f t="shared" si="11"/>
        <v>123.39898833130965</v>
      </c>
    </row>
    <row r="341" spans="1:9" x14ac:dyDescent="0.45">
      <c r="A341" t="s">
        <v>73</v>
      </c>
      <c r="B341" t="s">
        <v>11</v>
      </c>
      <c r="C341" t="str">
        <f t="shared" si="10"/>
        <v>YaleArizona</v>
      </c>
      <c r="D341" t="s">
        <v>11</v>
      </c>
      <c r="E341">
        <v>2.6</v>
      </c>
      <c r="F341">
        <v>23.867924528301899</v>
      </c>
      <c r="G341">
        <v>3812.1267670460602</v>
      </c>
      <c r="H341">
        <v>138.48479488872999</v>
      </c>
      <c r="I341" s="1">
        <f t="shared" si="11"/>
        <v>134.65307956804509</v>
      </c>
    </row>
    <row r="342" spans="1:9" x14ac:dyDescent="0.45">
      <c r="A342" t="s">
        <v>7</v>
      </c>
      <c r="B342" t="s">
        <v>12</v>
      </c>
      <c r="C342" t="str">
        <f t="shared" si="10"/>
        <v>AkronArkansas</v>
      </c>
      <c r="D342" t="s">
        <v>12</v>
      </c>
      <c r="E342">
        <v>18.2</v>
      </c>
      <c r="F342">
        <v>9.8679245283018897</v>
      </c>
      <c r="G342">
        <v>450.65789246608199</v>
      </c>
      <c r="H342">
        <v>139.14965651031801</v>
      </c>
      <c r="I342" s="1">
        <f t="shared" si="11"/>
        <v>144.01505292388808</v>
      </c>
    </row>
    <row r="343" spans="1:9" x14ac:dyDescent="0.45">
      <c r="A343" t="s">
        <v>8</v>
      </c>
      <c r="B343" t="s">
        <v>12</v>
      </c>
      <c r="C343" t="str">
        <f t="shared" si="10"/>
        <v>AlabamaArkansas</v>
      </c>
      <c r="D343" t="s">
        <v>8</v>
      </c>
      <c r="E343">
        <v>94.2</v>
      </c>
      <c r="F343">
        <v>-18.3056603773585</v>
      </c>
      <c r="G343">
        <v>-1631.83668258377</v>
      </c>
      <c r="H343">
        <v>140.89775252245701</v>
      </c>
      <c r="I343" s="1">
        <f t="shared" si="11"/>
        <v>168.63014237665504</v>
      </c>
    </row>
    <row r="344" spans="1:9" x14ac:dyDescent="0.45">
      <c r="A344" t="s">
        <v>9</v>
      </c>
      <c r="B344" t="s">
        <v>12</v>
      </c>
      <c r="C344" t="str">
        <f t="shared" si="10"/>
        <v>Alabama St.Arkansas</v>
      </c>
      <c r="D344" t="s">
        <v>12</v>
      </c>
      <c r="E344">
        <v>3.4</v>
      </c>
      <c r="F344">
        <v>22.0075471698113</v>
      </c>
      <c r="G344">
        <v>2871.5124837415001</v>
      </c>
      <c r="H344">
        <v>139.37649736613099</v>
      </c>
      <c r="I344" s="1">
        <f t="shared" si="11"/>
        <v>147.20921841514527</v>
      </c>
    </row>
    <row r="345" spans="1:9" x14ac:dyDescent="0.45">
      <c r="A345" t="s">
        <v>10</v>
      </c>
      <c r="B345" t="s">
        <v>12</v>
      </c>
      <c r="C345" t="str">
        <f t="shared" si="10"/>
        <v>AmericanArkansas</v>
      </c>
      <c r="D345" t="s">
        <v>12</v>
      </c>
      <c r="E345">
        <v>4.0999999999999996</v>
      </c>
      <c r="F345">
        <v>20.747169811320799</v>
      </c>
      <c r="G345">
        <v>2368.1711645558198</v>
      </c>
      <c r="H345">
        <v>139.46758324773501</v>
      </c>
      <c r="I345" s="1">
        <f t="shared" si="11"/>
        <v>148.49180650412762</v>
      </c>
    </row>
    <row r="346" spans="1:9" x14ac:dyDescent="0.45">
      <c r="A346" t="s">
        <v>11</v>
      </c>
      <c r="B346" t="s">
        <v>12</v>
      </c>
      <c r="C346" t="str">
        <f t="shared" si="10"/>
        <v>ArizonaArkansas</v>
      </c>
      <c r="D346" t="s">
        <v>11</v>
      </c>
      <c r="E346">
        <v>92.1</v>
      </c>
      <c r="F346">
        <v>-16.0641509433962</v>
      </c>
      <c r="G346">
        <v>-1159.4138449690799</v>
      </c>
      <c r="H346">
        <v>140.66011134144799</v>
      </c>
      <c r="I346" s="1">
        <f t="shared" si="11"/>
        <v>165.283896582615</v>
      </c>
    </row>
    <row r="347" spans="1:9" x14ac:dyDescent="0.45">
      <c r="A347" t="s">
        <v>12</v>
      </c>
      <c r="B347" t="s">
        <v>12</v>
      </c>
      <c r="C347" t="str">
        <f t="shared" si="10"/>
        <v>ArkansasArkansas</v>
      </c>
      <c r="D347" t="s">
        <v>12</v>
      </c>
      <c r="E347">
        <v>41.2</v>
      </c>
      <c r="F347">
        <v>2.3283018867924499</v>
      </c>
      <c r="G347">
        <v>142.64273539779199</v>
      </c>
      <c r="H347">
        <v>138.77771517530499</v>
      </c>
      <c r="I347" s="1">
        <f t="shared" si="11"/>
        <v>138.77771517530277</v>
      </c>
    </row>
    <row r="348" spans="1:9" x14ac:dyDescent="0.45">
      <c r="A348" t="s">
        <v>13</v>
      </c>
      <c r="B348" t="s">
        <v>12</v>
      </c>
      <c r="C348" t="str">
        <f t="shared" si="10"/>
        <v>AuburnArkansas</v>
      </c>
      <c r="D348" t="s">
        <v>13</v>
      </c>
      <c r="E348">
        <v>97</v>
      </c>
      <c r="F348">
        <v>-22.7169811320755</v>
      </c>
      <c r="G348">
        <v>-3197.9967084039599</v>
      </c>
      <c r="H348">
        <v>141.916434580567</v>
      </c>
      <c r="I348" s="1">
        <f t="shared" si="11"/>
        <v>182.97429155964181</v>
      </c>
    </row>
    <row r="349" spans="1:9" x14ac:dyDescent="0.45">
      <c r="A349" t="s">
        <v>14</v>
      </c>
      <c r="B349" t="s">
        <v>12</v>
      </c>
      <c r="C349" t="str">
        <f t="shared" si="10"/>
        <v>BaylorArkansas</v>
      </c>
      <c r="D349" t="s">
        <v>14</v>
      </c>
      <c r="E349">
        <v>77.2</v>
      </c>
      <c r="F349">
        <v>-7.9849056603773603</v>
      </c>
      <c r="G349">
        <v>-337.97946457561602</v>
      </c>
      <c r="H349">
        <v>140.451432593292</v>
      </c>
      <c r="I349" s="1">
        <f t="shared" si="11"/>
        <v>162.34547328258935</v>
      </c>
    </row>
    <row r="350" spans="1:9" x14ac:dyDescent="0.45">
      <c r="A350" t="s">
        <v>15</v>
      </c>
      <c r="B350" t="s">
        <v>12</v>
      </c>
      <c r="C350" t="str">
        <f t="shared" si="10"/>
        <v>BryantArkansas</v>
      </c>
      <c r="D350" t="s">
        <v>12</v>
      </c>
      <c r="E350">
        <v>13.3</v>
      </c>
      <c r="F350">
        <v>12.3018867924528</v>
      </c>
      <c r="G350">
        <v>653.20549754591002</v>
      </c>
      <c r="H350">
        <v>140.000430343186</v>
      </c>
      <c r="I350" s="1">
        <f t="shared" si="11"/>
        <v>155.99487202689835</v>
      </c>
    </row>
    <row r="351" spans="1:9" x14ac:dyDescent="0.45">
      <c r="A351" t="s">
        <v>16</v>
      </c>
      <c r="B351" t="s">
        <v>12</v>
      </c>
      <c r="C351" t="str">
        <f t="shared" si="10"/>
        <v>BYUArkansas</v>
      </c>
      <c r="D351" t="s">
        <v>16</v>
      </c>
      <c r="E351">
        <v>80.5</v>
      </c>
      <c r="F351">
        <v>-9.2792452830188701</v>
      </c>
      <c r="G351">
        <v>-411.74363727479903</v>
      </c>
      <c r="H351">
        <v>140.26095082140901</v>
      </c>
      <c r="I351" s="1">
        <f t="shared" si="11"/>
        <v>159.66328316175952</v>
      </c>
    </row>
    <row r="352" spans="1:9" x14ac:dyDescent="0.45">
      <c r="A352" t="s">
        <v>17</v>
      </c>
      <c r="B352" t="s">
        <v>12</v>
      </c>
      <c r="C352" t="str">
        <f t="shared" si="10"/>
        <v>ClemsonArkansas</v>
      </c>
      <c r="D352" t="s">
        <v>17</v>
      </c>
      <c r="E352">
        <v>84.1</v>
      </c>
      <c r="F352">
        <v>-10.9018867924528</v>
      </c>
      <c r="G352">
        <v>-527.56797267762704</v>
      </c>
      <c r="H352">
        <v>140.48286267770101</v>
      </c>
      <c r="I352" s="1">
        <f t="shared" si="11"/>
        <v>162.78804298920929</v>
      </c>
    </row>
    <row r="353" spans="1:9" x14ac:dyDescent="0.45">
      <c r="A353" t="s">
        <v>18</v>
      </c>
      <c r="B353" t="s">
        <v>12</v>
      </c>
      <c r="C353" t="str">
        <f t="shared" si="10"/>
        <v>Colorado St.Arkansas</v>
      </c>
      <c r="D353" t="s">
        <v>12</v>
      </c>
      <c r="E353">
        <v>46.4</v>
      </c>
      <c r="F353">
        <v>0.93584905660377404</v>
      </c>
      <c r="G353">
        <v>115.362087807649</v>
      </c>
      <c r="H353">
        <v>139.79025452580601</v>
      </c>
      <c r="I353" s="1">
        <f t="shared" si="11"/>
        <v>153.03536836709279</v>
      </c>
    </row>
    <row r="354" spans="1:9" x14ac:dyDescent="0.45">
      <c r="A354" t="s">
        <v>19</v>
      </c>
      <c r="B354" t="s">
        <v>12</v>
      </c>
      <c r="C354" t="str">
        <f t="shared" si="10"/>
        <v>ConnecticutArkansas</v>
      </c>
      <c r="D354" t="s">
        <v>19</v>
      </c>
      <c r="E354">
        <v>89.9</v>
      </c>
      <c r="F354">
        <v>-14.366037735849099</v>
      </c>
      <c r="G354">
        <v>-894.81639704895395</v>
      </c>
      <c r="H354">
        <v>140.42580642814201</v>
      </c>
      <c r="I354" s="1">
        <f t="shared" si="11"/>
        <v>161.98462905943572</v>
      </c>
    </row>
    <row r="355" spans="1:9" x14ac:dyDescent="0.45">
      <c r="A355" t="s">
        <v>20</v>
      </c>
      <c r="B355" t="s">
        <v>12</v>
      </c>
      <c r="C355" t="str">
        <f t="shared" si="10"/>
        <v>CreightonArkansas</v>
      </c>
      <c r="D355" t="s">
        <v>20</v>
      </c>
      <c r="E355">
        <v>73.5</v>
      </c>
      <c r="F355">
        <v>-6.6754716981132098</v>
      </c>
      <c r="G355">
        <v>-276.792237614074</v>
      </c>
      <c r="H355">
        <v>139.89874879040599</v>
      </c>
      <c r="I355" s="1">
        <f t="shared" si="11"/>
        <v>154.56308538589255</v>
      </c>
    </row>
    <row r="356" spans="1:9" x14ac:dyDescent="0.45">
      <c r="A356" t="s">
        <v>21</v>
      </c>
      <c r="B356" t="s">
        <v>12</v>
      </c>
      <c r="C356" t="str">
        <f t="shared" si="10"/>
        <v>DrakeArkansas</v>
      </c>
      <c r="D356" t="s">
        <v>12</v>
      </c>
      <c r="E356">
        <v>46.2</v>
      </c>
      <c r="F356">
        <v>0.98867924528301898</v>
      </c>
      <c r="G356">
        <v>116.25750673028099</v>
      </c>
      <c r="H356">
        <v>139.95221389456</v>
      </c>
      <c r="I356" s="1">
        <f t="shared" si="11"/>
        <v>155.31593209008602</v>
      </c>
    </row>
    <row r="357" spans="1:9" x14ac:dyDescent="0.45">
      <c r="A357" t="s">
        <v>22</v>
      </c>
      <c r="B357" t="s">
        <v>12</v>
      </c>
      <c r="C357" t="str">
        <f t="shared" si="10"/>
        <v>DukeArkansas</v>
      </c>
      <c r="D357" t="s">
        <v>22</v>
      </c>
      <c r="E357">
        <v>97.9</v>
      </c>
      <c r="F357">
        <v>-25.222641509433998</v>
      </c>
      <c r="G357">
        <v>-4689.0777253515398</v>
      </c>
      <c r="H357">
        <v>142.23953435601601</v>
      </c>
      <c r="I357" s="1">
        <f t="shared" si="11"/>
        <v>187.523887130834</v>
      </c>
    </row>
    <row r="358" spans="1:9" x14ac:dyDescent="0.45">
      <c r="A358" t="s">
        <v>23</v>
      </c>
      <c r="B358" t="s">
        <v>12</v>
      </c>
      <c r="C358" t="str">
        <f t="shared" si="10"/>
        <v>FloridaArkansas</v>
      </c>
      <c r="D358" t="s">
        <v>23</v>
      </c>
      <c r="E358">
        <v>96.3</v>
      </c>
      <c r="F358">
        <v>-21.324528301886801</v>
      </c>
      <c r="G358">
        <v>-2586.6686890309902</v>
      </c>
      <c r="H358">
        <v>141.96329063195901</v>
      </c>
      <c r="I358" s="1">
        <f t="shared" si="11"/>
        <v>183.63407562665458</v>
      </c>
    </row>
    <row r="359" spans="1:9" x14ac:dyDescent="0.45">
      <c r="A359" t="s">
        <v>24</v>
      </c>
      <c r="B359" t="s">
        <v>12</v>
      </c>
      <c r="C359" t="str">
        <f t="shared" si="10"/>
        <v>GeorgiaArkansas</v>
      </c>
      <c r="D359" t="s">
        <v>12</v>
      </c>
      <c r="E359">
        <v>49.3</v>
      </c>
      <c r="F359">
        <v>0.18113207547169799</v>
      </c>
      <c r="G359">
        <v>102.823865388475</v>
      </c>
      <c r="H359">
        <v>139.10510415630301</v>
      </c>
      <c r="I359" s="1">
        <f t="shared" si="11"/>
        <v>143.38770741666471</v>
      </c>
    </row>
    <row r="360" spans="1:9" x14ac:dyDescent="0.45">
      <c r="A360" t="s">
        <v>25</v>
      </c>
      <c r="B360" t="s">
        <v>12</v>
      </c>
      <c r="C360" t="str">
        <f t="shared" si="10"/>
        <v>GonzagaArkansas</v>
      </c>
      <c r="D360" t="s">
        <v>25</v>
      </c>
      <c r="E360">
        <v>84.6</v>
      </c>
      <c r="F360">
        <v>-11.143396226415099</v>
      </c>
      <c r="G360">
        <v>-547.42840859603803</v>
      </c>
      <c r="H360">
        <v>141.24274527583199</v>
      </c>
      <c r="I360" s="1">
        <f t="shared" si="11"/>
        <v>173.48801484241883</v>
      </c>
    </row>
    <row r="361" spans="1:9" x14ac:dyDescent="0.45">
      <c r="A361" t="s">
        <v>26</v>
      </c>
      <c r="B361" t="s">
        <v>12</v>
      </c>
      <c r="C361" t="str">
        <f t="shared" si="10"/>
        <v>Grand CanyonArkansas</v>
      </c>
      <c r="D361" t="s">
        <v>12</v>
      </c>
      <c r="E361">
        <v>34.799999999999997</v>
      </c>
      <c r="F361">
        <v>4.1056603773584897</v>
      </c>
      <c r="G361">
        <v>187.04894596341501</v>
      </c>
      <c r="H361">
        <v>139.89471352213599</v>
      </c>
      <c r="I361" s="1">
        <f t="shared" si="11"/>
        <v>154.50626442826652</v>
      </c>
    </row>
    <row r="362" spans="1:9" x14ac:dyDescent="0.45">
      <c r="A362" t="s">
        <v>27</v>
      </c>
      <c r="B362" t="s">
        <v>12</v>
      </c>
      <c r="C362" t="str">
        <f t="shared" si="10"/>
        <v>High PointArkansas</v>
      </c>
      <c r="D362" t="s">
        <v>12</v>
      </c>
      <c r="E362">
        <v>25.9</v>
      </c>
      <c r="F362">
        <v>6.8792452830188697</v>
      </c>
      <c r="G362">
        <v>285.51658073208699</v>
      </c>
      <c r="H362">
        <v>140.17560526979199</v>
      </c>
      <c r="I362" s="1">
        <f t="shared" si="11"/>
        <v>158.46152515026552</v>
      </c>
    </row>
    <row r="363" spans="1:9" x14ac:dyDescent="0.45">
      <c r="A363" t="s">
        <v>28</v>
      </c>
      <c r="B363" t="s">
        <v>12</v>
      </c>
      <c r="C363" t="str">
        <f t="shared" si="10"/>
        <v>HoustonArkansas</v>
      </c>
      <c r="D363" t="s">
        <v>28</v>
      </c>
      <c r="E363">
        <v>98.8</v>
      </c>
      <c r="F363">
        <v>-28.735849056603801</v>
      </c>
      <c r="G363">
        <v>-8014.4676041093799</v>
      </c>
      <c r="H363">
        <v>142.38319870564601</v>
      </c>
      <c r="I363" s="1">
        <f t="shared" si="11"/>
        <v>189.54683712486147</v>
      </c>
    </row>
    <row r="364" spans="1:9" x14ac:dyDescent="0.45">
      <c r="A364" t="s">
        <v>29</v>
      </c>
      <c r="B364" t="s">
        <v>12</v>
      </c>
      <c r="C364" t="str">
        <f t="shared" si="10"/>
        <v>IllinoisArkansas</v>
      </c>
      <c r="D364" t="s">
        <v>29</v>
      </c>
      <c r="E364">
        <v>88.9</v>
      </c>
      <c r="F364">
        <v>-13.626415094339601</v>
      </c>
      <c r="G364">
        <v>-799.41451512136996</v>
      </c>
      <c r="H364">
        <v>140.43344385958201</v>
      </c>
      <c r="I364" s="1">
        <f t="shared" si="11"/>
        <v>162.09217238473337</v>
      </c>
    </row>
    <row r="365" spans="1:9" x14ac:dyDescent="0.45">
      <c r="A365" t="s">
        <v>30</v>
      </c>
      <c r="B365" t="s">
        <v>12</v>
      </c>
      <c r="C365" t="str">
        <f t="shared" si="10"/>
        <v>Iowa St.Arkansas</v>
      </c>
      <c r="D365" t="s">
        <v>30</v>
      </c>
      <c r="E365">
        <v>94.4</v>
      </c>
      <c r="F365">
        <v>-18.5094339622642</v>
      </c>
      <c r="G365">
        <v>-1683.88492390704</v>
      </c>
      <c r="H365">
        <v>141.359712437941</v>
      </c>
      <c r="I365" s="1">
        <f t="shared" si="11"/>
        <v>175.13503945568735</v>
      </c>
    </row>
    <row r="366" spans="1:9" x14ac:dyDescent="0.45">
      <c r="A366" t="s">
        <v>31</v>
      </c>
      <c r="B366" t="s">
        <v>12</v>
      </c>
      <c r="C366" t="str">
        <f t="shared" si="10"/>
        <v>KansasArkansas</v>
      </c>
      <c r="D366" t="s">
        <v>31</v>
      </c>
      <c r="E366">
        <v>83</v>
      </c>
      <c r="F366">
        <v>-10.4075471698113</v>
      </c>
      <c r="G366">
        <v>-489.21630371525799</v>
      </c>
      <c r="H366">
        <v>140.31510272225199</v>
      </c>
      <c r="I366" s="1">
        <f t="shared" si="11"/>
        <v>160.42580070886859</v>
      </c>
    </row>
    <row r="367" spans="1:9" x14ac:dyDescent="0.45">
      <c r="A367" t="s">
        <v>32</v>
      </c>
      <c r="B367" t="s">
        <v>12</v>
      </c>
      <c r="C367" t="str">
        <f t="shared" si="10"/>
        <v>KentuckyArkansas</v>
      </c>
      <c r="D367" t="s">
        <v>32</v>
      </c>
      <c r="E367">
        <v>89.2</v>
      </c>
      <c r="F367">
        <v>-13.8339622641509</v>
      </c>
      <c r="G367">
        <v>-825.29703722592205</v>
      </c>
      <c r="H367">
        <v>140.262140322645</v>
      </c>
      <c r="I367" s="1">
        <f t="shared" si="11"/>
        <v>159.68003263039549</v>
      </c>
    </row>
    <row r="368" spans="1:9" x14ac:dyDescent="0.45">
      <c r="A368" t="s">
        <v>33</v>
      </c>
      <c r="B368" t="s">
        <v>12</v>
      </c>
      <c r="C368" t="str">
        <f t="shared" si="10"/>
        <v>LibertyArkansas</v>
      </c>
      <c r="D368" t="s">
        <v>12</v>
      </c>
      <c r="E368">
        <v>18.7</v>
      </c>
      <c r="F368">
        <v>9.6528301886792498</v>
      </c>
      <c r="G368">
        <v>436.06355618837699</v>
      </c>
      <c r="H368">
        <v>139.471076571043</v>
      </c>
      <c r="I368" s="1">
        <f t="shared" si="11"/>
        <v>148.54099628839379</v>
      </c>
    </row>
    <row r="369" spans="1:9" x14ac:dyDescent="0.45">
      <c r="A369" t="s">
        <v>34</v>
      </c>
      <c r="B369" t="s">
        <v>12</v>
      </c>
      <c r="C369" t="str">
        <f t="shared" si="10"/>
        <v>LipscombArkansas</v>
      </c>
      <c r="D369" t="s">
        <v>12</v>
      </c>
      <c r="E369">
        <v>15</v>
      </c>
      <c r="F369">
        <v>11.396226415094301</v>
      </c>
      <c r="G369">
        <v>568.82626531665403</v>
      </c>
      <c r="H369">
        <v>139.902996802301</v>
      </c>
      <c r="I369" s="1">
        <f t="shared" si="11"/>
        <v>154.62290200469729</v>
      </c>
    </row>
    <row r="370" spans="1:9" x14ac:dyDescent="0.45">
      <c r="A370" t="s">
        <v>35</v>
      </c>
      <c r="B370" t="s">
        <v>12</v>
      </c>
      <c r="C370" t="str">
        <f t="shared" si="10"/>
        <v>LouisvilleArkansas</v>
      </c>
      <c r="D370" t="s">
        <v>12</v>
      </c>
      <c r="E370">
        <v>30.9</v>
      </c>
      <c r="F370">
        <v>5.2867924528301904</v>
      </c>
      <c r="G370">
        <v>224.06105165958499</v>
      </c>
      <c r="H370">
        <v>139.18872011426899</v>
      </c>
      <c r="I370" s="1">
        <f t="shared" si="11"/>
        <v>144.56511087203489</v>
      </c>
    </row>
    <row r="371" spans="1:9" x14ac:dyDescent="0.45">
      <c r="A371" t="s">
        <v>36</v>
      </c>
      <c r="B371" t="s">
        <v>12</v>
      </c>
      <c r="C371" t="str">
        <f t="shared" si="10"/>
        <v>MarquetteArkansas</v>
      </c>
      <c r="D371" t="s">
        <v>36</v>
      </c>
      <c r="E371">
        <v>86.3</v>
      </c>
      <c r="F371">
        <v>-12.0566037735849</v>
      </c>
      <c r="G371">
        <v>-629.12803150883099</v>
      </c>
      <c r="H371">
        <v>140.52047674917401</v>
      </c>
      <c r="I371" s="1">
        <f t="shared" si="11"/>
        <v>163.3176899465625</v>
      </c>
    </row>
    <row r="372" spans="1:9" x14ac:dyDescent="0.45">
      <c r="A372" t="s">
        <v>37</v>
      </c>
      <c r="B372" t="s">
        <v>12</v>
      </c>
      <c r="C372" t="str">
        <f t="shared" si="10"/>
        <v>MarylandArkansas</v>
      </c>
      <c r="D372" t="s">
        <v>37</v>
      </c>
      <c r="E372">
        <v>81</v>
      </c>
      <c r="F372">
        <v>-9.5132075471698094</v>
      </c>
      <c r="G372">
        <v>-426.770781314202</v>
      </c>
      <c r="H372">
        <v>140.13041606085301</v>
      </c>
      <c r="I372" s="1">
        <f t="shared" si="11"/>
        <v>157.82521203439057</v>
      </c>
    </row>
    <row r="373" spans="1:9" x14ac:dyDescent="0.45">
      <c r="A373" t="s">
        <v>38</v>
      </c>
      <c r="B373" t="s">
        <v>12</v>
      </c>
      <c r="C373" t="str">
        <f t="shared" si="10"/>
        <v>McNeese St.Arkansas</v>
      </c>
      <c r="D373" t="s">
        <v>12</v>
      </c>
      <c r="E373">
        <v>43.2</v>
      </c>
      <c r="F373">
        <v>1.7962264150943399</v>
      </c>
      <c r="G373">
        <v>131.50869966354099</v>
      </c>
      <c r="H373">
        <v>139.96582767505399</v>
      </c>
      <c r="I373" s="1">
        <f t="shared" si="11"/>
        <v>155.5076288975398</v>
      </c>
    </row>
    <row r="374" spans="1:9" x14ac:dyDescent="0.45">
      <c r="A374" t="s">
        <v>39</v>
      </c>
      <c r="B374" t="s">
        <v>12</v>
      </c>
      <c r="C374" t="str">
        <f t="shared" si="10"/>
        <v>MemphisArkansas</v>
      </c>
      <c r="D374" t="s">
        <v>39</v>
      </c>
      <c r="E374">
        <v>68.599999999999994</v>
      </c>
      <c r="F374">
        <v>-5.1283018867924497</v>
      </c>
      <c r="G374">
        <v>-218.58893475739899</v>
      </c>
      <c r="H374">
        <v>139.108050873873</v>
      </c>
      <c r="I374" s="1">
        <f t="shared" si="11"/>
        <v>143.42920039878555</v>
      </c>
    </row>
    <row r="375" spans="1:9" x14ac:dyDescent="0.45">
      <c r="A375" t="s">
        <v>40</v>
      </c>
      <c r="B375" t="s">
        <v>12</v>
      </c>
      <c r="C375" t="str">
        <f t="shared" si="10"/>
        <v>MichiganArkansas</v>
      </c>
      <c r="D375" t="s">
        <v>40</v>
      </c>
      <c r="E375">
        <v>53.6</v>
      </c>
      <c r="F375">
        <v>-0.93962264150943398</v>
      </c>
      <c r="G375">
        <v>-115.387598339695</v>
      </c>
      <c r="H375">
        <v>138.764971958556</v>
      </c>
      <c r="I375" s="1">
        <f t="shared" si="11"/>
        <v>138.59827685039718</v>
      </c>
    </row>
    <row r="376" spans="1:9" x14ac:dyDescent="0.45">
      <c r="A376" t="s">
        <v>41</v>
      </c>
      <c r="B376" t="s">
        <v>12</v>
      </c>
      <c r="C376" t="str">
        <f t="shared" si="10"/>
        <v>Michigan St.Arkansas</v>
      </c>
      <c r="D376" t="s">
        <v>41</v>
      </c>
      <c r="E376">
        <v>91.7</v>
      </c>
      <c r="F376">
        <v>-15.7622641509434</v>
      </c>
      <c r="G376">
        <v>-1107.2175712488399</v>
      </c>
      <c r="H376">
        <v>140.46386391938501</v>
      </c>
      <c r="I376" s="1">
        <f t="shared" si="11"/>
        <v>162.52051984849365</v>
      </c>
    </row>
    <row r="377" spans="1:9" x14ac:dyDescent="0.45">
      <c r="A377" t="s">
        <v>42</v>
      </c>
      <c r="B377" t="s">
        <v>12</v>
      </c>
      <c r="C377" t="str">
        <f t="shared" si="10"/>
        <v>MississippiArkansas</v>
      </c>
      <c r="D377" t="s">
        <v>42</v>
      </c>
      <c r="E377">
        <v>74</v>
      </c>
      <c r="F377">
        <v>-6.8528301886792402</v>
      </c>
      <c r="G377">
        <v>-284.389841366094</v>
      </c>
      <c r="H377">
        <v>139.59478502447999</v>
      </c>
      <c r="I377" s="1">
        <f t="shared" si="11"/>
        <v>150.28294560140029</v>
      </c>
    </row>
    <row r="378" spans="1:9" x14ac:dyDescent="0.45">
      <c r="A378" t="s">
        <v>43</v>
      </c>
      <c r="B378" t="s">
        <v>12</v>
      </c>
      <c r="C378" t="str">
        <f t="shared" si="10"/>
        <v>Mississippi St.Arkansas</v>
      </c>
      <c r="D378" t="s">
        <v>43</v>
      </c>
      <c r="E378">
        <v>68.2</v>
      </c>
      <c r="F378">
        <v>-5.0037735849056597</v>
      </c>
      <c r="G378">
        <v>-214.49777768006001</v>
      </c>
      <c r="H378">
        <v>139.71915637826899</v>
      </c>
      <c r="I378" s="1">
        <f t="shared" si="11"/>
        <v>152.03422927095801</v>
      </c>
    </row>
    <row r="379" spans="1:9" x14ac:dyDescent="0.45">
      <c r="A379" t="s">
        <v>44</v>
      </c>
      <c r="B379" t="s">
        <v>12</v>
      </c>
      <c r="C379" t="str">
        <f t="shared" si="10"/>
        <v>MissouriArkansas</v>
      </c>
      <c r="D379" t="s">
        <v>12</v>
      </c>
      <c r="E379">
        <v>48.4</v>
      </c>
      <c r="F379">
        <v>0.41132075471698099</v>
      </c>
      <c r="G379">
        <v>106.45747077906999</v>
      </c>
      <c r="H379">
        <v>138.983628314443</v>
      </c>
      <c r="I379" s="1">
        <f t="shared" si="11"/>
        <v>141.67719569821753</v>
      </c>
    </row>
    <row r="380" spans="1:9" x14ac:dyDescent="0.45">
      <c r="A380" t="s">
        <v>45</v>
      </c>
      <c r="B380" t="s">
        <v>12</v>
      </c>
      <c r="C380" t="str">
        <f t="shared" si="10"/>
        <v>MontanaArkansas</v>
      </c>
      <c r="D380" t="s">
        <v>12</v>
      </c>
      <c r="E380">
        <v>8.4</v>
      </c>
      <c r="F380">
        <v>15.667924528301899</v>
      </c>
      <c r="G380">
        <v>1091.3604618223401</v>
      </c>
      <c r="H380">
        <v>138.292363039462</v>
      </c>
      <c r="I380" s="1">
        <f t="shared" si="11"/>
        <v>131.94343024077671</v>
      </c>
    </row>
    <row r="381" spans="1:9" x14ac:dyDescent="0.45">
      <c r="A381" t="s">
        <v>46</v>
      </c>
      <c r="B381" t="s">
        <v>12</v>
      </c>
      <c r="C381" t="str">
        <f t="shared" si="10"/>
        <v>Mount St. Mary'sArkansas</v>
      </c>
      <c r="D381" t="s">
        <v>12</v>
      </c>
      <c r="E381">
        <v>3.5</v>
      </c>
      <c r="F381">
        <v>21.784905660377401</v>
      </c>
      <c r="G381">
        <v>2774.39895276685</v>
      </c>
      <c r="H381">
        <v>139.640237261409</v>
      </c>
      <c r="I381" s="1">
        <f t="shared" si="11"/>
        <v>150.92296243689833</v>
      </c>
    </row>
    <row r="382" spans="1:9" x14ac:dyDescent="0.45">
      <c r="A382" t="s">
        <v>47</v>
      </c>
      <c r="B382" t="s">
        <v>12</v>
      </c>
      <c r="C382" t="str">
        <f t="shared" si="10"/>
        <v>Nebraska OmahaArkansas</v>
      </c>
      <c r="D382" t="s">
        <v>12</v>
      </c>
      <c r="E382">
        <v>4.5</v>
      </c>
      <c r="F382">
        <v>20.067924528301901</v>
      </c>
      <c r="G382">
        <v>2135.4949478174799</v>
      </c>
      <c r="H382">
        <v>138.92423844130801</v>
      </c>
      <c r="I382" s="1">
        <f t="shared" si="11"/>
        <v>140.84092181528737</v>
      </c>
    </row>
    <row r="383" spans="1:9" x14ac:dyDescent="0.45">
      <c r="A383" t="s">
        <v>48</v>
      </c>
      <c r="B383" t="s">
        <v>12</v>
      </c>
      <c r="C383" t="str">
        <f t="shared" si="10"/>
        <v>New MexicoArkansas</v>
      </c>
      <c r="D383" t="s">
        <v>48</v>
      </c>
      <c r="E383">
        <v>54.5</v>
      </c>
      <c r="F383">
        <v>-1.1811320754717001</v>
      </c>
      <c r="G383">
        <v>-119.711804858891</v>
      </c>
      <c r="H383">
        <v>139.80198278858401</v>
      </c>
      <c r="I383" s="1">
        <f t="shared" si="11"/>
        <v>153.20051503832909</v>
      </c>
    </row>
    <row r="384" spans="1:9" x14ac:dyDescent="0.45">
      <c r="A384" t="s">
        <v>49</v>
      </c>
      <c r="B384" t="s">
        <v>12</v>
      </c>
      <c r="C384" t="str">
        <f t="shared" si="10"/>
        <v>Norfolk St.Arkansas</v>
      </c>
      <c r="D384" t="s">
        <v>12</v>
      </c>
      <c r="E384">
        <v>6.4</v>
      </c>
      <c r="F384">
        <v>17.535849056603801</v>
      </c>
      <c r="G384">
        <v>1451.1620509135801</v>
      </c>
      <c r="H384">
        <v>138.814346450785</v>
      </c>
      <c r="I384" s="1">
        <f t="shared" si="11"/>
        <v>139.29352329822501</v>
      </c>
    </row>
    <row r="385" spans="1:9" x14ac:dyDescent="0.45">
      <c r="A385" t="s">
        <v>50</v>
      </c>
      <c r="B385" t="s">
        <v>12</v>
      </c>
      <c r="C385" t="str">
        <f t="shared" si="10"/>
        <v>North CarolinaArkansas</v>
      </c>
      <c r="D385" t="s">
        <v>50</v>
      </c>
      <c r="E385">
        <v>80.3</v>
      </c>
      <c r="F385">
        <v>-9.2188679245283005</v>
      </c>
      <c r="G385">
        <v>-408.15959617760598</v>
      </c>
      <c r="H385">
        <v>140.88627788274101</v>
      </c>
      <c r="I385" s="1">
        <f t="shared" si="11"/>
        <v>168.46856699344599</v>
      </c>
    </row>
    <row r="386" spans="1:9" x14ac:dyDescent="0.45">
      <c r="A386" t="s">
        <v>51</v>
      </c>
      <c r="B386" t="s">
        <v>12</v>
      </c>
      <c r="C386" t="str">
        <f t="shared" si="10"/>
        <v>OklahomaArkansas</v>
      </c>
      <c r="D386" t="s">
        <v>51</v>
      </c>
      <c r="E386">
        <v>57.2</v>
      </c>
      <c r="F386">
        <v>-1.91320754716981</v>
      </c>
      <c r="G386">
        <v>-133.912614611435</v>
      </c>
      <c r="H386">
        <v>139.22888117824601</v>
      </c>
      <c r="I386" s="1">
        <f t="shared" si="11"/>
        <v>145.13062224866866</v>
      </c>
    </row>
    <row r="387" spans="1:9" x14ac:dyDescent="0.45">
      <c r="A387" t="s">
        <v>52</v>
      </c>
      <c r="B387" t="s">
        <v>12</v>
      </c>
      <c r="C387" t="str">
        <f t="shared" ref="C387:C450" si="12">A387&amp;B387</f>
        <v>OregonArkansas</v>
      </c>
      <c r="D387" t="s">
        <v>52</v>
      </c>
      <c r="E387">
        <v>81.5</v>
      </c>
      <c r="F387">
        <v>-9.7396226415094294</v>
      </c>
      <c r="G387">
        <v>-441.82053402052298</v>
      </c>
      <c r="H387">
        <v>139.82325896638599</v>
      </c>
      <c r="I387" s="1">
        <f t="shared" ref="I387:I450" si="13">18*(H387-AVERAGE($H$2:$H$4625))/_xlfn.STDEV.P($H$2:$H$4625)+AVERAGE($H$2:$H$4625)</f>
        <v>153.50010671760296</v>
      </c>
    </row>
    <row r="388" spans="1:9" x14ac:dyDescent="0.45">
      <c r="A388" t="s">
        <v>53</v>
      </c>
      <c r="B388" t="s">
        <v>12</v>
      </c>
      <c r="C388" t="str">
        <f t="shared" si="12"/>
        <v>PurdueArkansas</v>
      </c>
      <c r="D388" t="s">
        <v>53</v>
      </c>
      <c r="E388">
        <v>95.9</v>
      </c>
      <c r="F388">
        <v>-20.649056603773602</v>
      </c>
      <c r="G388">
        <v>-2333.7458928498199</v>
      </c>
      <c r="H388">
        <v>141.17124629517599</v>
      </c>
      <c r="I388" s="1">
        <f t="shared" si="13"/>
        <v>172.48123158085434</v>
      </c>
    </row>
    <row r="389" spans="1:9" x14ac:dyDescent="0.45">
      <c r="A389" t="s">
        <v>54</v>
      </c>
      <c r="B389" t="s">
        <v>12</v>
      </c>
      <c r="C389" t="str">
        <f t="shared" si="12"/>
        <v>Robert MorrisArkansas</v>
      </c>
      <c r="D389" t="s">
        <v>12</v>
      </c>
      <c r="E389">
        <v>2.8</v>
      </c>
      <c r="F389">
        <v>23.294339622641498</v>
      </c>
      <c r="G389">
        <v>3492.4276253364801</v>
      </c>
      <c r="H389">
        <v>138.229883143938</v>
      </c>
      <c r="I389" s="1">
        <f t="shared" si="13"/>
        <v>131.06364548831274</v>
      </c>
    </row>
    <row r="390" spans="1:9" x14ac:dyDescent="0.45">
      <c r="A390" t="s">
        <v>55</v>
      </c>
      <c r="B390" t="s">
        <v>12</v>
      </c>
      <c r="C390" t="str">
        <f t="shared" si="12"/>
        <v>Saint FrancisArkansas</v>
      </c>
      <c r="D390" t="s">
        <v>12</v>
      </c>
      <c r="E390">
        <v>1.9</v>
      </c>
      <c r="F390">
        <v>26.018867924528301</v>
      </c>
      <c r="G390">
        <v>5293.4929048167196</v>
      </c>
      <c r="H390">
        <v>139.28273867714501</v>
      </c>
      <c r="I390" s="1">
        <f t="shared" si="13"/>
        <v>145.8889942968257</v>
      </c>
    </row>
    <row r="391" spans="1:9" x14ac:dyDescent="0.45">
      <c r="A391" t="s">
        <v>56</v>
      </c>
      <c r="B391" t="s">
        <v>12</v>
      </c>
      <c r="C391" t="str">
        <f t="shared" si="12"/>
        <v>Saint Mary'sArkansas</v>
      </c>
      <c r="D391" t="s">
        <v>56</v>
      </c>
      <c r="E391">
        <v>79</v>
      </c>
      <c r="F391">
        <v>-8.6981132075471699</v>
      </c>
      <c r="G391">
        <v>-376.82641599046599</v>
      </c>
      <c r="H391">
        <v>140.533993878236</v>
      </c>
      <c r="I391" s="1">
        <f t="shared" si="13"/>
        <v>163.50802579693632</v>
      </c>
    </row>
    <row r="392" spans="1:9" x14ac:dyDescent="0.45">
      <c r="A392" t="s">
        <v>57</v>
      </c>
      <c r="B392" t="s">
        <v>12</v>
      </c>
      <c r="C392" t="str">
        <f t="shared" si="12"/>
        <v>San Diego St.Arkansas</v>
      </c>
      <c r="D392" t="s">
        <v>57</v>
      </c>
      <c r="E392">
        <v>52.3</v>
      </c>
      <c r="F392">
        <v>-0.60377358490566002</v>
      </c>
      <c r="G392">
        <v>-109.64788367624401</v>
      </c>
      <c r="H392">
        <v>139.680248758033</v>
      </c>
      <c r="I392" s="1">
        <f t="shared" si="13"/>
        <v>151.48636774284248</v>
      </c>
    </row>
    <row r="393" spans="1:9" x14ac:dyDescent="0.45">
      <c r="A393" t="s">
        <v>58</v>
      </c>
      <c r="B393" t="s">
        <v>12</v>
      </c>
      <c r="C393" t="str">
        <f t="shared" si="12"/>
        <v>SIU EdwardsvilleArkansas</v>
      </c>
      <c r="D393" t="s">
        <v>12</v>
      </c>
      <c r="E393">
        <v>5.2</v>
      </c>
      <c r="F393">
        <v>18.996226415094299</v>
      </c>
      <c r="G393">
        <v>1812.91196451474</v>
      </c>
      <c r="H393">
        <v>139.82793652488201</v>
      </c>
      <c r="I393" s="1">
        <f t="shared" si="13"/>
        <v>153.56597181883333</v>
      </c>
    </row>
    <row r="394" spans="1:9" x14ac:dyDescent="0.45">
      <c r="A394" t="s">
        <v>59</v>
      </c>
      <c r="B394" t="s">
        <v>12</v>
      </c>
      <c r="C394" t="str">
        <f t="shared" si="12"/>
        <v>St. John'sArkansas</v>
      </c>
      <c r="D394" t="s">
        <v>59</v>
      </c>
      <c r="E394">
        <v>92.2</v>
      </c>
      <c r="F394">
        <v>-16.1622641509434</v>
      </c>
      <c r="G394">
        <v>-1177.1472502030299</v>
      </c>
      <c r="H394">
        <v>140.805619297427</v>
      </c>
      <c r="I394" s="1">
        <f t="shared" si="13"/>
        <v>167.33280655531726</v>
      </c>
    </row>
    <row r="395" spans="1:9" x14ac:dyDescent="0.45">
      <c r="A395" t="s">
        <v>60</v>
      </c>
      <c r="B395" t="s">
        <v>12</v>
      </c>
      <c r="C395" t="str">
        <f t="shared" si="12"/>
        <v>TennesseeArkansas</v>
      </c>
      <c r="D395" t="s">
        <v>60</v>
      </c>
      <c r="E395">
        <v>95.9</v>
      </c>
      <c r="F395">
        <v>-20.7094339622641</v>
      </c>
      <c r="G395">
        <v>-2354.8879136831101</v>
      </c>
      <c r="H395">
        <v>141.399602174118</v>
      </c>
      <c r="I395" s="1">
        <f t="shared" si="13"/>
        <v>175.69673024236374</v>
      </c>
    </row>
    <row r="396" spans="1:9" x14ac:dyDescent="0.45">
      <c r="A396" t="s">
        <v>61</v>
      </c>
      <c r="B396" t="s">
        <v>12</v>
      </c>
      <c r="C396" t="str">
        <f t="shared" si="12"/>
        <v>TexasArkansas</v>
      </c>
      <c r="D396" t="s">
        <v>12</v>
      </c>
      <c r="E396">
        <v>49.1</v>
      </c>
      <c r="F396">
        <v>0.245283018867925</v>
      </c>
      <c r="G396">
        <v>103.799789829972</v>
      </c>
      <c r="H396">
        <v>139.15531670518999</v>
      </c>
      <c r="I396" s="1">
        <f t="shared" si="13"/>
        <v>144.09475461196834</v>
      </c>
    </row>
    <row r="397" spans="1:9" x14ac:dyDescent="0.45">
      <c r="A397" t="s">
        <v>62</v>
      </c>
      <c r="B397" t="s">
        <v>12</v>
      </c>
      <c r="C397" t="str">
        <f t="shared" si="12"/>
        <v>Texas A&amp;MArkansas</v>
      </c>
      <c r="D397" t="s">
        <v>62</v>
      </c>
      <c r="E397">
        <v>84.8</v>
      </c>
      <c r="F397">
        <v>-11.2528301886792</v>
      </c>
      <c r="G397">
        <v>-556.42213585785498</v>
      </c>
      <c r="H397">
        <v>139.953115732783</v>
      </c>
      <c r="I397" s="1">
        <f t="shared" si="13"/>
        <v>155.32863095123378</v>
      </c>
    </row>
    <row r="398" spans="1:9" x14ac:dyDescent="0.45">
      <c r="A398" t="s">
        <v>63</v>
      </c>
      <c r="B398" t="s">
        <v>12</v>
      </c>
      <c r="C398" t="str">
        <f t="shared" si="12"/>
        <v>Texas TechArkansas</v>
      </c>
      <c r="D398" t="s">
        <v>63</v>
      </c>
      <c r="E398">
        <v>91.6</v>
      </c>
      <c r="F398">
        <v>-15.7018867924528</v>
      </c>
      <c r="G398">
        <v>-1097.28876349038</v>
      </c>
      <c r="H398">
        <v>140.992899851847</v>
      </c>
      <c r="I398" s="1">
        <f t="shared" si="13"/>
        <v>169.9699200592668</v>
      </c>
    </row>
    <row r="399" spans="1:9" x14ac:dyDescent="0.45">
      <c r="A399" t="s">
        <v>64</v>
      </c>
      <c r="B399" t="s">
        <v>12</v>
      </c>
      <c r="C399" t="str">
        <f t="shared" si="12"/>
        <v>TroyArkansas</v>
      </c>
      <c r="D399" t="s">
        <v>12</v>
      </c>
      <c r="E399">
        <v>13.4</v>
      </c>
      <c r="F399">
        <v>12.2452830188679</v>
      </c>
      <c r="G399">
        <v>647.35122336019197</v>
      </c>
      <c r="H399">
        <v>139.69646427157701</v>
      </c>
      <c r="I399" s="1">
        <f t="shared" si="13"/>
        <v>151.71469977588683</v>
      </c>
    </row>
    <row r="400" spans="1:9" x14ac:dyDescent="0.45">
      <c r="A400" t="s">
        <v>65</v>
      </c>
      <c r="B400" t="s">
        <v>12</v>
      </c>
      <c r="C400" t="str">
        <f t="shared" si="12"/>
        <v>UC San DiegoArkansas</v>
      </c>
      <c r="D400" t="s">
        <v>12</v>
      </c>
      <c r="E400">
        <v>28.3</v>
      </c>
      <c r="F400">
        <v>6.0830188679245296</v>
      </c>
      <c r="G400">
        <v>252.92618538815</v>
      </c>
      <c r="H400">
        <v>139.784586014968</v>
      </c>
      <c r="I400" s="1">
        <f t="shared" si="13"/>
        <v>152.95554958118367</v>
      </c>
    </row>
    <row r="401" spans="1:9" x14ac:dyDescent="0.45">
      <c r="A401" t="s">
        <v>66</v>
      </c>
      <c r="B401" t="s">
        <v>12</v>
      </c>
      <c r="C401" t="str">
        <f t="shared" si="12"/>
        <v>UCLAArkansas</v>
      </c>
      <c r="D401" t="s">
        <v>66</v>
      </c>
      <c r="E401">
        <v>61.1</v>
      </c>
      <c r="F401">
        <v>-2.9622641509433998</v>
      </c>
      <c r="G401">
        <v>-157.11185980558599</v>
      </c>
      <c r="H401">
        <v>139.256040528076</v>
      </c>
      <c r="I401" s="1">
        <f t="shared" si="13"/>
        <v>145.51305537642696</v>
      </c>
    </row>
    <row r="402" spans="1:9" x14ac:dyDescent="0.45">
      <c r="A402" t="s">
        <v>67</v>
      </c>
      <c r="B402" t="s">
        <v>12</v>
      </c>
      <c r="C402" t="str">
        <f t="shared" si="12"/>
        <v>UNC WilmingtonArkansas</v>
      </c>
      <c r="D402" t="s">
        <v>12</v>
      </c>
      <c r="E402">
        <v>19.100000000000001</v>
      </c>
      <c r="F402">
        <v>9.4452830188679293</v>
      </c>
      <c r="G402">
        <v>422.31060141709099</v>
      </c>
      <c r="H402">
        <v>140.371056201996</v>
      </c>
      <c r="I402" s="1">
        <f t="shared" si="13"/>
        <v>161.21368644256293</v>
      </c>
    </row>
    <row r="403" spans="1:9" x14ac:dyDescent="0.45">
      <c r="A403" t="s">
        <v>68</v>
      </c>
      <c r="B403" t="s">
        <v>12</v>
      </c>
      <c r="C403" t="str">
        <f t="shared" si="12"/>
        <v>Utah St.Arkansas</v>
      </c>
      <c r="D403" t="s">
        <v>68</v>
      </c>
      <c r="E403">
        <v>54.6</v>
      </c>
      <c r="F403">
        <v>-1.2</v>
      </c>
      <c r="G403">
        <v>-120.10111021600299</v>
      </c>
      <c r="H403">
        <v>139.742426605823</v>
      </c>
      <c r="I403" s="1">
        <f t="shared" si="13"/>
        <v>152.36189933533123</v>
      </c>
    </row>
    <row r="404" spans="1:9" x14ac:dyDescent="0.45">
      <c r="A404" t="s">
        <v>69</v>
      </c>
      <c r="B404" t="s">
        <v>12</v>
      </c>
      <c r="C404" t="str">
        <f t="shared" si="12"/>
        <v>VanderbiltArkansas</v>
      </c>
      <c r="D404" t="s">
        <v>12</v>
      </c>
      <c r="E404">
        <v>20.399999999999999</v>
      </c>
      <c r="F404">
        <v>8.9207547169811292</v>
      </c>
      <c r="G404">
        <v>389.98056768321999</v>
      </c>
      <c r="H404">
        <v>138.316997094421</v>
      </c>
      <c r="I404" s="1">
        <f t="shared" si="13"/>
        <v>132.29030447548084</v>
      </c>
    </row>
    <row r="405" spans="1:9" x14ac:dyDescent="0.45">
      <c r="A405" t="s">
        <v>70</v>
      </c>
      <c r="B405" t="s">
        <v>12</v>
      </c>
      <c r="C405" t="str">
        <f t="shared" si="12"/>
        <v>VCUArkansas</v>
      </c>
      <c r="D405" t="s">
        <v>12</v>
      </c>
      <c r="E405">
        <v>44</v>
      </c>
      <c r="F405">
        <v>1.5735849056603799</v>
      </c>
      <c r="G405">
        <v>127.148987070508</v>
      </c>
      <c r="H405">
        <v>140.16190825629701</v>
      </c>
      <c r="I405" s="1">
        <f t="shared" si="13"/>
        <v>158.26865633180626</v>
      </c>
    </row>
    <row r="406" spans="1:9" x14ac:dyDescent="0.45">
      <c r="A406" t="s">
        <v>71</v>
      </c>
      <c r="B406" t="s">
        <v>12</v>
      </c>
      <c r="C406" t="str">
        <f t="shared" si="12"/>
        <v>WisconsinArkansas</v>
      </c>
      <c r="D406" t="s">
        <v>71</v>
      </c>
      <c r="E406">
        <v>90.6</v>
      </c>
      <c r="F406">
        <v>-14.8867924528302</v>
      </c>
      <c r="G406">
        <v>-969.00925525799801</v>
      </c>
      <c r="H406">
        <v>140.96258711156401</v>
      </c>
      <c r="I406" s="1">
        <f t="shared" si="13"/>
        <v>169.54308377084612</v>
      </c>
    </row>
    <row r="407" spans="1:9" x14ac:dyDescent="0.45">
      <c r="A407" t="s">
        <v>80</v>
      </c>
      <c r="B407" t="s">
        <v>12</v>
      </c>
      <c r="C407" t="str">
        <f t="shared" si="12"/>
        <v>WoffordArkansas</v>
      </c>
      <c r="D407" t="s">
        <v>12</v>
      </c>
      <c r="E407">
        <v>7.5</v>
      </c>
      <c r="F407">
        <v>16.498113207547199</v>
      </c>
      <c r="G407">
        <v>1238.64586528982</v>
      </c>
      <c r="H407">
        <v>138.99204285065801</v>
      </c>
      <c r="I407" s="1">
        <f t="shared" si="13"/>
        <v>141.79568150231401</v>
      </c>
    </row>
    <row r="408" spans="1:9" x14ac:dyDescent="0.45">
      <c r="A408" t="s">
        <v>72</v>
      </c>
      <c r="B408" t="s">
        <v>12</v>
      </c>
      <c r="C408" t="str">
        <f t="shared" si="12"/>
        <v>XavierArkansas</v>
      </c>
      <c r="D408" t="s">
        <v>12</v>
      </c>
      <c r="E408">
        <v>43.7</v>
      </c>
      <c r="F408">
        <v>1.6490566037735801</v>
      </c>
      <c r="G408">
        <v>128.637506538591</v>
      </c>
      <c r="H408">
        <v>139.56795642080999</v>
      </c>
      <c r="I408" s="1">
        <f t="shared" si="13"/>
        <v>149.90516973860787</v>
      </c>
    </row>
    <row r="409" spans="1:9" x14ac:dyDescent="0.45">
      <c r="A409" t="s">
        <v>73</v>
      </c>
      <c r="B409" t="s">
        <v>12</v>
      </c>
      <c r="C409" t="str">
        <f t="shared" si="12"/>
        <v>YaleArkansas</v>
      </c>
      <c r="D409" t="s">
        <v>12</v>
      </c>
      <c r="E409">
        <v>30.3</v>
      </c>
      <c r="F409">
        <v>5.4754716981132097</v>
      </c>
      <c r="G409">
        <v>230.50438596369301</v>
      </c>
      <c r="H409">
        <v>140.36719105487299</v>
      </c>
      <c r="I409" s="1">
        <f t="shared" si="13"/>
        <v>161.15926097535731</v>
      </c>
    </row>
    <row r="410" spans="1:9" x14ac:dyDescent="0.45">
      <c r="A410" t="s">
        <v>7</v>
      </c>
      <c r="B410" t="s">
        <v>13</v>
      </c>
      <c r="C410" t="str">
        <f t="shared" si="12"/>
        <v>AkronAuburn</v>
      </c>
      <c r="D410" t="s">
        <v>13</v>
      </c>
      <c r="E410">
        <v>0.5</v>
      </c>
      <c r="F410">
        <v>34.913207547169797</v>
      </c>
      <c r="G410">
        <v>20557.706068895699</v>
      </c>
      <c r="H410">
        <v>136.010937105057</v>
      </c>
      <c r="I410" s="1">
        <f t="shared" si="13"/>
        <v>99.818476539563022</v>
      </c>
    </row>
    <row r="411" spans="1:9" x14ac:dyDescent="0.45">
      <c r="A411" t="s">
        <v>8</v>
      </c>
      <c r="B411" t="s">
        <v>13</v>
      </c>
      <c r="C411" t="str">
        <f t="shared" si="12"/>
        <v>AlabamaAuburn</v>
      </c>
      <c r="D411" t="s">
        <v>13</v>
      </c>
      <c r="E411">
        <v>26.3</v>
      </c>
      <c r="F411">
        <v>6.7396226415094302</v>
      </c>
      <c r="G411">
        <v>279.54451762758299</v>
      </c>
      <c r="H411">
        <v>137.759033117196</v>
      </c>
      <c r="I411" s="1">
        <f t="shared" si="13"/>
        <v>124.43356599232999</v>
      </c>
    </row>
    <row r="412" spans="1:9" x14ac:dyDescent="0.45">
      <c r="A412" t="s">
        <v>9</v>
      </c>
      <c r="B412" t="s">
        <v>13</v>
      </c>
      <c r="C412" t="str">
        <f t="shared" si="12"/>
        <v>Alabama St.Auburn</v>
      </c>
      <c r="D412" t="s">
        <v>13</v>
      </c>
      <c r="E412">
        <v>0.1</v>
      </c>
      <c r="F412">
        <v>47.052830188679302</v>
      </c>
      <c r="G412">
        <v>130990.071628148</v>
      </c>
      <c r="H412">
        <v>136.23777796087001</v>
      </c>
      <c r="I412" s="1">
        <f t="shared" si="13"/>
        <v>103.01264203082061</v>
      </c>
    </row>
    <row r="413" spans="1:9" x14ac:dyDescent="0.45">
      <c r="A413" t="s">
        <v>10</v>
      </c>
      <c r="B413" t="s">
        <v>13</v>
      </c>
      <c r="C413" t="str">
        <f t="shared" si="12"/>
        <v>AmericanAuburn</v>
      </c>
      <c r="D413" t="s">
        <v>13</v>
      </c>
      <c r="E413">
        <v>0.1</v>
      </c>
      <c r="F413">
        <v>45.788679245282999</v>
      </c>
      <c r="G413">
        <v>108029.100423304</v>
      </c>
      <c r="H413">
        <v>136.32886384247399</v>
      </c>
      <c r="I413" s="1">
        <f t="shared" si="13"/>
        <v>104.29523011980254</v>
      </c>
    </row>
    <row r="414" spans="1:9" x14ac:dyDescent="0.45">
      <c r="A414" t="s">
        <v>11</v>
      </c>
      <c r="B414" t="s">
        <v>13</v>
      </c>
      <c r="C414" t="str">
        <f t="shared" si="12"/>
        <v>ArizonaAuburn</v>
      </c>
      <c r="D414" t="s">
        <v>13</v>
      </c>
      <c r="E414">
        <v>20.3</v>
      </c>
      <c r="F414">
        <v>8.9811320754717006</v>
      </c>
      <c r="G414">
        <v>393.44967309066197</v>
      </c>
      <c r="H414">
        <v>137.52139193618601</v>
      </c>
      <c r="I414" s="1">
        <f t="shared" si="13"/>
        <v>121.08732019827632</v>
      </c>
    </row>
    <row r="415" spans="1:9" x14ac:dyDescent="0.45">
      <c r="A415" t="s">
        <v>12</v>
      </c>
      <c r="B415" t="s">
        <v>13</v>
      </c>
      <c r="C415" t="str">
        <f t="shared" si="12"/>
        <v>ArkansasAuburn</v>
      </c>
      <c r="D415" t="s">
        <v>13</v>
      </c>
      <c r="E415">
        <v>1.5</v>
      </c>
      <c r="F415">
        <v>27.373584905660401</v>
      </c>
      <c r="G415">
        <v>6506.9479003782599</v>
      </c>
      <c r="H415">
        <v>135.638995770044</v>
      </c>
      <c r="I415" s="1">
        <f t="shared" si="13"/>
        <v>94.581138790978088</v>
      </c>
    </row>
    <row r="416" spans="1:9" x14ac:dyDescent="0.45">
      <c r="A416" t="s">
        <v>13</v>
      </c>
      <c r="B416" t="s">
        <v>13</v>
      </c>
      <c r="C416" t="str">
        <f t="shared" si="12"/>
        <v>AuburnAuburn</v>
      </c>
      <c r="D416" t="s">
        <v>13</v>
      </c>
      <c r="E416">
        <v>41.2</v>
      </c>
      <c r="F416">
        <v>2.3283018867924499</v>
      </c>
      <c r="G416">
        <v>142.64273539779199</v>
      </c>
      <c r="H416">
        <v>138.77771517530499</v>
      </c>
      <c r="I416" s="1">
        <f t="shared" si="13"/>
        <v>138.77771517530277</v>
      </c>
    </row>
    <row r="417" spans="1:9" x14ac:dyDescent="0.45">
      <c r="A417" t="s">
        <v>14</v>
      </c>
      <c r="B417" t="s">
        <v>13</v>
      </c>
      <c r="C417" t="str">
        <f t="shared" si="12"/>
        <v>BaylorAuburn</v>
      </c>
      <c r="D417" t="s">
        <v>13</v>
      </c>
      <c r="E417">
        <v>6.9</v>
      </c>
      <c r="F417">
        <v>17.060377358490602</v>
      </c>
      <c r="G417">
        <v>1349.70034008624</v>
      </c>
      <c r="H417">
        <v>137.31271318802999</v>
      </c>
      <c r="I417" s="1">
        <f t="shared" si="13"/>
        <v>118.1488968982503</v>
      </c>
    </row>
    <row r="418" spans="1:9" x14ac:dyDescent="0.45">
      <c r="A418" t="s">
        <v>15</v>
      </c>
      <c r="B418" t="s">
        <v>13</v>
      </c>
      <c r="C418" t="str">
        <f t="shared" si="12"/>
        <v>BryantAuburn</v>
      </c>
      <c r="D418" t="s">
        <v>13</v>
      </c>
      <c r="E418">
        <v>0.3</v>
      </c>
      <c r="F418">
        <v>37.347169811320803</v>
      </c>
      <c r="G418">
        <v>29797.340389741999</v>
      </c>
      <c r="H418">
        <v>136.86171093792399</v>
      </c>
      <c r="I418" s="1">
        <f t="shared" si="13"/>
        <v>111.79829564255928</v>
      </c>
    </row>
    <row r="419" spans="1:9" x14ac:dyDescent="0.45">
      <c r="A419" t="s">
        <v>16</v>
      </c>
      <c r="B419" t="s">
        <v>13</v>
      </c>
      <c r="C419" t="str">
        <f t="shared" si="12"/>
        <v>BYUAuburn</v>
      </c>
      <c r="D419" t="s">
        <v>13</v>
      </c>
      <c r="E419">
        <v>8.3000000000000007</v>
      </c>
      <c r="F419">
        <v>15.7660377358491</v>
      </c>
      <c r="G419">
        <v>1107.9005404895299</v>
      </c>
      <c r="H419">
        <v>137.122231416148</v>
      </c>
      <c r="I419" s="1">
        <f t="shared" si="13"/>
        <v>115.46670677743447</v>
      </c>
    </row>
    <row r="420" spans="1:9" x14ac:dyDescent="0.45">
      <c r="A420" t="s">
        <v>17</v>
      </c>
      <c r="B420" t="s">
        <v>13</v>
      </c>
      <c r="C420" t="str">
        <f t="shared" si="12"/>
        <v>ClemsonAuburn</v>
      </c>
      <c r="D420" t="s">
        <v>13</v>
      </c>
      <c r="E420">
        <v>10.4</v>
      </c>
      <c r="F420">
        <v>14.1396226415094</v>
      </c>
      <c r="G420">
        <v>864.66772416948697</v>
      </c>
      <c r="H420">
        <v>137.344143272439</v>
      </c>
      <c r="I420" s="1">
        <f t="shared" si="13"/>
        <v>118.59146660487021</v>
      </c>
    </row>
    <row r="421" spans="1:9" x14ac:dyDescent="0.45">
      <c r="A421" t="s">
        <v>18</v>
      </c>
      <c r="B421" t="s">
        <v>13</v>
      </c>
      <c r="C421" t="str">
        <f t="shared" si="12"/>
        <v>Colorado St.Auburn</v>
      </c>
      <c r="D421" t="s">
        <v>13</v>
      </c>
      <c r="E421">
        <v>1.9</v>
      </c>
      <c r="F421">
        <v>25.981132075471699</v>
      </c>
      <c r="G421">
        <v>5262.4838758865799</v>
      </c>
      <c r="H421">
        <v>136.65153512054499</v>
      </c>
      <c r="I421" s="1">
        <f t="shared" si="13"/>
        <v>108.83879198276773</v>
      </c>
    </row>
    <row r="422" spans="1:9" x14ac:dyDescent="0.45">
      <c r="A422" t="s">
        <v>19</v>
      </c>
      <c r="B422" t="s">
        <v>13</v>
      </c>
      <c r="C422" t="str">
        <f t="shared" si="12"/>
        <v>ConnecticutAuburn</v>
      </c>
      <c r="D422" t="s">
        <v>13</v>
      </c>
      <c r="E422">
        <v>16.399999999999999</v>
      </c>
      <c r="F422">
        <v>10.679245283018901</v>
      </c>
      <c r="G422">
        <v>509.79284664909602</v>
      </c>
      <c r="H422">
        <v>137.287087022881</v>
      </c>
      <c r="I422" s="1">
        <f t="shared" si="13"/>
        <v>117.78805267511063</v>
      </c>
    </row>
    <row r="423" spans="1:9" x14ac:dyDescent="0.45">
      <c r="A423" t="s">
        <v>20</v>
      </c>
      <c r="B423" t="s">
        <v>13</v>
      </c>
      <c r="C423" t="str">
        <f t="shared" si="12"/>
        <v>CreightonAuburn</v>
      </c>
      <c r="D423" t="s">
        <v>13</v>
      </c>
      <c r="E423">
        <v>5.7</v>
      </c>
      <c r="F423">
        <v>18.3698113207547</v>
      </c>
      <c r="G423">
        <v>1648.06282940602</v>
      </c>
      <c r="H423">
        <v>136.760029385145</v>
      </c>
      <c r="I423" s="1">
        <f t="shared" si="13"/>
        <v>110.36650900156789</v>
      </c>
    </row>
    <row r="424" spans="1:9" x14ac:dyDescent="0.45">
      <c r="A424" t="s">
        <v>21</v>
      </c>
      <c r="B424" t="s">
        <v>13</v>
      </c>
      <c r="C424" t="str">
        <f t="shared" si="12"/>
        <v>DrakeAuburn</v>
      </c>
      <c r="D424" t="s">
        <v>13</v>
      </c>
      <c r="E424">
        <v>1.9</v>
      </c>
      <c r="F424">
        <v>26.030188679245299</v>
      </c>
      <c r="G424">
        <v>5303.3302902681498</v>
      </c>
      <c r="H424">
        <v>136.81349448929899</v>
      </c>
      <c r="I424" s="1">
        <f t="shared" si="13"/>
        <v>111.11935570576094</v>
      </c>
    </row>
    <row r="425" spans="1:9" x14ac:dyDescent="0.45">
      <c r="A425" t="s">
        <v>22</v>
      </c>
      <c r="B425" t="s">
        <v>13</v>
      </c>
      <c r="C425" t="str">
        <f t="shared" si="12"/>
        <v>DukeAuburn</v>
      </c>
      <c r="D425" t="s">
        <v>22</v>
      </c>
      <c r="E425">
        <v>50.7</v>
      </c>
      <c r="F425">
        <v>-0.18113207547169799</v>
      </c>
      <c r="G425">
        <v>-102.79210522004</v>
      </c>
      <c r="H425">
        <v>139.10081495075499</v>
      </c>
      <c r="I425" s="1">
        <f t="shared" si="13"/>
        <v>143.32731074650894</v>
      </c>
    </row>
    <row r="426" spans="1:9" x14ac:dyDescent="0.45">
      <c r="A426" t="s">
        <v>23</v>
      </c>
      <c r="B426" t="s">
        <v>13</v>
      </c>
      <c r="C426" t="str">
        <f t="shared" si="12"/>
        <v>FloridaAuburn</v>
      </c>
      <c r="D426" t="s">
        <v>13</v>
      </c>
      <c r="E426">
        <v>36.200000000000003</v>
      </c>
      <c r="F426">
        <v>3.7207547169811299</v>
      </c>
      <c r="G426">
        <v>176.35462949480601</v>
      </c>
      <c r="H426">
        <v>138.824571226697</v>
      </c>
      <c r="I426" s="1">
        <f t="shared" si="13"/>
        <v>139.43749924231551</v>
      </c>
    </row>
    <row r="427" spans="1:9" x14ac:dyDescent="0.45">
      <c r="A427" t="s">
        <v>24</v>
      </c>
      <c r="B427" t="s">
        <v>13</v>
      </c>
      <c r="C427" t="str">
        <f t="shared" si="12"/>
        <v>GeorgiaAuburn</v>
      </c>
      <c r="D427" t="s">
        <v>13</v>
      </c>
      <c r="E427">
        <v>2.1</v>
      </c>
      <c r="F427">
        <v>25.2264150943396</v>
      </c>
      <c r="G427">
        <v>4690.5265321255802</v>
      </c>
      <c r="H427">
        <v>135.966384751042</v>
      </c>
      <c r="I427" s="1">
        <f t="shared" si="13"/>
        <v>99.191131032339655</v>
      </c>
    </row>
    <row r="428" spans="1:9" x14ac:dyDescent="0.45">
      <c r="A428" t="s">
        <v>25</v>
      </c>
      <c r="B428" t="s">
        <v>13</v>
      </c>
      <c r="C428" t="str">
        <f t="shared" si="12"/>
        <v>GonzagaAuburn</v>
      </c>
      <c r="D428" t="s">
        <v>13</v>
      </c>
      <c r="E428">
        <v>10.7</v>
      </c>
      <c r="F428">
        <v>13.898113207547199</v>
      </c>
      <c r="G428">
        <v>833.29800046328103</v>
      </c>
      <c r="H428">
        <v>138.10402587057001</v>
      </c>
      <c r="I428" s="1">
        <f t="shared" si="13"/>
        <v>129.29143845808017</v>
      </c>
    </row>
    <row r="429" spans="1:9" x14ac:dyDescent="0.45">
      <c r="A429" t="s">
        <v>26</v>
      </c>
      <c r="B429" t="s">
        <v>13</v>
      </c>
      <c r="C429" t="str">
        <f t="shared" si="12"/>
        <v>Grand CanyonAuburn</v>
      </c>
      <c r="D429" t="s">
        <v>13</v>
      </c>
      <c r="E429">
        <v>1.2</v>
      </c>
      <c r="F429">
        <v>29.147169811320801</v>
      </c>
      <c r="G429">
        <v>8532.6304407329408</v>
      </c>
      <c r="H429">
        <v>136.75599411687401</v>
      </c>
      <c r="I429" s="1">
        <f t="shared" si="13"/>
        <v>110.30968804392785</v>
      </c>
    </row>
    <row r="430" spans="1:9" x14ac:dyDescent="0.45">
      <c r="A430" t="s">
        <v>27</v>
      </c>
      <c r="B430" t="s">
        <v>13</v>
      </c>
      <c r="C430" t="str">
        <f t="shared" si="12"/>
        <v>High PointAuburn</v>
      </c>
      <c r="D430" t="s">
        <v>13</v>
      </c>
      <c r="E430">
        <v>0.8</v>
      </c>
      <c r="F430">
        <v>31.920754716981101</v>
      </c>
      <c r="G430">
        <v>13024.438365801299</v>
      </c>
      <c r="H430">
        <v>137.03688586453001</v>
      </c>
      <c r="I430" s="1">
        <f t="shared" si="13"/>
        <v>114.26494876592685</v>
      </c>
    </row>
    <row r="431" spans="1:9" x14ac:dyDescent="0.45">
      <c r="A431" t="s">
        <v>28</v>
      </c>
      <c r="B431" t="s">
        <v>13</v>
      </c>
      <c r="C431" t="str">
        <f t="shared" si="12"/>
        <v>HoustonAuburn</v>
      </c>
      <c r="D431" t="s">
        <v>28</v>
      </c>
      <c r="E431">
        <v>63.7</v>
      </c>
      <c r="F431">
        <v>-3.6943396226415102</v>
      </c>
      <c r="G431">
        <v>-175.689985429373</v>
      </c>
      <c r="H431">
        <v>139.244479300384</v>
      </c>
      <c r="I431" s="1">
        <f t="shared" si="13"/>
        <v>145.3502607405224</v>
      </c>
    </row>
    <row r="432" spans="1:9" x14ac:dyDescent="0.45">
      <c r="A432" t="s">
        <v>29</v>
      </c>
      <c r="B432" t="s">
        <v>13</v>
      </c>
      <c r="C432" t="str">
        <f t="shared" si="12"/>
        <v>IllinoisAuburn</v>
      </c>
      <c r="D432" t="s">
        <v>13</v>
      </c>
      <c r="E432">
        <v>14.9</v>
      </c>
      <c r="F432">
        <v>11.4150943396226</v>
      </c>
      <c r="G432">
        <v>570.63136789631096</v>
      </c>
      <c r="H432">
        <v>137.294724454321</v>
      </c>
      <c r="I432" s="1">
        <f t="shared" si="13"/>
        <v>117.89559600040832</v>
      </c>
    </row>
    <row r="433" spans="1:9" x14ac:dyDescent="0.45">
      <c r="A433" t="s">
        <v>30</v>
      </c>
      <c r="B433" t="s">
        <v>13</v>
      </c>
      <c r="C433" t="str">
        <f t="shared" si="12"/>
        <v>Iowa St.Auburn</v>
      </c>
      <c r="D433" t="s">
        <v>13</v>
      </c>
      <c r="E433">
        <v>27</v>
      </c>
      <c r="F433">
        <v>6.5320754716981098</v>
      </c>
      <c r="G433">
        <v>270.90390311318998</v>
      </c>
      <c r="H433">
        <v>138.22099303267899</v>
      </c>
      <c r="I433" s="1">
        <f t="shared" si="13"/>
        <v>130.93846307134828</v>
      </c>
    </row>
    <row r="434" spans="1:9" x14ac:dyDescent="0.45">
      <c r="A434" t="s">
        <v>31</v>
      </c>
      <c r="B434" t="s">
        <v>13</v>
      </c>
      <c r="C434" t="str">
        <f t="shared" si="12"/>
        <v>KansasAuburn</v>
      </c>
      <c r="D434" t="s">
        <v>13</v>
      </c>
      <c r="E434">
        <v>9.6999999999999993</v>
      </c>
      <c r="F434">
        <v>14.6377358490566</v>
      </c>
      <c r="G434">
        <v>932.45256712740604</v>
      </c>
      <c r="H434">
        <v>137.17638331699101</v>
      </c>
      <c r="I434" s="1">
        <f t="shared" si="13"/>
        <v>116.22922432454394</v>
      </c>
    </row>
    <row r="435" spans="1:9" x14ac:dyDescent="0.45">
      <c r="A435" t="s">
        <v>32</v>
      </c>
      <c r="B435" t="s">
        <v>13</v>
      </c>
      <c r="C435" t="str">
        <f t="shared" si="12"/>
        <v>KentuckyAuburn</v>
      </c>
      <c r="D435" t="s">
        <v>13</v>
      </c>
      <c r="E435">
        <v>15.3</v>
      </c>
      <c r="F435">
        <v>11.207547169811299</v>
      </c>
      <c r="G435">
        <v>552.73553363671999</v>
      </c>
      <c r="H435">
        <v>137.12342091738299</v>
      </c>
      <c r="I435" s="1">
        <f t="shared" si="13"/>
        <v>115.48345624605641</v>
      </c>
    </row>
    <row r="436" spans="1:9" x14ac:dyDescent="0.45">
      <c r="A436" t="s">
        <v>33</v>
      </c>
      <c r="B436" t="s">
        <v>13</v>
      </c>
      <c r="C436" t="str">
        <f t="shared" si="12"/>
        <v>LibertyAuburn</v>
      </c>
      <c r="D436" t="s">
        <v>13</v>
      </c>
      <c r="E436">
        <v>0.5</v>
      </c>
      <c r="F436">
        <v>34.698113207547202</v>
      </c>
      <c r="G436">
        <v>19891.954773992398</v>
      </c>
      <c r="H436">
        <v>136.33235716578201</v>
      </c>
      <c r="I436" s="1">
        <f t="shared" si="13"/>
        <v>104.34441990406913</v>
      </c>
    </row>
    <row r="437" spans="1:9" x14ac:dyDescent="0.45">
      <c r="A437" t="s">
        <v>34</v>
      </c>
      <c r="B437" t="s">
        <v>13</v>
      </c>
      <c r="C437" t="str">
        <f t="shared" si="12"/>
        <v>LipscombAuburn</v>
      </c>
      <c r="D437" t="s">
        <v>13</v>
      </c>
      <c r="E437">
        <v>0.4</v>
      </c>
      <c r="F437">
        <v>36.437735849056601</v>
      </c>
      <c r="G437">
        <v>25948.204529731</v>
      </c>
      <c r="H437">
        <v>136.76427739703999</v>
      </c>
      <c r="I437" s="1">
        <f t="shared" si="13"/>
        <v>110.42632562037224</v>
      </c>
    </row>
    <row r="438" spans="1:9" x14ac:dyDescent="0.45">
      <c r="A438" t="s">
        <v>35</v>
      </c>
      <c r="B438" t="s">
        <v>13</v>
      </c>
      <c r="C438" t="str">
        <f t="shared" si="12"/>
        <v>LouisvilleAuburn</v>
      </c>
      <c r="D438" t="s">
        <v>13</v>
      </c>
      <c r="E438">
        <v>1</v>
      </c>
      <c r="F438">
        <v>30.332075471698101</v>
      </c>
      <c r="G438">
        <v>10221.0153611191</v>
      </c>
      <c r="H438">
        <v>136.050000709008</v>
      </c>
      <c r="I438" s="1">
        <f t="shared" si="13"/>
        <v>100.36853448771022</v>
      </c>
    </row>
    <row r="439" spans="1:9" x14ac:dyDescent="0.45">
      <c r="A439" t="s">
        <v>36</v>
      </c>
      <c r="B439" t="s">
        <v>13</v>
      </c>
      <c r="C439" t="str">
        <f t="shared" si="12"/>
        <v>MarquetteAuburn</v>
      </c>
      <c r="D439" t="s">
        <v>13</v>
      </c>
      <c r="E439">
        <v>12.1</v>
      </c>
      <c r="F439">
        <v>12.988679245283</v>
      </c>
      <c r="G439">
        <v>725.084522439485</v>
      </c>
      <c r="H439">
        <v>137.38175734391299</v>
      </c>
      <c r="I439" s="1">
        <f t="shared" si="13"/>
        <v>119.12111356223743</v>
      </c>
    </row>
    <row r="440" spans="1:9" x14ac:dyDescent="0.45">
      <c r="A440" t="s">
        <v>37</v>
      </c>
      <c r="B440" t="s">
        <v>13</v>
      </c>
      <c r="C440" t="str">
        <f t="shared" si="12"/>
        <v>MarylandAuburn</v>
      </c>
      <c r="D440" t="s">
        <v>13</v>
      </c>
      <c r="E440">
        <v>8.6</v>
      </c>
      <c r="F440">
        <v>15.5320754716981</v>
      </c>
      <c r="G440">
        <v>1068.88994807737</v>
      </c>
      <c r="H440">
        <v>136.99169665559199</v>
      </c>
      <c r="I440" s="1">
        <f t="shared" si="13"/>
        <v>113.6286356500655</v>
      </c>
    </row>
    <row r="441" spans="1:9" x14ac:dyDescent="0.45">
      <c r="A441" t="s">
        <v>38</v>
      </c>
      <c r="B441" t="s">
        <v>13</v>
      </c>
      <c r="C441" t="str">
        <f t="shared" si="12"/>
        <v>McNeese St.Auburn</v>
      </c>
      <c r="D441" t="s">
        <v>13</v>
      </c>
      <c r="E441">
        <v>1.6</v>
      </c>
      <c r="F441">
        <v>26.8377358490566</v>
      </c>
      <c r="G441">
        <v>5999.0454808005597</v>
      </c>
      <c r="H441">
        <v>136.827108269793</v>
      </c>
      <c r="I441" s="1">
        <f t="shared" si="13"/>
        <v>111.31105251321513</v>
      </c>
    </row>
    <row r="442" spans="1:9" x14ac:dyDescent="0.45">
      <c r="A442" t="s">
        <v>39</v>
      </c>
      <c r="B442" t="s">
        <v>13</v>
      </c>
      <c r="C442" t="str">
        <f t="shared" si="12"/>
        <v>MemphisAuburn</v>
      </c>
      <c r="D442" t="s">
        <v>13</v>
      </c>
      <c r="E442">
        <v>4.5999999999999996</v>
      </c>
      <c r="F442">
        <v>19.916981132075499</v>
      </c>
      <c r="G442">
        <v>2086.8897082377698</v>
      </c>
      <c r="H442">
        <v>135.96933146861099</v>
      </c>
      <c r="I442" s="1">
        <f t="shared" si="13"/>
        <v>99.232624014446486</v>
      </c>
    </row>
    <row r="443" spans="1:9" x14ac:dyDescent="0.45">
      <c r="A443" t="s">
        <v>40</v>
      </c>
      <c r="B443" t="s">
        <v>13</v>
      </c>
      <c r="C443" t="str">
        <f t="shared" si="12"/>
        <v>MichiganAuburn</v>
      </c>
      <c r="D443" t="s">
        <v>13</v>
      </c>
      <c r="E443">
        <v>2.5</v>
      </c>
      <c r="F443">
        <v>24.1056603773585</v>
      </c>
      <c r="G443">
        <v>3953.3797812216399</v>
      </c>
      <c r="H443">
        <v>135.62625255329499</v>
      </c>
      <c r="I443" s="1">
        <f t="shared" si="13"/>
        <v>94.401700466072128</v>
      </c>
    </row>
    <row r="444" spans="1:9" x14ac:dyDescent="0.45">
      <c r="A444" t="s">
        <v>41</v>
      </c>
      <c r="B444" t="s">
        <v>13</v>
      </c>
      <c r="C444" t="str">
        <f t="shared" si="12"/>
        <v>Michigan St.Auburn</v>
      </c>
      <c r="D444" t="s">
        <v>13</v>
      </c>
      <c r="E444">
        <v>19.5</v>
      </c>
      <c r="F444">
        <v>9.2830188679245307</v>
      </c>
      <c r="G444">
        <v>411.99761467419103</v>
      </c>
      <c r="H444">
        <v>137.32514451412399</v>
      </c>
      <c r="I444" s="1">
        <f t="shared" si="13"/>
        <v>118.32394346416859</v>
      </c>
    </row>
    <row r="445" spans="1:9" x14ac:dyDescent="0.45">
      <c r="A445" t="s">
        <v>42</v>
      </c>
      <c r="B445" t="s">
        <v>13</v>
      </c>
      <c r="C445" t="str">
        <f t="shared" si="12"/>
        <v>MississippiAuburn</v>
      </c>
      <c r="D445" t="s">
        <v>13</v>
      </c>
      <c r="E445">
        <v>5.9</v>
      </c>
      <c r="F445">
        <v>18.192452830188699</v>
      </c>
      <c r="G445">
        <v>1604.03408254181</v>
      </c>
      <c r="H445">
        <v>136.45606561921801</v>
      </c>
      <c r="I445" s="1">
        <f t="shared" si="13"/>
        <v>106.08636921706163</v>
      </c>
    </row>
    <row r="446" spans="1:9" x14ac:dyDescent="0.45">
      <c r="A446" t="s">
        <v>43</v>
      </c>
      <c r="B446" t="s">
        <v>13</v>
      </c>
      <c r="C446" t="str">
        <f t="shared" si="12"/>
        <v>Mississippi St.Auburn</v>
      </c>
      <c r="D446" t="s">
        <v>13</v>
      </c>
      <c r="E446">
        <v>4.5</v>
      </c>
      <c r="F446">
        <v>20.0415094339623</v>
      </c>
      <c r="G446">
        <v>2126.6933541861099</v>
      </c>
      <c r="H446">
        <v>136.58043697300701</v>
      </c>
      <c r="I446" s="1">
        <f t="shared" si="13"/>
        <v>107.83765288661935</v>
      </c>
    </row>
    <row r="447" spans="1:9" x14ac:dyDescent="0.45">
      <c r="A447" t="s">
        <v>44</v>
      </c>
      <c r="B447" t="s">
        <v>13</v>
      </c>
      <c r="C447" t="str">
        <f t="shared" si="12"/>
        <v>MissouriAuburn</v>
      </c>
      <c r="D447" t="s">
        <v>13</v>
      </c>
      <c r="E447">
        <v>2</v>
      </c>
      <c r="F447">
        <v>25.452830188679201</v>
      </c>
      <c r="G447">
        <v>4856.2810719639101</v>
      </c>
      <c r="H447">
        <v>135.84490890918099</v>
      </c>
      <c r="I447" s="1">
        <f t="shared" si="13"/>
        <v>97.480619313878478</v>
      </c>
    </row>
    <row r="448" spans="1:9" x14ac:dyDescent="0.45">
      <c r="A448" t="s">
        <v>45</v>
      </c>
      <c r="B448" t="s">
        <v>13</v>
      </c>
      <c r="C448" t="str">
        <f t="shared" si="12"/>
        <v>MontanaAuburn</v>
      </c>
      <c r="D448" t="s">
        <v>13</v>
      </c>
      <c r="E448">
        <v>0.2</v>
      </c>
      <c r="F448">
        <v>40.7094339622641</v>
      </c>
      <c r="G448">
        <v>49784.699135267998</v>
      </c>
      <c r="H448">
        <v>135.15364363419999</v>
      </c>
      <c r="I448" s="1">
        <f t="shared" si="13"/>
        <v>87.746853856437639</v>
      </c>
    </row>
    <row r="449" spans="1:9" x14ac:dyDescent="0.45">
      <c r="A449" t="s">
        <v>46</v>
      </c>
      <c r="B449" t="s">
        <v>13</v>
      </c>
      <c r="C449" t="str">
        <f t="shared" si="12"/>
        <v>Mount St. Mary'sAuburn</v>
      </c>
      <c r="D449" t="s">
        <v>13</v>
      </c>
      <c r="E449">
        <v>0.1</v>
      </c>
      <c r="F449">
        <v>46.826415094339602</v>
      </c>
      <c r="G449">
        <v>126560.03399102901</v>
      </c>
      <c r="H449">
        <v>136.50151785614699</v>
      </c>
      <c r="I449" s="1">
        <f t="shared" si="13"/>
        <v>106.72638605255925</v>
      </c>
    </row>
    <row r="450" spans="1:9" x14ac:dyDescent="0.45">
      <c r="A450" t="s">
        <v>47</v>
      </c>
      <c r="B450" t="s">
        <v>13</v>
      </c>
      <c r="C450" t="str">
        <f t="shared" si="12"/>
        <v>Nebraska OmahaAuburn</v>
      </c>
      <c r="D450" t="s">
        <v>13</v>
      </c>
      <c r="E450">
        <v>0.1</v>
      </c>
      <c r="F450">
        <v>45.1132075471698</v>
      </c>
      <c r="G450">
        <v>97415.086216752607</v>
      </c>
      <c r="H450">
        <v>135.78551903604699</v>
      </c>
      <c r="I450" s="1">
        <f t="shared" si="13"/>
        <v>96.644345430962289</v>
      </c>
    </row>
    <row r="451" spans="1:9" x14ac:dyDescent="0.45">
      <c r="A451" t="s">
        <v>48</v>
      </c>
      <c r="B451" t="s">
        <v>13</v>
      </c>
      <c r="C451" t="str">
        <f t="shared" ref="C451:C514" si="14">A451&amp;B451</f>
        <v>New MexicoAuburn</v>
      </c>
      <c r="D451" t="s">
        <v>13</v>
      </c>
      <c r="E451">
        <v>2.6</v>
      </c>
      <c r="F451">
        <v>23.864150943396201</v>
      </c>
      <c r="G451">
        <v>3810.5765660920501</v>
      </c>
      <c r="H451">
        <v>136.663263383323</v>
      </c>
      <c r="I451" s="1">
        <f t="shared" ref="I451:I514" si="15">18*(H451-AVERAGE($H$2:$H$4625))/_xlfn.STDEV.P($H$2:$H$4625)+AVERAGE($H$2:$H$4625)</f>
        <v>109.00393865400403</v>
      </c>
    </row>
    <row r="452" spans="1:9" x14ac:dyDescent="0.45">
      <c r="A452" t="s">
        <v>49</v>
      </c>
      <c r="B452" t="s">
        <v>13</v>
      </c>
      <c r="C452" t="str">
        <f t="shared" si="14"/>
        <v>Norfolk St.Auburn</v>
      </c>
      <c r="D452" t="s">
        <v>13</v>
      </c>
      <c r="E452">
        <v>0.2</v>
      </c>
      <c r="F452">
        <v>42.577358490565999</v>
      </c>
      <c r="G452">
        <v>66197.804143111702</v>
      </c>
      <c r="H452">
        <v>135.67562704552401</v>
      </c>
      <c r="I452" s="1">
        <f t="shared" si="15"/>
        <v>95.096946913900325</v>
      </c>
    </row>
    <row r="453" spans="1:9" x14ac:dyDescent="0.45">
      <c r="A453" t="s">
        <v>50</v>
      </c>
      <c r="B453" t="s">
        <v>13</v>
      </c>
      <c r="C453" t="str">
        <f t="shared" si="14"/>
        <v>North CarolinaAuburn</v>
      </c>
      <c r="D453" t="s">
        <v>13</v>
      </c>
      <c r="E453">
        <v>8.1999999999999993</v>
      </c>
      <c r="F453">
        <v>15.822641509434</v>
      </c>
      <c r="G453">
        <v>1117.6289925604899</v>
      </c>
      <c r="H453">
        <v>137.74755847748</v>
      </c>
      <c r="I453" s="1">
        <f t="shared" si="15"/>
        <v>124.27199060912092</v>
      </c>
    </row>
    <row r="454" spans="1:9" x14ac:dyDescent="0.45">
      <c r="A454" t="s">
        <v>51</v>
      </c>
      <c r="B454" t="s">
        <v>13</v>
      </c>
      <c r="C454" t="str">
        <f t="shared" si="14"/>
        <v>OklahomaAuburn</v>
      </c>
      <c r="D454" t="s">
        <v>13</v>
      </c>
      <c r="E454">
        <v>2.9</v>
      </c>
      <c r="F454">
        <v>23.128301886792499</v>
      </c>
      <c r="G454">
        <v>3406.48264992445</v>
      </c>
      <c r="H454">
        <v>136.090161772985</v>
      </c>
      <c r="I454" s="1">
        <f t="shared" si="15"/>
        <v>100.9340458643436</v>
      </c>
    </row>
    <row r="455" spans="1:9" x14ac:dyDescent="0.45">
      <c r="A455" t="s">
        <v>52</v>
      </c>
      <c r="B455" t="s">
        <v>13</v>
      </c>
      <c r="C455" t="str">
        <f t="shared" si="14"/>
        <v>OregonAuburn</v>
      </c>
      <c r="D455" t="s">
        <v>13</v>
      </c>
      <c r="E455">
        <v>8.8000000000000007</v>
      </c>
      <c r="F455">
        <v>15.3056603773585</v>
      </c>
      <c r="G455">
        <v>1032.4803017387201</v>
      </c>
      <c r="H455">
        <v>136.68453956112501</v>
      </c>
      <c r="I455" s="1">
        <f t="shared" si="15"/>
        <v>109.3035303332783</v>
      </c>
    </row>
    <row r="456" spans="1:9" x14ac:dyDescent="0.45">
      <c r="A456" t="s">
        <v>53</v>
      </c>
      <c r="B456" t="s">
        <v>13</v>
      </c>
      <c r="C456" t="str">
        <f t="shared" si="14"/>
        <v>PurdueAuburn</v>
      </c>
      <c r="D456" t="s">
        <v>13</v>
      </c>
      <c r="E456">
        <v>33.799999999999997</v>
      </c>
      <c r="F456">
        <v>4.39245283018868</v>
      </c>
      <c r="G456">
        <v>195.467295594392</v>
      </c>
      <c r="H456">
        <v>138.03252688991401</v>
      </c>
      <c r="I456" s="1">
        <f t="shared" si="15"/>
        <v>128.2846551965157</v>
      </c>
    </row>
    <row r="457" spans="1:9" x14ac:dyDescent="0.45">
      <c r="A457" t="s">
        <v>54</v>
      </c>
      <c r="B457" t="s">
        <v>13</v>
      </c>
      <c r="C457" t="str">
        <f t="shared" si="14"/>
        <v>Robert MorrisAuburn</v>
      </c>
      <c r="D457" t="s">
        <v>13</v>
      </c>
      <c r="E457">
        <v>0.1</v>
      </c>
      <c r="F457">
        <v>48.335849056603799</v>
      </c>
      <c r="G457">
        <v>159314.41962699499</v>
      </c>
      <c r="H457">
        <v>135.09116373867701</v>
      </c>
      <c r="I457" s="1">
        <f t="shared" si="15"/>
        <v>86.867069103988086</v>
      </c>
    </row>
    <row r="458" spans="1:9" x14ac:dyDescent="0.45">
      <c r="A458" t="s">
        <v>55</v>
      </c>
      <c r="B458" t="s">
        <v>13</v>
      </c>
      <c r="C458" t="str">
        <f t="shared" si="14"/>
        <v>Saint FrancisAuburn</v>
      </c>
      <c r="D458" t="s">
        <v>13</v>
      </c>
      <c r="E458">
        <v>0</v>
      </c>
      <c r="F458">
        <v>51.060377358490598</v>
      </c>
      <c r="G458">
        <v>241473.79427776701</v>
      </c>
      <c r="H458">
        <v>136.14401927188399</v>
      </c>
      <c r="I458" s="1">
        <f t="shared" si="15"/>
        <v>101.69241791250063</v>
      </c>
    </row>
    <row r="459" spans="1:9" x14ac:dyDescent="0.45">
      <c r="A459" t="s">
        <v>56</v>
      </c>
      <c r="B459" t="s">
        <v>13</v>
      </c>
      <c r="C459" t="str">
        <f t="shared" si="14"/>
        <v>Saint Mary'sAuburn</v>
      </c>
      <c r="D459" t="s">
        <v>13</v>
      </c>
      <c r="E459">
        <v>7.6</v>
      </c>
      <c r="F459">
        <v>16.3471698113208</v>
      </c>
      <c r="G459">
        <v>1210.56003221233</v>
      </c>
      <c r="H459">
        <v>137.39527447297399</v>
      </c>
      <c r="I459" s="1">
        <f t="shared" si="15"/>
        <v>119.31144941259726</v>
      </c>
    </row>
    <row r="460" spans="1:9" x14ac:dyDescent="0.45">
      <c r="A460" t="s">
        <v>57</v>
      </c>
      <c r="B460" t="s">
        <v>13</v>
      </c>
      <c r="C460" t="str">
        <f t="shared" si="14"/>
        <v>San Diego St.Auburn</v>
      </c>
      <c r="D460" t="s">
        <v>13</v>
      </c>
      <c r="E460">
        <v>2.2999999999999998</v>
      </c>
      <c r="F460">
        <v>24.441509433962299</v>
      </c>
      <c r="G460">
        <v>4160.3265196326602</v>
      </c>
      <c r="H460">
        <v>136.54152935277199</v>
      </c>
      <c r="I460" s="1">
        <f t="shared" si="15"/>
        <v>107.28979135851742</v>
      </c>
    </row>
    <row r="461" spans="1:9" x14ac:dyDescent="0.45">
      <c r="A461" t="s">
        <v>58</v>
      </c>
      <c r="B461" t="s">
        <v>13</v>
      </c>
      <c r="C461" t="str">
        <f t="shared" si="14"/>
        <v>SIU EdwardsvilleAuburn</v>
      </c>
      <c r="D461" t="s">
        <v>13</v>
      </c>
      <c r="E461">
        <v>0.1</v>
      </c>
      <c r="F461">
        <v>44.037735849056602</v>
      </c>
      <c r="G461">
        <v>82699.7860646216</v>
      </c>
      <c r="H461">
        <v>136.68921711962099</v>
      </c>
      <c r="I461" s="1">
        <f t="shared" si="15"/>
        <v>109.36939543450826</v>
      </c>
    </row>
    <row r="462" spans="1:9" x14ac:dyDescent="0.45">
      <c r="A462" t="s">
        <v>59</v>
      </c>
      <c r="B462" t="s">
        <v>13</v>
      </c>
      <c r="C462" t="str">
        <f t="shared" si="14"/>
        <v>St. John'sAuburn</v>
      </c>
      <c r="D462" t="s">
        <v>13</v>
      </c>
      <c r="E462">
        <v>20.5</v>
      </c>
      <c r="F462">
        <v>8.8792452830188697</v>
      </c>
      <c r="G462">
        <v>387.52246008406598</v>
      </c>
      <c r="H462">
        <v>137.66689989216499</v>
      </c>
      <c r="I462" s="1">
        <f t="shared" si="15"/>
        <v>123.13623017097821</v>
      </c>
    </row>
    <row r="463" spans="1:9" x14ac:dyDescent="0.45">
      <c r="A463" t="s">
        <v>60</v>
      </c>
      <c r="B463" t="s">
        <v>13</v>
      </c>
      <c r="C463" t="str">
        <f t="shared" si="14"/>
        <v>TennesseeAuburn</v>
      </c>
      <c r="D463" t="s">
        <v>13</v>
      </c>
      <c r="E463">
        <v>34</v>
      </c>
      <c r="F463">
        <v>4.3358490566037702</v>
      </c>
      <c r="G463">
        <v>193.712403732376</v>
      </c>
      <c r="H463">
        <v>138.26088276885599</v>
      </c>
      <c r="I463" s="1">
        <f t="shared" si="15"/>
        <v>131.50015385802467</v>
      </c>
    </row>
    <row r="464" spans="1:9" x14ac:dyDescent="0.45">
      <c r="A464" t="s">
        <v>61</v>
      </c>
      <c r="B464" t="s">
        <v>13</v>
      </c>
      <c r="C464" t="str">
        <f t="shared" si="14"/>
        <v>TexasAuburn</v>
      </c>
      <c r="D464" t="s">
        <v>13</v>
      </c>
      <c r="E464">
        <v>2.1</v>
      </c>
      <c r="F464">
        <v>25.286792452830198</v>
      </c>
      <c r="G464">
        <v>4735.04537479792</v>
      </c>
      <c r="H464">
        <v>136.01659729992801</v>
      </c>
      <c r="I464" s="1">
        <f t="shared" si="15"/>
        <v>99.898178227629671</v>
      </c>
    </row>
    <row r="465" spans="1:9" x14ac:dyDescent="0.45">
      <c r="A465" t="s">
        <v>62</v>
      </c>
      <c r="B465" t="s">
        <v>13</v>
      </c>
      <c r="C465" t="str">
        <f t="shared" si="14"/>
        <v>Texas A&amp;MAuburn</v>
      </c>
      <c r="D465" t="s">
        <v>13</v>
      </c>
      <c r="E465">
        <v>10.9</v>
      </c>
      <c r="F465">
        <v>13.792452830188701</v>
      </c>
      <c r="G465">
        <v>819.82899112483994</v>
      </c>
      <c r="H465">
        <v>136.81439632752199</v>
      </c>
      <c r="I465" s="1">
        <f t="shared" si="15"/>
        <v>111.13205456690869</v>
      </c>
    </row>
    <row r="466" spans="1:9" x14ac:dyDescent="0.45">
      <c r="A466" t="s">
        <v>63</v>
      </c>
      <c r="B466" t="s">
        <v>13</v>
      </c>
      <c r="C466" t="str">
        <f t="shared" si="14"/>
        <v>Texas TechAuburn</v>
      </c>
      <c r="D466" t="s">
        <v>13</v>
      </c>
      <c r="E466">
        <v>19.399999999999999</v>
      </c>
      <c r="F466">
        <v>9.3396226415094308</v>
      </c>
      <c r="G466">
        <v>415.72557147932002</v>
      </c>
      <c r="H466">
        <v>137.85418044658601</v>
      </c>
      <c r="I466" s="1">
        <f t="shared" si="15"/>
        <v>125.77334367494214</v>
      </c>
    </row>
    <row r="467" spans="1:9" x14ac:dyDescent="0.45">
      <c r="A467" t="s">
        <v>64</v>
      </c>
      <c r="B467" t="s">
        <v>13</v>
      </c>
      <c r="C467" t="str">
        <f t="shared" si="14"/>
        <v>TroyAuburn</v>
      </c>
      <c r="D467" t="s">
        <v>13</v>
      </c>
      <c r="E467">
        <v>0.3</v>
      </c>
      <c r="F467">
        <v>37.286792452830198</v>
      </c>
      <c r="G467">
        <v>29530.2853797916</v>
      </c>
      <c r="H467">
        <v>136.55774486631501</v>
      </c>
      <c r="I467" s="1">
        <f t="shared" si="15"/>
        <v>107.51812339154775</v>
      </c>
    </row>
    <row r="468" spans="1:9" x14ac:dyDescent="0.45">
      <c r="A468" t="s">
        <v>65</v>
      </c>
      <c r="B468" t="s">
        <v>13</v>
      </c>
      <c r="C468" t="str">
        <f t="shared" si="14"/>
        <v>UC San DiegoAuburn</v>
      </c>
      <c r="D468" t="s">
        <v>13</v>
      </c>
      <c r="E468">
        <v>0.9</v>
      </c>
      <c r="F468">
        <v>31.124528301886802</v>
      </c>
      <c r="G468">
        <v>11537.7590479633</v>
      </c>
      <c r="H468">
        <v>136.64586660970599</v>
      </c>
      <c r="I468" s="1">
        <f t="shared" si="15"/>
        <v>108.75897319684461</v>
      </c>
    </row>
    <row r="469" spans="1:9" x14ac:dyDescent="0.45">
      <c r="A469" t="s">
        <v>66</v>
      </c>
      <c r="B469" t="s">
        <v>13</v>
      </c>
      <c r="C469" t="str">
        <f t="shared" si="14"/>
        <v>UCLAAuburn</v>
      </c>
      <c r="D469" t="s">
        <v>13</v>
      </c>
      <c r="E469">
        <v>3.3</v>
      </c>
      <c r="F469">
        <v>22.083018867924501</v>
      </c>
      <c r="G469">
        <v>2903.4790807285399</v>
      </c>
      <c r="H469">
        <v>136.11732112281501</v>
      </c>
      <c r="I469" s="1">
        <f t="shared" si="15"/>
        <v>101.31647899210229</v>
      </c>
    </row>
    <row r="470" spans="1:9" x14ac:dyDescent="0.45">
      <c r="A470" t="s">
        <v>67</v>
      </c>
      <c r="B470" t="s">
        <v>13</v>
      </c>
      <c r="C470" t="str">
        <f t="shared" si="14"/>
        <v>UNC WilmingtonAuburn</v>
      </c>
      <c r="D470" t="s">
        <v>13</v>
      </c>
      <c r="E470">
        <v>0.5</v>
      </c>
      <c r="F470">
        <v>34.486792452830201</v>
      </c>
      <c r="G470">
        <v>19264.584863260799</v>
      </c>
      <c r="H470">
        <v>137.23233679673501</v>
      </c>
      <c r="I470" s="1">
        <f t="shared" si="15"/>
        <v>117.01711005823826</v>
      </c>
    </row>
    <row r="471" spans="1:9" x14ac:dyDescent="0.45">
      <c r="A471" t="s">
        <v>68</v>
      </c>
      <c r="B471" t="s">
        <v>13</v>
      </c>
      <c r="C471" t="str">
        <f t="shared" si="14"/>
        <v>Utah St.Auburn</v>
      </c>
      <c r="D471" t="s">
        <v>13</v>
      </c>
      <c r="E471">
        <v>2.6</v>
      </c>
      <c r="F471">
        <v>23.841509433962301</v>
      </c>
      <c r="G471">
        <v>3798.22465803561</v>
      </c>
      <c r="H471">
        <v>136.60370720056201</v>
      </c>
      <c r="I471" s="1">
        <f t="shared" si="15"/>
        <v>108.16532295100657</v>
      </c>
    </row>
    <row r="472" spans="1:9" x14ac:dyDescent="0.45">
      <c r="A472" t="s">
        <v>69</v>
      </c>
      <c r="B472" t="s">
        <v>13</v>
      </c>
      <c r="C472" t="str">
        <f t="shared" si="14"/>
        <v>VanderbiltAuburn</v>
      </c>
      <c r="D472" t="s">
        <v>13</v>
      </c>
      <c r="E472">
        <v>0.6</v>
      </c>
      <c r="F472">
        <v>33.966037735849099</v>
      </c>
      <c r="G472">
        <v>17789.782486980701</v>
      </c>
      <c r="H472">
        <v>135.17827768916001</v>
      </c>
      <c r="I472" s="1">
        <f t="shared" si="15"/>
        <v>88.093728091156166</v>
      </c>
    </row>
    <row r="473" spans="1:9" x14ac:dyDescent="0.45">
      <c r="A473" t="s">
        <v>70</v>
      </c>
      <c r="B473" t="s">
        <v>13</v>
      </c>
      <c r="C473" t="str">
        <f t="shared" si="14"/>
        <v>VCUAuburn</v>
      </c>
      <c r="D473" t="s">
        <v>13</v>
      </c>
      <c r="E473">
        <v>1.7</v>
      </c>
      <c r="F473">
        <v>26.618867924528299</v>
      </c>
      <c r="G473">
        <v>5800.1680362228299</v>
      </c>
      <c r="H473">
        <v>137.023188851036</v>
      </c>
      <c r="I473" s="1">
        <f t="shared" si="15"/>
        <v>114.07207994748119</v>
      </c>
    </row>
    <row r="474" spans="1:9" x14ac:dyDescent="0.45">
      <c r="A474" t="s">
        <v>71</v>
      </c>
      <c r="B474" t="s">
        <v>13</v>
      </c>
      <c r="C474" t="str">
        <f t="shared" si="14"/>
        <v>WisconsinAuburn</v>
      </c>
      <c r="D474" t="s">
        <v>13</v>
      </c>
      <c r="E474">
        <v>17.5</v>
      </c>
      <c r="F474">
        <v>10.154716981132101</v>
      </c>
      <c r="G474">
        <v>470.76020771176098</v>
      </c>
      <c r="H474">
        <v>137.823867706302</v>
      </c>
      <c r="I474" s="1">
        <f t="shared" si="15"/>
        <v>125.34650738650706</v>
      </c>
    </row>
    <row r="475" spans="1:9" x14ac:dyDescent="0.45">
      <c r="A475" t="s">
        <v>80</v>
      </c>
      <c r="B475" t="s">
        <v>13</v>
      </c>
      <c r="C475" t="str">
        <f t="shared" si="14"/>
        <v>WoffordAuburn</v>
      </c>
      <c r="D475" t="s">
        <v>13</v>
      </c>
      <c r="E475">
        <v>0.2</v>
      </c>
      <c r="F475">
        <v>41.539622641509403</v>
      </c>
      <c r="G475">
        <v>56503.432088449503</v>
      </c>
      <c r="H475">
        <v>135.853323445397</v>
      </c>
      <c r="I475" s="1">
        <f t="shared" si="15"/>
        <v>97.599105117988955</v>
      </c>
    </row>
    <row r="476" spans="1:9" x14ac:dyDescent="0.45">
      <c r="A476" t="s">
        <v>72</v>
      </c>
      <c r="B476" t="s">
        <v>13</v>
      </c>
      <c r="C476" t="str">
        <f t="shared" si="14"/>
        <v>XavierAuburn</v>
      </c>
      <c r="D476" t="s">
        <v>13</v>
      </c>
      <c r="E476">
        <v>1.7</v>
      </c>
      <c r="F476">
        <v>26.6943396226415</v>
      </c>
      <c r="G476">
        <v>5868.0699773942997</v>
      </c>
      <c r="H476">
        <v>136.42923701554901</v>
      </c>
      <c r="I476" s="1">
        <f t="shared" si="15"/>
        <v>105.70859335428321</v>
      </c>
    </row>
    <row r="477" spans="1:9" x14ac:dyDescent="0.45">
      <c r="A477" t="s">
        <v>73</v>
      </c>
      <c r="B477" t="s">
        <v>13</v>
      </c>
      <c r="C477" t="str">
        <f t="shared" si="14"/>
        <v>YaleAuburn</v>
      </c>
      <c r="D477" t="s">
        <v>13</v>
      </c>
      <c r="E477">
        <v>0.9</v>
      </c>
      <c r="F477">
        <v>30.5169811320755</v>
      </c>
      <c r="G477">
        <v>10514.9415852947</v>
      </c>
      <c r="H477">
        <v>137.22847164961101</v>
      </c>
      <c r="I477" s="1">
        <f t="shared" si="15"/>
        <v>116.96268459101863</v>
      </c>
    </row>
    <row r="478" spans="1:9" x14ac:dyDescent="0.45">
      <c r="A478" t="s">
        <v>7</v>
      </c>
      <c r="B478" t="s">
        <v>14</v>
      </c>
      <c r="C478" t="str">
        <f t="shared" si="14"/>
        <v>AkronBaylor</v>
      </c>
      <c r="D478" t="s">
        <v>14</v>
      </c>
      <c r="E478">
        <v>4.4000000000000004</v>
      </c>
      <c r="F478">
        <v>20.181132075471702</v>
      </c>
      <c r="G478">
        <v>2172.6359104152698</v>
      </c>
      <c r="H478">
        <v>137.475939092332</v>
      </c>
      <c r="I478" s="1">
        <f t="shared" si="15"/>
        <v>120.44729481661548</v>
      </c>
    </row>
    <row r="479" spans="1:9" x14ac:dyDescent="0.45">
      <c r="A479" t="s">
        <v>8</v>
      </c>
      <c r="B479" t="s">
        <v>14</v>
      </c>
      <c r="C479" t="str">
        <f t="shared" si="14"/>
        <v>AlabamaBaylor</v>
      </c>
      <c r="D479" t="s">
        <v>8</v>
      </c>
      <c r="E479">
        <v>77.2</v>
      </c>
      <c r="F479">
        <v>-7.9924528301886797</v>
      </c>
      <c r="G479">
        <v>-338.48288923912799</v>
      </c>
      <c r="H479">
        <v>139.224035104471</v>
      </c>
      <c r="I479" s="1">
        <f t="shared" si="15"/>
        <v>145.06238426938245</v>
      </c>
    </row>
    <row r="480" spans="1:9" x14ac:dyDescent="0.45">
      <c r="A480" t="s">
        <v>9</v>
      </c>
      <c r="B480" t="s">
        <v>14</v>
      </c>
      <c r="C480" t="str">
        <f t="shared" si="14"/>
        <v>Alabama St.Baylor</v>
      </c>
      <c r="D480" t="s">
        <v>14</v>
      </c>
      <c r="E480">
        <v>0.7</v>
      </c>
      <c r="F480">
        <v>32.320754716981099</v>
      </c>
      <c r="G480">
        <v>13843.6522330563</v>
      </c>
      <c r="H480">
        <v>137.70277994814501</v>
      </c>
      <c r="I480" s="1">
        <f t="shared" si="15"/>
        <v>123.64146030787307</v>
      </c>
    </row>
    <row r="481" spans="1:9" x14ac:dyDescent="0.45">
      <c r="A481" t="s">
        <v>10</v>
      </c>
      <c r="B481" t="s">
        <v>14</v>
      </c>
      <c r="C481" t="str">
        <f t="shared" si="14"/>
        <v>AmericanBaylor</v>
      </c>
      <c r="D481" t="s">
        <v>14</v>
      </c>
      <c r="E481">
        <v>0.9</v>
      </c>
      <c r="F481">
        <v>31.0566037735849</v>
      </c>
      <c r="G481">
        <v>11417.027861131201</v>
      </c>
      <c r="H481">
        <v>137.793865829749</v>
      </c>
      <c r="I481" s="1">
        <f t="shared" si="15"/>
        <v>124.92404839685501</v>
      </c>
    </row>
    <row r="482" spans="1:9" x14ac:dyDescent="0.45">
      <c r="A482" t="s">
        <v>11</v>
      </c>
      <c r="B482" t="s">
        <v>14</v>
      </c>
      <c r="C482" t="str">
        <f t="shared" si="14"/>
        <v>ArizonaBaylor</v>
      </c>
      <c r="D482" t="s">
        <v>11</v>
      </c>
      <c r="E482">
        <v>70.599999999999994</v>
      </c>
      <c r="F482">
        <v>-5.75094339622642</v>
      </c>
      <c r="G482">
        <v>-240.490823779994</v>
      </c>
      <c r="H482">
        <v>138.98639392346101</v>
      </c>
      <c r="I482" s="1">
        <f t="shared" si="15"/>
        <v>141.71613847532879</v>
      </c>
    </row>
    <row r="483" spans="1:9" x14ac:dyDescent="0.45">
      <c r="A483" t="s">
        <v>12</v>
      </c>
      <c r="B483" t="s">
        <v>14</v>
      </c>
      <c r="C483" t="str">
        <f t="shared" si="14"/>
        <v>ArkansasBaylor</v>
      </c>
      <c r="D483" t="s">
        <v>14</v>
      </c>
      <c r="E483">
        <v>12.7</v>
      </c>
      <c r="F483">
        <v>12.6415094339623</v>
      </c>
      <c r="G483">
        <v>687.68512538239997</v>
      </c>
      <c r="H483">
        <v>137.10399775731901</v>
      </c>
      <c r="I483" s="1">
        <f t="shared" si="15"/>
        <v>115.20995706803056</v>
      </c>
    </row>
    <row r="484" spans="1:9" x14ac:dyDescent="0.45">
      <c r="A484" t="s">
        <v>13</v>
      </c>
      <c r="B484" t="s">
        <v>14</v>
      </c>
      <c r="C484" t="str">
        <f t="shared" si="14"/>
        <v>AuburnBaylor</v>
      </c>
      <c r="D484" t="s">
        <v>13</v>
      </c>
      <c r="E484">
        <v>86.9</v>
      </c>
      <c r="F484">
        <v>-12.4037735849057</v>
      </c>
      <c r="G484">
        <v>-663.34283154112404</v>
      </c>
      <c r="H484">
        <v>140.24271716257999</v>
      </c>
      <c r="I484" s="1">
        <f t="shared" si="15"/>
        <v>159.40653345235523</v>
      </c>
    </row>
    <row r="485" spans="1:9" x14ac:dyDescent="0.45">
      <c r="A485" t="s">
        <v>14</v>
      </c>
      <c r="B485" t="s">
        <v>14</v>
      </c>
      <c r="C485" t="str">
        <f t="shared" si="14"/>
        <v>BaylorBaylor</v>
      </c>
      <c r="D485" t="s">
        <v>14</v>
      </c>
      <c r="E485">
        <v>41.2</v>
      </c>
      <c r="F485">
        <v>2.3283018867924499</v>
      </c>
      <c r="G485">
        <v>142.64273539779199</v>
      </c>
      <c r="H485">
        <v>138.77771517530499</v>
      </c>
      <c r="I485" s="1">
        <f t="shared" si="15"/>
        <v>138.77771517530277</v>
      </c>
    </row>
    <row r="486" spans="1:9" x14ac:dyDescent="0.45">
      <c r="A486" t="s">
        <v>15</v>
      </c>
      <c r="B486" t="s">
        <v>14</v>
      </c>
      <c r="C486" t="str">
        <f t="shared" si="14"/>
        <v>BryantBaylor</v>
      </c>
      <c r="D486" t="s">
        <v>14</v>
      </c>
      <c r="E486">
        <v>3.1</v>
      </c>
      <c r="F486">
        <v>22.615094339622601</v>
      </c>
      <c r="G486">
        <v>3149.12430154705</v>
      </c>
      <c r="H486">
        <v>138.32671292520001</v>
      </c>
      <c r="I486" s="1">
        <f t="shared" si="15"/>
        <v>132.42711391962615</v>
      </c>
    </row>
    <row r="487" spans="1:9" x14ac:dyDescent="0.45">
      <c r="A487" t="s">
        <v>16</v>
      </c>
      <c r="B487" t="s">
        <v>14</v>
      </c>
      <c r="C487" t="str">
        <f t="shared" si="14"/>
        <v>BYUBaylor</v>
      </c>
      <c r="D487" t="s">
        <v>14</v>
      </c>
      <c r="E487">
        <v>46.1</v>
      </c>
      <c r="F487">
        <v>1.0339622641509401</v>
      </c>
      <c r="G487">
        <v>117.088185392337</v>
      </c>
      <c r="H487">
        <v>138.587233403423</v>
      </c>
      <c r="I487" s="1">
        <f t="shared" si="15"/>
        <v>136.09552505448693</v>
      </c>
    </row>
    <row r="488" spans="1:9" x14ac:dyDescent="0.45">
      <c r="A488" t="s">
        <v>17</v>
      </c>
      <c r="B488" t="s">
        <v>14</v>
      </c>
      <c r="C488" t="str">
        <f t="shared" si="14"/>
        <v>ClemsonBaylor</v>
      </c>
      <c r="D488" t="s">
        <v>17</v>
      </c>
      <c r="E488">
        <v>52.3</v>
      </c>
      <c r="F488">
        <v>-0.592452830188679</v>
      </c>
      <c r="G488">
        <v>-109.430516894135</v>
      </c>
      <c r="H488">
        <v>138.809145259714</v>
      </c>
      <c r="I488" s="1">
        <f t="shared" si="15"/>
        <v>139.22028488192268</v>
      </c>
    </row>
    <row r="489" spans="1:9" x14ac:dyDescent="0.45">
      <c r="A489" t="s">
        <v>18</v>
      </c>
      <c r="B489" t="s">
        <v>14</v>
      </c>
      <c r="C489" t="str">
        <f t="shared" si="14"/>
        <v>Colorado St.Baylor</v>
      </c>
      <c r="D489" t="s">
        <v>14</v>
      </c>
      <c r="E489">
        <v>15.2</v>
      </c>
      <c r="F489">
        <v>11.2490566037736</v>
      </c>
      <c r="G489">
        <v>556.16426309507494</v>
      </c>
      <c r="H489">
        <v>138.11653710781999</v>
      </c>
      <c r="I489" s="1">
        <f t="shared" si="15"/>
        <v>129.46761025982019</v>
      </c>
    </row>
    <row r="490" spans="1:9" x14ac:dyDescent="0.45">
      <c r="A490" t="s">
        <v>19</v>
      </c>
      <c r="B490" t="s">
        <v>14</v>
      </c>
      <c r="C490" t="str">
        <f t="shared" si="14"/>
        <v>ConnecticutBaylor</v>
      </c>
      <c r="D490" t="s">
        <v>19</v>
      </c>
      <c r="E490">
        <v>65</v>
      </c>
      <c r="F490">
        <v>-4.0528301886792502</v>
      </c>
      <c r="G490">
        <v>-185.60683348048801</v>
      </c>
      <c r="H490">
        <v>138.752089010156</v>
      </c>
      <c r="I490" s="1">
        <f t="shared" si="15"/>
        <v>138.41687095216309</v>
      </c>
    </row>
    <row r="491" spans="1:9" x14ac:dyDescent="0.45">
      <c r="A491" t="s">
        <v>20</v>
      </c>
      <c r="B491" t="s">
        <v>14</v>
      </c>
      <c r="C491" t="str">
        <f t="shared" si="14"/>
        <v>CreightonBaylor</v>
      </c>
      <c r="D491" t="s">
        <v>14</v>
      </c>
      <c r="E491">
        <v>36.5</v>
      </c>
      <c r="F491">
        <v>3.6377358490565999</v>
      </c>
      <c r="G491">
        <v>174.17509880665699</v>
      </c>
      <c r="H491">
        <v>138.22503137242001</v>
      </c>
      <c r="I491" s="1">
        <f t="shared" si="15"/>
        <v>130.99532727862035</v>
      </c>
    </row>
    <row r="492" spans="1:9" x14ac:dyDescent="0.45">
      <c r="A492" t="s">
        <v>21</v>
      </c>
      <c r="B492" t="s">
        <v>14</v>
      </c>
      <c r="C492" t="str">
        <f t="shared" si="14"/>
        <v>DrakeBaylor</v>
      </c>
      <c r="D492" t="s">
        <v>14</v>
      </c>
      <c r="E492">
        <v>15.1</v>
      </c>
      <c r="F492">
        <v>11.2981132075472</v>
      </c>
      <c r="G492">
        <v>560.48110595680703</v>
      </c>
      <c r="H492">
        <v>138.27849647657399</v>
      </c>
      <c r="I492" s="1">
        <f t="shared" si="15"/>
        <v>131.7481739828134</v>
      </c>
    </row>
    <row r="493" spans="1:9" x14ac:dyDescent="0.45">
      <c r="A493" t="s">
        <v>22</v>
      </c>
      <c r="B493" t="s">
        <v>14</v>
      </c>
      <c r="C493" t="str">
        <f t="shared" si="14"/>
        <v>DukeBaylor</v>
      </c>
      <c r="D493" t="s">
        <v>22</v>
      </c>
      <c r="E493">
        <v>90.7</v>
      </c>
      <c r="F493">
        <v>-14.913207547169799</v>
      </c>
      <c r="G493">
        <v>-972.62954882885595</v>
      </c>
      <c r="H493">
        <v>140.56581693803</v>
      </c>
      <c r="I493" s="1">
        <f t="shared" si="15"/>
        <v>163.9561290235614</v>
      </c>
    </row>
    <row r="494" spans="1:9" x14ac:dyDescent="0.45">
      <c r="A494" t="s">
        <v>23</v>
      </c>
      <c r="B494" t="s">
        <v>14</v>
      </c>
      <c r="C494" t="str">
        <f t="shared" si="14"/>
        <v>FloridaBaylor</v>
      </c>
      <c r="D494" t="s">
        <v>23</v>
      </c>
      <c r="E494">
        <v>84.3</v>
      </c>
      <c r="F494">
        <v>-11.011320754717</v>
      </c>
      <c r="G494">
        <v>-536.53842980248805</v>
      </c>
      <c r="H494">
        <v>140.28957321397201</v>
      </c>
      <c r="I494" s="1">
        <f t="shared" si="15"/>
        <v>160.06631751936797</v>
      </c>
    </row>
    <row r="495" spans="1:9" x14ac:dyDescent="0.45">
      <c r="A495" t="s">
        <v>24</v>
      </c>
      <c r="B495" t="s">
        <v>14</v>
      </c>
      <c r="C495" t="str">
        <f t="shared" si="14"/>
        <v>GeorgiaBaylor</v>
      </c>
      <c r="D495" t="s">
        <v>14</v>
      </c>
      <c r="E495">
        <v>16.8</v>
      </c>
      <c r="F495">
        <v>10.494339622641499</v>
      </c>
      <c r="G495">
        <v>495.71709743776199</v>
      </c>
      <c r="H495">
        <v>137.431386738317</v>
      </c>
      <c r="I495" s="1">
        <f t="shared" si="15"/>
        <v>119.81994930939211</v>
      </c>
    </row>
    <row r="496" spans="1:9" x14ac:dyDescent="0.45">
      <c r="A496" t="s">
        <v>25</v>
      </c>
      <c r="B496" t="s">
        <v>14</v>
      </c>
      <c r="C496" t="str">
        <f t="shared" si="14"/>
        <v>GonzagaBaylor</v>
      </c>
      <c r="D496" t="s">
        <v>25</v>
      </c>
      <c r="E496">
        <v>53.2</v>
      </c>
      <c r="F496">
        <v>-0.83396226415094299</v>
      </c>
      <c r="G496">
        <v>-113.55005765636901</v>
      </c>
      <c r="H496">
        <v>139.56902785784499</v>
      </c>
      <c r="I496" s="1">
        <f t="shared" si="15"/>
        <v>149.92025673513223</v>
      </c>
    </row>
    <row r="497" spans="1:9" x14ac:dyDescent="0.45">
      <c r="A497" t="s">
        <v>26</v>
      </c>
      <c r="B497" t="s">
        <v>14</v>
      </c>
      <c r="C497" t="str">
        <f t="shared" si="14"/>
        <v>Grand CanyonBaylor</v>
      </c>
      <c r="D497" t="s">
        <v>14</v>
      </c>
      <c r="E497">
        <v>10</v>
      </c>
      <c r="F497">
        <v>14.4150943396226</v>
      </c>
      <c r="G497">
        <v>901.76886680405198</v>
      </c>
      <c r="H497">
        <v>138.22099610414901</v>
      </c>
      <c r="I497" s="1">
        <f t="shared" si="15"/>
        <v>130.93850632098031</v>
      </c>
    </row>
    <row r="498" spans="1:9" x14ac:dyDescent="0.45">
      <c r="A498" t="s">
        <v>27</v>
      </c>
      <c r="B498" t="s">
        <v>14</v>
      </c>
      <c r="C498" t="str">
        <f t="shared" si="14"/>
        <v>High PointBaylor</v>
      </c>
      <c r="D498" t="s">
        <v>14</v>
      </c>
      <c r="E498">
        <v>6.8</v>
      </c>
      <c r="F498">
        <v>17.188679245283002</v>
      </c>
      <c r="G498">
        <v>1376.4844390564001</v>
      </c>
      <c r="H498">
        <v>138.50188785180501</v>
      </c>
      <c r="I498" s="1">
        <f t="shared" si="15"/>
        <v>134.89376704297931</v>
      </c>
    </row>
    <row r="499" spans="1:9" x14ac:dyDescent="0.45">
      <c r="A499" t="s">
        <v>28</v>
      </c>
      <c r="B499" t="s">
        <v>14</v>
      </c>
      <c r="C499" t="str">
        <f t="shared" si="14"/>
        <v>HoustonBaylor</v>
      </c>
      <c r="D499" t="s">
        <v>28</v>
      </c>
      <c r="E499">
        <v>94.3</v>
      </c>
      <c r="F499">
        <v>-18.4264150943396</v>
      </c>
      <c r="G499">
        <v>-1662.3968435720501</v>
      </c>
      <c r="H499">
        <v>140.709481287659</v>
      </c>
      <c r="I499" s="1">
        <f t="shared" si="15"/>
        <v>165.97907901757486</v>
      </c>
    </row>
    <row r="500" spans="1:9" x14ac:dyDescent="0.45">
      <c r="A500" t="s">
        <v>29</v>
      </c>
      <c r="B500" t="s">
        <v>14</v>
      </c>
      <c r="C500" t="str">
        <f t="shared" si="14"/>
        <v>IllinoisBaylor</v>
      </c>
      <c r="D500" t="s">
        <v>29</v>
      </c>
      <c r="E500">
        <v>62.4</v>
      </c>
      <c r="F500">
        <v>-3.3169811320754699</v>
      </c>
      <c r="G500">
        <v>-165.818146917462</v>
      </c>
      <c r="H500">
        <v>138.759726441596</v>
      </c>
      <c r="I500" s="1">
        <f t="shared" si="15"/>
        <v>138.52441427746078</v>
      </c>
    </row>
    <row r="501" spans="1:9" x14ac:dyDescent="0.45">
      <c r="A501" t="s">
        <v>30</v>
      </c>
      <c r="B501" t="s">
        <v>14</v>
      </c>
      <c r="C501" t="str">
        <f t="shared" si="14"/>
        <v>Iowa St.Baylor</v>
      </c>
      <c r="D501" t="s">
        <v>30</v>
      </c>
      <c r="E501">
        <v>77.7</v>
      </c>
      <c r="F501">
        <v>-8.1999999999999993</v>
      </c>
      <c r="G501">
        <v>-349.27896907416601</v>
      </c>
      <c r="H501">
        <v>139.68599501995399</v>
      </c>
      <c r="I501" s="1">
        <f t="shared" si="15"/>
        <v>151.56728134840074</v>
      </c>
    </row>
    <row r="502" spans="1:9" x14ac:dyDescent="0.45">
      <c r="A502" t="s">
        <v>31</v>
      </c>
      <c r="B502" t="s">
        <v>14</v>
      </c>
      <c r="C502" t="str">
        <f t="shared" si="14"/>
        <v>KansasBaylor</v>
      </c>
      <c r="D502" t="s">
        <v>31</v>
      </c>
      <c r="E502">
        <v>50.4</v>
      </c>
      <c r="F502">
        <v>-9.4339622641509399E-2</v>
      </c>
      <c r="G502">
        <v>-101.475441575586</v>
      </c>
      <c r="H502">
        <v>138.64138530426601</v>
      </c>
      <c r="I502" s="1">
        <f t="shared" si="15"/>
        <v>136.8580426015964</v>
      </c>
    </row>
    <row r="503" spans="1:9" x14ac:dyDescent="0.45">
      <c r="A503" t="s">
        <v>32</v>
      </c>
      <c r="B503" t="s">
        <v>14</v>
      </c>
      <c r="C503" t="str">
        <f t="shared" si="14"/>
        <v>KentuckyBaylor</v>
      </c>
      <c r="D503" t="s">
        <v>32</v>
      </c>
      <c r="E503">
        <v>63.1</v>
      </c>
      <c r="F503">
        <v>-3.5245283018867899</v>
      </c>
      <c r="G503">
        <v>-171.18681582670101</v>
      </c>
      <c r="H503">
        <v>138.58842290465799</v>
      </c>
      <c r="I503" s="1">
        <f t="shared" si="15"/>
        <v>136.11227452310888</v>
      </c>
    </row>
    <row r="504" spans="1:9" x14ac:dyDescent="0.45">
      <c r="A504" t="s">
        <v>33</v>
      </c>
      <c r="B504" t="s">
        <v>14</v>
      </c>
      <c r="C504" t="str">
        <f t="shared" si="14"/>
        <v>LibertyBaylor</v>
      </c>
      <c r="D504" t="s">
        <v>14</v>
      </c>
      <c r="E504">
        <v>4.5</v>
      </c>
      <c r="F504">
        <v>19.966037735849099</v>
      </c>
      <c r="G504">
        <v>2102.2761550094401</v>
      </c>
      <c r="H504">
        <v>137.79735915305699</v>
      </c>
      <c r="I504" s="1">
        <f t="shared" si="15"/>
        <v>124.97323818112119</v>
      </c>
    </row>
    <row r="505" spans="1:9" x14ac:dyDescent="0.45">
      <c r="A505" t="s">
        <v>34</v>
      </c>
      <c r="B505" t="s">
        <v>14</v>
      </c>
      <c r="C505" t="str">
        <f t="shared" si="14"/>
        <v>LipscombBaylor</v>
      </c>
      <c r="D505" t="s">
        <v>14</v>
      </c>
      <c r="E505">
        <v>3.5</v>
      </c>
      <c r="F505">
        <v>21.705660377358502</v>
      </c>
      <c r="G505">
        <v>2742.3293621943599</v>
      </c>
      <c r="H505">
        <v>138.22927938431499</v>
      </c>
      <c r="I505" s="1">
        <f t="shared" si="15"/>
        <v>131.0551438974247</v>
      </c>
    </row>
    <row r="506" spans="1:9" x14ac:dyDescent="0.45">
      <c r="A506" t="s">
        <v>35</v>
      </c>
      <c r="B506" t="s">
        <v>14</v>
      </c>
      <c r="C506" t="str">
        <f t="shared" si="14"/>
        <v>LouisvilleBaylor</v>
      </c>
      <c r="D506" t="s">
        <v>14</v>
      </c>
      <c r="E506">
        <v>8.5</v>
      </c>
      <c r="F506">
        <v>15.6</v>
      </c>
      <c r="G506">
        <v>1080.2053954878099</v>
      </c>
      <c r="H506">
        <v>137.51500269628301</v>
      </c>
      <c r="I506" s="1">
        <f t="shared" si="15"/>
        <v>120.9973527647627</v>
      </c>
    </row>
    <row r="507" spans="1:9" x14ac:dyDescent="0.45">
      <c r="A507" t="s">
        <v>36</v>
      </c>
      <c r="B507" t="s">
        <v>14</v>
      </c>
      <c r="C507" t="str">
        <f t="shared" si="14"/>
        <v>MarquetteBaylor</v>
      </c>
      <c r="D507" t="s">
        <v>36</v>
      </c>
      <c r="E507">
        <v>56.6</v>
      </c>
      <c r="F507">
        <v>-1.74339622641509</v>
      </c>
      <c r="G507">
        <v>-130.49656015163299</v>
      </c>
      <c r="H507">
        <v>138.846759331188</v>
      </c>
      <c r="I507" s="1">
        <f t="shared" si="15"/>
        <v>139.7499318392899</v>
      </c>
    </row>
    <row r="508" spans="1:9" x14ac:dyDescent="0.45">
      <c r="A508" t="s">
        <v>37</v>
      </c>
      <c r="B508" t="s">
        <v>14</v>
      </c>
      <c r="C508" t="str">
        <f t="shared" si="14"/>
        <v>MarylandBaylor</v>
      </c>
      <c r="D508" t="s">
        <v>14</v>
      </c>
      <c r="E508">
        <v>47</v>
      </c>
      <c r="F508">
        <v>0.8</v>
      </c>
      <c r="G508">
        <v>112.965360906123</v>
      </c>
      <c r="H508">
        <v>138.456698642867</v>
      </c>
      <c r="I508" s="1">
        <f t="shared" si="15"/>
        <v>134.25745392711798</v>
      </c>
    </row>
    <row r="509" spans="1:9" x14ac:dyDescent="0.45">
      <c r="A509" t="s">
        <v>38</v>
      </c>
      <c r="B509" t="s">
        <v>14</v>
      </c>
      <c r="C509" t="str">
        <f t="shared" si="14"/>
        <v>McNeese St.Baylor</v>
      </c>
      <c r="D509" t="s">
        <v>14</v>
      </c>
      <c r="E509">
        <v>13.6</v>
      </c>
      <c r="F509">
        <v>12.1056603773585</v>
      </c>
      <c r="G509">
        <v>634.00758801207496</v>
      </c>
      <c r="H509">
        <v>138.292110257068</v>
      </c>
      <c r="I509" s="1">
        <f t="shared" si="15"/>
        <v>131.93987079026761</v>
      </c>
    </row>
    <row r="510" spans="1:9" x14ac:dyDescent="0.45">
      <c r="A510" t="s">
        <v>39</v>
      </c>
      <c r="B510" t="s">
        <v>14</v>
      </c>
      <c r="C510" t="str">
        <f t="shared" si="14"/>
        <v>MemphisBaylor</v>
      </c>
      <c r="D510" t="s">
        <v>14</v>
      </c>
      <c r="E510">
        <v>31.2</v>
      </c>
      <c r="F510">
        <v>5.1849056603773596</v>
      </c>
      <c r="G510">
        <v>220.55240531206701</v>
      </c>
      <c r="H510">
        <v>137.43433345588599</v>
      </c>
      <c r="I510" s="1">
        <f t="shared" si="15"/>
        <v>119.86144229149895</v>
      </c>
    </row>
    <row r="511" spans="1:9" x14ac:dyDescent="0.45">
      <c r="A511" t="s">
        <v>40</v>
      </c>
      <c r="B511" t="s">
        <v>14</v>
      </c>
      <c r="C511" t="str">
        <f t="shared" si="14"/>
        <v>MichiganBaylor</v>
      </c>
      <c r="D511" t="s">
        <v>14</v>
      </c>
      <c r="E511">
        <v>19.3</v>
      </c>
      <c r="F511">
        <v>9.3735849056603797</v>
      </c>
      <c r="G511">
        <v>417.81193151640298</v>
      </c>
      <c r="H511">
        <v>137.091254540569</v>
      </c>
      <c r="I511" s="1">
        <f t="shared" si="15"/>
        <v>115.03051874311059</v>
      </c>
    </row>
    <row r="512" spans="1:9" x14ac:dyDescent="0.45">
      <c r="A512" t="s">
        <v>41</v>
      </c>
      <c r="B512" t="s">
        <v>14</v>
      </c>
      <c r="C512" t="str">
        <f t="shared" si="14"/>
        <v>Michigan St.Baylor</v>
      </c>
      <c r="D512" t="s">
        <v>41</v>
      </c>
      <c r="E512">
        <v>69.7</v>
      </c>
      <c r="F512">
        <v>-5.4490566037735899</v>
      </c>
      <c r="G512">
        <v>-229.66403840072999</v>
      </c>
      <c r="H512">
        <v>138.79014650139899</v>
      </c>
      <c r="I512" s="1">
        <f t="shared" si="15"/>
        <v>138.95276174122105</v>
      </c>
    </row>
    <row r="513" spans="1:9" x14ac:dyDescent="0.45">
      <c r="A513" t="s">
        <v>42</v>
      </c>
      <c r="B513" t="s">
        <v>14</v>
      </c>
      <c r="C513" t="str">
        <f t="shared" si="14"/>
        <v>MississippiBaylor</v>
      </c>
      <c r="D513" t="s">
        <v>14</v>
      </c>
      <c r="E513">
        <v>37.1</v>
      </c>
      <c r="F513">
        <v>3.4603773584905699</v>
      </c>
      <c r="G513">
        <v>169.52193195004401</v>
      </c>
      <c r="H513">
        <v>137.92106760649301</v>
      </c>
      <c r="I513" s="1">
        <f t="shared" si="15"/>
        <v>126.71518749411409</v>
      </c>
    </row>
    <row r="514" spans="1:9" x14ac:dyDescent="0.45">
      <c r="A514" t="s">
        <v>43</v>
      </c>
      <c r="B514" t="s">
        <v>14</v>
      </c>
      <c r="C514" t="str">
        <f t="shared" si="14"/>
        <v>Mississippi St.Baylor</v>
      </c>
      <c r="D514" t="s">
        <v>14</v>
      </c>
      <c r="E514">
        <v>30.8</v>
      </c>
      <c r="F514">
        <v>5.3094339622641504</v>
      </c>
      <c r="G514">
        <v>224.759043458512</v>
      </c>
      <c r="H514">
        <v>138.04543896028201</v>
      </c>
      <c r="I514" s="1">
        <f t="shared" si="15"/>
        <v>128.46647116367183</v>
      </c>
    </row>
    <row r="515" spans="1:9" x14ac:dyDescent="0.45">
      <c r="A515" t="s">
        <v>44</v>
      </c>
      <c r="B515" t="s">
        <v>14</v>
      </c>
      <c r="C515" t="str">
        <f t="shared" ref="C515:C578" si="16">A515&amp;B515</f>
        <v>MissouriBaylor</v>
      </c>
      <c r="D515" t="s">
        <v>14</v>
      </c>
      <c r="E515">
        <v>16.3</v>
      </c>
      <c r="F515">
        <v>10.7207547169811</v>
      </c>
      <c r="G515">
        <v>513.23482360624701</v>
      </c>
      <c r="H515">
        <v>137.30991089645599</v>
      </c>
      <c r="I515" s="1">
        <f t="shared" ref="I515:I578" si="17">18*(H515-AVERAGE($H$2:$H$4625))/_xlfn.STDEV.P($H$2:$H$4625)+AVERAGE($H$2:$H$4625)</f>
        <v>118.10943759093094</v>
      </c>
    </row>
    <row r="516" spans="1:9" x14ac:dyDescent="0.45">
      <c r="A516" t="s">
        <v>45</v>
      </c>
      <c r="B516" t="s">
        <v>14</v>
      </c>
      <c r="C516" t="str">
        <f t="shared" si="16"/>
        <v>MontanaBaylor</v>
      </c>
      <c r="D516" t="s">
        <v>14</v>
      </c>
      <c r="E516">
        <v>1.9</v>
      </c>
      <c r="F516">
        <v>25.977358490566001</v>
      </c>
      <c r="G516">
        <v>5261.4832008984704</v>
      </c>
      <c r="H516">
        <v>136.618645621475</v>
      </c>
      <c r="I516" s="1">
        <f t="shared" si="17"/>
        <v>108.3756721334901</v>
      </c>
    </row>
    <row r="517" spans="1:9" x14ac:dyDescent="0.45">
      <c r="A517" t="s">
        <v>46</v>
      </c>
      <c r="B517" t="s">
        <v>14</v>
      </c>
      <c r="C517" t="str">
        <f t="shared" si="16"/>
        <v>Mount St. Mary'sBaylor</v>
      </c>
      <c r="D517" t="s">
        <v>14</v>
      </c>
      <c r="E517">
        <v>0.7</v>
      </c>
      <c r="F517">
        <v>32.094339622641499</v>
      </c>
      <c r="G517">
        <v>13375.4648378946</v>
      </c>
      <c r="H517">
        <v>137.96651984342199</v>
      </c>
      <c r="I517" s="1">
        <f t="shared" si="17"/>
        <v>127.35520432961171</v>
      </c>
    </row>
    <row r="518" spans="1:9" x14ac:dyDescent="0.45">
      <c r="A518" t="s">
        <v>47</v>
      </c>
      <c r="B518" t="s">
        <v>14</v>
      </c>
      <c r="C518" t="str">
        <f t="shared" si="16"/>
        <v>Nebraska OmahaBaylor</v>
      </c>
      <c r="D518" t="s">
        <v>14</v>
      </c>
      <c r="E518">
        <v>1</v>
      </c>
      <c r="F518">
        <v>30.381132075471701</v>
      </c>
      <c r="G518">
        <v>10295.288483132101</v>
      </c>
      <c r="H518">
        <v>137.25052102332199</v>
      </c>
      <c r="I518" s="1">
        <f t="shared" si="17"/>
        <v>117.27316370801476</v>
      </c>
    </row>
    <row r="519" spans="1:9" x14ac:dyDescent="0.45">
      <c r="A519" t="s">
        <v>48</v>
      </c>
      <c r="B519" t="s">
        <v>14</v>
      </c>
      <c r="C519" t="str">
        <f t="shared" si="16"/>
        <v>New MexicoBaylor</v>
      </c>
      <c r="D519" t="s">
        <v>14</v>
      </c>
      <c r="E519">
        <v>19.899999999999999</v>
      </c>
      <c r="F519">
        <v>9.1320754716981103</v>
      </c>
      <c r="G519">
        <v>402.71981023236901</v>
      </c>
      <c r="H519">
        <v>138.128265370598</v>
      </c>
      <c r="I519" s="1">
        <f t="shared" si="17"/>
        <v>129.63275693105649</v>
      </c>
    </row>
    <row r="520" spans="1:9" x14ac:dyDescent="0.45">
      <c r="A520" t="s">
        <v>49</v>
      </c>
      <c r="B520" t="s">
        <v>14</v>
      </c>
      <c r="C520" t="str">
        <f t="shared" si="16"/>
        <v>Norfolk St.Baylor</v>
      </c>
      <c r="D520" t="s">
        <v>14</v>
      </c>
      <c r="E520">
        <v>1.4</v>
      </c>
      <c r="F520">
        <v>27.845283018867899</v>
      </c>
      <c r="G520">
        <v>6996.0980077232498</v>
      </c>
      <c r="H520">
        <v>137.14062903279901</v>
      </c>
      <c r="I520" s="1">
        <f t="shared" si="17"/>
        <v>115.7257651909528</v>
      </c>
    </row>
    <row r="521" spans="1:9" x14ac:dyDescent="0.45">
      <c r="A521" t="s">
        <v>50</v>
      </c>
      <c r="B521" t="s">
        <v>14</v>
      </c>
      <c r="C521" t="str">
        <f t="shared" si="16"/>
        <v>North CarolinaBaylor</v>
      </c>
      <c r="D521" t="s">
        <v>14</v>
      </c>
      <c r="E521">
        <v>45.8</v>
      </c>
      <c r="F521">
        <v>1.0905660377358499</v>
      </c>
      <c r="G521">
        <v>118.116334362426</v>
      </c>
      <c r="H521">
        <v>139.212560464755</v>
      </c>
      <c r="I521" s="1">
        <f t="shared" si="17"/>
        <v>144.90080888617339</v>
      </c>
    </row>
    <row r="522" spans="1:9" x14ac:dyDescent="0.45">
      <c r="A522" t="s">
        <v>51</v>
      </c>
      <c r="B522" t="s">
        <v>14</v>
      </c>
      <c r="C522" t="str">
        <f t="shared" si="16"/>
        <v>OklahomaBaylor</v>
      </c>
      <c r="D522" t="s">
        <v>14</v>
      </c>
      <c r="E522">
        <v>21.7</v>
      </c>
      <c r="F522">
        <v>8.3962264150943398</v>
      </c>
      <c r="G522">
        <v>360.01324800680999</v>
      </c>
      <c r="H522">
        <v>137.55516376026</v>
      </c>
      <c r="I522" s="1">
        <f t="shared" si="17"/>
        <v>121.56286414139606</v>
      </c>
    </row>
    <row r="523" spans="1:9" x14ac:dyDescent="0.45">
      <c r="A523" t="s">
        <v>52</v>
      </c>
      <c r="B523" t="s">
        <v>14</v>
      </c>
      <c r="C523" t="str">
        <f t="shared" si="16"/>
        <v>OregonBaylor</v>
      </c>
      <c r="D523" t="s">
        <v>14</v>
      </c>
      <c r="E523">
        <v>47.8</v>
      </c>
      <c r="F523">
        <v>0.57358490566037701</v>
      </c>
      <c r="G523">
        <v>109.11741674077</v>
      </c>
      <c r="H523">
        <v>138.14954154840001</v>
      </c>
      <c r="I523" s="1">
        <f t="shared" si="17"/>
        <v>129.93234861033076</v>
      </c>
    </row>
    <row r="524" spans="1:9" x14ac:dyDescent="0.45">
      <c r="A524" t="s">
        <v>53</v>
      </c>
      <c r="B524" t="s">
        <v>14</v>
      </c>
      <c r="C524" t="str">
        <f t="shared" si="16"/>
        <v>PurdueBaylor</v>
      </c>
      <c r="D524" t="s">
        <v>53</v>
      </c>
      <c r="E524">
        <v>82.9</v>
      </c>
      <c r="F524">
        <v>-10.339622641509401</v>
      </c>
      <c r="G524">
        <v>-484.07604816863</v>
      </c>
      <c r="H524">
        <v>139.49752887718901</v>
      </c>
      <c r="I524" s="1">
        <f t="shared" si="17"/>
        <v>148.91347347356816</v>
      </c>
    </row>
    <row r="525" spans="1:9" x14ac:dyDescent="0.45">
      <c r="A525" t="s">
        <v>54</v>
      </c>
      <c r="B525" t="s">
        <v>14</v>
      </c>
      <c r="C525" t="str">
        <f t="shared" si="16"/>
        <v>Robert MorrisBaylor</v>
      </c>
      <c r="D525" t="s">
        <v>14</v>
      </c>
      <c r="E525">
        <v>0.6</v>
      </c>
      <c r="F525">
        <v>33.603773584905703</v>
      </c>
      <c r="G525">
        <v>16837.103710334799</v>
      </c>
      <c r="H525">
        <v>136.55616572595201</v>
      </c>
      <c r="I525" s="1">
        <f t="shared" si="17"/>
        <v>107.49588738104055</v>
      </c>
    </row>
    <row r="526" spans="1:9" x14ac:dyDescent="0.45">
      <c r="A526" t="s">
        <v>55</v>
      </c>
      <c r="B526" t="s">
        <v>14</v>
      </c>
      <c r="C526" t="str">
        <f t="shared" si="16"/>
        <v>Saint FrancisBaylor</v>
      </c>
      <c r="D526" t="s">
        <v>14</v>
      </c>
      <c r="E526">
        <v>0.4</v>
      </c>
      <c r="F526">
        <v>36.332075471698097</v>
      </c>
      <c r="G526">
        <v>25520.096216663602</v>
      </c>
      <c r="H526">
        <v>137.60902125915899</v>
      </c>
      <c r="I526" s="1">
        <f t="shared" si="17"/>
        <v>122.32123618955309</v>
      </c>
    </row>
    <row r="527" spans="1:9" x14ac:dyDescent="0.45">
      <c r="A527" t="s">
        <v>56</v>
      </c>
      <c r="B527" t="s">
        <v>14</v>
      </c>
      <c r="C527" t="str">
        <f t="shared" si="16"/>
        <v>Saint Mary'sBaylor</v>
      </c>
      <c r="D527" t="s">
        <v>14</v>
      </c>
      <c r="E527">
        <v>43.9</v>
      </c>
      <c r="F527">
        <v>1.61509433962264</v>
      </c>
      <c r="G527">
        <v>127.93772753066899</v>
      </c>
      <c r="H527">
        <v>138.860276460249</v>
      </c>
      <c r="I527" s="1">
        <f t="shared" si="17"/>
        <v>139.94026768964972</v>
      </c>
    </row>
    <row r="528" spans="1:9" x14ac:dyDescent="0.45">
      <c r="A528" t="s">
        <v>57</v>
      </c>
      <c r="B528" t="s">
        <v>14</v>
      </c>
      <c r="C528" t="str">
        <f t="shared" si="16"/>
        <v>San Diego St.Baylor</v>
      </c>
      <c r="D528" t="s">
        <v>14</v>
      </c>
      <c r="E528">
        <v>18.5</v>
      </c>
      <c r="F528">
        <v>9.7094339622641499</v>
      </c>
      <c r="G528">
        <v>439.68304466046197</v>
      </c>
      <c r="H528">
        <v>138.00653134004699</v>
      </c>
      <c r="I528" s="1">
        <f t="shared" si="17"/>
        <v>127.91860963556988</v>
      </c>
    </row>
    <row r="529" spans="1:9" x14ac:dyDescent="0.45">
      <c r="A529" t="s">
        <v>58</v>
      </c>
      <c r="B529" t="s">
        <v>14</v>
      </c>
      <c r="C529" t="str">
        <f t="shared" si="16"/>
        <v>SIU EdwardsvilleBaylor</v>
      </c>
      <c r="D529" t="s">
        <v>14</v>
      </c>
      <c r="E529">
        <v>1.1000000000000001</v>
      </c>
      <c r="F529">
        <v>29.3056603773585</v>
      </c>
      <c r="G529">
        <v>8740.1057484478897</v>
      </c>
      <c r="H529">
        <v>138.154219106895</v>
      </c>
      <c r="I529" s="1">
        <f t="shared" si="17"/>
        <v>129.99821371154673</v>
      </c>
    </row>
    <row r="530" spans="1:9" x14ac:dyDescent="0.45">
      <c r="A530" t="s">
        <v>59</v>
      </c>
      <c r="B530" t="s">
        <v>14</v>
      </c>
      <c r="C530" t="str">
        <f t="shared" si="16"/>
        <v>St. John'sBaylor</v>
      </c>
      <c r="D530" t="s">
        <v>59</v>
      </c>
      <c r="E530">
        <v>70.900000000000006</v>
      </c>
      <c r="F530">
        <v>-5.8528301886792402</v>
      </c>
      <c r="G530">
        <v>-244.16916629042899</v>
      </c>
      <c r="H530">
        <v>139.13190187943999</v>
      </c>
      <c r="I530" s="1">
        <f t="shared" si="17"/>
        <v>143.76504844803065</v>
      </c>
    </row>
    <row r="531" spans="1:9" x14ac:dyDescent="0.45">
      <c r="A531" t="s">
        <v>60</v>
      </c>
      <c r="B531" t="s">
        <v>14</v>
      </c>
      <c r="C531" t="str">
        <f t="shared" si="16"/>
        <v>TennesseeBaylor</v>
      </c>
      <c r="D531" t="s">
        <v>60</v>
      </c>
      <c r="E531">
        <v>83</v>
      </c>
      <c r="F531">
        <v>-10.396226415094301</v>
      </c>
      <c r="G531">
        <v>-488.46142102633098</v>
      </c>
      <c r="H531">
        <v>139.72588475613099</v>
      </c>
      <c r="I531" s="1">
        <f t="shared" si="17"/>
        <v>152.12897213507713</v>
      </c>
    </row>
    <row r="532" spans="1:9" x14ac:dyDescent="0.45">
      <c r="A532" t="s">
        <v>61</v>
      </c>
      <c r="B532" t="s">
        <v>14</v>
      </c>
      <c r="C532" t="str">
        <f t="shared" si="16"/>
        <v>TexasBaylor</v>
      </c>
      <c r="D532" t="s">
        <v>14</v>
      </c>
      <c r="E532">
        <v>16.7</v>
      </c>
      <c r="F532">
        <v>10.554716981132101</v>
      </c>
      <c r="G532">
        <v>500.42205994456702</v>
      </c>
      <c r="H532">
        <v>137.48159928720301</v>
      </c>
      <c r="I532" s="1">
        <f t="shared" si="17"/>
        <v>120.52699650468213</v>
      </c>
    </row>
    <row r="533" spans="1:9" x14ac:dyDescent="0.45">
      <c r="A533" t="s">
        <v>62</v>
      </c>
      <c r="B533" t="s">
        <v>14</v>
      </c>
      <c r="C533" t="str">
        <f t="shared" si="16"/>
        <v>Texas A&amp;MBaylor</v>
      </c>
      <c r="D533" t="s">
        <v>62</v>
      </c>
      <c r="E533">
        <v>53.6</v>
      </c>
      <c r="F533">
        <v>-0.93962264150943398</v>
      </c>
      <c r="G533">
        <v>-115.41557693357301</v>
      </c>
      <c r="H533">
        <v>138.27939831479699</v>
      </c>
      <c r="I533" s="1">
        <f t="shared" si="17"/>
        <v>131.76087284396115</v>
      </c>
    </row>
    <row r="534" spans="1:9" x14ac:dyDescent="0.45">
      <c r="A534" t="s">
        <v>63</v>
      </c>
      <c r="B534" t="s">
        <v>14</v>
      </c>
      <c r="C534" t="str">
        <f t="shared" si="16"/>
        <v>Texas TechBaylor</v>
      </c>
      <c r="D534" t="s">
        <v>63</v>
      </c>
      <c r="E534">
        <v>69.5</v>
      </c>
      <c r="F534">
        <v>-5.39245283018868</v>
      </c>
      <c r="G534">
        <v>-227.604560529781</v>
      </c>
      <c r="H534">
        <v>139.31918243386099</v>
      </c>
      <c r="I534" s="1">
        <f t="shared" si="17"/>
        <v>146.4021619519942</v>
      </c>
    </row>
    <row r="535" spans="1:9" x14ac:dyDescent="0.45">
      <c r="A535" t="s">
        <v>64</v>
      </c>
      <c r="B535" t="s">
        <v>14</v>
      </c>
      <c r="C535" t="str">
        <f t="shared" si="16"/>
        <v>TroyBaylor</v>
      </c>
      <c r="D535" t="s">
        <v>14</v>
      </c>
      <c r="E535">
        <v>3.1</v>
      </c>
      <c r="F535">
        <v>22.554716981132099</v>
      </c>
      <c r="G535">
        <v>3120.9006610917399</v>
      </c>
      <c r="H535">
        <v>138.02274685359001</v>
      </c>
      <c r="I535" s="1">
        <f t="shared" si="17"/>
        <v>128.14694166860022</v>
      </c>
    </row>
    <row r="536" spans="1:9" x14ac:dyDescent="0.45">
      <c r="A536" t="s">
        <v>65</v>
      </c>
      <c r="B536" t="s">
        <v>14</v>
      </c>
      <c r="C536" t="str">
        <f t="shared" si="16"/>
        <v>UC San DiegoBaylor</v>
      </c>
      <c r="D536" t="s">
        <v>14</v>
      </c>
      <c r="E536">
        <v>7.6</v>
      </c>
      <c r="F536">
        <v>16.396226415094301</v>
      </c>
      <c r="G536">
        <v>1219.36511541291</v>
      </c>
      <c r="H536">
        <v>138.11086859698099</v>
      </c>
      <c r="I536" s="1">
        <f t="shared" si="17"/>
        <v>129.38779147389707</v>
      </c>
    </row>
    <row r="537" spans="1:9" x14ac:dyDescent="0.45">
      <c r="A537" t="s">
        <v>66</v>
      </c>
      <c r="B537" t="s">
        <v>14</v>
      </c>
      <c r="C537" t="str">
        <f t="shared" si="16"/>
        <v>UCLABaylor</v>
      </c>
      <c r="D537" t="s">
        <v>14</v>
      </c>
      <c r="E537">
        <v>24.6</v>
      </c>
      <c r="F537">
        <v>7.3509433962264197</v>
      </c>
      <c r="G537">
        <v>306.85344438671598</v>
      </c>
      <c r="H537">
        <v>137.58232311008999</v>
      </c>
      <c r="I537" s="1">
        <f t="shared" si="17"/>
        <v>121.94529726915435</v>
      </c>
    </row>
    <row r="538" spans="1:9" x14ac:dyDescent="0.45">
      <c r="A538" t="s">
        <v>67</v>
      </c>
      <c r="B538" t="s">
        <v>14</v>
      </c>
      <c r="C538" t="str">
        <f t="shared" si="16"/>
        <v>UNC WilmingtonBaylor</v>
      </c>
      <c r="D538" t="s">
        <v>14</v>
      </c>
      <c r="E538">
        <v>4.7</v>
      </c>
      <c r="F538">
        <v>19.754716981132098</v>
      </c>
      <c r="G538">
        <v>2035.97272637779</v>
      </c>
      <c r="H538">
        <v>138.69733878400999</v>
      </c>
      <c r="I538" s="1">
        <f t="shared" si="17"/>
        <v>137.64592833529034</v>
      </c>
    </row>
    <row r="539" spans="1:9" x14ac:dyDescent="0.45">
      <c r="A539" t="s">
        <v>68</v>
      </c>
      <c r="B539" t="s">
        <v>14</v>
      </c>
      <c r="C539" t="str">
        <f t="shared" si="16"/>
        <v>Utah St.Baylor</v>
      </c>
      <c r="D539" t="s">
        <v>14</v>
      </c>
      <c r="E539">
        <v>19.899999999999999</v>
      </c>
      <c r="F539">
        <v>9.1094339622641503</v>
      </c>
      <c r="G539">
        <v>401.414401987129</v>
      </c>
      <c r="H539">
        <v>138.06870918783699</v>
      </c>
      <c r="I539" s="1">
        <f t="shared" si="17"/>
        <v>128.79414122805863</v>
      </c>
    </row>
    <row r="540" spans="1:9" x14ac:dyDescent="0.45">
      <c r="A540" t="s">
        <v>69</v>
      </c>
      <c r="B540" t="s">
        <v>14</v>
      </c>
      <c r="C540" t="str">
        <f t="shared" si="16"/>
        <v>VanderbiltBaylor</v>
      </c>
      <c r="D540" t="s">
        <v>14</v>
      </c>
      <c r="E540">
        <v>5.0999999999999996</v>
      </c>
      <c r="F540">
        <v>19.2339622641509</v>
      </c>
      <c r="G540">
        <v>1880.1086142665699</v>
      </c>
      <c r="H540">
        <v>136.64327967643499</v>
      </c>
      <c r="I540" s="1">
        <f t="shared" si="17"/>
        <v>108.72254636820823</v>
      </c>
    </row>
    <row r="541" spans="1:9" x14ac:dyDescent="0.45">
      <c r="A541" t="s">
        <v>70</v>
      </c>
      <c r="B541" t="s">
        <v>14</v>
      </c>
      <c r="C541" t="str">
        <f t="shared" si="16"/>
        <v>VCUBaylor</v>
      </c>
      <c r="D541" t="s">
        <v>14</v>
      </c>
      <c r="E541">
        <v>14</v>
      </c>
      <c r="F541">
        <v>11.8867924528302</v>
      </c>
      <c r="G541">
        <v>612.98927612391196</v>
      </c>
      <c r="H541">
        <v>138.488190838311</v>
      </c>
      <c r="I541" s="1">
        <f t="shared" si="17"/>
        <v>134.70089822453366</v>
      </c>
    </row>
    <row r="542" spans="1:9" x14ac:dyDescent="0.45">
      <c r="A542" t="s">
        <v>71</v>
      </c>
      <c r="B542" t="s">
        <v>14</v>
      </c>
      <c r="C542" t="str">
        <f t="shared" si="16"/>
        <v>WisconsinBaylor</v>
      </c>
      <c r="D542" t="s">
        <v>71</v>
      </c>
      <c r="E542">
        <v>66.8</v>
      </c>
      <c r="F542">
        <v>-4.5773584905660396</v>
      </c>
      <c r="G542">
        <v>-200.99624914660899</v>
      </c>
      <c r="H542">
        <v>139.288869693577</v>
      </c>
      <c r="I542" s="1">
        <f t="shared" si="17"/>
        <v>145.97532566355952</v>
      </c>
    </row>
    <row r="543" spans="1:9" x14ac:dyDescent="0.45">
      <c r="A543" t="s">
        <v>80</v>
      </c>
      <c r="B543" t="s">
        <v>14</v>
      </c>
      <c r="C543" t="str">
        <f t="shared" si="16"/>
        <v>WoffordBaylor</v>
      </c>
      <c r="D543" t="s">
        <v>14</v>
      </c>
      <c r="E543">
        <v>1.6</v>
      </c>
      <c r="F543">
        <v>26.807547169811301</v>
      </c>
      <c r="G543">
        <v>5971.5507754445898</v>
      </c>
      <c r="H543">
        <v>137.318325432672</v>
      </c>
      <c r="I543" s="1">
        <f t="shared" si="17"/>
        <v>118.22792339504142</v>
      </c>
    </row>
    <row r="544" spans="1:9" x14ac:dyDescent="0.45">
      <c r="A544" t="s">
        <v>72</v>
      </c>
      <c r="B544" t="s">
        <v>14</v>
      </c>
      <c r="C544" t="str">
        <f t="shared" si="16"/>
        <v>XavierBaylor</v>
      </c>
      <c r="D544" t="s">
        <v>14</v>
      </c>
      <c r="E544">
        <v>13.9</v>
      </c>
      <c r="F544">
        <v>11.962264150943399</v>
      </c>
      <c r="G544">
        <v>620.16547541782404</v>
      </c>
      <c r="H544">
        <v>137.89423900282401</v>
      </c>
      <c r="I544" s="1">
        <f t="shared" si="17"/>
        <v>126.33741163133567</v>
      </c>
    </row>
    <row r="545" spans="1:9" x14ac:dyDescent="0.45">
      <c r="A545" t="s">
        <v>73</v>
      </c>
      <c r="B545" t="s">
        <v>14</v>
      </c>
      <c r="C545" t="str">
        <f t="shared" si="16"/>
        <v>YaleBaylor</v>
      </c>
      <c r="D545" t="s">
        <v>14</v>
      </c>
      <c r="E545">
        <v>8.3000000000000007</v>
      </c>
      <c r="F545">
        <v>15.784905660377399</v>
      </c>
      <c r="G545">
        <v>1111.2689133490201</v>
      </c>
      <c r="H545">
        <v>138.69347363688601</v>
      </c>
      <c r="I545" s="1">
        <f t="shared" si="17"/>
        <v>137.5915028680711</v>
      </c>
    </row>
    <row r="546" spans="1:9" x14ac:dyDescent="0.45">
      <c r="A546" t="s">
        <v>7</v>
      </c>
      <c r="B546" t="s">
        <v>15</v>
      </c>
      <c r="C546" t="str">
        <f t="shared" si="16"/>
        <v>AkronBryant</v>
      </c>
      <c r="D546" t="s">
        <v>7</v>
      </c>
      <c r="E546">
        <v>50.4</v>
      </c>
      <c r="F546">
        <v>-0.105660377358491</v>
      </c>
      <c r="G546">
        <v>-101.61391665307499</v>
      </c>
      <c r="H546">
        <v>137.926941342437</v>
      </c>
      <c r="I546" s="1">
        <f t="shared" si="17"/>
        <v>126.79789607229247</v>
      </c>
    </row>
    <row r="547" spans="1:9" x14ac:dyDescent="0.45">
      <c r="A547" t="s">
        <v>8</v>
      </c>
      <c r="B547" t="s">
        <v>15</v>
      </c>
      <c r="C547" t="str">
        <f t="shared" si="16"/>
        <v>AlabamaBryant</v>
      </c>
      <c r="D547" t="s">
        <v>8</v>
      </c>
      <c r="E547">
        <v>98.7</v>
      </c>
      <c r="F547">
        <v>-28.279245283018899</v>
      </c>
      <c r="G547">
        <v>-7472.68824583474</v>
      </c>
      <c r="H547">
        <v>139.675037354577</v>
      </c>
      <c r="I547" s="1">
        <f t="shared" si="17"/>
        <v>151.41298552507345</v>
      </c>
    </row>
    <row r="548" spans="1:9" x14ac:dyDescent="0.45">
      <c r="A548" t="s">
        <v>9</v>
      </c>
      <c r="B548" t="s">
        <v>15</v>
      </c>
      <c r="C548" t="str">
        <f t="shared" si="16"/>
        <v>Alabama St.Bryant</v>
      </c>
      <c r="D548" t="s">
        <v>15</v>
      </c>
      <c r="E548">
        <v>13.8</v>
      </c>
      <c r="F548">
        <v>12.033962264150899</v>
      </c>
      <c r="G548">
        <v>627.06207609804596</v>
      </c>
      <c r="H548">
        <v>138.15378219825101</v>
      </c>
      <c r="I548" s="1">
        <f t="shared" si="17"/>
        <v>129.99206156356408</v>
      </c>
    </row>
    <row r="549" spans="1:9" x14ac:dyDescent="0.45">
      <c r="A549" t="s">
        <v>10</v>
      </c>
      <c r="B549" t="s">
        <v>15</v>
      </c>
      <c r="C549" t="str">
        <f t="shared" si="16"/>
        <v>AmericanBryant</v>
      </c>
      <c r="D549" t="s">
        <v>15</v>
      </c>
      <c r="E549">
        <v>16.2</v>
      </c>
      <c r="F549">
        <v>10.7698113207547</v>
      </c>
      <c r="G549">
        <v>517.14569774984795</v>
      </c>
      <c r="H549">
        <v>138.244868079855</v>
      </c>
      <c r="I549" s="1">
        <f t="shared" si="17"/>
        <v>131.27464965254603</v>
      </c>
    </row>
    <row r="550" spans="1:9" x14ac:dyDescent="0.45">
      <c r="A550" t="s">
        <v>11</v>
      </c>
      <c r="B550" t="s">
        <v>15</v>
      </c>
      <c r="C550" t="str">
        <f t="shared" si="16"/>
        <v>ArizonaBryant</v>
      </c>
      <c r="D550" t="s">
        <v>11</v>
      </c>
      <c r="E550">
        <v>98.2</v>
      </c>
      <c r="F550">
        <v>-26.037735849056599</v>
      </c>
      <c r="G550">
        <v>-5309.3169824081297</v>
      </c>
      <c r="H550">
        <v>139.43739617356701</v>
      </c>
      <c r="I550" s="1">
        <f t="shared" si="17"/>
        <v>148.06673973101979</v>
      </c>
    </row>
    <row r="551" spans="1:9" x14ac:dyDescent="0.45">
      <c r="A551" t="s">
        <v>12</v>
      </c>
      <c r="B551" t="s">
        <v>15</v>
      </c>
      <c r="C551" t="str">
        <f t="shared" si="16"/>
        <v>ArkansasBryant</v>
      </c>
      <c r="D551" t="s">
        <v>12</v>
      </c>
      <c r="E551">
        <v>76.2</v>
      </c>
      <c r="F551">
        <v>-7.6452830188679197</v>
      </c>
      <c r="G551">
        <v>-321.03361868653502</v>
      </c>
      <c r="H551">
        <v>137.55500000742501</v>
      </c>
      <c r="I551" s="1">
        <f t="shared" si="17"/>
        <v>121.56055832372158</v>
      </c>
    </row>
    <row r="552" spans="1:9" x14ac:dyDescent="0.45">
      <c r="A552" t="s">
        <v>13</v>
      </c>
      <c r="B552" t="s">
        <v>15</v>
      </c>
      <c r="C552" t="str">
        <f t="shared" si="16"/>
        <v>AuburnBryant</v>
      </c>
      <c r="D552" t="s">
        <v>13</v>
      </c>
      <c r="E552">
        <v>99.3</v>
      </c>
      <c r="F552">
        <v>-32.690566037735799</v>
      </c>
      <c r="G552">
        <v>-14644.622631763399</v>
      </c>
      <c r="H552">
        <v>140.69371941268599</v>
      </c>
      <c r="I552" s="1">
        <f t="shared" si="17"/>
        <v>165.75713470804624</v>
      </c>
    </row>
    <row r="553" spans="1:9" x14ac:dyDescent="0.45">
      <c r="A553" t="s">
        <v>14</v>
      </c>
      <c r="B553" t="s">
        <v>15</v>
      </c>
      <c r="C553" t="str">
        <f t="shared" si="16"/>
        <v>BaylorBryant</v>
      </c>
      <c r="D553" t="s">
        <v>14</v>
      </c>
      <c r="E553">
        <v>93.9</v>
      </c>
      <c r="F553">
        <v>-17.9584905660377</v>
      </c>
      <c r="G553">
        <v>-1547.7131990125399</v>
      </c>
      <c r="H553">
        <v>139.22871742541099</v>
      </c>
      <c r="I553" s="1">
        <f t="shared" si="17"/>
        <v>145.12831643099378</v>
      </c>
    </row>
    <row r="554" spans="1:9" x14ac:dyDescent="0.45">
      <c r="A554" t="s">
        <v>15</v>
      </c>
      <c r="B554" t="s">
        <v>15</v>
      </c>
      <c r="C554" t="str">
        <f t="shared" si="16"/>
        <v>BryantBryant</v>
      </c>
      <c r="D554" t="s">
        <v>15</v>
      </c>
      <c r="E554">
        <v>41.2</v>
      </c>
      <c r="F554">
        <v>2.3283018867924499</v>
      </c>
      <c r="G554">
        <v>142.64273539779199</v>
      </c>
      <c r="H554">
        <v>138.77771517530499</v>
      </c>
      <c r="I554" s="1">
        <f t="shared" si="17"/>
        <v>138.77771517530277</v>
      </c>
    </row>
    <row r="555" spans="1:9" x14ac:dyDescent="0.45">
      <c r="A555" t="s">
        <v>16</v>
      </c>
      <c r="B555" t="s">
        <v>15</v>
      </c>
      <c r="C555" t="str">
        <f t="shared" si="16"/>
        <v>BYUBryant</v>
      </c>
      <c r="D555" t="s">
        <v>16</v>
      </c>
      <c r="E555">
        <v>95</v>
      </c>
      <c r="F555">
        <v>-19.252830188679201</v>
      </c>
      <c r="G555">
        <v>-1885.5023124550401</v>
      </c>
      <c r="H555">
        <v>139.038235653529</v>
      </c>
      <c r="I555" s="1">
        <f t="shared" si="17"/>
        <v>142.44612631017796</v>
      </c>
    </row>
    <row r="556" spans="1:9" x14ac:dyDescent="0.45">
      <c r="A556" t="s">
        <v>17</v>
      </c>
      <c r="B556" t="s">
        <v>15</v>
      </c>
      <c r="C556" t="str">
        <f t="shared" si="16"/>
        <v>ClemsonBryant</v>
      </c>
      <c r="D556" t="s">
        <v>17</v>
      </c>
      <c r="E556">
        <v>96</v>
      </c>
      <c r="F556">
        <v>-20.875471698113198</v>
      </c>
      <c r="G556">
        <v>-2415.8980064505399</v>
      </c>
      <c r="H556">
        <v>139.26014750982</v>
      </c>
      <c r="I556" s="1">
        <f t="shared" si="17"/>
        <v>145.57088613761368</v>
      </c>
    </row>
    <row r="557" spans="1:9" x14ac:dyDescent="0.45">
      <c r="A557" t="s">
        <v>18</v>
      </c>
      <c r="B557" t="s">
        <v>15</v>
      </c>
      <c r="C557" t="str">
        <f t="shared" si="16"/>
        <v>Colorado St.Bryant</v>
      </c>
      <c r="D557" t="s">
        <v>18</v>
      </c>
      <c r="E557">
        <v>79.900000000000006</v>
      </c>
      <c r="F557">
        <v>-9.0377358490566007</v>
      </c>
      <c r="G557">
        <v>-396.95115088808802</v>
      </c>
      <c r="H557">
        <v>138.56753935792599</v>
      </c>
      <c r="I557" s="1">
        <f t="shared" si="17"/>
        <v>135.81821151551119</v>
      </c>
    </row>
    <row r="558" spans="1:9" x14ac:dyDescent="0.45">
      <c r="A558" t="s">
        <v>19</v>
      </c>
      <c r="B558" t="s">
        <v>15</v>
      </c>
      <c r="C558" t="str">
        <f t="shared" si="16"/>
        <v>ConnecticutBryant</v>
      </c>
      <c r="D558" t="s">
        <v>19</v>
      </c>
      <c r="E558">
        <v>97.6</v>
      </c>
      <c r="F558">
        <v>-24.339622641509401</v>
      </c>
      <c r="G558">
        <v>-4097.6428853288098</v>
      </c>
      <c r="H558">
        <v>139.203091260262</v>
      </c>
      <c r="I558" s="1">
        <f t="shared" si="17"/>
        <v>144.76747220785413</v>
      </c>
    </row>
    <row r="559" spans="1:9" x14ac:dyDescent="0.45">
      <c r="A559" t="s">
        <v>20</v>
      </c>
      <c r="B559" t="s">
        <v>15</v>
      </c>
      <c r="C559" t="str">
        <f t="shared" si="16"/>
        <v>CreightonBryant</v>
      </c>
      <c r="D559" t="s">
        <v>20</v>
      </c>
      <c r="E559">
        <v>92.7</v>
      </c>
      <c r="F559">
        <v>-16.649056603773602</v>
      </c>
      <c r="G559">
        <v>-1267.5178359650699</v>
      </c>
      <c r="H559">
        <v>138.67603362252501</v>
      </c>
      <c r="I559" s="1">
        <f t="shared" si="17"/>
        <v>137.34592853429737</v>
      </c>
    </row>
    <row r="560" spans="1:9" x14ac:dyDescent="0.45">
      <c r="A560" t="s">
        <v>21</v>
      </c>
      <c r="B560" t="s">
        <v>15</v>
      </c>
      <c r="C560" t="str">
        <f t="shared" si="16"/>
        <v>DrakeBryant</v>
      </c>
      <c r="D560" t="s">
        <v>21</v>
      </c>
      <c r="E560">
        <v>79.8</v>
      </c>
      <c r="F560">
        <v>-8.98867924528302</v>
      </c>
      <c r="G560">
        <v>-393.89382081227302</v>
      </c>
      <c r="H560">
        <v>138.72949872667999</v>
      </c>
      <c r="I560" s="1">
        <f t="shared" si="17"/>
        <v>138.09877523850443</v>
      </c>
    </row>
    <row r="561" spans="1:9" x14ac:dyDescent="0.45">
      <c r="A561" t="s">
        <v>22</v>
      </c>
      <c r="B561" t="s">
        <v>15</v>
      </c>
      <c r="C561" t="str">
        <f t="shared" si="16"/>
        <v>DukeBryant</v>
      </c>
      <c r="D561" t="s">
        <v>22</v>
      </c>
      <c r="E561">
        <v>99.5</v>
      </c>
      <c r="F561">
        <v>-35.200000000000003</v>
      </c>
      <c r="G561">
        <v>-21472.746860034698</v>
      </c>
      <c r="H561">
        <v>141.016819188136</v>
      </c>
      <c r="I561" s="1">
        <f t="shared" si="17"/>
        <v>170.30673027925241</v>
      </c>
    </row>
    <row r="562" spans="1:9" x14ac:dyDescent="0.45">
      <c r="A562" t="s">
        <v>23</v>
      </c>
      <c r="B562" t="s">
        <v>15</v>
      </c>
      <c r="C562" t="str">
        <f t="shared" si="16"/>
        <v>FloridaBryant</v>
      </c>
      <c r="D562" t="s">
        <v>23</v>
      </c>
      <c r="E562">
        <v>99.2</v>
      </c>
      <c r="F562">
        <v>-31.2981132075472</v>
      </c>
      <c r="G562">
        <v>-11845.161292602899</v>
      </c>
      <c r="H562">
        <v>140.74057546407801</v>
      </c>
      <c r="I562" s="1">
        <f t="shared" si="17"/>
        <v>166.41691877505897</v>
      </c>
    </row>
    <row r="563" spans="1:9" x14ac:dyDescent="0.45">
      <c r="A563" t="s">
        <v>24</v>
      </c>
      <c r="B563" t="s">
        <v>15</v>
      </c>
      <c r="C563" t="str">
        <f t="shared" si="16"/>
        <v>GeorgiaBryant</v>
      </c>
      <c r="D563" t="s">
        <v>24</v>
      </c>
      <c r="E563">
        <v>81.7</v>
      </c>
      <c r="F563">
        <v>-9.7924528301886795</v>
      </c>
      <c r="G563">
        <v>-445.35491202446002</v>
      </c>
      <c r="H563">
        <v>137.882388988423</v>
      </c>
      <c r="I563" s="1">
        <f t="shared" si="17"/>
        <v>126.17055056508312</v>
      </c>
    </row>
    <row r="564" spans="1:9" x14ac:dyDescent="0.45">
      <c r="A564" t="s">
        <v>25</v>
      </c>
      <c r="B564" t="s">
        <v>15</v>
      </c>
      <c r="C564" t="str">
        <f t="shared" si="16"/>
        <v>GonzagaBryant</v>
      </c>
      <c r="D564" t="s">
        <v>25</v>
      </c>
      <c r="E564">
        <v>96.2</v>
      </c>
      <c r="F564">
        <v>-21.1207547169811</v>
      </c>
      <c r="G564">
        <v>-2506.8451261155201</v>
      </c>
      <c r="H564">
        <v>140.02003010795099</v>
      </c>
      <c r="I564" s="1">
        <f t="shared" si="17"/>
        <v>156.27085799082323</v>
      </c>
    </row>
    <row r="565" spans="1:9" x14ac:dyDescent="0.45">
      <c r="A565" t="s">
        <v>26</v>
      </c>
      <c r="B565" t="s">
        <v>15</v>
      </c>
      <c r="C565" t="str">
        <f t="shared" si="16"/>
        <v>Grand CanyonBryant</v>
      </c>
      <c r="D565" t="s">
        <v>26</v>
      </c>
      <c r="E565">
        <v>71</v>
      </c>
      <c r="F565">
        <v>-5.8679245283018897</v>
      </c>
      <c r="G565">
        <v>-244.81888036436999</v>
      </c>
      <c r="H565">
        <v>138.67199835425501</v>
      </c>
      <c r="I565" s="1">
        <f t="shared" si="17"/>
        <v>137.28910757667131</v>
      </c>
    </row>
    <row r="566" spans="1:9" x14ac:dyDescent="0.45">
      <c r="A566" t="s">
        <v>27</v>
      </c>
      <c r="B566" t="s">
        <v>15</v>
      </c>
      <c r="C566" t="str">
        <f t="shared" si="16"/>
        <v>High PointBryant</v>
      </c>
      <c r="D566" t="s">
        <v>27</v>
      </c>
      <c r="E566">
        <v>61.6</v>
      </c>
      <c r="F566">
        <v>-3.0981132075471698</v>
      </c>
      <c r="G566">
        <v>-160.386879832624</v>
      </c>
      <c r="H566">
        <v>138.95289010191101</v>
      </c>
      <c r="I566" s="1">
        <f t="shared" si="17"/>
        <v>141.24436829867031</v>
      </c>
    </row>
    <row r="567" spans="1:9" x14ac:dyDescent="0.45">
      <c r="A567" t="s">
        <v>28</v>
      </c>
      <c r="B567" t="s">
        <v>15</v>
      </c>
      <c r="C567" t="str">
        <f t="shared" si="16"/>
        <v>HoustonBryant</v>
      </c>
      <c r="D567" t="s">
        <v>28</v>
      </c>
      <c r="E567">
        <v>99.7</v>
      </c>
      <c r="F567">
        <v>-38.713207547169802</v>
      </c>
      <c r="G567">
        <v>-36700.742483018897</v>
      </c>
      <c r="H567">
        <v>141.160483537765</v>
      </c>
      <c r="I567" s="1">
        <f t="shared" si="17"/>
        <v>172.32968027326586</v>
      </c>
    </row>
    <row r="568" spans="1:9" x14ac:dyDescent="0.45">
      <c r="A568" t="s">
        <v>29</v>
      </c>
      <c r="B568" t="s">
        <v>15</v>
      </c>
      <c r="C568" t="str">
        <f t="shared" si="16"/>
        <v>IllinoisBryant</v>
      </c>
      <c r="D568" t="s">
        <v>29</v>
      </c>
      <c r="E568">
        <v>97.3</v>
      </c>
      <c r="F568">
        <v>-23.6</v>
      </c>
      <c r="G568">
        <v>-3660.76796437655</v>
      </c>
      <c r="H568">
        <v>139.210728691702</v>
      </c>
      <c r="I568" s="1">
        <f t="shared" si="17"/>
        <v>144.87501553315181</v>
      </c>
    </row>
    <row r="569" spans="1:9" x14ac:dyDescent="0.45">
      <c r="A569" t="s">
        <v>30</v>
      </c>
      <c r="B569" t="s">
        <v>15</v>
      </c>
      <c r="C569" t="str">
        <f t="shared" si="16"/>
        <v>Iowa St.Bryant</v>
      </c>
      <c r="D569" t="s">
        <v>30</v>
      </c>
      <c r="E569">
        <v>98.7</v>
      </c>
      <c r="F569">
        <v>-28.4830188679245</v>
      </c>
      <c r="G569">
        <v>-7711.0333481994003</v>
      </c>
      <c r="H569">
        <v>140.13699727005999</v>
      </c>
      <c r="I569" s="1">
        <f t="shared" si="17"/>
        <v>157.91788260409174</v>
      </c>
    </row>
    <row r="570" spans="1:9" x14ac:dyDescent="0.45">
      <c r="A570" t="s">
        <v>31</v>
      </c>
      <c r="B570" t="s">
        <v>15</v>
      </c>
      <c r="C570" t="str">
        <f t="shared" si="16"/>
        <v>KansasBryant</v>
      </c>
      <c r="D570" t="s">
        <v>31</v>
      </c>
      <c r="E570">
        <v>95.7</v>
      </c>
      <c r="F570">
        <v>-20.381132075471701</v>
      </c>
      <c r="G570">
        <v>-2240.27377338729</v>
      </c>
      <c r="H570">
        <v>139.09238755437201</v>
      </c>
      <c r="I570" s="1">
        <f t="shared" si="17"/>
        <v>143.2086438572874</v>
      </c>
    </row>
    <row r="571" spans="1:9" x14ac:dyDescent="0.45">
      <c r="A571" t="s">
        <v>32</v>
      </c>
      <c r="B571" t="s">
        <v>15</v>
      </c>
      <c r="C571" t="str">
        <f t="shared" si="16"/>
        <v>KentuckyBryant</v>
      </c>
      <c r="D571" t="s">
        <v>32</v>
      </c>
      <c r="E571">
        <v>97.4</v>
      </c>
      <c r="F571">
        <v>-23.811320754716998</v>
      </c>
      <c r="G571">
        <v>-3779.2920916788999</v>
      </c>
      <c r="H571">
        <v>139.03942515476399</v>
      </c>
      <c r="I571" s="1">
        <f t="shared" si="17"/>
        <v>142.46287577879988</v>
      </c>
    </row>
    <row r="572" spans="1:9" x14ac:dyDescent="0.45">
      <c r="A572" t="s">
        <v>33</v>
      </c>
      <c r="B572" t="s">
        <v>15</v>
      </c>
      <c r="C572" t="str">
        <f t="shared" si="16"/>
        <v>LibertyBryant</v>
      </c>
      <c r="D572" t="s">
        <v>33</v>
      </c>
      <c r="E572">
        <v>51.2</v>
      </c>
      <c r="F572">
        <v>-0.320754716981132</v>
      </c>
      <c r="G572">
        <v>-105.014768774478</v>
      </c>
      <c r="H572">
        <v>138.24836140316299</v>
      </c>
      <c r="I572" s="1">
        <f t="shared" si="17"/>
        <v>131.32383943681219</v>
      </c>
    </row>
    <row r="573" spans="1:9" x14ac:dyDescent="0.45">
      <c r="A573" t="s">
        <v>34</v>
      </c>
      <c r="B573" t="s">
        <v>15</v>
      </c>
      <c r="C573" t="str">
        <f t="shared" si="16"/>
        <v>LipscombBryant</v>
      </c>
      <c r="D573" t="s">
        <v>15</v>
      </c>
      <c r="E573">
        <v>44.6</v>
      </c>
      <c r="F573">
        <v>1.4226415094339599</v>
      </c>
      <c r="G573">
        <v>124.216551691185</v>
      </c>
      <c r="H573">
        <v>138.68028163442099</v>
      </c>
      <c r="I573" s="1">
        <f t="shared" si="17"/>
        <v>137.4057451531157</v>
      </c>
    </row>
    <row r="574" spans="1:9" x14ac:dyDescent="0.45">
      <c r="A574" t="s">
        <v>35</v>
      </c>
      <c r="B574" t="s">
        <v>15</v>
      </c>
      <c r="C574" t="str">
        <f t="shared" si="16"/>
        <v>LouisvilleBryant</v>
      </c>
      <c r="D574" t="s">
        <v>35</v>
      </c>
      <c r="E574">
        <v>67.099999999999994</v>
      </c>
      <c r="F574">
        <v>-4.6867924528301899</v>
      </c>
      <c r="G574">
        <v>-204.37783891897601</v>
      </c>
      <c r="H574">
        <v>137.96600494638901</v>
      </c>
      <c r="I574" s="1">
        <f t="shared" si="17"/>
        <v>127.3479540204537</v>
      </c>
    </row>
    <row r="575" spans="1:9" x14ac:dyDescent="0.45">
      <c r="A575" t="s">
        <v>36</v>
      </c>
      <c r="B575" t="s">
        <v>15</v>
      </c>
      <c r="C575" t="str">
        <f t="shared" si="16"/>
        <v>MarquetteBryant</v>
      </c>
      <c r="D575" t="s">
        <v>36</v>
      </c>
      <c r="E575">
        <v>96.6</v>
      </c>
      <c r="F575">
        <v>-22.030188679245299</v>
      </c>
      <c r="G575">
        <v>-2880.97313680768</v>
      </c>
      <c r="H575">
        <v>139.297761581294</v>
      </c>
      <c r="I575" s="1">
        <f t="shared" si="17"/>
        <v>146.1005330949809</v>
      </c>
    </row>
    <row r="576" spans="1:9" x14ac:dyDescent="0.45">
      <c r="A576" t="s">
        <v>37</v>
      </c>
      <c r="B576" t="s">
        <v>15</v>
      </c>
      <c r="C576" t="str">
        <f t="shared" si="16"/>
        <v>MarylandBryant</v>
      </c>
      <c r="D576" t="s">
        <v>37</v>
      </c>
      <c r="E576">
        <v>95.1</v>
      </c>
      <c r="F576">
        <v>-19.486792452830201</v>
      </c>
      <c r="G576">
        <v>-1954.3162837489599</v>
      </c>
      <c r="H576">
        <v>138.907700892972</v>
      </c>
      <c r="I576" s="1">
        <f t="shared" si="17"/>
        <v>140.60805518279497</v>
      </c>
    </row>
    <row r="577" spans="1:9" x14ac:dyDescent="0.45">
      <c r="A577" t="s">
        <v>38</v>
      </c>
      <c r="B577" t="s">
        <v>15</v>
      </c>
      <c r="C577" t="str">
        <f t="shared" si="16"/>
        <v>McNeese St.Bryant</v>
      </c>
      <c r="D577" t="s">
        <v>38</v>
      </c>
      <c r="E577">
        <v>77.7</v>
      </c>
      <c r="F577">
        <v>-8.1773584905660393</v>
      </c>
      <c r="G577">
        <v>-348.21356793321303</v>
      </c>
      <c r="H577">
        <v>138.743112507174</v>
      </c>
      <c r="I577" s="1">
        <f t="shared" si="17"/>
        <v>138.29047204595861</v>
      </c>
    </row>
    <row r="578" spans="1:9" x14ac:dyDescent="0.45">
      <c r="A578" t="s">
        <v>39</v>
      </c>
      <c r="B578" t="s">
        <v>15</v>
      </c>
      <c r="C578" t="str">
        <f t="shared" si="16"/>
        <v>MemphisBryant</v>
      </c>
      <c r="D578" t="s">
        <v>39</v>
      </c>
      <c r="E578">
        <v>90.9</v>
      </c>
      <c r="F578">
        <v>-15.101886792452801</v>
      </c>
      <c r="G578">
        <v>-1000.98679044575</v>
      </c>
      <c r="H578">
        <v>137.88533570599199</v>
      </c>
      <c r="I578" s="1">
        <f t="shared" si="17"/>
        <v>126.21204354718995</v>
      </c>
    </row>
    <row r="579" spans="1:9" x14ac:dyDescent="0.45">
      <c r="A579" t="s">
        <v>40</v>
      </c>
      <c r="B579" t="s">
        <v>15</v>
      </c>
      <c r="C579" t="str">
        <f t="shared" ref="C579:C642" si="18">A579&amp;B579</f>
        <v>MichiganBryant</v>
      </c>
      <c r="D579" t="s">
        <v>40</v>
      </c>
      <c r="E579">
        <v>84.1</v>
      </c>
      <c r="F579">
        <v>-10.913207547169799</v>
      </c>
      <c r="G579">
        <v>-528.39573900428002</v>
      </c>
      <c r="H579">
        <v>137.542256790675</v>
      </c>
      <c r="I579" s="1">
        <f t="shared" ref="I579:I642" si="19">18*(H579-AVERAGE($H$2:$H$4625))/_xlfn.STDEV.P($H$2:$H$4625)+AVERAGE($H$2:$H$4625)</f>
        <v>121.38111999880161</v>
      </c>
    </row>
    <row r="580" spans="1:9" x14ac:dyDescent="0.45">
      <c r="A580" t="s">
        <v>41</v>
      </c>
      <c r="B580" t="s">
        <v>15</v>
      </c>
      <c r="C580" t="str">
        <f t="shared" si="18"/>
        <v>Michigan St.Bryant</v>
      </c>
      <c r="D580" t="s">
        <v>41</v>
      </c>
      <c r="E580">
        <v>98.1</v>
      </c>
      <c r="F580">
        <v>-25.735849056603801</v>
      </c>
      <c r="G580">
        <v>-5070.29399360754</v>
      </c>
      <c r="H580">
        <v>139.241148751504</v>
      </c>
      <c r="I580" s="1">
        <f t="shared" si="19"/>
        <v>145.30336299689804</v>
      </c>
    </row>
    <row r="581" spans="1:9" x14ac:dyDescent="0.45">
      <c r="A581" t="s">
        <v>42</v>
      </c>
      <c r="B581" t="s">
        <v>15</v>
      </c>
      <c r="C581" t="str">
        <f t="shared" si="18"/>
        <v>MississippiBryant</v>
      </c>
      <c r="D581" t="s">
        <v>42</v>
      </c>
      <c r="E581">
        <v>92.9</v>
      </c>
      <c r="F581">
        <v>-16.826415094339598</v>
      </c>
      <c r="G581">
        <v>-1302.3096290778001</v>
      </c>
      <c r="H581">
        <v>138.37206985659901</v>
      </c>
      <c r="I581" s="1">
        <f t="shared" si="19"/>
        <v>133.06578874980511</v>
      </c>
    </row>
    <row r="582" spans="1:9" x14ac:dyDescent="0.45">
      <c r="A582" t="s">
        <v>43</v>
      </c>
      <c r="B582" t="s">
        <v>15</v>
      </c>
      <c r="C582" t="str">
        <f t="shared" si="18"/>
        <v>Mississippi St.Bryant</v>
      </c>
      <c r="D582" t="s">
        <v>43</v>
      </c>
      <c r="E582">
        <v>90.8</v>
      </c>
      <c r="F582">
        <v>-14.977358490566001</v>
      </c>
      <c r="G582">
        <v>-982.252108396994</v>
      </c>
      <c r="H582">
        <v>138.49644121038801</v>
      </c>
      <c r="I582" s="1">
        <f t="shared" si="19"/>
        <v>134.81707241936283</v>
      </c>
    </row>
    <row r="583" spans="1:9" x14ac:dyDescent="0.45">
      <c r="A583" t="s">
        <v>44</v>
      </c>
      <c r="B583" t="s">
        <v>15</v>
      </c>
      <c r="C583" t="str">
        <f t="shared" si="18"/>
        <v>MissouriBryant</v>
      </c>
      <c r="D583" t="s">
        <v>44</v>
      </c>
      <c r="E583">
        <v>81.099999999999994</v>
      </c>
      <c r="F583">
        <v>-9.5622641509434008</v>
      </c>
      <c r="G583">
        <v>-430.15406235916299</v>
      </c>
      <c r="H583">
        <v>137.76091314656199</v>
      </c>
      <c r="I583" s="1">
        <f t="shared" si="19"/>
        <v>124.46003884662196</v>
      </c>
    </row>
    <row r="584" spans="1:9" x14ac:dyDescent="0.45">
      <c r="A584" t="s">
        <v>45</v>
      </c>
      <c r="B584" t="s">
        <v>15</v>
      </c>
      <c r="C584" t="str">
        <f t="shared" si="18"/>
        <v>MontanaBryant</v>
      </c>
      <c r="D584" t="s">
        <v>15</v>
      </c>
      <c r="E584">
        <v>29.6</v>
      </c>
      <c r="F584">
        <v>5.6943396226415102</v>
      </c>
      <c r="G584">
        <v>238.324144797012</v>
      </c>
      <c r="H584">
        <v>137.069647871581</v>
      </c>
      <c r="I584" s="1">
        <f t="shared" si="19"/>
        <v>114.72627338918112</v>
      </c>
    </row>
    <row r="585" spans="1:9" x14ac:dyDescent="0.45">
      <c r="A585" t="s">
        <v>46</v>
      </c>
      <c r="B585" t="s">
        <v>15</v>
      </c>
      <c r="C585" t="str">
        <f t="shared" si="18"/>
        <v>Mount St. Mary'sBryant</v>
      </c>
      <c r="D585" t="s">
        <v>15</v>
      </c>
      <c r="E585">
        <v>14.2</v>
      </c>
      <c r="F585">
        <v>11.807547169811301</v>
      </c>
      <c r="G585">
        <v>605.85505969293797</v>
      </c>
      <c r="H585">
        <v>138.41752209352799</v>
      </c>
      <c r="I585" s="1">
        <f t="shared" si="19"/>
        <v>133.70580558530273</v>
      </c>
    </row>
    <row r="586" spans="1:9" x14ac:dyDescent="0.45">
      <c r="A586" t="s">
        <v>47</v>
      </c>
      <c r="B586" t="s">
        <v>15</v>
      </c>
      <c r="C586" t="str">
        <f t="shared" si="18"/>
        <v>Nebraska OmahaBryant</v>
      </c>
      <c r="D586" t="s">
        <v>15</v>
      </c>
      <c r="E586">
        <v>17.7</v>
      </c>
      <c r="F586">
        <v>10.094339622641501</v>
      </c>
      <c r="G586">
        <v>466.33539051535701</v>
      </c>
      <c r="H586">
        <v>137.70152327342799</v>
      </c>
      <c r="I586" s="1">
        <f t="shared" si="19"/>
        <v>123.62376496370578</v>
      </c>
    </row>
    <row r="587" spans="1:9" x14ac:dyDescent="0.45">
      <c r="A587" t="s">
        <v>48</v>
      </c>
      <c r="B587" t="s">
        <v>15</v>
      </c>
      <c r="C587" t="str">
        <f t="shared" si="18"/>
        <v>New MexicoBryant</v>
      </c>
      <c r="D587" t="s">
        <v>48</v>
      </c>
      <c r="E587">
        <v>84.6</v>
      </c>
      <c r="F587">
        <v>-11.154716981132101</v>
      </c>
      <c r="G587">
        <v>-548.19762700779802</v>
      </c>
      <c r="H587">
        <v>138.579267620704</v>
      </c>
      <c r="I587" s="1">
        <f t="shared" si="19"/>
        <v>135.98335818674749</v>
      </c>
    </row>
    <row r="588" spans="1:9" x14ac:dyDescent="0.45">
      <c r="A588" t="s">
        <v>49</v>
      </c>
      <c r="B588" t="s">
        <v>15</v>
      </c>
      <c r="C588" t="str">
        <f t="shared" si="18"/>
        <v>Norfolk St.Bryant</v>
      </c>
      <c r="D588" t="s">
        <v>15</v>
      </c>
      <c r="E588">
        <v>24</v>
      </c>
      <c r="F588">
        <v>7.5622641509433999</v>
      </c>
      <c r="G588">
        <v>316.89525765700398</v>
      </c>
      <c r="H588">
        <v>137.59163128290501</v>
      </c>
      <c r="I588" s="1">
        <f t="shared" si="19"/>
        <v>122.07636644664382</v>
      </c>
    </row>
    <row r="589" spans="1:9" x14ac:dyDescent="0.45">
      <c r="A589" t="s">
        <v>50</v>
      </c>
      <c r="B589" t="s">
        <v>15</v>
      </c>
      <c r="C589" t="str">
        <f t="shared" si="18"/>
        <v>North CarolinaBryant</v>
      </c>
      <c r="D589" t="s">
        <v>50</v>
      </c>
      <c r="E589">
        <v>94.9</v>
      </c>
      <c r="F589">
        <v>-19.196226415094301</v>
      </c>
      <c r="G589">
        <v>-1869.08987237115</v>
      </c>
      <c r="H589">
        <v>139.663562714861</v>
      </c>
      <c r="I589" s="1">
        <f t="shared" si="19"/>
        <v>151.2514101418644</v>
      </c>
    </row>
    <row r="590" spans="1:9" x14ac:dyDescent="0.45">
      <c r="A590" t="s">
        <v>51</v>
      </c>
      <c r="B590" t="s">
        <v>15</v>
      </c>
      <c r="C590" t="str">
        <f t="shared" si="18"/>
        <v>OklahomaBryant</v>
      </c>
      <c r="D590" t="s">
        <v>51</v>
      </c>
      <c r="E590">
        <v>86</v>
      </c>
      <c r="F590">
        <v>-11.8867924528302</v>
      </c>
      <c r="G590">
        <v>-613.22755632103701</v>
      </c>
      <c r="H590">
        <v>138.006166010366</v>
      </c>
      <c r="I590" s="1">
        <f t="shared" si="19"/>
        <v>127.91346539708708</v>
      </c>
    </row>
    <row r="591" spans="1:9" x14ac:dyDescent="0.45">
      <c r="A591" t="s">
        <v>52</v>
      </c>
      <c r="B591" t="s">
        <v>15</v>
      </c>
      <c r="C591" t="str">
        <f t="shared" si="18"/>
        <v>OregonBryant</v>
      </c>
      <c r="D591" t="s">
        <v>52</v>
      </c>
      <c r="E591">
        <v>95.3</v>
      </c>
      <c r="F591">
        <v>-19.713207547169802</v>
      </c>
      <c r="G591">
        <v>-2023.2337871679899</v>
      </c>
      <c r="H591">
        <v>138.60054379850601</v>
      </c>
      <c r="I591" s="1">
        <f t="shared" si="19"/>
        <v>136.2829498660218</v>
      </c>
    </row>
    <row r="592" spans="1:9" x14ac:dyDescent="0.45">
      <c r="A592" t="s">
        <v>53</v>
      </c>
      <c r="B592" t="s">
        <v>15</v>
      </c>
      <c r="C592" t="str">
        <f t="shared" si="18"/>
        <v>PurdueBryant</v>
      </c>
      <c r="D592" t="s">
        <v>53</v>
      </c>
      <c r="E592">
        <v>99.1</v>
      </c>
      <c r="F592">
        <v>-30.622641509434001</v>
      </c>
      <c r="G592">
        <v>-10686.9490607672</v>
      </c>
      <c r="H592">
        <v>139.94853112729501</v>
      </c>
      <c r="I592" s="1">
        <f t="shared" si="19"/>
        <v>155.26407472925916</v>
      </c>
    </row>
    <row r="593" spans="1:9" x14ac:dyDescent="0.45">
      <c r="A593" t="s">
        <v>54</v>
      </c>
      <c r="B593" t="s">
        <v>15</v>
      </c>
      <c r="C593" t="str">
        <f t="shared" si="18"/>
        <v>Robert MorrisBryant</v>
      </c>
      <c r="D593" t="s">
        <v>15</v>
      </c>
      <c r="E593">
        <v>11.6</v>
      </c>
      <c r="F593">
        <v>13.316981132075499</v>
      </c>
      <c r="G593">
        <v>762.65345519661105</v>
      </c>
      <c r="H593">
        <v>137.00716797605801</v>
      </c>
      <c r="I593" s="1">
        <f t="shared" si="19"/>
        <v>113.84648863673155</v>
      </c>
    </row>
    <row r="594" spans="1:9" x14ac:dyDescent="0.45">
      <c r="A594" t="s">
        <v>55</v>
      </c>
      <c r="B594" t="s">
        <v>15</v>
      </c>
      <c r="C594" t="str">
        <f t="shared" si="18"/>
        <v>Saint FrancisBryant</v>
      </c>
      <c r="D594" t="s">
        <v>15</v>
      </c>
      <c r="E594">
        <v>8</v>
      </c>
      <c r="F594">
        <v>16.045283018867899</v>
      </c>
      <c r="G594">
        <v>1155.95828661682</v>
      </c>
      <c r="H594">
        <v>138.06002350926499</v>
      </c>
      <c r="I594" s="1">
        <f t="shared" si="19"/>
        <v>128.67183744524411</v>
      </c>
    </row>
    <row r="595" spans="1:9" x14ac:dyDescent="0.45">
      <c r="A595" t="s">
        <v>56</v>
      </c>
      <c r="B595" t="s">
        <v>15</v>
      </c>
      <c r="C595" t="str">
        <f t="shared" si="18"/>
        <v>Saint Mary'sBryant</v>
      </c>
      <c r="D595" t="s">
        <v>56</v>
      </c>
      <c r="E595">
        <v>94.5</v>
      </c>
      <c r="F595">
        <v>-18.671698113207501</v>
      </c>
      <c r="G595">
        <v>-1725.6054846330801</v>
      </c>
      <c r="H595">
        <v>139.311278710355</v>
      </c>
      <c r="I595" s="1">
        <f t="shared" si="19"/>
        <v>146.29086894534075</v>
      </c>
    </row>
    <row r="596" spans="1:9" x14ac:dyDescent="0.45">
      <c r="A596" t="s">
        <v>57</v>
      </c>
      <c r="B596" t="s">
        <v>15</v>
      </c>
      <c r="C596" t="str">
        <f t="shared" si="18"/>
        <v>San Diego St.Bryant</v>
      </c>
      <c r="D596" t="s">
        <v>57</v>
      </c>
      <c r="E596">
        <v>83.4</v>
      </c>
      <c r="F596">
        <v>-10.577358490566001</v>
      </c>
      <c r="G596">
        <v>-502.11179848634299</v>
      </c>
      <c r="H596">
        <v>138.45753359015299</v>
      </c>
      <c r="I596" s="1">
        <f t="shared" si="19"/>
        <v>134.26921089126088</v>
      </c>
    </row>
    <row r="597" spans="1:9" x14ac:dyDescent="0.45">
      <c r="A597" t="s">
        <v>58</v>
      </c>
      <c r="B597" t="s">
        <v>15</v>
      </c>
      <c r="C597" t="str">
        <f t="shared" si="18"/>
        <v>SIU EdwardsvilleBryant</v>
      </c>
      <c r="D597" t="s">
        <v>15</v>
      </c>
      <c r="E597">
        <v>20.2</v>
      </c>
      <c r="F597">
        <v>9.0188679245282994</v>
      </c>
      <c r="G597">
        <v>395.89183285401202</v>
      </c>
      <c r="H597">
        <v>138.605221357001</v>
      </c>
      <c r="I597" s="1">
        <f t="shared" si="19"/>
        <v>136.34881496723773</v>
      </c>
    </row>
    <row r="598" spans="1:9" x14ac:dyDescent="0.45">
      <c r="A598" t="s">
        <v>59</v>
      </c>
      <c r="B598" t="s">
        <v>15</v>
      </c>
      <c r="C598" t="str">
        <f t="shared" si="18"/>
        <v>St. John'sBryant</v>
      </c>
      <c r="D598" t="s">
        <v>59</v>
      </c>
      <c r="E598">
        <v>98.2</v>
      </c>
      <c r="F598">
        <v>-26.139622641509401</v>
      </c>
      <c r="G598">
        <v>-5390.5237663128801</v>
      </c>
      <c r="H598">
        <v>139.58290412954599</v>
      </c>
      <c r="I598" s="1">
        <f t="shared" si="19"/>
        <v>150.11564970372169</v>
      </c>
    </row>
    <row r="599" spans="1:9" x14ac:dyDescent="0.45">
      <c r="A599" t="s">
        <v>60</v>
      </c>
      <c r="B599" t="s">
        <v>15</v>
      </c>
      <c r="C599" t="str">
        <f t="shared" si="18"/>
        <v>TennesseeBryant</v>
      </c>
      <c r="D599" t="s">
        <v>60</v>
      </c>
      <c r="E599">
        <v>99.1</v>
      </c>
      <c r="F599">
        <v>-30.683018867924499</v>
      </c>
      <c r="G599">
        <v>-10783.764956781901</v>
      </c>
      <c r="H599">
        <v>140.176887006237</v>
      </c>
      <c r="I599" s="1">
        <f t="shared" si="19"/>
        <v>158.47957339076814</v>
      </c>
    </row>
    <row r="600" spans="1:9" x14ac:dyDescent="0.45">
      <c r="A600" t="s">
        <v>61</v>
      </c>
      <c r="B600" t="s">
        <v>15</v>
      </c>
      <c r="C600" t="str">
        <f t="shared" si="18"/>
        <v>TexasBryant</v>
      </c>
      <c r="D600" t="s">
        <v>61</v>
      </c>
      <c r="E600">
        <v>81.5</v>
      </c>
      <c r="F600">
        <v>-9.7283018867924493</v>
      </c>
      <c r="G600">
        <v>-441.16769021507702</v>
      </c>
      <c r="H600">
        <v>137.93260153730901</v>
      </c>
      <c r="I600" s="1">
        <f t="shared" si="19"/>
        <v>126.87759776037313</v>
      </c>
    </row>
    <row r="601" spans="1:9" x14ac:dyDescent="0.45">
      <c r="A601" t="s">
        <v>62</v>
      </c>
      <c r="B601" t="s">
        <v>15</v>
      </c>
      <c r="C601" t="str">
        <f t="shared" si="18"/>
        <v>Texas A&amp;MBryant</v>
      </c>
      <c r="D601" t="s">
        <v>62</v>
      </c>
      <c r="E601">
        <v>96.2</v>
      </c>
      <c r="F601">
        <v>-21.2264150943396</v>
      </c>
      <c r="G601">
        <v>-2548.0302034660399</v>
      </c>
      <c r="H601">
        <v>138.73040056490299</v>
      </c>
      <c r="I601" s="1">
        <f t="shared" si="19"/>
        <v>138.11147409965218</v>
      </c>
    </row>
    <row r="602" spans="1:9" x14ac:dyDescent="0.45">
      <c r="A602" t="s">
        <v>63</v>
      </c>
      <c r="B602" t="s">
        <v>15</v>
      </c>
      <c r="C602" t="str">
        <f t="shared" si="18"/>
        <v>Texas TechBryant</v>
      </c>
      <c r="D602" t="s">
        <v>63</v>
      </c>
      <c r="E602">
        <v>98</v>
      </c>
      <c r="F602">
        <v>-25.675471698113199</v>
      </c>
      <c r="G602">
        <v>-5024.8268915233102</v>
      </c>
      <c r="H602">
        <v>139.77018468396699</v>
      </c>
      <c r="I602" s="1">
        <f t="shared" si="19"/>
        <v>152.75276320768521</v>
      </c>
    </row>
    <row r="603" spans="1:9" x14ac:dyDescent="0.45">
      <c r="A603" t="s">
        <v>64</v>
      </c>
      <c r="B603" t="s">
        <v>15</v>
      </c>
      <c r="C603" t="str">
        <f t="shared" si="18"/>
        <v>TroyBryant</v>
      </c>
      <c r="D603" t="s">
        <v>15</v>
      </c>
      <c r="E603">
        <v>41.4</v>
      </c>
      <c r="F603">
        <v>2.2679245283018901</v>
      </c>
      <c r="G603">
        <v>141.36431737045299</v>
      </c>
      <c r="H603">
        <v>138.47374910369601</v>
      </c>
      <c r="I603" s="1">
        <f t="shared" si="19"/>
        <v>134.49754292429122</v>
      </c>
    </row>
    <row r="604" spans="1:9" x14ac:dyDescent="0.45">
      <c r="A604" t="s">
        <v>65</v>
      </c>
      <c r="B604" t="s">
        <v>15</v>
      </c>
      <c r="C604" t="str">
        <f t="shared" si="18"/>
        <v>UC San DiegoBryant</v>
      </c>
      <c r="D604" t="s">
        <v>65</v>
      </c>
      <c r="E604">
        <v>64.400000000000006</v>
      </c>
      <c r="F604">
        <v>-3.8905660377358502</v>
      </c>
      <c r="G604">
        <v>-181.05327233644499</v>
      </c>
      <c r="H604">
        <v>138.56187084708699</v>
      </c>
      <c r="I604" s="1">
        <f t="shared" si="19"/>
        <v>135.73839272958807</v>
      </c>
    </row>
    <row r="605" spans="1:9" x14ac:dyDescent="0.45">
      <c r="A605" t="s">
        <v>66</v>
      </c>
      <c r="B605" t="s">
        <v>15</v>
      </c>
      <c r="C605" t="str">
        <f t="shared" si="18"/>
        <v>UCLABryant</v>
      </c>
      <c r="D605" t="s">
        <v>66</v>
      </c>
      <c r="E605">
        <v>87.8</v>
      </c>
      <c r="F605">
        <v>-12.9358490566038</v>
      </c>
      <c r="G605">
        <v>-719.464123205953</v>
      </c>
      <c r="H605">
        <v>138.03332536019599</v>
      </c>
      <c r="I605" s="1">
        <f t="shared" si="19"/>
        <v>128.29589852484537</v>
      </c>
    </row>
    <row r="606" spans="1:9" x14ac:dyDescent="0.45">
      <c r="A606" t="s">
        <v>67</v>
      </c>
      <c r="B606" t="s">
        <v>15</v>
      </c>
      <c r="C606" t="str">
        <f t="shared" si="18"/>
        <v>UNC WilmingtonBryant</v>
      </c>
      <c r="D606" t="s">
        <v>67</v>
      </c>
      <c r="E606">
        <v>52</v>
      </c>
      <c r="F606">
        <v>-0.53207547169811298</v>
      </c>
      <c r="G606">
        <v>-108.43467668213199</v>
      </c>
      <c r="H606">
        <v>139.14834103411599</v>
      </c>
      <c r="I606" s="1">
        <f t="shared" si="19"/>
        <v>143.99652959098134</v>
      </c>
    </row>
    <row r="607" spans="1:9" x14ac:dyDescent="0.45">
      <c r="A607" t="s">
        <v>68</v>
      </c>
      <c r="B607" t="s">
        <v>15</v>
      </c>
      <c r="C607" t="str">
        <f t="shared" si="18"/>
        <v>Utah St.Bryant</v>
      </c>
      <c r="D607" t="s">
        <v>68</v>
      </c>
      <c r="E607">
        <v>84.6</v>
      </c>
      <c r="F607">
        <v>-11.1735849056604</v>
      </c>
      <c r="G607">
        <v>-549.98037744917394</v>
      </c>
      <c r="H607">
        <v>138.51971143794299</v>
      </c>
      <c r="I607" s="1">
        <f t="shared" si="19"/>
        <v>135.14474248374964</v>
      </c>
    </row>
    <row r="608" spans="1:9" x14ac:dyDescent="0.45">
      <c r="A608" t="s">
        <v>69</v>
      </c>
      <c r="B608" t="s">
        <v>15</v>
      </c>
      <c r="C608" t="str">
        <f t="shared" si="18"/>
        <v>VanderbiltBryant</v>
      </c>
      <c r="D608" t="s">
        <v>69</v>
      </c>
      <c r="E608">
        <v>54</v>
      </c>
      <c r="F608">
        <v>-1.0528301886792499</v>
      </c>
      <c r="G608">
        <v>-117.42409063134799</v>
      </c>
      <c r="H608">
        <v>137.09428192654099</v>
      </c>
      <c r="I608" s="1">
        <f t="shared" si="19"/>
        <v>115.07314762389925</v>
      </c>
    </row>
    <row r="609" spans="1:9" x14ac:dyDescent="0.45">
      <c r="A609" t="s">
        <v>70</v>
      </c>
      <c r="B609" t="s">
        <v>15</v>
      </c>
      <c r="C609" t="str">
        <f t="shared" si="18"/>
        <v>VCUBryant</v>
      </c>
      <c r="D609" t="s">
        <v>70</v>
      </c>
      <c r="E609">
        <v>78.3</v>
      </c>
      <c r="F609">
        <v>-8.4</v>
      </c>
      <c r="G609">
        <v>-360.15319177262103</v>
      </c>
      <c r="H609">
        <v>138.939193088417</v>
      </c>
      <c r="I609" s="1">
        <f t="shared" si="19"/>
        <v>141.05149948022466</v>
      </c>
    </row>
    <row r="610" spans="1:9" x14ac:dyDescent="0.45">
      <c r="A610" t="s">
        <v>71</v>
      </c>
      <c r="B610" t="s">
        <v>15</v>
      </c>
      <c r="C610" t="str">
        <f t="shared" si="18"/>
        <v>WisconsinBryant</v>
      </c>
      <c r="D610" t="s">
        <v>71</v>
      </c>
      <c r="E610">
        <v>97.8</v>
      </c>
      <c r="F610">
        <v>-24.864150943396201</v>
      </c>
      <c r="G610">
        <v>-4437.3950831932198</v>
      </c>
      <c r="H610">
        <v>139.739871943683</v>
      </c>
      <c r="I610" s="1">
        <f t="shared" si="19"/>
        <v>152.32592691925052</v>
      </c>
    </row>
    <row r="611" spans="1:9" x14ac:dyDescent="0.45">
      <c r="A611" t="s">
        <v>80</v>
      </c>
      <c r="B611" t="s">
        <v>15</v>
      </c>
      <c r="C611" t="str">
        <f t="shared" si="18"/>
        <v>WoffordBryant</v>
      </c>
      <c r="D611" t="s">
        <v>15</v>
      </c>
      <c r="E611">
        <v>27</v>
      </c>
      <c r="F611">
        <v>6.5245283018867903</v>
      </c>
      <c r="G611">
        <v>270.487365887007</v>
      </c>
      <c r="H611">
        <v>137.769327682778</v>
      </c>
      <c r="I611" s="1">
        <f t="shared" si="19"/>
        <v>124.57852465073242</v>
      </c>
    </row>
    <row r="612" spans="1:9" x14ac:dyDescent="0.45">
      <c r="A612" t="s">
        <v>72</v>
      </c>
      <c r="B612" t="s">
        <v>15</v>
      </c>
      <c r="C612" t="str">
        <f t="shared" si="18"/>
        <v>XavierBryant</v>
      </c>
      <c r="D612" t="s">
        <v>72</v>
      </c>
      <c r="E612">
        <v>78.099999999999994</v>
      </c>
      <c r="F612">
        <v>-8.3245283018867902</v>
      </c>
      <c r="G612">
        <v>-355.985705540406</v>
      </c>
      <c r="H612">
        <v>138.34524125292899</v>
      </c>
      <c r="I612" s="1">
        <f t="shared" si="19"/>
        <v>132.68801288701226</v>
      </c>
    </row>
    <row r="613" spans="1:9" x14ac:dyDescent="0.45">
      <c r="A613" t="s">
        <v>73</v>
      </c>
      <c r="B613" t="s">
        <v>15</v>
      </c>
      <c r="C613" t="str">
        <f t="shared" si="18"/>
        <v>YaleBryant</v>
      </c>
      <c r="D613" t="s">
        <v>73</v>
      </c>
      <c r="E613">
        <v>66.5</v>
      </c>
      <c r="F613">
        <v>-4.4981132075471697</v>
      </c>
      <c r="G613">
        <v>-198.664825107978</v>
      </c>
      <c r="H613">
        <v>139.14447588699201</v>
      </c>
      <c r="I613" s="1">
        <f t="shared" si="19"/>
        <v>143.94210412376211</v>
      </c>
    </row>
    <row r="614" spans="1:9" x14ac:dyDescent="0.45">
      <c r="A614" t="s">
        <v>7</v>
      </c>
      <c r="B614" t="s">
        <v>16</v>
      </c>
      <c r="C614" t="str">
        <f t="shared" si="18"/>
        <v>AkronBYU</v>
      </c>
      <c r="D614" t="s">
        <v>16</v>
      </c>
      <c r="E614">
        <v>3.6</v>
      </c>
      <c r="F614">
        <v>21.4754716981132</v>
      </c>
      <c r="G614">
        <v>2646.81469139403</v>
      </c>
      <c r="H614">
        <v>137.66642086421399</v>
      </c>
      <c r="I614" s="1">
        <f t="shared" si="19"/>
        <v>123.1294849374313</v>
      </c>
    </row>
    <row r="615" spans="1:9" x14ac:dyDescent="0.45">
      <c r="A615" t="s">
        <v>8</v>
      </c>
      <c r="B615" t="s">
        <v>16</v>
      </c>
      <c r="C615" t="str">
        <f t="shared" si="18"/>
        <v>AlabamaBYU</v>
      </c>
      <c r="D615" t="s">
        <v>8</v>
      </c>
      <c r="E615">
        <v>73.5</v>
      </c>
      <c r="F615">
        <v>-6.6981132075471699</v>
      </c>
      <c r="G615">
        <v>-277.84343294343802</v>
      </c>
      <c r="H615">
        <v>139.41451687635401</v>
      </c>
      <c r="I615" s="1">
        <f t="shared" si="19"/>
        <v>147.74457439021268</v>
      </c>
    </row>
    <row r="616" spans="1:9" x14ac:dyDescent="0.45">
      <c r="A616" t="s">
        <v>9</v>
      </c>
      <c r="B616" t="s">
        <v>16</v>
      </c>
      <c r="C616" t="str">
        <f t="shared" si="18"/>
        <v>Alabama St.BYU</v>
      </c>
      <c r="D616" t="s">
        <v>16</v>
      </c>
      <c r="E616">
        <v>0.6</v>
      </c>
      <c r="F616">
        <v>33.615094339622601</v>
      </c>
      <c r="G616">
        <v>16865.0356635225</v>
      </c>
      <c r="H616">
        <v>137.893261720027</v>
      </c>
      <c r="I616" s="1">
        <f t="shared" si="19"/>
        <v>126.32365042868891</v>
      </c>
    </row>
    <row r="617" spans="1:9" x14ac:dyDescent="0.45">
      <c r="A617" t="s">
        <v>10</v>
      </c>
      <c r="B617" t="s">
        <v>16</v>
      </c>
      <c r="C617" t="str">
        <f t="shared" si="18"/>
        <v>AmericanBYU</v>
      </c>
      <c r="D617" t="s">
        <v>16</v>
      </c>
      <c r="E617">
        <v>0.7</v>
      </c>
      <c r="F617">
        <v>32.350943396226398</v>
      </c>
      <c r="G617">
        <v>13908.799412746999</v>
      </c>
      <c r="H617">
        <v>137.98434760163099</v>
      </c>
      <c r="I617" s="1">
        <f t="shared" si="19"/>
        <v>127.60623851767083</v>
      </c>
    </row>
    <row r="618" spans="1:9" x14ac:dyDescent="0.45">
      <c r="A618" t="s">
        <v>11</v>
      </c>
      <c r="B618" t="s">
        <v>16</v>
      </c>
      <c r="C618" t="str">
        <f t="shared" si="18"/>
        <v>ArizonaBYU</v>
      </c>
      <c r="D618" t="s">
        <v>11</v>
      </c>
      <c r="E618">
        <v>66.400000000000006</v>
      </c>
      <c r="F618">
        <v>-4.4566037735849102</v>
      </c>
      <c r="G618">
        <v>-197.40671742855301</v>
      </c>
      <c r="H618">
        <v>139.17687569534399</v>
      </c>
      <c r="I618" s="1">
        <f t="shared" si="19"/>
        <v>144.39832859615862</v>
      </c>
    </row>
    <row r="619" spans="1:9" x14ac:dyDescent="0.45">
      <c r="A619" t="s">
        <v>12</v>
      </c>
      <c r="B619" t="s">
        <v>16</v>
      </c>
      <c r="C619" t="str">
        <f t="shared" si="18"/>
        <v>ArkansasBYU</v>
      </c>
      <c r="D619" t="s">
        <v>16</v>
      </c>
      <c r="E619">
        <v>10.7</v>
      </c>
      <c r="F619">
        <v>13.9358490566038</v>
      </c>
      <c r="G619">
        <v>837.77271847052305</v>
      </c>
      <c r="H619">
        <v>137.294479529201</v>
      </c>
      <c r="I619" s="1">
        <f t="shared" si="19"/>
        <v>117.89214718884639</v>
      </c>
    </row>
    <row r="620" spans="1:9" x14ac:dyDescent="0.45">
      <c r="A620" t="s">
        <v>13</v>
      </c>
      <c r="B620" t="s">
        <v>16</v>
      </c>
      <c r="C620" t="str">
        <f t="shared" si="18"/>
        <v>AuburnBYU</v>
      </c>
      <c r="D620" t="s">
        <v>13</v>
      </c>
      <c r="E620">
        <v>84.5</v>
      </c>
      <c r="F620">
        <v>-11.1094339622642</v>
      </c>
      <c r="G620">
        <v>-544.50447982202297</v>
      </c>
      <c r="H620">
        <v>140.43319893446301</v>
      </c>
      <c r="I620" s="1">
        <f t="shared" si="19"/>
        <v>162.08872357318546</v>
      </c>
    </row>
    <row r="621" spans="1:9" x14ac:dyDescent="0.45">
      <c r="A621" t="s">
        <v>14</v>
      </c>
      <c r="B621" t="s">
        <v>16</v>
      </c>
      <c r="C621" t="str">
        <f t="shared" si="18"/>
        <v>BaylorBYU</v>
      </c>
      <c r="D621" t="s">
        <v>16</v>
      </c>
      <c r="E621">
        <v>36.5</v>
      </c>
      <c r="F621">
        <v>3.6226415094339601</v>
      </c>
      <c r="G621">
        <v>173.77457762784701</v>
      </c>
      <c r="H621">
        <v>138.96819694718801</v>
      </c>
      <c r="I621" s="1">
        <f t="shared" si="19"/>
        <v>141.459905296133</v>
      </c>
    </row>
    <row r="622" spans="1:9" x14ac:dyDescent="0.45">
      <c r="A622" t="s">
        <v>15</v>
      </c>
      <c r="B622" t="s">
        <v>16</v>
      </c>
      <c r="C622" t="str">
        <f t="shared" si="18"/>
        <v>BryantBYU</v>
      </c>
      <c r="D622" t="s">
        <v>16</v>
      </c>
      <c r="E622">
        <v>2.5</v>
      </c>
      <c r="F622">
        <v>23.909433962264199</v>
      </c>
      <c r="G622">
        <v>3836.4221204313699</v>
      </c>
      <c r="H622">
        <v>138.517194697082</v>
      </c>
      <c r="I622" s="1">
        <f t="shared" si="19"/>
        <v>135.10930404044197</v>
      </c>
    </row>
    <row r="623" spans="1:9" x14ac:dyDescent="0.45">
      <c r="A623" t="s">
        <v>16</v>
      </c>
      <c r="B623" t="s">
        <v>16</v>
      </c>
      <c r="C623" t="str">
        <f t="shared" si="18"/>
        <v>BYUBYU</v>
      </c>
      <c r="D623" t="s">
        <v>16</v>
      </c>
      <c r="E623">
        <v>41.2</v>
      </c>
      <c r="F623">
        <v>2.3283018867924499</v>
      </c>
      <c r="G623">
        <v>142.64273539779199</v>
      </c>
      <c r="H623">
        <v>138.77771517530499</v>
      </c>
      <c r="I623" s="1">
        <f t="shared" si="19"/>
        <v>138.77771517530277</v>
      </c>
    </row>
    <row r="624" spans="1:9" x14ac:dyDescent="0.45">
      <c r="A624" t="s">
        <v>17</v>
      </c>
      <c r="B624" t="s">
        <v>16</v>
      </c>
      <c r="C624" t="str">
        <f t="shared" si="18"/>
        <v>ClemsonBYU</v>
      </c>
      <c r="D624" t="s">
        <v>16</v>
      </c>
      <c r="E624">
        <v>47.3</v>
      </c>
      <c r="F624">
        <v>0.70188679245283003</v>
      </c>
      <c r="G624">
        <v>111.326391565096</v>
      </c>
      <c r="H624">
        <v>138.99962703159699</v>
      </c>
      <c r="I624" s="1">
        <f t="shared" si="19"/>
        <v>141.90247500275251</v>
      </c>
    </row>
    <row r="625" spans="1:9" x14ac:dyDescent="0.45">
      <c r="A625" t="s">
        <v>18</v>
      </c>
      <c r="B625" t="s">
        <v>16</v>
      </c>
      <c r="C625" t="str">
        <f t="shared" si="18"/>
        <v>Colorado St.BYU</v>
      </c>
      <c r="D625" t="s">
        <v>16</v>
      </c>
      <c r="E625">
        <v>12.9</v>
      </c>
      <c r="F625">
        <v>12.5433962264151</v>
      </c>
      <c r="G625">
        <v>677.54736784545503</v>
      </c>
      <c r="H625">
        <v>138.30701887970201</v>
      </c>
      <c r="I625" s="1">
        <f t="shared" si="19"/>
        <v>132.14980038063641</v>
      </c>
    </row>
    <row r="626" spans="1:9" x14ac:dyDescent="0.45">
      <c r="A626" t="s">
        <v>19</v>
      </c>
      <c r="B626" t="s">
        <v>16</v>
      </c>
      <c r="C626" t="str">
        <f t="shared" si="18"/>
        <v>ConnecticutBYU</v>
      </c>
      <c r="D626" t="s">
        <v>19</v>
      </c>
      <c r="E626">
        <v>60.4</v>
      </c>
      <c r="F626">
        <v>-2.7584905660377399</v>
      </c>
      <c r="G626">
        <v>-152.35523399100799</v>
      </c>
      <c r="H626">
        <v>138.94257078203799</v>
      </c>
      <c r="I626" s="1">
        <f t="shared" si="19"/>
        <v>141.09906107297894</v>
      </c>
    </row>
    <row r="627" spans="1:9" x14ac:dyDescent="0.45">
      <c r="A627" t="s">
        <v>20</v>
      </c>
      <c r="B627" t="s">
        <v>16</v>
      </c>
      <c r="C627" t="str">
        <f t="shared" si="18"/>
        <v>CreightonBYU</v>
      </c>
      <c r="D627" t="s">
        <v>16</v>
      </c>
      <c r="E627">
        <v>32</v>
      </c>
      <c r="F627">
        <v>4.9320754716981101</v>
      </c>
      <c r="G627">
        <v>212.18889377021799</v>
      </c>
      <c r="H627">
        <v>138.415513144302</v>
      </c>
      <c r="I627" s="1">
        <f t="shared" si="19"/>
        <v>133.67751739943617</v>
      </c>
    </row>
    <row r="628" spans="1:9" x14ac:dyDescent="0.45">
      <c r="A628" t="s">
        <v>21</v>
      </c>
      <c r="B628" t="s">
        <v>16</v>
      </c>
      <c r="C628" t="str">
        <f t="shared" si="18"/>
        <v>DrakeBYU</v>
      </c>
      <c r="D628" t="s">
        <v>16</v>
      </c>
      <c r="E628">
        <v>12.8</v>
      </c>
      <c r="F628">
        <v>12.5924528301887</v>
      </c>
      <c r="G628">
        <v>682.80636363582096</v>
      </c>
      <c r="H628">
        <v>138.46897824845601</v>
      </c>
      <c r="I628" s="1">
        <f t="shared" si="19"/>
        <v>134.43036410362964</v>
      </c>
    </row>
    <row r="629" spans="1:9" x14ac:dyDescent="0.45">
      <c r="A629" t="s">
        <v>22</v>
      </c>
      <c r="B629" t="s">
        <v>16</v>
      </c>
      <c r="C629" t="str">
        <f t="shared" si="18"/>
        <v>DukeBYU</v>
      </c>
      <c r="D629" t="s">
        <v>22</v>
      </c>
      <c r="E629">
        <v>88.9</v>
      </c>
      <c r="F629">
        <v>-13.618867924528301</v>
      </c>
      <c r="G629">
        <v>-798.38225629751196</v>
      </c>
      <c r="H629">
        <v>140.75629870991199</v>
      </c>
      <c r="I629" s="1">
        <f t="shared" si="19"/>
        <v>166.63831914437722</v>
      </c>
    </row>
    <row r="630" spans="1:9" x14ac:dyDescent="0.45">
      <c r="A630" t="s">
        <v>23</v>
      </c>
      <c r="B630" t="s">
        <v>16</v>
      </c>
      <c r="C630" t="str">
        <f t="shared" si="18"/>
        <v>FloridaBYU</v>
      </c>
      <c r="D630" t="s">
        <v>23</v>
      </c>
      <c r="E630">
        <v>81.5</v>
      </c>
      <c r="F630">
        <v>-9.7169811320754693</v>
      </c>
      <c r="G630">
        <v>-440.41717907072399</v>
      </c>
      <c r="H630">
        <v>140.48005498585499</v>
      </c>
      <c r="I630" s="1">
        <f t="shared" si="19"/>
        <v>162.7485076401978</v>
      </c>
    </row>
    <row r="631" spans="1:9" x14ac:dyDescent="0.45">
      <c r="A631" t="s">
        <v>24</v>
      </c>
      <c r="B631" t="s">
        <v>16</v>
      </c>
      <c r="C631" t="str">
        <f t="shared" si="18"/>
        <v>GeorgiaBYU</v>
      </c>
      <c r="D631" t="s">
        <v>16</v>
      </c>
      <c r="E631">
        <v>14.2</v>
      </c>
      <c r="F631">
        <v>11.788679245282999</v>
      </c>
      <c r="G631">
        <v>603.90758064138299</v>
      </c>
      <c r="H631">
        <v>137.62186851019899</v>
      </c>
      <c r="I631" s="1">
        <f t="shared" si="19"/>
        <v>122.50213943020793</v>
      </c>
    </row>
    <row r="632" spans="1:9" x14ac:dyDescent="0.45">
      <c r="A632" t="s">
        <v>25</v>
      </c>
      <c r="B632" t="s">
        <v>16</v>
      </c>
      <c r="C632" t="str">
        <f t="shared" si="18"/>
        <v>GonzagaBYU</v>
      </c>
      <c r="D632" t="s">
        <v>16</v>
      </c>
      <c r="E632">
        <v>48.2</v>
      </c>
      <c r="F632">
        <v>0.46037735849056599</v>
      </c>
      <c r="G632">
        <v>107.287524325128</v>
      </c>
      <c r="H632">
        <v>139.759509629728</v>
      </c>
      <c r="I632" s="1">
        <f t="shared" si="19"/>
        <v>152.60244685596246</v>
      </c>
    </row>
    <row r="633" spans="1:9" x14ac:dyDescent="0.45">
      <c r="A633" t="s">
        <v>26</v>
      </c>
      <c r="B633" t="s">
        <v>16</v>
      </c>
      <c r="C633" t="str">
        <f t="shared" si="18"/>
        <v>Grand CanyonBYU</v>
      </c>
      <c r="D633" t="s">
        <v>16</v>
      </c>
      <c r="E633">
        <v>8.3000000000000007</v>
      </c>
      <c r="F633">
        <v>15.7094339622642</v>
      </c>
      <c r="G633">
        <v>1098.58033435639</v>
      </c>
      <c r="H633">
        <v>138.411477876032</v>
      </c>
      <c r="I633" s="1">
        <f t="shared" si="19"/>
        <v>133.62069644181014</v>
      </c>
    </row>
    <row r="634" spans="1:9" x14ac:dyDescent="0.45">
      <c r="A634" t="s">
        <v>27</v>
      </c>
      <c r="B634" t="s">
        <v>16</v>
      </c>
      <c r="C634" t="str">
        <f t="shared" si="18"/>
        <v>High PointBYU</v>
      </c>
      <c r="D634" t="s">
        <v>16</v>
      </c>
      <c r="E634">
        <v>5.6</v>
      </c>
      <c r="F634">
        <v>18.4830188679245</v>
      </c>
      <c r="G634">
        <v>1676.9027973367899</v>
      </c>
      <c r="H634">
        <v>138.69236962368799</v>
      </c>
      <c r="I634" s="1">
        <f t="shared" si="19"/>
        <v>137.57595716380914</v>
      </c>
    </row>
    <row r="635" spans="1:9" x14ac:dyDescent="0.45">
      <c r="A635" t="s">
        <v>28</v>
      </c>
      <c r="B635" t="s">
        <v>16</v>
      </c>
      <c r="C635" t="str">
        <f t="shared" si="18"/>
        <v>HoustonBYU</v>
      </c>
      <c r="D635" t="s">
        <v>28</v>
      </c>
      <c r="E635">
        <v>93.2</v>
      </c>
      <c r="F635">
        <v>-17.132075471698101</v>
      </c>
      <c r="G635">
        <v>-1364.5772374806299</v>
      </c>
      <c r="H635">
        <v>140.89996305954199</v>
      </c>
      <c r="I635" s="1">
        <f t="shared" si="19"/>
        <v>168.66126913840469</v>
      </c>
    </row>
    <row r="636" spans="1:9" x14ac:dyDescent="0.45">
      <c r="A636" t="s">
        <v>29</v>
      </c>
      <c r="B636" t="s">
        <v>16</v>
      </c>
      <c r="C636" t="str">
        <f t="shared" si="18"/>
        <v>IllinoisBYU</v>
      </c>
      <c r="D636" t="s">
        <v>29</v>
      </c>
      <c r="E636">
        <v>57.6</v>
      </c>
      <c r="F636">
        <v>-2.02264150943396</v>
      </c>
      <c r="G636">
        <v>-136.11170504787</v>
      </c>
      <c r="H636">
        <v>138.95020821347899</v>
      </c>
      <c r="I636" s="1">
        <f t="shared" si="19"/>
        <v>141.20660439829061</v>
      </c>
    </row>
    <row r="637" spans="1:9" x14ac:dyDescent="0.45">
      <c r="A637" t="s">
        <v>30</v>
      </c>
      <c r="B637" t="s">
        <v>16</v>
      </c>
      <c r="C637" t="str">
        <f t="shared" si="18"/>
        <v>Iowa St.BYU</v>
      </c>
      <c r="D637" t="s">
        <v>30</v>
      </c>
      <c r="E637">
        <v>74.099999999999994</v>
      </c>
      <c r="F637">
        <v>-6.9056603773584904</v>
      </c>
      <c r="G637">
        <v>-286.70538720777699</v>
      </c>
      <c r="H637">
        <v>139.87647679183701</v>
      </c>
      <c r="I637" s="1">
        <f t="shared" si="19"/>
        <v>154.24947146923097</v>
      </c>
    </row>
    <row r="638" spans="1:9" x14ac:dyDescent="0.45">
      <c r="A638" t="s">
        <v>31</v>
      </c>
      <c r="B638" t="s">
        <v>16</v>
      </c>
      <c r="C638" t="str">
        <f t="shared" si="18"/>
        <v>KansasBYU</v>
      </c>
      <c r="D638" t="s">
        <v>16</v>
      </c>
      <c r="E638">
        <v>45.4</v>
      </c>
      <c r="F638">
        <v>1.2</v>
      </c>
      <c r="G638">
        <v>120.053723184373</v>
      </c>
      <c r="H638">
        <v>138.831867076148</v>
      </c>
      <c r="I638" s="1">
        <f t="shared" si="19"/>
        <v>139.54023272241221</v>
      </c>
    </row>
    <row r="639" spans="1:9" x14ac:dyDescent="0.45">
      <c r="A639" t="s">
        <v>32</v>
      </c>
      <c r="B639" t="s">
        <v>16</v>
      </c>
      <c r="C639" t="str">
        <f t="shared" si="18"/>
        <v>KentuckyBYU</v>
      </c>
      <c r="D639" t="s">
        <v>32</v>
      </c>
      <c r="E639">
        <v>58.4</v>
      </c>
      <c r="F639">
        <v>-2.2301886792452801</v>
      </c>
      <c r="G639">
        <v>-140.51857300929899</v>
      </c>
      <c r="H639">
        <v>138.778904676541</v>
      </c>
      <c r="I639" s="1">
        <f t="shared" si="19"/>
        <v>138.79446464393911</v>
      </c>
    </row>
    <row r="640" spans="1:9" x14ac:dyDescent="0.45">
      <c r="A640" t="s">
        <v>33</v>
      </c>
      <c r="B640" t="s">
        <v>16</v>
      </c>
      <c r="C640" t="str">
        <f t="shared" si="18"/>
        <v>LibertyBYU</v>
      </c>
      <c r="D640" t="s">
        <v>16</v>
      </c>
      <c r="E640">
        <v>3.8</v>
      </c>
      <c r="F640">
        <v>21.260377358490601</v>
      </c>
      <c r="G640">
        <v>2561.0988871958798</v>
      </c>
      <c r="H640">
        <v>137.98784092493901</v>
      </c>
      <c r="I640" s="1">
        <f t="shared" si="19"/>
        <v>127.65542830193741</v>
      </c>
    </row>
    <row r="641" spans="1:9" x14ac:dyDescent="0.45">
      <c r="A641" t="s">
        <v>34</v>
      </c>
      <c r="B641" t="s">
        <v>16</v>
      </c>
      <c r="C641" t="str">
        <f t="shared" si="18"/>
        <v>LipscombBYU</v>
      </c>
      <c r="D641" t="s">
        <v>16</v>
      </c>
      <c r="E641">
        <v>2.9</v>
      </c>
      <c r="F641">
        <v>23</v>
      </c>
      <c r="G641">
        <v>3340.8439995405802</v>
      </c>
      <c r="H641">
        <v>138.41976115619701</v>
      </c>
      <c r="I641" s="1">
        <f t="shared" si="19"/>
        <v>133.73733401824092</v>
      </c>
    </row>
    <row r="642" spans="1:9" x14ac:dyDescent="0.45">
      <c r="A642" t="s">
        <v>35</v>
      </c>
      <c r="B642" t="s">
        <v>16</v>
      </c>
      <c r="C642" t="str">
        <f t="shared" si="18"/>
        <v>LouisvilleBYU</v>
      </c>
      <c r="D642" t="s">
        <v>16</v>
      </c>
      <c r="E642">
        <v>7.1</v>
      </c>
      <c r="F642">
        <v>16.8943396226415</v>
      </c>
      <c r="G642">
        <v>1315.96071702311</v>
      </c>
      <c r="H642">
        <v>137.705484468165</v>
      </c>
      <c r="I642" s="1">
        <f t="shared" si="19"/>
        <v>123.67954288557851</v>
      </c>
    </row>
    <row r="643" spans="1:9" x14ac:dyDescent="0.45">
      <c r="A643" t="s">
        <v>36</v>
      </c>
      <c r="B643" t="s">
        <v>16</v>
      </c>
      <c r="C643" t="str">
        <f t="shared" ref="C643:C706" si="20">A643&amp;B643</f>
        <v>MarquetteBYU</v>
      </c>
      <c r="D643" t="s">
        <v>36</v>
      </c>
      <c r="E643">
        <v>51.7</v>
      </c>
      <c r="F643">
        <v>-0.44905660377358497</v>
      </c>
      <c r="G643">
        <v>-107.11800629373801</v>
      </c>
      <c r="H643">
        <v>139.03724110306999</v>
      </c>
      <c r="I643" s="1">
        <f t="shared" ref="I643:I706" si="21">18*(H643-AVERAGE($H$2:$H$4625))/_xlfn.STDEV.P($H$2:$H$4625)+AVERAGE($H$2:$H$4625)</f>
        <v>142.43212196010572</v>
      </c>
    </row>
    <row r="644" spans="1:9" x14ac:dyDescent="0.45">
      <c r="A644" t="s">
        <v>37</v>
      </c>
      <c r="B644" t="s">
        <v>16</v>
      </c>
      <c r="C644" t="str">
        <f t="shared" si="20"/>
        <v>MarylandBYU</v>
      </c>
      <c r="D644" t="s">
        <v>16</v>
      </c>
      <c r="E644">
        <v>42.1</v>
      </c>
      <c r="F644">
        <v>2.0943396226415101</v>
      </c>
      <c r="G644">
        <v>137.62010258212399</v>
      </c>
      <c r="H644">
        <v>138.64718041474899</v>
      </c>
      <c r="I644" s="1">
        <f t="shared" si="21"/>
        <v>136.9396440479338</v>
      </c>
    </row>
    <row r="645" spans="1:9" x14ac:dyDescent="0.45">
      <c r="A645" t="s">
        <v>38</v>
      </c>
      <c r="B645" t="s">
        <v>16</v>
      </c>
      <c r="C645" t="str">
        <f t="shared" si="20"/>
        <v>McNeese St.BYU</v>
      </c>
      <c r="D645" t="s">
        <v>16</v>
      </c>
      <c r="E645">
        <v>11.5</v>
      </c>
      <c r="F645">
        <v>13.4</v>
      </c>
      <c r="G645">
        <v>772.38003402277695</v>
      </c>
      <c r="H645">
        <v>138.48259202894999</v>
      </c>
      <c r="I645" s="1">
        <f t="shared" si="21"/>
        <v>134.62206091108342</v>
      </c>
    </row>
    <row r="646" spans="1:9" x14ac:dyDescent="0.45">
      <c r="A646" t="s">
        <v>39</v>
      </c>
      <c r="B646" t="s">
        <v>16</v>
      </c>
      <c r="C646" t="str">
        <f t="shared" si="20"/>
        <v>MemphisBYU</v>
      </c>
      <c r="D646" t="s">
        <v>16</v>
      </c>
      <c r="E646">
        <v>27.1</v>
      </c>
      <c r="F646">
        <v>6.4792452830188703</v>
      </c>
      <c r="G646">
        <v>268.688068628439</v>
      </c>
      <c r="H646">
        <v>137.62481522776901</v>
      </c>
      <c r="I646" s="1">
        <f t="shared" si="21"/>
        <v>122.54363241232917</v>
      </c>
    </row>
    <row r="647" spans="1:9" x14ac:dyDescent="0.45">
      <c r="A647" t="s">
        <v>40</v>
      </c>
      <c r="B647" t="s">
        <v>16</v>
      </c>
      <c r="C647" t="str">
        <f t="shared" si="20"/>
        <v>MichiganBYU</v>
      </c>
      <c r="D647" t="s">
        <v>16</v>
      </c>
      <c r="E647">
        <v>16.399999999999999</v>
      </c>
      <c r="F647">
        <v>10.667924528301899</v>
      </c>
      <c r="G647">
        <v>508.99957663222102</v>
      </c>
      <c r="H647">
        <v>137.28173631245201</v>
      </c>
      <c r="I647" s="1">
        <f t="shared" si="21"/>
        <v>117.71270886394082</v>
      </c>
    </row>
    <row r="648" spans="1:9" x14ac:dyDescent="0.45">
      <c r="A648" t="s">
        <v>41</v>
      </c>
      <c r="B648" t="s">
        <v>16</v>
      </c>
      <c r="C648" t="str">
        <f t="shared" si="20"/>
        <v>Michigan St.BYU</v>
      </c>
      <c r="D648" t="s">
        <v>41</v>
      </c>
      <c r="E648">
        <v>65.3</v>
      </c>
      <c r="F648">
        <v>-4.1547169811320801</v>
      </c>
      <c r="G648">
        <v>-188.51955854061501</v>
      </c>
      <c r="H648">
        <v>138.98062827328101</v>
      </c>
      <c r="I648" s="1">
        <f t="shared" si="21"/>
        <v>141.63495186203727</v>
      </c>
    </row>
    <row r="649" spans="1:9" x14ac:dyDescent="0.45">
      <c r="A649" t="s">
        <v>42</v>
      </c>
      <c r="B649" t="s">
        <v>16</v>
      </c>
      <c r="C649" t="str">
        <f t="shared" si="20"/>
        <v>MississippiBYU</v>
      </c>
      <c r="D649" t="s">
        <v>16</v>
      </c>
      <c r="E649">
        <v>32.6</v>
      </c>
      <c r="F649">
        <v>4.7547169811320797</v>
      </c>
      <c r="G649">
        <v>206.52017111929001</v>
      </c>
      <c r="H649">
        <v>138.111549378376</v>
      </c>
      <c r="I649" s="1">
        <f t="shared" si="21"/>
        <v>129.39737761494393</v>
      </c>
    </row>
    <row r="650" spans="1:9" x14ac:dyDescent="0.45">
      <c r="A650" t="s">
        <v>43</v>
      </c>
      <c r="B650" t="s">
        <v>16</v>
      </c>
      <c r="C650" t="str">
        <f t="shared" si="20"/>
        <v>Mississippi St.BYU</v>
      </c>
      <c r="D650" t="s">
        <v>16</v>
      </c>
      <c r="E650">
        <v>26.8</v>
      </c>
      <c r="F650">
        <v>6.6037735849056602</v>
      </c>
      <c r="G650">
        <v>273.81280747401098</v>
      </c>
      <c r="H650">
        <v>138.235920732165</v>
      </c>
      <c r="I650" s="1">
        <f t="shared" si="21"/>
        <v>131.14866128450166</v>
      </c>
    </row>
    <row r="651" spans="1:9" x14ac:dyDescent="0.45">
      <c r="A651" t="s">
        <v>44</v>
      </c>
      <c r="B651" t="s">
        <v>16</v>
      </c>
      <c r="C651" t="str">
        <f t="shared" si="20"/>
        <v>MissouriBYU</v>
      </c>
      <c r="D651" t="s">
        <v>16</v>
      </c>
      <c r="E651">
        <v>13.8</v>
      </c>
      <c r="F651">
        <v>12.0150943396226</v>
      </c>
      <c r="G651">
        <v>625.24855855686803</v>
      </c>
      <c r="H651">
        <v>137.500392668339</v>
      </c>
      <c r="I651" s="1">
        <f t="shared" si="21"/>
        <v>120.79162771176117</v>
      </c>
    </row>
    <row r="652" spans="1:9" x14ac:dyDescent="0.45">
      <c r="A652" t="s">
        <v>45</v>
      </c>
      <c r="B652" t="s">
        <v>16</v>
      </c>
      <c r="C652" t="str">
        <f t="shared" si="20"/>
        <v>MontanaBYU</v>
      </c>
      <c r="D652" t="s">
        <v>16</v>
      </c>
      <c r="E652">
        <v>1.5</v>
      </c>
      <c r="F652">
        <v>27.271698113207499</v>
      </c>
      <c r="G652">
        <v>6409.8043155326304</v>
      </c>
      <c r="H652">
        <v>136.80912739335801</v>
      </c>
      <c r="I652" s="1">
        <f t="shared" si="21"/>
        <v>111.05786225432034</v>
      </c>
    </row>
    <row r="653" spans="1:9" x14ac:dyDescent="0.45">
      <c r="A653" t="s">
        <v>46</v>
      </c>
      <c r="B653" t="s">
        <v>16</v>
      </c>
      <c r="C653" t="str">
        <f t="shared" si="20"/>
        <v>Mount St. Mary'sBYU</v>
      </c>
      <c r="D653" t="s">
        <v>16</v>
      </c>
      <c r="E653">
        <v>0.6</v>
      </c>
      <c r="F653">
        <v>33.388679245283001</v>
      </c>
      <c r="G653">
        <v>16294.6661552681</v>
      </c>
      <c r="H653">
        <v>138.15700161530501</v>
      </c>
      <c r="I653" s="1">
        <f t="shared" si="21"/>
        <v>130.03739445044195</v>
      </c>
    </row>
    <row r="654" spans="1:9" x14ac:dyDescent="0.45">
      <c r="A654" t="s">
        <v>47</v>
      </c>
      <c r="B654" t="s">
        <v>16</v>
      </c>
      <c r="C654" t="str">
        <f t="shared" si="20"/>
        <v>Nebraska OmahaBYU</v>
      </c>
      <c r="D654" t="s">
        <v>16</v>
      </c>
      <c r="E654">
        <v>0.8</v>
      </c>
      <c r="F654">
        <v>31.675471698113199</v>
      </c>
      <c r="G654">
        <v>12542.239902536299</v>
      </c>
      <c r="H654">
        <v>137.44100279520401</v>
      </c>
      <c r="I654" s="1">
        <f t="shared" si="21"/>
        <v>119.95535382883099</v>
      </c>
    </row>
    <row r="655" spans="1:9" x14ac:dyDescent="0.45">
      <c r="A655" t="s">
        <v>48</v>
      </c>
      <c r="B655" t="s">
        <v>16</v>
      </c>
      <c r="C655" t="str">
        <f t="shared" si="20"/>
        <v>New MexicoBYU</v>
      </c>
      <c r="D655" t="s">
        <v>16</v>
      </c>
      <c r="E655">
        <v>16.899999999999999</v>
      </c>
      <c r="F655">
        <v>10.4264150943396</v>
      </c>
      <c r="G655">
        <v>490.613592976429</v>
      </c>
      <c r="H655">
        <v>138.31874714247999</v>
      </c>
      <c r="I655" s="1">
        <f t="shared" si="21"/>
        <v>132.31494705187231</v>
      </c>
    </row>
    <row r="656" spans="1:9" x14ac:dyDescent="0.45">
      <c r="A656" t="s">
        <v>49</v>
      </c>
      <c r="B656" t="s">
        <v>16</v>
      </c>
      <c r="C656" t="str">
        <f t="shared" si="20"/>
        <v>Norfolk St.BYU</v>
      </c>
      <c r="D656" t="s">
        <v>16</v>
      </c>
      <c r="E656">
        <v>1.2</v>
      </c>
      <c r="F656">
        <v>29.139622641509401</v>
      </c>
      <c r="G656">
        <v>8522.9995971736807</v>
      </c>
      <c r="H656">
        <v>137.331110804681</v>
      </c>
      <c r="I656" s="1">
        <f t="shared" si="21"/>
        <v>118.40795531176863</v>
      </c>
    </row>
    <row r="657" spans="1:9" x14ac:dyDescent="0.45">
      <c r="A657" t="s">
        <v>50</v>
      </c>
      <c r="B657" t="s">
        <v>16</v>
      </c>
      <c r="C657" t="str">
        <f t="shared" si="20"/>
        <v>North CarolinaBYU</v>
      </c>
      <c r="D657" t="s">
        <v>16</v>
      </c>
      <c r="E657">
        <v>41</v>
      </c>
      <c r="F657">
        <v>2.3849056603773602</v>
      </c>
      <c r="G657">
        <v>143.895278350768</v>
      </c>
      <c r="H657">
        <v>139.40304223663699</v>
      </c>
      <c r="I657" s="1">
        <f t="shared" si="21"/>
        <v>147.58299900698921</v>
      </c>
    </row>
    <row r="658" spans="1:9" x14ac:dyDescent="0.45">
      <c r="A658" t="s">
        <v>51</v>
      </c>
      <c r="B658" t="s">
        <v>16</v>
      </c>
      <c r="C658" t="str">
        <f t="shared" si="20"/>
        <v>OklahomaBYU</v>
      </c>
      <c r="D658" t="s">
        <v>16</v>
      </c>
      <c r="E658">
        <v>18.600000000000001</v>
      </c>
      <c r="F658">
        <v>9.6905660377358505</v>
      </c>
      <c r="G658">
        <v>438.58630401573998</v>
      </c>
      <c r="H658">
        <v>137.74564553214199</v>
      </c>
      <c r="I658" s="1">
        <f t="shared" si="21"/>
        <v>124.24505426221189</v>
      </c>
    </row>
    <row r="659" spans="1:9" x14ac:dyDescent="0.45">
      <c r="A659" t="s">
        <v>52</v>
      </c>
      <c r="B659" t="s">
        <v>16</v>
      </c>
      <c r="C659" t="str">
        <f t="shared" si="20"/>
        <v>OregonBYU</v>
      </c>
      <c r="D659" t="s">
        <v>16</v>
      </c>
      <c r="E659">
        <v>42.9</v>
      </c>
      <c r="F659">
        <v>1.8679245283018899</v>
      </c>
      <c r="G659">
        <v>132.93234284304501</v>
      </c>
      <c r="H659">
        <v>138.340023320282</v>
      </c>
      <c r="I659" s="1">
        <f t="shared" si="21"/>
        <v>132.61453873114661</v>
      </c>
    </row>
    <row r="660" spans="1:9" x14ac:dyDescent="0.45">
      <c r="A660" t="s">
        <v>53</v>
      </c>
      <c r="B660" t="s">
        <v>16</v>
      </c>
      <c r="C660" t="str">
        <f t="shared" si="20"/>
        <v>PurdueBYU</v>
      </c>
      <c r="D660" t="s">
        <v>53</v>
      </c>
      <c r="E660">
        <v>79.900000000000006</v>
      </c>
      <c r="F660">
        <v>-9.0452830188679201</v>
      </c>
      <c r="G660">
        <v>-397.35347134149202</v>
      </c>
      <c r="H660">
        <v>139.688010649072</v>
      </c>
      <c r="I660" s="1">
        <f t="shared" si="21"/>
        <v>151.59566359439799</v>
      </c>
    </row>
    <row r="661" spans="1:9" x14ac:dyDescent="0.45">
      <c r="A661" t="s">
        <v>54</v>
      </c>
      <c r="B661" t="s">
        <v>16</v>
      </c>
      <c r="C661" t="str">
        <f t="shared" si="20"/>
        <v>Robert MorrisBYU</v>
      </c>
      <c r="D661" t="s">
        <v>16</v>
      </c>
      <c r="E661">
        <v>0.5</v>
      </c>
      <c r="F661">
        <v>34.898113207547198</v>
      </c>
      <c r="G661">
        <v>20511.809294600698</v>
      </c>
      <c r="H661">
        <v>136.746647497834</v>
      </c>
      <c r="I661" s="1">
        <f t="shared" si="21"/>
        <v>110.17807750185636</v>
      </c>
    </row>
    <row r="662" spans="1:9" x14ac:dyDescent="0.45">
      <c r="A662" t="s">
        <v>55</v>
      </c>
      <c r="B662" t="s">
        <v>16</v>
      </c>
      <c r="C662" t="str">
        <f t="shared" si="20"/>
        <v>Saint FrancisBYU</v>
      </c>
      <c r="D662" t="s">
        <v>16</v>
      </c>
      <c r="E662">
        <v>0.3</v>
      </c>
      <c r="F662">
        <v>37.622641509433997</v>
      </c>
      <c r="G662">
        <v>31089.868886105101</v>
      </c>
      <c r="H662">
        <v>137.79950303104201</v>
      </c>
      <c r="I662" s="1">
        <f t="shared" si="21"/>
        <v>125.00342631038333</v>
      </c>
    </row>
    <row r="663" spans="1:9" x14ac:dyDescent="0.45">
      <c r="A663" t="s">
        <v>56</v>
      </c>
      <c r="B663" t="s">
        <v>16</v>
      </c>
      <c r="C663" t="str">
        <f t="shared" si="20"/>
        <v>Saint Mary'sBYU</v>
      </c>
      <c r="D663" t="s">
        <v>16</v>
      </c>
      <c r="E663">
        <v>39.1</v>
      </c>
      <c r="F663">
        <v>2.9094339622641501</v>
      </c>
      <c r="G663">
        <v>155.86019506923199</v>
      </c>
      <c r="H663">
        <v>139.05075823213201</v>
      </c>
      <c r="I663" s="1">
        <f t="shared" si="21"/>
        <v>142.62245781047994</v>
      </c>
    </row>
    <row r="664" spans="1:9" x14ac:dyDescent="0.45">
      <c r="A664" t="s">
        <v>57</v>
      </c>
      <c r="B664" t="s">
        <v>16</v>
      </c>
      <c r="C664" t="str">
        <f t="shared" si="20"/>
        <v>San Diego St.BYU</v>
      </c>
      <c r="D664" t="s">
        <v>16</v>
      </c>
      <c r="E664">
        <v>15.7</v>
      </c>
      <c r="F664">
        <v>11.0037735849057</v>
      </c>
      <c r="G664">
        <v>535.644070221471</v>
      </c>
      <c r="H664">
        <v>138.19701311192901</v>
      </c>
      <c r="I664" s="1">
        <f t="shared" si="21"/>
        <v>130.6007997563861</v>
      </c>
    </row>
    <row r="665" spans="1:9" x14ac:dyDescent="0.45">
      <c r="A665" t="s">
        <v>58</v>
      </c>
      <c r="B665" t="s">
        <v>16</v>
      </c>
      <c r="C665" t="str">
        <f t="shared" si="20"/>
        <v>SIU EdwardsvilleBYU</v>
      </c>
      <c r="D665" t="s">
        <v>16</v>
      </c>
      <c r="E665">
        <v>0.9</v>
      </c>
      <c r="F665">
        <v>30.6</v>
      </c>
      <c r="G665">
        <v>10647.6378248336</v>
      </c>
      <c r="H665">
        <v>138.34470087877801</v>
      </c>
      <c r="I665" s="1">
        <f t="shared" si="21"/>
        <v>132.68040383237695</v>
      </c>
    </row>
    <row r="666" spans="1:9" x14ac:dyDescent="0.45">
      <c r="A666" t="s">
        <v>59</v>
      </c>
      <c r="B666" t="s">
        <v>16</v>
      </c>
      <c r="C666" t="str">
        <f t="shared" si="20"/>
        <v>St. John'sBYU</v>
      </c>
      <c r="D666" t="s">
        <v>59</v>
      </c>
      <c r="E666">
        <v>66.7</v>
      </c>
      <c r="F666">
        <v>-4.5584905660377402</v>
      </c>
      <c r="G666">
        <v>-200.426082197445</v>
      </c>
      <c r="H666">
        <v>139.32238365132301</v>
      </c>
      <c r="I666" s="1">
        <f t="shared" si="21"/>
        <v>146.44723856886091</v>
      </c>
    </row>
    <row r="667" spans="1:9" x14ac:dyDescent="0.45">
      <c r="A667" t="s">
        <v>60</v>
      </c>
      <c r="B667" t="s">
        <v>16</v>
      </c>
      <c r="C667" t="str">
        <f t="shared" si="20"/>
        <v>TennesseeBYU</v>
      </c>
      <c r="D667" t="s">
        <v>60</v>
      </c>
      <c r="E667">
        <v>80</v>
      </c>
      <c r="F667">
        <v>-9.1018867924528308</v>
      </c>
      <c r="G667">
        <v>-400.95320145564801</v>
      </c>
      <c r="H667">
        <v>139.91636652801401</v>
      </c>
      <c r="I667" s="1">
        <f t="shared" si="21"/>
        <v>154.81116225590736</v>
      </c>
    </row>
    <row r="668" spans="1:9" x14ac:dyDescent="0.45">
      <c r="A668" t="s">
        <v>61</v>
      </c>
      <c r="B668" t="s">
        <v>16</v>
      </c>
      <c r="C668" t="str">
        <f t="shared" si="20"/>
        <v>TexasBYU</v>
      </c>
      <c r="D668" t="s">
        <v>16</v>
      </c>
      <c r="E668">
        <v>14.1</v>
      </c>
      <c r="F668">
        <v>11.849056603773599</v>
      </c>
      <c r="G668">
        <v>609.639403366843</v>
      </c>
      <c r="H668">
        <v>137.672081059086</v>
      </c>
      <c r="I668" s="1">
        <f t="shared" si="21"/>
        <v>123.20918662551196</v>
      </c>
    </row>
    <row r="669" spans="1:9" x14ac:dyDescent="0.45">
      <c r="A669" t="s">
        <v>62</v>
      </c>
      <c r="B669" t="s">
        <v>16</v>
      </c>
      <c r="C669" t="str">
        <f t="shared" si="20"/>
        <v>Texas A&amp;MBYU</v>
      </c>
      <c r="D669" t="s">
        <v>16</v>
      </c>
      <c r="E669">
        <v>48.6</v>
      </c>
      <c r="F669">
        <v>0.354716981132076</v>
      </c>
      <c r="G669">
        <v>105.553382798051</v>
      </c>
      <c r="H669">
        <v>138.46988008668001</v>
      </c>
      <c r="I669" s="1">
        <f t="shared" si="21"/>
        <v>134.44306296479141</v>
      </c>
    </row>
    <row r="670" spans="1:9" x14ac:dyDescent="0.45">
      <c r="A670" t="s">
        <v>63</v>
      </c>
      <c r="B670" t="s">
        <v>16</v>
      </c>
      <c r="C670" t="str">
        <f t="shared" si="20"/>
        <v>Texas TechBYU</v>
      </c>
      <c r="D670" t="s">
        <v>63</v>
      </c>
      <c r="E670">
        <v>65.099999999999994</v>
      </c>
      <c r="F670">
        <v>-4.0981132075471702</v>
      </c>
      <c r="G670">
        <v>-186.829037631207</v>
      </c>
      <c r="H670">
        <v>139.50966420574301</v>
      </c>
      <c r="I670" s="1">
        <f t="shared" si="21"/>
        <v>149.08435207281042</v>
      </c>
    </row>
    <row r="671" spans="1:9" x14ac:dyDescent="0.45">
      <c r="A671" t="s">
        <v>64</v>
      </c>
      <c r="B671" t="s">
        <v>16</v>
      </c>
      <c r="C671" t="str">
        <f t="shared" si="20"/>
        <v>TroyBYU</v>
      </c>
      <c r="D671" t="s">
        <v>16</v>
      </c>
      <c r="E671">
        <v>2.6</v>
      </c>
      <c r="F671">
        <v>23.849056603773601</v>
      </c>
      <c r="G671">
        <v>3802.0386575402299</v>
      </c>
      <c r="H671">
        <v>138.21322862547299</v>
      </c>
      <c r="I671" s="1">
        <f t="shared" si="21"/>
        <v>130.82913178943005</v>
      </c>
    </row>
    <row r="672" spans="1:9" x14ac:dyDescent="0.45">
      <c r="A672" t="s">
        <v>65</v>
      </c>
      <c r="B672" t="s">
        <v>16</v>
      </c>
      <c r="C672" t="str">
        <f t="shared" si="20"/>
        <v>UC San DiegoBYU</v>
      </c>
      <c r="D672" t="s">
        <v>16</v>
      </c>
      <c r="E672">
        <v>6.3</v>
      </c>
      <c r="F672">
        <v>17.686792452830201</v>
      </c>
      <c r="G672">
        <v>1485.49210945859</v>
      </c>
      <c r="H672">
        <v>138.30135036886401</v>
      </c>
      <c r="I672" s="1">
        <f t="shared" si="21"/>
        <v>132.0699815947273</v>
      </c>
    </row>
    <row r="673" spans="1:9" x14ac:dyDescent="0.45">
      <c r="A673" t="s">
        <v>66</v>
      </c>
      <c r="B673" t="s">
        <v>16</v>
      </c>
      <c r="C673" t="str">
        <f t="shared" si="20"/>
        <v>UCLABYU</v>
      </c>
      <c r="D673" t="s">
        <v>16</v>
      </c>
      <c r="E673">
        <v>21.1</v>
      </c>
      <c r="F673">
        <v>8.6452830188679304</v>
      </c>
      <c r="G673">
        <v>373.82434894596997</v>
      </c>
      <c r="H673">
        <v>137.77280488197201</v>
      </c>
      <c r="I673" s="1">
        <f t="shared" si="21"/>
        <v>124.62748738997058</v>
      </c>
    </row>
    <row r="674" spans="1:9" x14ac:dyDescent="0.45">
      <c r="A674" t="s">
        <v>67</v>
      </c>
      <c r="B674" t="s">
        <v>16</v>
      </c>
      <c r="C674" t="str">
        <f t="shared" si="20"/>
        <v>UNC WilmingtonBYU</v>
      </c>
      <c r="D674" t="s">
        <v>16</v>
      </c>
      <c r="E674">
        <v>3.9</v>
      </c>
      <c r="F674">
        <v>21.0490566037736</v>
      </c>
      <c r="G674">
        <v>2480.3247049452898</v>
      </c>
      <c r="H674">
        <v>138.88782055589201</v>
      </c>
      <c r="I674" s="1">
        <f t="shared" si="21"/>
        <v>140.32811845610655</v>
      </c>
    </row>
    <row r="675" spans="1:9" x14ac:dyDescent="0.45">
      <c r="A675" t="s">
        <v>68</v>
      </c>
      <c r="B675" t="s">
        <v>16</v>
      </c>
      <c r="C675" t="str">
        <f t="shared" si="20"/>
        <v>Utah St.BYU</v>
      </c>
      <c r="D675" t="s">
        <v>16</v>
      </c>
      <c r="E675">
        <v>17</v>
      </c>
      <c r="F675">
        <v>10.4037735849057</v>
      </c>
      <c r="G675">
        <v>489.02327878471101</v>
      </c>
      <c r="H675">
        <v>138.25919095971901</v>
      </c>
      <c r="I675" s="1">
        <f t="shared" si="21"/>
        <v>131.47633134887485</v>
      </c>
    </row>
    <row r="676" spans="1:9" x14ac:dyDescent="0.45">
      <c r="A676" t="s">
        <v>69</v>
      </c>
      <c r="B676" t="s">
        <v>16</v>
      </c>
      <c r="C676" t="str">
        <f t="shared" si="20"/>
        <v>VanderbiltBYU</v>
      </c>
      <c r="D676" t="s">
        <v>16</v>
      </c>
      <c r="E676">
        <v>4.2</v>
      </c>
      <c r="F676">
        <v>20.528301886792502</v>
      </c>
      <c r="G676">
        <v>2290.4431790902599</v>
      </c>
      <c r="H676">
        <v>136.83376144831701</v>
      </c>
      <c r="I676" s="1">
        <f t="shared" si="21"/>
        <v>111.40473648902446</v>
      </c>
    </row>
    <row r="677" spans="1:9" x14ac:dyDescent="0.45">
      <c r="A677" t="s">
        <v>70</v>
      </c>
      <c r="B677" t="s">
        <v>16</v>
      </c>
      <c r="C677" t="str">
        <f t="shared" si="20"/>
        <v>VCUBYU</v>
      </c>
      <c r="D677" t="s">
        <v>16</v>
      </c>
      <c r="E677">
        <v>11.8</v>
      </c>
      <c r="F677">
        <v>13.1811320754717</v>
      </c>
      <c r="G677">
        <v>746.77446595350102</v>
      </c>
      <c r="H677">
        <v>138.67867261019299</v>
      </c>
      <c r="I677" s="1">
        <f t="shared" si="21"/>
        <v>137.38308834534948</v>
      </c>
    </row>
    <row r="678" spans="1:9" x14ac:dyDescent="0.45">
      <c r="A678" t="s">
        <v>71</v>
      </c>
      <c r="B678" t="s">
        <v>16</v>
      </c>
      <c r="C678" t="str">
        <f t="shared" si="20"/>
        <v>WisconsinBYU</v>
      </c>
      <c r="D678" t="s">
        <v>71</v>
      </c>
      <c r="E678">
        <v>62.3</v>
      </c>
      <c r="F678">
        <v>-3.2830188679245298</v>
      </c>
      <c r="G678">
        <v>-164.98762462463901</v>
      </c>
      <c r="H678">
        <v>139.47935146546001</v>
      </c>
      <c r="I678" s="1">
        <f t="shared" si="21"/>
        <v>148.65751578438974</v>
      </c>
    </row>
    <row r="679" spans="1:9" x14ac:dyDescent="0.45">
      <c r="A679" t="s">
        <v>80</v>
      </c>
      <c r="B679" t="s">
        <v>16</v>
      </c>
      <c r="C679" t="str">
        <f t="shared" si="20"/>
        <v>WoffordBYU</v>
      </c>
      <c r="D679" t="s">
        <v>16</v>
      </c>
      <c r="E679">
        <v>1.4</v>
      </c>
      <c r="F679">
        <v>28.101886792452799</v>
      </c>
      <c r="G679">
        <v>7274.8444629321802</v>
      </c>
      <c r="H679">
        <v>137.50880720455399</v>
      </c>
      <c r="I679" s="1">
        <f t="shared" si="21"/>
        <v>120.91011351585723</v>
      </c>
    </row>
    <row r="680" spans="1:9" x14ac:dyDescent="0.45">
      <c r="A680" t="s">
        <v>72</v>
      </c>
      <c r="B680" t="s">
        <v>16</v>
      </c>
      <c r="C680" t="str">
        <f t="shared" si="20"/>
        <v>XavierBYU</v>
      </c>
      <c r="D680" t="s">
        <v>16</v>
      </c>
      <c r="E680">
        <v>11.7</v>
      </c>
      <c r="F680">
        <v>13.256603773584899</v>
      </c>
      <c r="G680">
        <v>755.51687402493303</v>
      </c>
      <c r="H680">
        <v>138.084720774706</v>
      </c>
      <c r="I680" s="1">
        <f t="shared" si="21"/>
        <v>129.01960175215149</v>
      </c>
    </row>
    <row r="681" spans="1:9" x14ac:dyDescent="0.45">
      <c r="A681" t="s">
        <v>73</v>
      </c>
      <c r="B681" t="s">
        <v>16</v>
      </c>
      <c r="C681" t="str">
        <f t="shared" si="20"/>
        <v>YaleBYU</v>
      </c>
      <c r="D681" t="s">
        <v>16</v>
      </c>
      <c r="E681">
        <v>6.9</v>
      </c>
      <c r="F681">
        <v>17.079245283018899</v>
      </c>
      <c r="G681">
        <v>1353.8038618626499</v>
      </c>
      <c r="H681">
        <v>138.883955408769</v>
      </c>
      <c r="I681" s="1">
        <f t="shared" si="21"/>
        <v>140.27369298890093</v>
      </c>
    </row>
    <row r="682" spans="1:9" x14ac:dyDescent="0.45">
      <c r="A682" t="s">
        <v>7</v>
      </c>
      <c r="B682" t="s">
        <v>17</v>
      </c>
      <c r="C682" t="str">
        <f t="shared" si="20"/>
        <v>AkronClemson</v>
      </c>
      <c r="D682" t="s">
        <v>17</v>
      </c>
      <c r="E682">
        <v>2.9</v>
      </c>
      <c r="F682">
        <v>23.101886792452799</v>
      </c>
      <c r="G682">
        <v>3391.3691296707598</v>
      </c>
      <c r="H682">
        <v>137.44450900792299</v>
      </c>
      <c r="I682" s="1">
        <f t="shared" si="21"/>
        <v>120.00472510999556</v>
      </c>
    </row>
    <row r="683" spans="1:9" x14ac:dyDescent="0.45">
      <c r="A683" t="s">
        <v>8</v>
      </c>
      <c r="B683" t="s">
        <v>17</v>
      </c>
      <c r="C683" t="str">
        <f t="shared" si="20"/>
        <v>AlabamaClemson</v>
      </c>
      <c r="D683" t="s">
        <v>8</v>
      </c>
      <c r="E683">
        <v>68.400000000000006</v>
      </c>
      <c r="F683">
        <v>-5.0754716981132102</v>
      </c>
      <c r="G683">
        <v>-216.844599364929</v>
      </c>
      <c r="H683">
        <v>139.19260502006199</v>
      </c>
      <c r="I683" s="1">
        <f t="shared" si="21"/>
        <v>144.61981456276254</v>
      </c>
    </row>
    <row r="684" spans="1:9" x14ac:dyDescent="0.45">
      <c r="A684" t="s">
        <v>9</v>
      </c>
      <c r="B684" t="s">
        <v>17</v>
      </c>
      <c r="C684" t="str">
        <f t="shared" si="20"/>
        <v>Alabama St.Clemson</v>
      </c>
      <c r="D684" t="s">
        <v>17</v>
      </c>
      <c r="E684">
        <v>0.5</v>
      </c>
      <c r="F684">
        <v>35.2415094339623</v>
      </c>
      <c r="G684">
        <v>21609.20502143</v>
      </c>
      <c r="H684">
        <v>137.671349863736</v>
      </c>
      <c r="I684" s="1">
        <f t="shared" si="21"/>
        <v>123.19889060125317</v>
      </c>
    </row>
    <row r="685" spans="1:9" x14ac:dyDescent="0.45">
      <c r="A685" t="s">
        <v>10</v>
      </c>
      <c r="B685" t="s">
        <v>17</v>
      </c>
      <c r="C685" t="str">
        <f t="shared" si="20"/>
        <v>AmericanClemson</v>
      </c>
      <c r="D685" t="s">
        <v>17</v>
      </c>
      <c r="E685">
        <v>0.6</v>
      </c>
      <c r="F685">
        <v>33.977358490565997</v>
      </c>
      <c r="G685">
        <v>17821.3734087782</v>
      </c>
      <c r="H685">
        <v>137.76243574534001</v>
      </c>
      <c r="I685" s="1">
        <f t="shared" si="21"/>
        <v>124.48147869023551</v>
      </c>
    </row>
    <row r="686" spans="1:9" x14ac:dyDescent="0.45">
      <c r="A686" t="s">
        <v>11</v>
      </c>
      <c r="B686" t="s">
        <v>17</v>
      </c>
      <c r="C686" t="str">
        <f t="shared" si="20"/>
        <v>ArizonaClemson</v>
      </c>
      <c r="D686" t="s">
        <v>11</v>
      </c>
      <c r="E686">
        <v>60.6</v>
      </c>
      <c r="F686">
        <v>-2.8339622641509399</v>
      </c>
      <c r="G686">
        <v>-154.06727486503101</v>
      </c>
      <c r="H686">
        <v>138.954963839052</v>
      </c>
      <c r="I686" s="1">
        <f t="shared" si="21"/>
        <v>141.27356876870888</v>
      </c>
    </row>
    <row r="687" spans="1:9" x14ac:dyDescent="0.45">
      <c r="A687" t="s">
        <v>12</v>
      </c>
      <c r="B687" t="s">
        <v>17</v>
      </c>
      <c r="C687" t="str">
        <f t="shared" si="20"/>
        <v>ArkansasClemson</v>
      </c>
      <c r="D687" t="s">
        <v>17</v>
      </c>
      <c r="E687">
        <v>8.5</v>
      </c>
      <c r="F687">
        <v>15.558490566037699</v>
      </c>
      <c r="G687">
        <v>1073.4399141501201</v>
      </c>
      <c r="H687">
        <v>137.07256767291</v>
      </c>
      <c r="I687" s="1">
        <f t="shared" si="21"/>
        <v>114.76738736141066</v>
      </c>
    </row>
    <row r="688" spans="1:9" x14ac:dyDescent="0.45">
      <c r="A688" t="s">
        <v>13</v>
      </c>
      <c r="B688" t="s">
        <v>17</v>
      </c>
      <c r="C688" t="str">
        <f t="shared" si="20"/>
        <v>AuburnClemson</v>
      </c>
      <c r="D688" t="s">
        <v>13</v>
      </c>
      <c r="E688">
        <v>81</v>
      </c>
      <c r="F688">
        <v>-9.48301886792453</v>
      </c>
      <c r="G688">
        <v>-424.96183742249002</v>
      </c>
      <c r="H688">
        <v>140.21128707817101</v>
      </c>
      <c r="I688" s="1">
        <f t="shared" si="21"/>
        <v>158.96396374573573</v>
      </c>
    </row>
    <row r="689" spans="1:9" x14ac:dyDescent="0.45">
      <c r="A689" t="s">
        <v>14</v>
      </c>
      <c r="B689" t="s">
        <v>17</v>
      </c>
      <c r="C689" t="str">
        <f t="shared" si="20"/>
        <v>BaylorClemson</v>
      </c>
      <c r="D689" t="s">
        <v>17</v>
      </c>
      <c r="E689">
        <v>31</v>
      </c>
      <c r="F689">
        <v>5.24905660377358</v>
      </c>
      <c r="G689">
        <v>222.657725153499</v>
      </c>
      <c r="H689">
        <v>138.74628509089601</v>
      </c>
      <c r="I689" s="1">
        <f t="shared" si="21"/>
        <v>138.33514546868324</v>
      </c>
    </row>
    <row r="690" spans="1:9" x14ac:dyDescent="0.45">
      <c r="A690" t="s">
        <v>15</v>
      </c>
      <c r="B690" t="s">
        <v>17</v>
      </c>
      <c r="C690" t="str">
        <f t="shared" si="20"/>
        <v>BryantClemson</v>
      </c>
      <c r="D690" t="s">
        <v>17</v>
      </c>
      <c r="E690">
        <v>2</v>
      </c>
      <c r="F690">
        <v>25.5320754716981</v>
      </c>
      <c r="G690">
        <v>4915.6155849975503</v>
      </c>
      <c r="H690">
        <v>138.29528284079001</v>
      </c>
      <c r="I690" s="1">
        <f t="shared" si="21"/>
        <v>131.98454421299223</v>
      </c>
    </row>
    <row r="691" spans="1:9" x14ac:dyDescent="0.45">
      <c r="A691" t="s">
        <v>16</v>
      </c>
      <c r="B691" t="s">
        <v>17</v>
      </c>
      <c r="C691" t="str">
        <f t="shared" si="20"/>
        <v>BYUClemson</v>
      </c>
      <c r="D691" t="s">
        <v>17</v>
      </c>
      <c r="E691">
        <v>35.4</v>
      </c>
      <c r="F691">
        <v>3.9547169811320799</v>
      </c>
      <c r="G691">
        <v>182.76843141787199</v>
      </c>
      <c r="H691">
        <v>138.55580331901399</v>
      </c>
      <c r="I691" s="1">
        <f t="shared" si="21"/>
        <v>135.65295534786702</v>
      </c>
    </row>
    <row r="692" spans="1:9" x14ac:dyDescent="0.45">
      <c r="A692" t="s">
        <v>17</v>
      </c>
      <c r="B692" t="s">
        <v>17</v>
      </c>
      <c r="C692" t="str">
        <f t="shared" si="20"/>
        <v>ClemsonClemson</v>
      </c>
      <c r="D692" t="s">
        <v>17</v>
      </c>
      <c r="E692">
        <v>41.2</v>
      </c>
      <c r="F692">
        <v>2.3283018867924499</v>
      </c>
      <c r="G692">
        <v>142.64273539779199</v>
      </c>
      <c r="H692">
        <v>138.77771517530499</v>
      </c>
      <c r="I692" s="1">
        <f t="shared" si="21"/>
        <v>138.77771517530277</v>
      </c>
    </row>
    <row r="693" spans="1:9" x14ac:dyDescent="0.45">
      <c r="A693" t="s">
        <v>18</v>
      </c>
      <c r="B693" t="s">
        <v>17</v>
      </c>
      <c r="C693" t="str">
        <f t="shared" si="20"/>
        <v>Colorado St.Clemson</v>
      </c>
      <c r="D693" t="s">
        <v>17</v>
      </c>
      <c r="E693">
        <v>10.3</v>
      </c>
      <c r="F693">
        <v>14.1660377358491</v>
      </c>
      <c r="G693">
        <v>868.14284153400001</v>
      </c>
      <c r="H693">
        <v>138.08510702341101</v>
      </c>
      <c r="I693" s="1">
        <f t="shared" si="21"/>
        <v>129.02504055320068</v>
      </c>
    </row>
    <row r="694" spans="1:9" x14ac:dyDescent="0.45">
      <c r="A694" t="s">
        <v>19</v>
      </c>
      <c r="B694" t="s">
        <v>17</v>
      </c>
      <c r="C694" t="str">
        <f t="shared" si="20"/>
        <v>ConnecticutClemson</v>
      </c>
      <c r="D694" t="s">
        <v>19</v>
      </c>
      <c r="E694">
        <v>54.3</v>
      </c>
      <c r="F694">
        <v>-1.13584905660377</v>
      </c>
      <c r="G694">
        <v>-118.90657024330601</v>
      </c>
      <c r="H694">
        <v>138.72065892574699</v>
      </c>
      <c r="I694" s="1">
        <f t="shared" si="21"/>
        <v>137.97430124554319</v>
      </c>
    </row>
    <row r="695" spans="1:9" x14ac:dyDescent="0.45">
      <c r="A695" t="s">
        <v>20</v>
      </c>
      <c r="B695" t="s">
        <v>17</v>
      </c>
      <c r="C695" t="str">
        <f t="shared" si="20"/>
        <v>CreightonClemson</v>
      </c>
      <c r="D695" t="s">
        <v>17</v>
      </c>
      <c r="E695">
        <v>26.9</v>
      </c>
      <c r="F695">
        <v>6.5547169811320796</v>
      </c>
      <c r="G695">
        <v>271.87806775105099</v>
      </c>
      <c r="H695">
        <v>138.193601288011</v>
      </c>
      <c r="I695" s="1">
        <f t="shared" si="21"/>
        <v>130.55275757200044</v>
      </c>
    </row>
    <row r="696" spans="1:9" x14ac:dyDescent="0.45">
      <c r="A696" t="s">
        <v>21</v>
      </c>
      <c r="B696" t="s">
        <v>17</v>
      </c>
      <c r="C696" t="str">
        <f t="shared" si="20"/>
        <v>DrakeClemson</v>
      </c>
      <c r="D696" t="s">
        <v>17</v>
      </c>
      <c r="E696">
        <v>10.3</v>
      </c>
      <c r="F696">
        <v>14.218867924528301</v>
      </c>
      <c r="G696">
        <v>874.88120369985404</v>
      </c>
      <c r="H696">
        <v>138.24706639216501</v>
      </c>
      <c r="I696" s="1">
        <f t="shared" si="21"/>
        <v>131.30560427619389</v>
      </c>
    </row>
    <row r="697" spans="1:9" x14ac:dyDescent="0.45">
      <c r="A697" t="s">
        <v>22</v>
      </c>
      <c r="B697" t="s">
        <v>17</v>
      </c>
      <c r="C697" t="str">
        <f t="shared" si="20"/>
        <v>DukeClemson</v>
      </c>
      <c r="D697" t="s">
        <v>22</v>
      </c>
      <c r="E697">
        <v>86.2</v>
      </c>
      <c r="F697">
        <v>-11.9924528301887</v>
      </c>
      <c r="G697">
        <v>-623.10229424118404</v>
      </c>
      <c r="H697">
        <v>140.53438685362099</v>
      </c>
      <c r="I697" s="1">
        <f t="shared" si="21"/>
        <v>163.5135593169415</v>
      </c>
    </row>
    <row r="698" spans="1:9" x14ac:dyDescent="0.45">
      <c r="A698" t="s">
        <v>23</v>
      </c>
      <c r="B698" t="s">
        <v>17</v>
      </c>
      <c r="C698" t="str">
        <f t="shared" si="20"/>
        <v>FloridaClemson</v>
      </c>
      <c r="D698" t="s">
        <v>23</v>
      </c>
      <c r="E698">
        <v>77.5</v>
      </c>
      <c r="F698">
        <v>-8.0943396226415096</v>
      </c>
      <c r="G698">
        <v>-343.72626963785501</v>
      </c>
      <c r="H698">
        <v>140.258143129563</v>
      </c>
      <c r="I698" s="1">
        <f t="shared" si="21"/>
        <v>159.62374781274806</v>
      </c>
    </row>
    <row r="699" spans="1:9" x14ac:dyDescent="0.45">
      <c r="A699" t="s">
        <v>24</v>
      </c>
      <c r="B699" t="s">
        <v>17</v>
      </c>
      <c r="C699" t="str">
        <f t="shared" si="20"/>
        <v>GeorgiaClemson</v>
      </c>
      <c r="D699" t="s">
        <v>17</v>
      </c>
      <c r="E699">
        <v>11.4</v>
      </c>
      <c r="F699">
        <v>13.411320754717</v>
      </c>
      <c r="G699">
        <v>773.78803012562105</v>
      </c>
      <c r="H699">
        <v>137.39995665390799</v>
      </c>
      <c r="I699" s="1">
        <f t="shared" si="21"/>
        <v>119.37737960277221</v>
      </c>
    </row>
    <row r="700" spans="1:9" x14ac:dyDescent="0.45">
      <c r="A700" t="s">
        <v>25</v>
      </c>
      <c r="B700" t="s">
        <v>17</v>
      </c>
      <c r="C700" t="str">
        <f t="shared" si="20"/>
        <v>GonzagaClemson</v>
      </c>
      <c r="D700" t="s">
        <v>17</v>
      </c>
      <c r="E700">
        <v>42.1</v>
      </c>
      <c r="F700">
        <v>2.0867924528301902</v>
      </c>
      <c r="G700">
        <v>137.46772646308901</v>
      </c>
      <c r="H700">
        <v>139.537597773436</v>
      </c>
      <c r="I700" s="1">
        <f t="shared" si="21"/>
        <v>149.47768702851272</v>
      </c>
    </row>
    <row r="701" spans="1:9" x14ac:dyDescent="0.45">
      <c r="A701" t="s">
        <v>26</v>
      </c>
      <c r="B701" t="s">
        <v>17</v>
      </c>
      <c r="C701" t="str">
        <f t="shared" si="20"/>
        <v>Grand CanyonClemson</v>
      </c>
      <c r="D701" t="s">
        <v>17</v>
      </c>
      <c r="E701">
        <v>6.6</v>
      </c>
      <c r="F701">
        <v>17.335849056603799</v>
      </c>
      <c r="G701">
        <v>1407.6132509440599</v>
      </c>
      <c r="H701">
        <v>138.18956601974</v>
      </c>
      <c r="I701" s="1">
        <f t="shared" si="21"/>
        <v>130.4959366143604</v>
      </c>
    </row>
    <row r="702" spans="1:9" x14ac:dyDescent="0.45">
      <c r="A702" t="s">
        <v>27</v>
      </c>
      <c r="B702" t="s">
        <v>17</v>
      </c>
      <c r="C702" t="str">
        <f t="shared" si="20"/>
        <v>High PointClemson</v>
      </c>
      <c r="D702" t="s">
        <v>17</v>
      </c>
      <c r="E702">
        <v>4.4000000000000004</v>
      </c>
      <c r="F702">
        <v>20.109433962264099</v>
      </c>
      <c r="G702">
        <v>2148.6190169782199</v>
      </c>
      <c r="H702">
        <v>138.470457767396</v>
      </c>
      <c r="I702" s="1">
        <f t="shared" si="21"/>
        <v>134.4511973363594</v>
      </c>
    </row>
    <row r="703" spans="1:9" x14ac:dyDescent="0.45">
      <c r="A703" t="s">
        <v>28</v>
      </c>
      <c r="B703" t="s">
        <v>17</v>
      </c>
      <c r="C703" t="str">
        <f t="shared" si="20"/>
        <v>HoustonClemson</v>
      </c>
      <c r="D703" t="s">
        <v>28</v>
      </c>
      <c r="E703">
        <v>91.4</v>
      </c>
      <c r="F703">
        <v>-15.505660377358501</v>
      </c>
      <c r="G703">
        <v>-1064.9926155506</v>
      </c>
      <c r="H703">
        <v>140.67805120324999</v>
      </c>
      <c r="I703" s="1">
        <f t="shared" si="21"/>
        <v>165.53650931095495</v>
      </c>
    </row>
    <row r="704" spans="1:9" x14ac:dyDescent="0.45">
      <c r="A704" t="s">
        <v>29</v>
      </c>
      <c r="B704" t="s">
        <v>17</v>
      </c>
      <c r="C704" t="str">
        <f t="shared" si="20"/>
        <v>IllinoisClemson</v>
      </c>
      <c r="D704" t="s">
        <v>29</v>
      </c>
      <c r="E704">
        <v>51.5</v>
      </c>
      <c r="F704">
        <v>-0.39622641509433998</v>
      </c>
      <c r="G704">
        <v>-106.229209153168</v>
      </c>
      <c r="H704">
        <v>138.72829635718699</v>
      </c>
      <c r="I704" s="1">
        <f t="shared" si="21"/>
        <v>138.08184457084087</v>
      </c>
    </row>
    <row r="705" spans="1:9" x14ac:dyDescent="0.45">
      <c r="A705" t="s">
        <v>30</v>
      </c>
      <c r="B705" t="s">
        <v>17</v>
      </c>
      <c r="C705" t="str">
        <f t="shared" si="20"/>
        <v>Iowa St.Clemson</v>
      </c>
      <c r="D705" t="s">
        <v>30</v>
      </c>
      <c r="E705">
        <v>69.099999999999994</v>
      </c>
      <c r="F705">
        <v>-5.2792452830188701</v>
      </c>
      <c r="G705">
        <v>-223.76096554167501</v>
      </c>
      <c r="H705">
        <v>139.65456493554501</v>
      </c>
      <c r="I705" s="1">
        <f t="shared" si="21"/>
        <v>151.12471164178123</v>
      </c>
    </row>
    <row r="706" spans="1:9" x14ac:dyDescent="0.45">
      <c r="A706" t="s">
        <v>31</v>
      </c>
      <c r="B706" t="s">
        <v>17</v>
      </c>
      <c r="C706" t="str">
        <f t="shared" si="20"/>
        <v>KansasClemson</v>
      </c>
      <c r="D706" t="s">
        <v>17</v>
      </c>
      <c r="E706">
        <v>39.4</v>
      </c>
      <c r="F706">
        <v>2.8226415094339599</v>
      </c>
      <c r="G706">
        <v>153.82508342323101</v>
      </c>
      <c r="H706">
        <v>138.609955219857</v>
      </c>
      <c r="I706" s="1">
        <f t="shared" si="21"/>
        <v>136.41547289497649</v>
      </c>
    </row>
    <row r="707" spans="1:9" x14ac:dyDescent="0.45">
      <c r="A707" t="s">
        <v>32</v>
      </c>
      <c r="B707" t="s">
        <v>17</v>
      </c>
      <c r="C707" t="str">
        <f t="shared" ref="C707:C770" si="22">A707&amp;B707</f>
        <v>KentuckyClemson</v>
      </c>
      <c r="D707" t="s">
        <v>32</v>
      </c>
      <c r="E707">
        <v>52.3</v>
      </c>
      <c r="F707">
        <v>-0.60377358490566002</v>
      </c>
      <c r="G707">
        <v>-109.66857609240699</v>
      </c>
      <c r="H707">
        <v>138.55699282024901</v>
      </c>
      <c r="I707" s="1">
        <f t="shared" ref="I707:I770" si="23">18*(H707-AVERAGE($H$2:$H$4625))/_xlfn.STDEV.P($H$2:$H$4625)+AVERAGE($H$2:$H$4625)</f>
        <v>135.66970481648934</v>
      </c>
    </row>
    <row r="708" spans="1:9" x14ac:dyDescent="0.45">
      <c r="A708" t="s">
        <v>33</v>
      </c>
      <c r="B708" t="s">
        <v>17</v>
      </c>
      <c r="C708" t="str">
        <f t="shared" si="22"/>
        <v>LibertyClemson</v>
      </c>
      <c r="D708" t="s">
        <v>17</v>
      </c>
      <c r="E708">
        <v>3</v>
      </c>
      <c r="F708">
        <v>22.883018867924498</v>
      </c>
      <c r="G708">
        <v>3281.5412927512698</v>
      </c>
      <c r="H708">
        <v>137.76592906864801</v>
      </c>
      <c r="I708" s="1">
        <f t="shared" si="23"/>
        <v>124.53066847450168</v>
      </c>
    </row>
    <row r="709" spans="1:9" x14ac:dyDescent="0.45">
      <c r="A709" t="s">
        <v>34</v>
      </c>
      <c r="B709" t="s">
        <v>17</v>
      </c>
      <c r="C709" t="str">
        <f t="shared" si="22"/>
        <v>LipscombClemson</v>
      </c>
      <c r="D709" t="s">
        <v>17</v>
      </c>
      <c r="E709">
        <v>2.2999999999999998</v>
      </c>
      <c r="F709">
        <v>24.626415094339599</v>
      </c>
      <c r="G709">
        <v>4280.63031534723</v>
      </c>
      <c r="H709">
        <v>138.19784929990601</v>
      </c>
      <c r="I709" s="1">
        <f t="shared" si="23"/>
        <v>130.61257419080519</v>
      </c>
    </row>
    <row r="710" spans="1:9" x14ac:dyDescent="0.45">
      <c r="A710" t="s">
        <v>35</v>
      </c>
      <c r="B710" t="s">
        <v>17</v>
      </c>
      <c r="C710" t="str">
        <f t="shared" si="22"/>
        <v>LouisvilleClemson</v>
      </c>
      <c r="D710" t="s">
        <v>17</v>
      </c>
      <c r="E710">
        <v>5.6</v>
      </c>
      <c r="F710">
        <v>18.520754716981099</v>
      </c>
      <c r="G710">
        <v>1686.1431841384499</v>
      </c>
      <c r="H710">
        <v>137.483572611874</v>
      </c>
      <c r="I710" s="1">
        <f t="shared" si="23"/>
        <v>120.55478305814277</v>
      </c>
    </row>
    <row r="711" spans="1:9" x14ac:dyDescent="0.45">
      <c r="A711" t="s">
        <v>36</v>
      </c>
      <c r="B711" t="s">
        <v>17</v>
      </c>
      <c r="C711" t="str">
        <f t="shared" si="22"/>
        <v>MarquetteClemson</v>
      </c>
      <c r="D711" t="s">
        <v>17</v>
      </c>
      <c r="E711">
        <v>45.5</v>
      </c>
      <c r="F711">
        <v>1.17358490566038</v>
      </c>
      <c r="G711">
        <v>119.61593660121</v>
      </c>
      <c r="H711">
        <v>138.81532924677899</v>
      </c>
      <c r="I711" s="1">
        <f t="shared" si="23"/>
        <v>139.30736213266997</v>
      </c>
    </row>
    <row r="712" spans="1:9" x14ac:dyDescent="0.45">
      <c r="A712" t="s">
        <v>37</v>
      </c>
      <c r="B712" t="s">
        <v>17</v>
      </c>
      <c r="C712" t="str">
        <f t="shared" si="22"/>
        <v>MarylandClemson</v>
      </c>
      <c r="D712" t="s">
        <v>17</v>
      </c>
      <c r="E712">
        <v>36.200000000000003</v>
      </c>
      <c r="F712">
        <v>3.7169811320754702</v>
      </c>
      <c r="G712">
        <v>176.33292161957999</v>
      </c>
      <c r="H712">
        <v>138.42526855845799</v>
      </c>
      <c r="I712" s="1">
        <f t="shared" si="23"/>
        <v>133.81488422049804</v>
      </c>
    </row>
    <row r="713" spans="1:9" x14ac:dyDescent="0.45">
      <c r="A713" t="s">
        <v>38</v>
      </c>
      <c r="B713" t="s">
        <v>17</v>
      </c>
      <c r="C713" t="str">
        <f t="shared" si="22"/>
        <v>McNeese St.Clemson</v>
      </c>
      <c r="D713" t="s">
        <v>17</v>
      </c>
      <c r="E713">
        <v>9.1999999999999993</v>
      </c>
      <c r="F713">
        <v>15.026415094339599</v>
      </c>
      <c r="G713">
        <v>989.65213253342199</v>
      </c>
      <c r="H713">
        <v>138.26068017265899</v>
      </c>
      <c r="I713" s="1">
        <f t="shared" si="23"/>
        <v>131.4973010836477</v>
      </c>
    </row>
    <row r="714" spans="1:9" x14ac:dyDescent="0.45">
      <c r="A714" t="s">
        <v>39</v>
      </c>
      <c r="B714" t="s">
        <v>17</v>
      </c>
      <c r="C714" t="str">
        <f t="shared" si="22"/>
        <v>MemphisClemson</v>
      </c>
      <c r="D714" t="s">
        <v>17</v>
      </c>
      <c r="E714">
        <v>22.5</v>
      </c>
      <c r="F714">
        <v>8.1056603773584897</v>
      </c>
      <c r="G714">
        <v>344.27057716587802</v>
      </c>
      <c r="H714">
        <v>137.40290337147701</v>
      </c>
      <c r="I714" s="1">
        <f t="shared" si="23"/>
        <v>119.41887258487944</v>
      </c>
    </row>
    <row r="715" spans="1:9" x14ac:dyDescent="0.45">
      <c r="A715" t="s">
        <v>40</v>
      </c>
      <c r="B715" t="s">
        <v>17</v>
      </c>
      <c r="C715" t="str">
        <f t="shared" si="22"/>
        <v>MichiganClemson</v>
      </c>
      <c r="D715" t="s">
        <v>17</v>
      </c>
      <c r="E715">
        <v>13.3</v>
      </c>
      <c r="F715">
        <v>12.2905660377358</v>
      </c>
      <c r="G715">
        <v>652.18220860669203</v>
      </c>
      <c r="H715">
        <v>137.05982445615999</v>
      </c>
      <c r="I715" s="1">
        <f t="shared" si="23"/>
        <v>114.58794903649068</v>
      </c>
    </row>
    <row r="716" spans="1:9" x14ac:dyDescent="0.45">
      <c r="A716" t="s">
        <v>41</v>
      </c>
      <c r="B716" t="s">
        <v>17</v>
      </c>
      <c r="C716" t="str">
        <f t="shared" si="22"/>
        <v>Michigan St.Clemson</v>
      </c>
      <c r="D716" t="s">
        <v>41</v>
      </c>
      <c r="E716">
        <v>59.5</v>
      </c>
      <c r="F716">
        <v>-2.5320754716981102</v>
      </c>
      <c r="G716">
        <v>-147.13123758629601</v>
      </c>
      <c r="H716">
        <v>138.75871641699001</v>
      </c>
      <c r="I716" s="1">
        <f t="shared" si="23"/>
        <v>138.51019203460154</v>
      </c>
    </row>
    <row r="717" spans="1:9" x14ac:dyDescent="0.45">
      <c r="A717" t="s">
        <v>42</v>
      </c>
      <c r="B717" t="s">
        <v>17</v>
      </c>
      <c r="C717" t="str">
        <f t="shared" si="22"/>
        <v>MississippiClemson</v>
      </c>
      <c r="D717" t="s">
        <v>17</v>
      </c>
      <c r="E717">
        <v>27.4</v>
      </c>
      <c r="F717">
        <v>6.3773584905660403</v>
      </c>
      <c r="G717">
        <v>264.61472171268701</v>
      </c>
      <c r="H717">
        <v>137.889637522084</v>
      </c>
      <c r="I717" s="1">
        <f t="shared" si="23"/>
        <v>126.27261778749418</v>
      </c>
    </row>
    <row r="718" spans="1:9" x14ac:dyDescent="0.45">
      <c r="A718" t="s">
        <v>43</v>
      </c>
      <c r="B718" t="s">
        <v>17</v>
      </c>
      <c r="C718" t="str">
        <f t="shared" si="22"/>
        <v>Mississippi St.Clemson</v>
      </c>
      <c r="D718" t="s">
        <v>17</v>
      </c>
      <c r="E718">
        <v>22.2</v>
      </c>
      <c r="F718">
        <v>8.2264150943396199</v>
      </c>
      <c r="G718">
        <v>350.83691563113001</v>
      </c>
      <c r="H718">
        <v>138.014008875873</v>
      </c>
      <c r="I718" s="1">
        <f t="shared" si="23"/>
        <v>128.02390145705189</v>
      </c>
    </row>
    <row r="719" spans="1:9" x14ac:dyDescent="0.45">
      <c r="A719" t="s">
        <v>44</v>
      </c>
      <c r="B719" t="s">
        <v>17</v>
      </c>
      <c r="C719" t="str">
        <f t="shared" si="22"/>
        <v>MissouriClemson</v>
      </c>
      <c r="D719" t="s">
        <v>17</v>
      </c>
      <c r="E719">
        <v>11.1</v>
      </c>
      <c r="F719">
        <v>13.6415094339623</v>
      </c>
      <c r="G719">
        <v>801.13226919716794</v>
      </c>
      <c r="H719">
        <v>137.27848081204701</v>
      </c>
      <c r="I719" s="1">
        <f t="shared" si="23"/>
        <v>117.66686788431143</v>
      </c>
    </row>
    <row r="720" spans="1:9" x14ac:dyDescent="0.45">
      <c r="A720" t="s">
        <v>45</v>
      </c>
      <c r="B720" t="s">
        <v>17</v>
      </c>
      <c r="C720" t="str">
        <f t="shared" si="22"/>
        <v>MontanaClemson</v>
      </c>
      <c r="D720" t="s">
        <v>17</v>
      </c>
      <c r="E720">
        <v>1.2</v>
      </c>
      <c r="F720">
        <v>28.898113207547201</v>
      </c>
      <c r="G720">
        <v>8212.8955055326296</v>
      </c>
      <c r="H720">
        <v>136.58721553706599</v>
      </c>
      <c r="I720" s="1">
        <f t="shared" si="23"/>
        <v>107.93310242687019</v>
      </c>
    </row>
    <row r="721" spans="1:9" x14ac:dyDescent="0.45">
      <c r="A721" t="s">
        <v>46</v>
      </c>
      <c r="B721" t="s">
        <v>17</v>
      </c>
      <c r="C721" t="str">
        <f t="shared" si="22"/>
        <v>Mount St. Mary'sClemson</v>
      </c>
      <c r="D721" t="s">
        <v>17</v>
      </c>
      <c r="E721">
        <v>0.5</v>
      </c>
      <c r="F721">
        <v>35.0150943396226</v>
      </c>
      <c r="G721">
        <v>20878.389392708799</v>
      </c>
      <c r="H721">
        <v>137.93508975901301</v>
      </c>
      <c r="I721" s="1">
        <f t="shared" si="23"/>
        <v>126.9126346229922</v>
      </c>
    </row>
    <row r="722" spans="1:9" x14ac:dyDescent="0.45">
      <c r="A722" t="s">
        <v>47</v>
      </c>
      <c r="B722" t="s">
        <v>17</v>
      </c>
      <c r="C722" t="str">
        <f t="shared" si="22"/>
        <v>Nebraska OmahaClemson</v>
      </c>
      <c r="D722" t="s">
        <v>17</v>
      </c>
      <c r="E722">
        <v>0.6</v>
      </c>
      <c r="F722">
        <v>33.298113207547203</v>
      </c>
      <c r="G722">
        <v>16070.397886443599</v>
      </c>
      <c r="H722">
        <v>137.21909093891301</v>
      </c>
      <c r="I722" s="1">
        <f t="shared" si="23"/>
        <v>116.83059400139526</v>
      </c>
    </row>
    <row r="723" spans="1:9" x14ac:dyDescent="0.45">
      <c r="A723" t="s">
        <v>48</v>
      </c>
      <c r="B723" t="s">
        <v>17</v>
      </c>
      <c r="C723" t="str">
        <f t="shared" si="22"/>
        <v>New MexicoClemson</v>
      </c>
      <c r="D723" t="s">
        <v>17</v>
      </c>
      <c r="E723">
        <v>13.7</v>
      </c>
      <c r="F723">
        <v>12.0528301886792</v>
      </c>
      <c r="G723">
        <v>628.62420978205796</v>
      </c>
      <c r="H723">
        <v>138.09683528618899</v>
      </c>
      <c r="I723" s="1">
        <f t="shared" si="23"/>
        <v>129.19018722443658</v>
      </c>
    </row>
    <row r="724" spans="1:9" x14ac:dyDescent="0.45">
      <c r="A724" t="s">
        <v>49</v>
      </c>
      <c r="B724" t="s">
        <v>17</v>
      </c>
      <c r="C724" t="str">
        <f t="shared" si="22"/>
        <v>Norfolk St.Clemson</v>
      </c>
      <c r="D724" t="s">
        <v>17</v>
      </c>
      <c r="E724">
        <v>0.9</v>
      </c>
      <c r="F724">
        <v>30.7660377358491</v>
      </c>
      <c r="G724">
        <v>10920.536983579899</v>
      </c>
      <c r="H724">
        <v>137.10919894839</v>
      </c>
      <c r="I724" s="1">
        <f t="shared" si="23"/>
        <v>115.28319548433289</v>
      </c>
    </row>
    <row r="725" spans="1:9" x14ac:dyDescent="0.45">
      <c r="A725" t="s">
        <v>50</v>
      </c>
      <c r="B725" t="s">
        <v>17</v>
      </c>
      <c r="C725" t="str">
        <f t="shared" si="22"/>
        <v>North CarolinaClemson</v>
      </c>
      <c r="D725" t="s">
        <v>17</v>
      </c>
      <c r="E725">
        <v>35.200000000000003</v>
      </c>
      <c r="F725">
        <v>4.01132075471698</v>
      </c>
      <c r="G725">
        <v>184.373317289981</v>
      </c>
      <c r="H725">
        <v>139.18113038034599</v>
      </c>
      <c r="I725" s="1">
        <f t="shared" si="23"/>
        <v>144.45823917955349</v>
      </c>
    </row>
    <row r="726" spans="1:9" x14ac:dyDescent="0.45">
      <c r="A726" t="s">
        <v>51</v>
      </c>
      <c r="B726" t="s">
        <v>17</v>
      </c>
      <c r="C726" t="str">
        <f t="shared" si="22"/>
        <v>OklahomaClemson</v>
      </c>
      <c r="D726" t="s">
        <v>17</v>
      </c>
      <c r="E726">
        <v>15.1</v>
      </c>
      <c r="F726">
        <v>11.316981132075499</v>
      </c>
      <c r="G726">
        <v>561.96153700204195</v>
      </c>
      <c r="H726">
        <v>137.52373367585099</v>
      </c>
      <c r="I726" s="1">
        <f t="shared" si="23"/>
        <v>121.12029443477616</v>
      </c>
    </row>
    <row r="727" spans="1:9" x14ac:dyDescent="0.45">
      <c r="A727" t="s">
        <v>52</v>
      </c>
      <c r="B727" t="s">
        <v>17</v>
      </c>
      <c r="C727" t="str">
        <f t="shared" si="22"/>
        <v>OregonClemson</v>
      </c>
      <c r="D727" t="s">
        <v>17</v>
      </c>
      <c r="E727">
        <v>37</v>
      </c>
      <c r="F727">
        <v>3.4905660377358498</v>
      </c>
      <c r="G727">
        <v>170.32648538582501</v>
      </c>
      <c r="H727">
        <v>138.118111463991</v>
      </c>
      <c r="I727" s="1">
        <f t="shared" si="23"/>
        <v>129.48977890371086</v>
      </c>
    </row>
    <row r="728" spans="1:9" x14ac:dyDescent="0.45">
      <c r="A728" t="s">
        <v>53</v>
      </c>
      <c r="B728" t="s">
        <v>17</v>
      </c>
      <c r="C728" t="str">
        <f t="shared" si="22"/>
        <v>PurdueClemson</v>
      </c>
      <c r="D728" t="s">
        <v>53</v>
      </c>
      <c r="E728">
        <v>75.599999999999994</v>
      </c>
      <c r="F728">
        <v>-7.4188679245282998</v>
      </c>
      <c r="G728">
        <v>-310.11693667365</v>
      </c>
      <c r="H728">
        <v>139.46609879278</v>
      </c>
      <c r="I728" s="1">
        <f t="shared" si="23"/>
        <v>148.47090376694825</v>
      </c>
    </row>
    <row r="729" spans="1:9" x14ac:dyDescent="0.45">
      <c r="A729" t="s">
        <v>54</v>
      </c>
      <c r="B729" t="s">
        <v>17</v>
      </c>
      <c r="C729" t="str">
        <f t="shared" si="22"/>
        <v>Robert MorrisClemson</v>
      </c>
      <c r="D729" t="s">
        <v>17</v>
      </c>
      <c r="E729">
        <v>0.4</v>
      </c>
      <c r="F729">
        <v>36.524528301886797</v>
      </c>
      <c r="G729">
        <v>26281.8236054013</v>
      </c>
      <c r="H729">
        <v>136.524735641543</v>
      </c>
      <c r="I729" s="1">
        <f t="shared" si="23"/>
        <v>107.05331767442064</v>
      </c>
    </row>
    <row r="730" spans="1:9" x14ac:dyDescent="0.45">
      <c r="A730" t="s">
        <v>55</v>
      </c>
      <c r="B730" t="s">
        <v>17</v>
      </c>
      <c r="C730" t="str">
        <f t="shared" si="22"/>
        <v>Saint FrancisClemson</v>
      </c>
      <c r="D730" t="s">
        <v>17</v>
      </c>
      <c r="E730">
        <v>0.3</v>
      </c>
      <c r="F730">
        <v>39.249056603773603</v>
      </c>
      <c r="G730">
        <v>39835.513203350201</v>
      </c>
      <c r="H730">
        <v>137.57759117475001</v>
      </c>
      <c r="I730" s="1">
        <f t="shared" si="23"/>
        <v>121.87866648293358</v>
      </c>
    </row>
    <row r="731" spans="1:9" x14ac:dyDescent="0.45">
      <c r="A731" t="s">
        <v>56</v>
      </c>
      <c r="B731" t="s">
        <v>17</v>
      </c>
      <c r="C731" t="str">
        <f t="shared" si="22"/>
        <v>Saint Mary'sClemson</v>
      </c>
      <c r="D731" t="s">
        <v>17</v>
      </c>
      <c r="E731">
        <v>33.4</v>
      </c>
      <c r="F731">
        <v>4.5358490566037704</v>
      </c>
      <c r="G731">
        <v>199.70398978851901</v>
      </c>
      <c r="H731">
        <v>138.82884637583999</v>
      </c>
      <c r="I731" s="1">
        <f t="shared" si="23"/>
        <v>139.49769798302981</v>
      </c>
    </row>
    <row r="732" spans="1:9" x14ac:dyDescent="0.45">
      <c r="A732" t="s">
        <v>57</v>
      </c>
      <c r="B732" t="s">
        <v>17</v>
      </c>
      <c r="C732" t="str">
        <f t="shared" si="22"/>
        <v>San Diego St.Clemson</v>
      </c>
      <c r="D732" t="s">
        <v>17</v>
      </c>
      <c r="E732">
        <v>12.7</v>
      </c>
      <c r="F732">
        <v>12.626415094339601</v>
      </c>
      <c r="G732">
        <v>686.32185326262402</v>
      </c>
      <c r="H732">
        <v>137.97510125563801</v>
      </c>
      <c r="I732" s="1">
        <f t="shared" si="23"/>
        <v>127.47603992895037</v>
      </c>
    </row>
    <row r="733" spans="1:9" x14ac:dyDescent="0.45">
      <c r="A733" t="s">
        <v>58</v>
      </c>
      <c r="B733" t="s">
        <v>17</v>
      </c>
      <c r="C733" t="str">
        <f t="shared" si="22"/>
        <v>SIU EdwardsvilleClemson</v>
      </c>
      <c r="D733" t="s">
        <v>17</v>
      </c>
      <c r="E733">
        <v>0.7</v>
      </c>
      <c r="F733">
        <v>32.2264150943396</v>
      </c>
      <c r="G733">
        <v>13642.840331990399</v>
      </c>
      <c r="H733">
        <v>138.12278902248599</v>
      </c>
      <c r="I733" s="1">
        <f t="shared" si="23"/>
        <v>129.55564400492682</v>
      </c>
    </row>
    <row r="734" spans="1:9" x14ac:dyDescent="0.45">
      <c r="A734" t="s">
        <v>59</v>
      </c>
      <c r="B734" t="s">
        <v>17</v>
      </c>
      <c r="C734" t="str">
        <f t="shared" si="22"/>
        <v>St. John'sClemson</v>
      </c>
      <c r="D734" t="s">
        <v>59</v>
      </c>
      <c r="E734">
        <v>61</v>
      </c>
      <c r="F734">
        <v>-2.9320754716981101</v>
      </c>
      <c r="G734">
        <v>-156.423756487471</v>
      </c>
      <c r="H734">
        <v>139.10047179503101</v>
      </c>
      <c r="I734" s="1">
        <f t="shared" si="23"/>
        <v>143.32247874141115</v>
      </c>
    </row>
    <row r="735" spans="1:9" x14ac:dyDescent="0.45">
      <c r="A735" t="s">
        <v>60</v>
      </c>
      <c r="B735" t="s">
        <v>17</v>
      </c>
      <c r="C735" t="str">
        <f t="shared" si="22"/>
        <v>TennesseeClemson</v>
      </c>
      <c r="D735" t="s">
        <v>60</v>
      </c>
      <c r="E735">
        <v>75.8</v>
      </c>
      <c r="F735">
        <v>-7.4792452830188703</v>
      </c>
      <c r="G735">
        <v>-312.926367964348</v>
      </c>
      <c r="H735">
        <v>139.69445467172201</v>
      </c>
      <c r="I735" s="1">
        <f t="shared" si="23"/>
        <v>151.68640242845763</v>
      </c>
    </row>
    <row r="736" spans="1:9" x14ac:dyDescent="0.45">
      <c r="A736" t="s">
        <v>61</v>
      </c>
      <c r="B736" t="s">
        <v>17</v>
      </c>
      <c r="C736" t="str">
        <f t="shared" si="22"/>
        <v>TexasClemson</v>
      </c>
      <c r="D736" t="s">
        <v>17</v>
      </c>
      <c r="E736">
        <v>11.3</v>
      </c>
      <c r="F736">
        <v>13.4754716981132</v>
      </c>
      <c r="G736">
        <v>781.132226419782</v>
      </c>
      <c r="H736">
        <v>137.450169202794</v>
      </c>
      <c r="I736" s="1">
        <f t="shared" si="23"/>
        <v>120.08442679806222</v>
      </c>
    </row>
    <row r="737" spans="1:9" x14ac:dyDescent="0.45">
      <c r="A737" t="s">
        <v>62</v>
      </c>
      <c r="B737" t="s">
        <v>17</v>
      </c>
      <c r="C737" t="str">
        <f t="shared" si="22"/>
        <v>Texas A&amp;MClemson</v>
      </c>
      <c r="D737" t="s">
        <v>17</v>
      </c>
      <c r="E737">
        <v>42.5</v>
      </c>
      <c r="F737">
        <v>1.97735849056604</v>
      </c>
      <c r="G737">
        <v>135.24576734349901</v>
      </c>
      <c r="H737">
        <v>138.24796823038801</v>
      </c>
      <c r="I737" s="1">
        <f t="shared" si="23"/>
        <v>131.31830313734164</v>
      </c>
    </row>
    <row r="738" spans="1:9" x14ac:dyDescent="0.45">
      <c r="A738" t="s">
        <v>63</v>
      </c>
      <c r="B738" t="s">
        <v>17</v>
      </c>
      <c r="C738" t="str">
        <f t="shared" si="22"/>
        <v>Texas TechClemson</v>
      </c>
      <c r="D738" t="s">
        <v>63</v>
      </c>
      <c r="E738">
        <v>59.3</v>
      </c>
      <c r="F738">
        <v>-2.47169811320755</v>
      </c>
      <c r="G738">
        <v>-145.81186024692499</v>
      </c>
      <c r="H738">
        <v>139.28775234945201</v>
      </c>
      <c r="I738" s="1">
        <f t="shared" si="23"/>
        <v>145.95959224537469</v>
      </c>
    </row>
    <row r="739" spans="1:9" x14ac:dyDescent="0.45">
      <c r="A739" t="s">
        <v>64</v>
      </c>
      <c r="B739" t="s">
        <v>17</v>
      </c>
      <c r="C739" t="str">
        <f t="shared" si="22"/>
        <v>TroyClemson</v>
      </c>
      <c r="D739" t="s">
        <v>17</v>
      </c>
      <c r="E739">
        <v>2</v>
      </c>
      <c r="F739">
        <v>25.4754716981132</v>
      </c>
      <c r="G739">
        <v>4871.5599829943703</v>
      </c>
      <c r="H739">
        <v>137.991316769181</v>
      </c>
      <c r="I739" s="1">
        <f t="shared" si="23"/>
        <v>127.7043719619803</v>
      </c>
    </row>
    <row r="740" spans="1:9" x14ac:dyDescent="0.45">
      <c r="A740" t="s">
        <v>65</v>
      </c>
      <c r="B740" t="s">
        <v>17</v>
      </c>
      <c r="C740" t="str">
        <f t="shared" si="22"/>
        <v>UC San DiegoClemson</v>
      </c>
      <c r="D740" t="s">
        <v>17</v>
      </c>
      <c r="E740">
        <v>5</v>
      </c>
      <c r="F740">
        <v>19.313207547169799</v>
      </c>
      <c r="G740">
        <v>1903.3641073429401</v>
      </c>
      <c r="H740">
        <v>138.07943851257201</v>
      </c>
      <c r="I740" s="1">
        <f t="shared" si="23"/>
        <v>128.94522176727756</v>
      </c>
    </row>
    <row r="741" spans="1:9" x14ac:dyDescent="0.45">
      <c r="A741" t="s">
        <v>66</v>
      </c>
      <c r="B741" t="s">
        <v>17</v>
      </c>
      <c r="C741" t="str">
        <f t="shared" si="22"/>
        <v>UCLAClemson</v>
      </c>
      <c r="D741" t="s">
        <v>17</v>
      </c>
      <c r="E741">
        <v>17.3</v>
      </c>
      <c r="F741">
        <v>10.267924528301901</v>
      </c>
      <c r="G741">
        <v>478.98191023978097</v>
      </c>
      <c r="H741">
        <v>137.55089302568101</v>
      </c>
      <c r="I741" s="1">
        <f t="shared" si="23"/>
        <v>121.50272756253484</v>
      </c>
    </row>
    <row r="742" spans="1:9" x14ac:dyDescent="0.45">
      <c r="A742" t="s">
        <v>67</v>
      </c>
      <c r="B742" t="s">
        <v>17</v>
      </c>
      <c r="C742" t="str">
        <f t="shared" si="22"/>
        <v>UNC WilmingtonClemson</v>
      </c>
      <c r="D742" t="s">
        <v>17</v>
      </c>
      <c r="E742">
        <v>3.1</v>
      </c>
      <c r="F742">
        <v>22.675471698113199</v>
      </c>
      <c r="G742">
        <v>3178.0451662374899</v>
      </c>
      <c r="H742">
        <v>138.665908699601</v>
      </c>
      <c r="I742" s="1">
        <f t="shared" si="23"/>
        <v>137.20335862867083</v>
      </c>
    </row>
    <row r="743" spans="1:9" x14ac:dyDescent="0.45">
      <c r="A743" t="s">
        <v>68</v>
      </c>
      <c r="B743" t="s">
        <v>17</v>
      </c>
      <c r="C743" t="str">
        <f t="shared" si="22"/>
        <v>Utah St.Clemson</v>
      </c>
      <c r="D743" t="s">
        <v>17</v>
      </c>
      <c r="E743">
        <v>13.8</v>
      </c>
      <c r="F743">
        <v>12.030188679245301</v>
      </c>
      <c r="G743">
        <v>626.58653692426196</v>
      </c>
      <c r="H743">
        <v>138.03727910342801</v>
      </c>
      <c r="I743" s="1">
        <f t="shared" si="23"/>
        <v>128.35157152143913</v>
      </c>
    </row>
    <row r="744" spans="1:9" x14ac:dyDescent="0.45">
      <c r="A744" t="s">
        <v>69</v>
      </c>
      <c r="B744" t="s">
        <v>17</v>
      </c>
      <c r="C744" t="str">
        <f t="shared" si="22"/>
        <v>VanderbiltClemson</v>
      </c>
      <c r="D744" t="s">
        <v>17</v>
      </c>
      <c r="E744">
        <v>3.3</v>
      </c>
      <c r="F744">
        <v>22.150943396226399</v>
      </c>
      <c r="G744">
        <v>2934.7495750601802</v>
      </c>
      <c r="H744">
        <v>136.611849592026</v>
      </c>
      <c r="I744" s="1">
        <f t="shared" si="23"/>
        <v>108.27997666158872</v>
      </c>
    </row>
    <row r="745" spans="1:9" x14ac:dyDescent="0.45">
      <c r="A745" t="s">
        <v>70</v>
      </c>
      <c r="B745" t="s">
        <v>17</v>
      </c>
      <c r="C745" t="str">
        <f t="shared" si="22"/>
        <v>VCUClemson</v>
      </c>
      <c r="D745" t="s">
        <v>17</v>
      </c>
      <c r="E745">
        <v>9.5</v>
      </c>
      <c r="F745">
        <v>14.8037735849057</v>
      </c>
      <c r="G745">
        <v>956.84366529158001</v>
      </c>
      <c r="H745">
        <v>138.45676075390199</v>
      </c>
      <c r="I745" s="1">
        <f t="shared" si="23"/>
        <v>134.25832851791375</v>
      </c>
    </row>
    <row r="746" spans="1:9" x14ac:dyDescent="0.45">
      <c r="A746" t="s">
        <v>71</v>
      </c>
      <c r="B746" t="s">
        <v>17</v>
      </c>
      <c r="C746" t="str">
        <f t="shared" si="22"/>
        <v>WisconsinClemson</v>
      </c>
      <c r="D746" t="s">
        <v>71</v>
      </c>
      <c r="E746">
        <v>56.3</v>
      </c>
      <c r="F746">
        <v>-1.65660377358491</v>
      </c>
      <c r="G746">
        <v>-128.76559644720601</v>
      </c>
      <c r="H746">
        <v>139.25743960916799</v>
      </c>
      <c r="I746" s="1">
        <f t="shared" si="23"/>
        <v>145.53275595693961</v>
      </c>
    </row>
    <row r="747" spans="1:9" x14ac:dyDescent="0.45">
      <c r="A747" t="s">
        <v>80</v>
      </c>
      <c r="B747" t="s">
        <v>17</v>
      </c>
      <c r="C747" t="str">
        <f t="shared" si="22"/>
        <v>WoffordClemson</v>
      </c>
      <c r="D747" t="s">
        <v>17</v>
      </c>
      <c r="E747">
        <v>1.1000000000000001</v>
      </c>
      <c r="F747">
        <v>29.728301886792501</v>
      </c>
      <c r="G747">
        <v>9321.2732326758796</v>
      </c>
      <c r="H747">
        <v>137.28689534826299</v>
      </c>
      <c r="I747" s="1">
        <f t="shared" si="23"/>
        <v>117.78535368842151</v>
      </c>
    </row>
    <row r="748" spans="1:9" x14ac:dyDescent="0.45">
      <c r="A748" t="s">
        <v>72</v>
      </c>
      <c r="B748" t="s">
        <v>17</v>
      </c>
      <c r="C748" t="str">
        <f t="shared" si="22"/>
        <v>XavierClemson</v>
      </c>
      <c r="D748" t="s">
        <v>17</v>
      </c>
      <c r="E748">
        <v>9.4</v>
      </c>
      <c r="F748">
        <v>14.8830188679245</v>
      </c>
      <c r="G748">
        <v>968.04533080629903</v>
      </c>
      <c r="H748">
        <v>137.862808918415</v>
      </c>
      <c r="I748" s="1">
        <f t="shared" si="23"/>
        <v>125.89484192471576</v>
      </c>
    </row>
    <row r="749" spans="1:9" x14ac:dyDescent="0.45">
      <c r="A749" t="s">
        <v>73</v>
      </c>
      <c r="B749" t="s">
        <v>17</v>
      </c>
      <c r="C749" t="str">
        <f t="shared" si="22"/>
        <v>YaleClemson</v>
      </c>
      <c r="D749" t="s">
        <v>17</v>
      </c>
      <c r="E749">
        <v>5.5</v>
      </c>
      <c r="F749">
        <v>18.705660377358502</v>
      </c>
      <c r="G749">
        <v>1734.63168376623</v>
      </c>
      <c r="H749">
        <v>138.662043552477</v>
      </c>
      <c r="I749" s="1">
        <f t="shared" si="23"/>
        <v>137.1489331614512</v>
      </c>
    </row>
    <row r="750" spans="1:9" x14ac:dyDescent="0.45">
      <c r="A750" t="s">
        <v>7</v>
      </c>
      <c r="B750" t="s">
        <v>18</v>
      </c>
      <c r="C750" t="str">
        <f t="shared" si="22"/>
        <v>AkronColorado St.</v>
      </c>
      <c r="D750" t="s">
        <v>18</v>
      </c>
      <c r="E750">
        <v>15.2</v>
      </c>
      <c r="F750">
        <v>11.260377358490601</v>
      </c>
      <c r="G750">
        <v>557.22877187477104</v>
      </c>
      <c r="H750">
        <v>138.137117159817</v>
      </c>
      <c r="I750" s="1">
        <f t="shared" si="23"/>
        <v>129.75739973209804</v>
      </c>
    </row>
    <row r="751" spans="1:9" x14ac:dyDescent="0.45">
      <c r="A751" t="s">
        <v>8</v>
      </c>
      <c r="B751" t="s">
        <v>18</v>
      </c>
      <c r="C751" t="str">
        <f t="shared" si="22"/>
        <v>AlabamaColorado St.</v>
      </c>
      <c r="D751" t="s">
        <v>8</v>
      </c>
      <c r="E751">
        <v>93</v>
      </c>
      <c r="F751">
        <v>-16.913207547169801</v>
      </c>
      <c r="G751">
        <v>-1319.74534937926</v>
      </c>
      <c r="H751">
        <v>139.885213171956</v>
      </c>
      <c r="I751" s="1">
        <f t="shared" si="23"/>
        <v>154.372489184865</v>
      </c>
    </row>
    <row r="752" spans="1:9" x14ac:dyDescent="0.45">
      <c r="A752" t="s">
        <v>9</v>
      </c>
      <c r="B752" t="s">
        <v>18</v>
      </c>
      <c r="C752" t="str">
        <f t="shared" si="22"/>
        <v>Alabama St.Colorado St.</v>
      </c>
      <c r="D752" t="s">
        <v>18</v>
      </c>
      <c r="E752">
        <v>2.7</v>
      </c>
      <c r="F752">
        <v>23.4</v>
      </c>
      <c r="G752">
        <v>3550.5633019813999</v>
      </c>
      <c r="H752">
        <v>138.36395801563</v>
      </c>
      <c r="I752" s="1">
        <f t="shared" si="23"/>
        <v>132.95156522335566</v>
      </c>
    </row>
    <row r="753" spans="1:9" x14ac:dyDescent="0.45">
      <c r="A753" t="s">
        <v>10</v>
      </c>
      <c r="B753" t="s">
        <v>18</v>
      </c>
      <c r="C753" t="str">
        <f t="shared" si="22"/>
        <v>AmericanColorado St.</v>
      </c>
      <c r="D753" t="s">
        <v>18</v>
      </c>
      <c r="E753">
        <v>3.3</v>
      </c>
      <c r="F753">
        <v>22.135849056603799</v>
      </c>
      <c r="G753">
        <v>2928.1926083520302</v>
      </c>
      <c r="H753">
        <v>138.45504389723399</v>
      </c>
      <c r="I753" s="1">
        <f t="shared" si="23"/>
        <v>134.23415331233758</v>
      </c>
    </row>
    <row r="754" spans="1:9" x14ac:dyDescent="0.45">
      <c r="A754" t="s">
        <v>11</v>
      </c>
      <c r="B754" t="s">
        <v>18</v>
      </c>
      <c r="C754" t="str">
        <f t="shared" si="22"/>
        <v>ArizonaColorado St.</v>
      </c>
      <c r="D754" t="s">
        <v>11</v>
      </c>
      <c r="E754">
        <v>90.4</v>
      </c>
      <c r="F754">
        <v>-14.6716981132075</v>
      </c>
      <c r="G754">
        <v>-937.67412280568499</v>
      </c>
      <c r="H754">
        <v>139.647571990947</v>
      </c>
      <c r="I754" s="1">
        <f t="shared" si="23"/>
        <v>151.02624339082536</v>
      </c>
    </row>
    <row r="755" spans="1:9" x14ac:dyDescent="0.45">
      <c r="A755" t="s">
        <v>12</v>
      </c>
      <c r="B755" t="s">
        <v>18</v>
      </c>
      <c r="C755" t="str">
        <f t="shared" si="22"/>
        <v>ArkansasColorado St.</v>
      </c>
      <c r="D755" t="s">
        <v>18</v>
      </c>
      <c r="E755">
        <v>36.200000000000003</v>
      </c>
      <c r="F755">
        <v>3.7207547169811299</v>
      </c>
      <c r="G755">
        <v>176.37466821587199</v>
      </c>
      <c r="H755">
        <v>137.765175824804</v>
      </c>
      <c r="I755" s="1">
        <f t="shared" si="23"/>
        <v>124.52006198351313</v>
      </c>
    </row>
    <row r="756" spans="1:9" x14ac:dyDescent="0.45">
      <c r="A756" t="s">
        <v>13</v>
      </c>
      <c r="B756" t="s">
        <v>18</v>
      </c>
      <c r="C756" t="str">
        <f t="shared" si="22"/>
        <v>AuburnColorado St.</v>
      </c>
      <c r="D756" t="s">
        <v>13</v>
      </c>
      <c r="E756">
        <v>96.3</v>
      </c>
      <c r="F756">
        <v>-21.324528301886801</v>
      </c>
      <c r="G756">
        <v>-2586.3748059417899</v>
      </c>
      <c r="H756">
        <v>140.90389523006601</v>
      </c>
      <c r="I756" s="1">
        <f t="shared" si="23"/>
        <v>168.7166383678522</v>
      </c>
    </row>
    <row r="757" spans="1:9" x14ac:dyDescent="0.45">
      <c r="A757" t="s">
        <v>14</v>
      </c>
      <c r="B757" t="s">
        <v>18</v>
      </c>
      <c r="C757" t="str">
        <f t="shared" si="22"/>
        <v>BaylorColorado St.</v>
      </c>
      <c r="D757" t="s">
        <v>14</v>
      </c>
      <c r="E757">
        <v>73.2</v>
      </c>
      <c r="F757">
        <v>-6.5924528301886802</v>
      </c>
      <c r="G757">
        <v>-273.34036017201902</v>
      </c>
      <c r="H757">
        <v>139.43889324279101</v>
      </c>
      <c r="I757" s="1">
        <f t="shared" si="23"/>
        <v>148.08782009079974</v>
      </c>
    </row>
    <row r="758" spans="1:9" x14ac:dyDescent="0.45">
      <c r="A758" t="s">
        <v>15</v>
      </c>
      <c r="B758" t="s">
        <v>18</v>
      </c>
      <c r="C758" t="str">
        <f t="shared" si="22"/>
        <v>BryantColorado St.</v>
      </c>
      <c r="D758" t="s">
        <v>18</v>
      </c>
      <c r="E758">
        <v>11</v>
      </c>
      <c r="F758">
        <v>13.6943396226415</v>
      </c>
      <c r="G758">
        <v>807.674520438473</v>
      </c>
      <c r="H758">
        <v>138.98789099268501</v>
      </c>
      <c r="I758" s="1">
        <f t="shared" si="23"/>
        <v>141.73721883510873</v>
      </c>
    </row>
    <row r="759" spans="1:9" x14ac:dyDescent="0.45">
      <c r="A759" t="s">
        <v>16</v>
      </c>
      <c r="B759" t="s">
        <v>18</v>
      </c>
      <c r="C759" t="str">
        <f t="shared" si="22"/>
        <v>BYUColorado St.</v>
      </c>
      <c r="D759" t="s">
        <v>16</v>
      </c>
      <c r="E759">
        <v>76.900000000000006</v>
      </c>
      <c r="F759">
        <v>-7.88679245283019</v>
      </c>
      <c r="G759">
        <v>-332.997018776125</v>
      </c>
      <c r="H759">
        <v>139.248411470908</v>
      </c>
      <c r="I759" s="1">
        <f t="shared" si="23"/>
        <v>145.40562996996951</v>
      </c>
    </row>
    <row r="760" spans="1:9" x14ac:dyDescent="0.45">
      <c r="A760" t="s">
        <v>17</v>
      </c>
      <c r="B760" t="s">
        <v>18</v>
      </c>
      <c r="C760" t="str">
        <f t="shared" si="22"/>
        <v>ClemsonColorado St.</v>
      </c>
      <c r="D760" t="s">
        <v>17</v>
      </c>
      <c r="E760">
        <v>81</v>
      </c>
      <c r="F760">
        <v>-9.5094339622641506</v>
      </c>
      <c r="G760">
        <v>-426.66976778602998</v>
      </c>
      <c r="H760">
        <v>139.47032332719999</v>
      </c>
      <c r="I760" s="1">
        <f t="shared" si="23"/>
        <v>148.53038979741925</v>
      </c>
    </row>
    <row r="761" spans="1:9" x14ac:dyDescent="0.45">
      <c r="A761" t="s">
        <v>18</v>
      </c>
      <c r="B761" t="s">
        <v>18</v>
      </c>
      <c r="C761" t="str">
        <f t="shared" si="22"/>
        <v>Colorado St.Colorado St.</v>
      </c>
      <c r="D761" t="s">
        <v>18</v>
      </c>
      <c r="E761">
        <v>41.2</v>
      </c>
      <c r="F761">
        <v>2.3283018867924499</v>
      </c>
      <c r="G761">
        <v>142.64273539779199</v>
      </c>
      <c r="H761">
        <v>138.77771517530499</v>
      </c>
      <c r="I761" s="1">
        <f t="shared" si="23"/>
        <v>138.77771517530277</v>
      </c>
    </row>
    <row r="762" spans="1:9" x14ac:dyDescent="0.45">
      <c r="A762" t="s">
        <v>19</v>
      </c>
      <c r="B762" t="s">
        <v>18</v>
      </c>
      <c r="C762" t="str">
        <f t="shared" si="22"/>
        <v>ConnecticutColorado St.</v>
      </c>
      <c r="D762" t="s">
        <v>19</v>
      </c>
      <c r="E762">
        <v>87.9</v>
      </c>
      <c r="F762">
        <v>-12.973584905660401</v>
      </c>
      <c r="G762">
        <v>-723.68135313874598</v>
      </c>
      <c r="H762">
        <v>139.413267077641</v>
      </c>
      <c r="I762" s="1">
        <f t="shared" si="23"/>
        <v>147.72697586764568</v>
      </c>
    </row>
    <row r="763" spans="1:9" x14ac:dyDescent="0.45">
      <c r="A763" t="s">
        <v>20</v>
      </c>
      <c r="B763" t="s">
        <v>18</v>
      </c>
      <c r="C763" t="str">
        <f t="shared" si="22"/>
        <v>CreightonColorado St.</v>
      </c>
      <c r="D763" t="s">
        <v>20</v>
      </c>
      <c r="E763">
        <v>69.099999999999994</v>
      </c>
      <c r="F763">
        <v>-5.2830188679245298</v>
      </c>
      <c r="G763">
        <v>-223.85528664367499</v>
      </c>
      <c r="H763">
        <v>138.886209439905</v>
      </c>
      <c r="I763" s="1">
        <f t="shared" si="23"/>
        <v>140.30543219410293</v>
      </c>
    </row>
    <row r="764" spans="1:9" x14ac:dyDescent="0.45">
      <c r="A764" t="s">
        <v>21</v>
      </c>
      <c r="B764" t="s">
        <v>18</v>
      </c>
      <c r="C764" t="str">
        <f t="shared" si="22"/>
        <v>DrakeColorado St.</v>
      </c>
      <c r="D764" t="s">
        <v>18</v>
      </c>
      <c r="E764">
        <v>41</v>
      </c>
      <c r="F764">
        <v>2.3773584905660399</v>
      </c>
      <c r="G764">
        <v>143.74990159839101</v>
      </c>
      <c r="H764">
        <v>138.93967454405899</v>
      </c>
      <c r="I764" s="1">
        <f t="shared" si="23"/>
        <v>141.05827889829598</v>
      </c>
    </row>
    <row r="765" spans="1:9" x14ac:dyDescent="0.45">
      <c r="A765" t="s">
        <v>22</v>
      </c>
      <c r="B765" t="s">
        <v>18</v>
      </c>
      <c r="C765" t="str">
        <f t="shared" si="22"/>
        <v>DukeColorado St.</v>
      </c>
      <c r="D765" t="s">
        <v>22</v>
      </c>
      <c r="E765">
        <v>97.4</v>
      </c>
      <c r="F765">
        <v>-23.833962264150902</v>
      </c>
      <c r="G765">
        <v>-3792.2842322138399</v>
      </c>
      <c r="H765">
        <v>141.22699500551499</v>
      </c>
      <c r="I765" s="1">
        <f t="shared" si="23"/>
        <v>173.26623393904396</v>
      </c>
    </row>
    <row r="766" spans="1:9" x14ac:dyDescent="0.45">
      <c r="A766" t="s">
        <v>23</v>
      </c>
      <c r="B766" t="s">
        <v>18</v>
      </c>
      <c r="C766" t="str">
        <f t="shared" si="22"/>
        <v>FloridaColorado St.</v>
      </c>
      <c r="D766" t="s">
        <v>23</v>
      </c>
      <c r="E766">
        <v>95.4</v>
      </c>
      <c r="F766">
        <v>-19.932075471698099</v>
      </c>
      <c r="G766">
        <v>-2091.9642321855599</v>
      </c>
      <c r="H766">
        <v>140.950751281458</v>
      </c>
      <c r="I766" s="1">
        <f t="shared" si="23"/>
        <v>169.37642243486454</v>
      </c>
    </row>
    <row r="767" spans="1:9" x14ac:dyDescent="0.45">
      <c r="A767" t="s">
        <v>24</v>
      </c>
      <c r="B767" t="s">
        <v>18</v>
      </c>
      <c r="C767" t="str">
        <f t="shared" si="22"/>
        <v>GeorgiaColorado St.</v>
      </c>
      <c r="D767" t="s">
        <v>18</v>
      </c>
      <c r="E767">
        <v>44</v>
      </c>
      <c r="F767">
        <v>1.5735849056603799</v>
      </c>
      <c r="G767">
        <v>127.139493588584</v>
      </c>
      <c r="H767">
        <v>138.092564805802</v>
      </c>
      <c r="I767" s="1">
        <f t="shared" si="23"/>
        <v>129.1300542248747</v>
      </c>
    </row>
    <row r="768" spans="1:9" x14ac:dyDescent="0.45">
      <c r="A768" t="s">
        <v>25</v>
      </c>
      <c r="B768" t="s">
        <v>18</v>
      </c>
      <c r="C768" t="str">
        <f t="shared" si="22"/>
        <v>GonzagaColorado St.</v>
      </c>
      <c r="D768" t="s">
        <v>25</v>
      </c>
      <c r="E768">
        <v>81.599999999999994</v>
      </c>
      <c r="F768">
        <v>-9.7547169811320806</v>
      </c>
      <c r="G768">
        <v>-442.73186408507001</v>
      </c>
      <c r="H768">
        <v>140.23020592533101</v>
      </c>
      <c r="I768" s="1">
        <f t="shared" si="23"/>
        <v>159.23036165062922</v>
      </c>
    </row>
    <row r="769" spans="1:9" x14ac:dyDescent="0.45">
      <c r="A769" t="s">
        <v>26</v>
      </c>
      <c r="B769" t="s">
        <v>18</v>
      </c>
      <c r="C769" t="str">
        <f t="shared" si="22"/>
        <v>Grand CanyonColorado St.</v>
      </c>
      <c r="D769" t="s">
        <v>18</v>
      </c>
      <c r="E769">
        <v>30.2</v>
      </c>
      <c r="F769">
        <v>5.4981132075471697</v>
      </c>
      <c r="G769">
        <v>231.28199057893801</v>
      </c>
      <c r="H769">
        <v>138.882174171635</v>
      </c>
      <c r="I769" s="1">
        <f t="shared" si="23"/>
        <v>140.24861123647688</v>
      </c>
    </row>
    <row r="770" spans="1:9" x14ac:dyDescent="0.45">
      <c r="A770" t="s">
        <v>27</v>
      </c>
      <c r="B770" t="s">
        <v>18</v>
      </c>
      <c r="C770" t="str">
        <f t="shared" si="22"/>
        <v>High PointColorado St.</v>
      </c>
      <c r="D770" t="s">
        <v>18</v>
      </c>
      <c r="E770">
        <v>22.1</v>
      </c>
      <c r="F770">
        <v>8.2679245283018901</v>
      </c>
      <c r="G770">
        <v>353.03509888756503</v>
      </c>
      <c r="H770">
        <v>139.163065919291</v>
      </c>
      <c r="I770" s="1">
        <f t="shared" si="23"/>
        <v>144.20387195847587</v>
      </c>
    </row>
    <row r="771" spans="1:9" x14ac:dyDescent="0.45">
      <c r="A771" t="s">
        <v>28</v>
      </c>
      <c r="B771" t="s">
        <v>18</v>
      </c>
      <c r="C771" t="str">
        <f t="shared" ref="C771:C834" si="24">A771&amp;B771</f>
        <v>HoustonColorado St.</v>
      </c>
      <c r="D771" t="s">
        <v>28</v>
      </c>
      <c r="E771">
        <v>98.5</v>
      </c>
      <c r="F771">
        <v>-27.3471698113208</v>
      </c>
      <c r="G771">
        <v>-6481.6880642288497</v>
      </c>
      <c r="H771">
        <v>141.37065935514499</v>
      </c>
      <c r="I771" s="1">
        <f t="shared" ref="I771:I834" si="25">18*(H771-AVERAGE($H$2:$H$4625))/_xlfn.STDEV.P($H$2:$H$4625)+AVERAGE($H$2:$H$4625)</f>
        <v>175.28918393307146</v>
      </c>
    </row>
    <row r="772" spans="1:9" x14ac:dyDescent="0.45">
      <c r="A772" t="s">
        <v>29</v>
      </c>
      <c r="B772" t="s">
        <v>18</v>
      </c>
      <c r="C772" t="str">
        <f t="shared" si="24"/>
        <v>IllinoisColorado St.</v>
      </c>
      <c r="D772" t="s">
        <v>29</v>
      </c>
      <c r="E772">
        <v>86.6</v>
      </c>
      <c r="F772">
        <v>-12.2339622641509</v>
      </c>
      <c r="G772">
        <v>-646.52523124264599</v>
      </c>
      <c r="H772">
        <v>139.420904509081</v>
      </c>
      <c r="I772" s="1">
        <f t="shared" si="25"/>
        <v>147.83451919294336</v>
      </c>
    </row>
    <row r="773" spans="1:9" x14ac:dyDescent="0.45">
      <c r="A773" t="s">
        <v>30</v>
      </c>
      <c r="B773" t="s">
        <v>18</v>
      </c>
      <c r="C773" t="str">
        <f t="shared" si="24"/>
        <v>Iowa St.Colorado St.</v>
      </c>
      <c r="D773" t="s">
        <v>30</v>
      </c>
      <c r="E773">
        <v>93.2</v>
      </c>
      <c r="F773">
        <v>-17.1207547169811</v>
      </c>
      <c r="G773">
        <v>-1361.8392826526499</v>
      </c>
      <c r="H773">
        <v>140.34717308744001</v>
      </c>
      <c r="I773" s="1">
        <f t="shared" si="25"/>
        <v>160.87738626389773</v>
      </c>
    </row>
    <row r="774" spans="1:9" x14ac:dyDescent="0.45">
      <c r="A774" t="s">
        <v>31</v>
      </c>
      <c r="B774" t="s">
        <v>18</v>
      </c>
      <c r="C774" t="str">
        <f t="shared" si="24"/>
        <v>KansasColorado St.</v>
      </c>
      <c r="D774" t="s">
        <v>31</v>
      </c>
      <c r="E774">
        <v>79.8</v>
      </c>
      <c r="F774">
        <v>-9.0150943396226406</v>
      </c>
      <c r="G774">
        <v>-395.65291585825099</v>
      </c>
      <c r="H774">
        <v>139.30256337175101</v>
      </c>
      <c r="I774" s="1">
        <f t="shared" si="25"/>
        <v>146.16814751707895</v>
      </c>
    </row>
    <row r="775" spans="1:9" x14ac:dyDescent="0.45">
      <c r="A775" t="s">
        <v>32</v>
      </c>
      <c r="B775" t="s">
        <v>18</v>
      </c>
      <c r="C775" t="str">
        <f t="shared" si="24"/>
        <v>KentuckyColorado St.</v>
      </c>
      <c r="D775" t="s">
        <v>32</v>
      </c>
      <c r="E775">
        <v>87</v>
      </c>
      <c r="F775">
        <v>-12.445283018867899</v>
      </c>
      <c r="G775">
        <v>-667.45768026910298</v>
      </c>
      <c r="H775">
        <v>139.24960097214401</v>
      </c>
      <c r="I775" s="1">
        <f t="shared" si="25"/>
        <v>145.42237943860584</v>
      </c>
    </row>
    <row r="776" spans="1:9" x14ac:dyDescent="0.45">
      <c r="A776" t="s">
        <v>33</v>
      </c>
      <c r="B776" t="s">
        <v>18</v>
      </c>
      <c r="C776" t="str">
        <f t="shared" si="24"/>
        <v>LibertyColorado St.</v>
      </c>
      <c r="D776" t="s">
        <v>18</v>
      </c>
      <c r="E776">
        <v>15.6</v>
      </c>
      <c r="F776">
        <v>11.045283018867901</v>
      </c>
      <c r="G776">
        <v>539.18318959094302</v>
      </c>
      <c r="H776">
        <v>138.45853722054201</v>
      </c>
      <c r="I776" s="1">
        <f t="shared" si="25"/>
        <v>134.28334309660414</v>
      </c>
    </row>
    <row r="777" spans="1:9" x14ac:dyDescent="0.45">
      <c r="A777" t="s">
        <v>34</v>
      </c>
      <c r="B777" t="s">
        <v>18</v>
      </c>
      <c r="C777" t="str">
        <f t="shared" si="24"/>
        <v>LipscombColorado St.</v>
      </c>
      <c r="D777" t="s">
        <v>18</v>
      </c>
      <c r="E777">
        <v>12.4</v>
      </c>
      <c r="F777">
        <v>12.788679245282999</v>
      </c>
      <c r="G777">
        <v>703.34141824969197</v>
      </c>
      <c r="H777">
        <v>138.89045745179999</v>
      </c>
      <c r="I777" s="1">
        <f t="shared" si="25"/>
        <v>140.36524881290728</v>
      </c>
    </row>
    <row r="778" spans="1:9" x14ac:dyDescent="0.45">
      <c r="A778" t="s">
        <v>35</v>
      </c>
      <c r="B778" t="s">
        <v>18</v>
      </c>
      <c r="C778" t="str">
        <f t="shared" si="24"/>
        <v>LouisvilleColorado St.</v>
      </c>
      <c r="D778" t="s">
        <v>18</v>
      </c>
      <c r="E778">
        <v>26.5</v>
      </c>
      <c r="F778">
        <v>6.6792452830188704</v>
      </c>
      <c r="G778">
        <v>277.04666162179097</v>
      </c>
      <c r="H778">
        <v>138.176180763768</v>
      </c>
      <c r="I778" s="1">
        <f t="shared" si="25"/>
        <v>130.30745768024525</v>
      </c>
    </row>
    <row r="779" spans="1:9" x14ac:dyDescent="0.45">
      <c r="A779" t="s">
        <v>36</v>
      </c>
      <c r="B779" t="s">
        <v>18</v>
      </c>
      <c r="C779" t="str">
        <f t="shared" si="24"/>
        <v>MarquetteColorado St.</v>
      </c>
      <c r="D779" t="s">
        <v>36</v>
      </c>
      <c r="E779">
        <v>83.6</v>
      </c>
      <c r="F779">
        <v>-10.6641509433962</v>
      </c>
      <c r="G779">
        <v>-508.80630556316999</v>
      </c>
      <c r="H779">
        <v>139.50793739867299</v>
      </c>
      <c r="I779" s="1">
        <f t="shared" si="25"/>
        <v>149.06003675477245</v>
      </c>
    </row>
    <row r="780" spans="1:9" x14ac:dyDescent="0.45">
      <c r="A780" t="s">
        <v>37</v>
      </c>
      <c r="B780" t="s">
        <v>18</v>
      </c>
      <c r="C780" t="str">
        <f t="shared" si="24"/>
        <v>MarylandColorado St.</v>
      </c>
      <c r="D780" t="s">
        <v>37</v>
      </c>
      <c r="E780">
        <v>77.5</v>
      </c>
      <c r="F780">
        <v>-8.1207547169811303</v>
      </c>
      <c r="G780">
        <v>-345.15019787309899</v>
      </c>
      <c r="H780">
        <v>139.11787671035199</v>
      </c>
      <c r="I780" s="1">
        <f t="shared" si="25"/>
        <v>143.56755884260053</v>
      </c>
    </row>
    <row r="781" spans="1:9" x14ac:dyDescent="0.45">
      <c r="A781" t="s">
        <v>38</v>
      </c>
      <c r="B781" t="s">
        <v>18</v>
      </c>
      <c r="C781" t="str">
        <f t="shared" si="24"/>
        <v>McNeese St.Colorado St.</v>
      </c>
      <c r="D781" t="s">
        <v>18</v>
      </c>
      <c r="E781">
        <v>38.1</v>
      </c>
      <c r="F781">
        <v>3.1886792452830202</v>
      </c>
      <c r="G781">
        <v>162.607672980849</v>
      </c>
      <c r="H781">
        <v>138.953288324553</v>
      </c>
      <c r="I781" s="1">
        <f t="shared" si="25"/>
        <v>141.24997570575016</v>
      </c>
    </row>
    <row r="782" spans="1:9" x14ac:dyDescent="0.45">
      <c r="A782" t="s">
        <v>39</v>
      </c>
      <c r="B782" t="s">
        <v>18</v>
      </c>
      <c r="C782" t="str">
        <f t="shared" si="24"/>
        <v>MemphisColorado St.</v>
      </c>
      <c r="D782" t="s">
        <v>39</v>
      </c>
      <c r="E782">
        <v>63.9</v>
      </c>
      <c r="F782">
        <v>-3.7358490566037701</v>
      </c>
      <c r="G782">
        <v>-176.78345704</v>
      </c>
      <c r="H782">
        <v>138.09551152337201</v>
      </c>
      <c r="I782" s="1">
        <f t="shared" si="25"/>
        <v>129.17154720699591</v>
      </c>
    </row>
    <row r="783" spans="1:9" x14ac:dyDescent="0.45">
      <c r="A783" t="s">
        <v>40</v>
      </c>
      <c r="B783" t="s">
        <v>18</v>
      </c>
      <c r="C783" t="str">
        <f t="shared" si="24"/>
        <v>MichiganColorado St.</v>
      </c>
      <c r="D783" t="s">
        <v>18</v>
      </c>
      <c r="E783">
        <v>48.3</v>
      </c>
      <c r="F783">
        <v>0.45283018867924502</v>
      </c>
      <c r="G783">
        <v>107.158695277669</v>
      </c>
      <c r="H783">
        <v>137.75243260805499</v>
      </c>
      <c r="I783" s="1">
        <f t="shared" si="25"/>
        <v>124.34062365860717</v>
      </c>
    </row>
    <row r="784" spans="1:9" x14ac:dyDescent="0.45">
      <c r="A784" t="s">
        <v>41</v>
      </c>
      <c r="B784" t="s">
        <v>18</v>
      </c>
      <c r="C784" t="str">
        <f t="shared" si="24"/>
        <v>Michigan St.Colorado St.</v>
      </c>
      <c r="D784" t="s">
        <v>41</v>
      </c>
      <c r="E784">
        <v>90</v>
      </c>
      <c r="F784">
        <v>-14.3698113207547</v>
      </c>
      <c r="G784">
        <v>-895.46046856416604</v>
      </c>
      <c r="H784">
        <v>139.45132456888399</v>
      </c>
      <c r="I784" s="1">
        <f t="shared" si="25"/>
        <v>148.26286665670361</v>
      </c>
    </row>
    <row r="785" spans="1:9" x14ac:dyDescent="0.45">
      <c r="A785" t="s">
        <v>42</v>
      </c>
      <c r="B785" t="s">
        <v>18</v>
      </c>
      <c r="C785" t="str">
        <f t="shared" si="24"/>
        <v>MississippiColorado St.</v>
      </c>
      <c r="D785" t="s">
        <v>42</v>
      </c>
      <c r="E785">
        <v>69.7</v>
      </c>
      <c r="F785">
        <v>-5.4603773584905699</v>
      </c>
      <c r="G785">
        <v>-229.999836723453</v>
      </c>
      <c r="H785">
        <v>138.582245673979</v>
      </c>
      <c r="I785" s="1">
        <f t="shared" si="25"/>
        <v>136.02529240961067</v>
      </c>
    </row>
    <row r="786" spans="1:9" x14ac:dyDescent="0.45">
      <c r="A786" t="s">
        <v>43</v>
      </c>
      <c r="B786" t="s">
        <v>18</v>
      </c>
      <c r="C786" t="str">
        <f t="shared" si="24"/>
        <v>Mississippi St.Colorado St.</v>
      </c>
      <c r="D786" t="s">
        <v>43</v>
      </c>
      <c r="E786">
        <v>63.4</v>
      </c>
      <c r="F786">
        <v>-3.6113207547169801</v>
      </c>
      <c r="G786">
        <v>-173.47474019105101</v>
      </c>
      <c r="H786">
        <v>138.706617027768</v>
      </c>
      <c r="I786" s="1">
        <f t="shared" si="25"/>
        <v>137.77657607916839</v>
      </c>
    </row>
    <row r="787" spans="1:9" x14ac:dyDescent="0.45">
      <c r="A787" t="s">
        <v>44</v>
      </c>
      <c r="B787" t="s">
        <v>18</v>
      </c>
      <c r="C787" t="str">
        <f t="shared" si="24"/>
        <v>MissouriColorado St.</v>
      </c>
      <c r="D787" t="s">
        <v>18</v>
      </c>
      <c r="E787">
        <v>43.2</v>
      </c>
      <c r="F787">
        <v>1.8</v>
      </c>
      <c r="G787">
        <v>131.63236834597399</v>
      </c>
      <c r="H787">
        <v>137.97108896394201</v>
      </c>
      <c r="I787" s="1">
        <f t="shared" si="25"/>
        <v>127.41954250642792</v>
      </c>
    </row>
    <row r="788" spans="1:9" x14ac:dyDescent="0.45">
      <c r="A788" t="s">
        <v>45</v>
      </c>
      <c r="B788" t="s">
        <v>18</v>
      </c>
      <c r="C788" t="str">
        <f t="shared" si="24"/>
        <v>MontanaColorado St.</v>
      </c>
      <c r="D788" t="s">
        <v>18</v>
      </c>
      <c r="E788">
        <v>6.9</v>
      </c>
      <c r="F788">
        <v>17.060377358490602</v>
      </c>
      <c r="G788">
        <v>1349.4436910582101</v>
      </c>
      <c r="H788">
        <v>137.27982368895999</v>
      </c>
      <c r="I788" s="1">
        <f t="shared" si="25"/>
        <v>117.68577704897268</v>
      </c>
    </row>
    <row r="789" spans="1:9" x14ac:dyDescent="0.45">
      <c r="A789" t="s">
        <v>46</v>
      </c>
      <c r="B789" t="s">
        <v>18</v>
      </c>
      <c r="C789" t="str">
        <f t="shared" si="24"/>
        <v>Mount St. Mary'sColorado St.</v>
      </c>
      <c r="D789" t="s">
        <v>18</v>
      </c>
      <c r="E789">
        <v>2.8</v>
      </c>
      <c r="F789">
        <v>23.173584905660402</v>
      </c>
      <c r="G789">
        <v>3430.48451383169</v>
      </c>
      <c r="H789">
        <v>138.62769791090801</v>
      </c>
      <c r="I789" s="1">
        <f t="shared" si="25"/>
        <v>136.66530924510869</v>
      </c>
    </row>
    <row r="790" spans="1:9" x14ac:dyDescent="0.45">
      <c r="A790" t="s">
        <v>47</v>
      </c>
      <c r="B790" t="s">
        <v>18</v>
      </c>
      <c r="C790" t="str">
        <f t="shared" si="24"/>
        <v>Nebraska OmahaColorado St.</v>
      </c>
      <c r="D790" t="s">
        <v>18</v>
      </c>
      <c r="E790">
        <v>3.6</v>
      </c>
      <c r="F790">
        <v>21.4603773584906</v>
      </c>
      <c r="G790">
        <v>2640.4934807763798</v>
      </c>
      <c r="H790">
        <v>137.91169909080699</v>
      </c>
      <c r="I790" s="1">
        <f t="shared" si="25"/>
        <v>126.58326862349733</v>
      </c>
    </row>
    <row r="791" spans="1:9" x14ac:dyDescent="0.45">
      <c r="A791" t="s">
        <v>48</v>
      </c>
      <c r="B791" t="s">
        <v>18</v>
      </c>
      <c r="C791" t="str">
        <f t="shared" si="24"/>
        <v>New MexicoColorado St.</v>
      </c>
      <c r="D791" t="s">
        <v>18</v>
      </c>
      <c r="E791">
        <v>49.2</v>
      </c>
      <c r="F791">
        <v>0.211320754716981</v>
      </c>
      <c r="G791">
        <v>103.287929739931</v>
      </c>
      <c r="H791">
        <v>138.789443438083</v>
      </c>
      <c r="I791" s="1">
        <f t="shared" si="25"/>
        <v>138.94286184653905</v>
      </c>
    </row>
    <row r="792" spans="1:9" x14ac:dyDescent="0.45">
      <c r="A792" t="s">
        <v>49</v>
      </c>
      <c r="B792" t="s">
        <v>18</v>
      </c>
      <c r="C792" t="str">
        <f t="shared" si="24"/>
        <v>Norfolk St.Colorado St.</v>
      </c>
      <c r="D792" t="s">
        <v>18</v>
      </c>
      <c r="E792">
        <v>5.3</v>
      </c>
      <c r="F792">
        <v>18.9283018867925</v>
      </c>
      <c r="G792">
        <v>1794.3306018605001</v>
      </c>
      <c r="H792">
        <v>137.80180710028401</v>
      </c>
      <c r="I792" s="1">
        <f t="shared" si="25"/>
        <v>125.03587010643537</v>
      </c>
    </row>
    <row r="793" spans="1:9" x14ac:dyDescent="0.45">
      <c r="A793" t="s">
        <v>50</v>
      </c>
      <c r="B793" t="s">
        <v>18</v>
      </c>
      <c r="C793" t="str">
        <f t="shared" si="24"/>
        <v>North CarolinaColorado St.</v>
      </c>
      <c r="D793" t="s">
        <v>50</v>
      </c>
      <c r="E793">
        <v>76.7</v>
      </c>
      <c r="F793">
        <v>-7.8301886792452802</v>
      </c>
      <c r="G793">
        <v>-330.09843117818298</v>
      </c>
      <c r="H793">
        <v>139.87373853224</v>
      </c>
      <c r="I793" s="1">
        <f t="shared" si="25"/>
        <v>154.21091380165595</v>
      </c>
    </row>
    <row r="794" spans="1:9" x14ac:dyDescent="0.45">
      <c r="A794" t="s">
        <v>51</v>
      </c>
      <c r="B794" t="s">
        <v>18</v>
      </c>
      <c r="C794" t="str">
        <f t="shared" si="24"/>
        <v>OklahomaColorado St.</v>
      </c>
      <c r="D794" t="s">
        <v>51</v>
      </c>
      <c r="E794">
        <v>52</v>
      </c>
      <c r="F794">
        <v>-0.524528301886792</v>
      </c>
      <c r="G794">
        <v>-108.301616358343</v>
      </c>
      <c r="H794">
        <v>138.216341827745</v>
      </c>
      <c r="I794" s="1">
        <f t="shared" si="25"/>
        <v>130.87296905687865</v>
      </c>
    </row>
    <row r="795" spans="1:9" x14ac:dyDescent="0.45">
      <c r="A795" t="s">
        <v>52</v>
      </c>
      <c r="B795" t="s">
        <v>18</v>
      </c>
      <c r="C795" t="str">
        <f t="shared" si="24"/>
        <v>OregonColorado St.</v>
      </c>
      <c r="D795" t="s">
        <v>52</v>
      </c>
      <c r="E795">
        <v>78.099999999999994</v>
      </c>
      <c r="F795">
        <v>-8.3471698113207502</v>
      </c>
      <c r="G795">
        <v>-357.32166169387102</v>
      </c>
      <c r="H795">
        <v>138.81071961588501</v>
      </c>
      <c r="I795" s="1">
        <f t="shared" si="25"/>
        <v>139.24245352581335</v>
      </c>
    </row>
    <row r="796" spans="1:9" x14ac:dyDescent="0.45">
      <c r="A796" t="s">
        <v>53</v>
      </c>
      <c r="B796" t="s">
        <v>18</v>
      </c>
      <c r="C796" t="str">
        <f t="shared" si="24"/>
        <v>PurdueColorado St.</v>
      </c>
      <c r="D796" t="s">
        <v>53</v>
      </c>
      <c r="E796">
        <v>95</v>
      </c>
      <c r="F796">
        <v>-19.256603773584899</v>
      </c>
      <c r="G796">
        <v>-1887.4133187426901</v>
      </c>
      <c r="H796">
        <v>140.158706944675</v>
      </c>
      <c r="I796" s="1">
        <f t="shared" si="25"/>
        <v>158.22357838906473</v>
      </c>
    </row>
    <row r="797" spans="1:9" x14ac:dyDescent="0.45">
      <c r="A797" t="s">
        <v>54</v>
      </c>
      <c r="B797" t="s">
        <v>18</v>
      </c>
      <c r="C797" t="str">
        <f t="shared" si="24"/>
        <v>Robert MorrisColorado St.</v>
      </c>
      <c r="D797" t="s">
        <v>18</v>
      </c>
      <c r="E797">
        <v>2.2999999999999998</v>
      </c>
      <c r="F797">
        <v>24.683018867924499</v>
      </c>
      <c r="G797">
        <v>4318.3114931782402</v>
      </c>
      <c r="H797">
        <v>137.21734379343701</v>
      </c>
      <c r="I797" s="1">
        <f t="shared" si="25"/>
        <v>116.80599229652312</v>
      </c>
    </row>
    <row r="798" spans="1:9" x14ac:dyDescent="0.45">
      <c r="A798" t="s">
        <v>55</v>
      </c>
      <c r="B798" t="s">
        <v>18</v>
      </c>
      <c r="C798" t="str">
        <f t="shared" si="24"/>
        <v>Saint FrancisColorado St.</v>
      </c>
      <c r="D798" t="s">
        <v>18</v>
      </c>
      <c r="E798">
        <v>1.5</v>
      </c>
      <c r="F798">
        <v>27.411320754717</v>
      </c>
      <c r="G798">
        <v>6545.2898963726402</v>
      </c>
      <c r="H798">
        <v>138.27019932664399</v>
      </c>
      <c r="I798" s="1">
        <f t="shared" si="25"/>
        <v>131.63134110503566</v>
      </c>
    </row>
    <row r="799" spans="1:9" x14ac:dyDescent="0.45">
      <c r="A799" t="s">
        <v>56</v>
      </c>
      <c r="B799" t="s">
        <v>18</v>
      </c>
      <c r="C799" t="str">
        <f t="shared" si="24"/>
        <v>Saint Mary'sColorado St.</v>
      </c>
      <c r="D799" t="s">
        <v>56</v>
      </c>
      <c r="E799">
        <v>75.3</v>
      </c>
      <c r="F799">
        <v>-7.3056603773584898</v>
      </c>
      <c r="G799">
        <v>-304.757771003926</v>
      </c>
      <c r="H799">
        <v>139.52145452773499</v>
      </c>
      <c r="I799" s="1">
        <f t="shared" si="25"/>
        <v>149.25037260514631</v>
      </c>
    </row>
    <row r="800" spans="1:9" x14ac:dyDescent="0.45">
      <c r="A800" t="s">
        <v>57</v>
      </c>
      <c r="B800" t="s">
        <v>18</v>
      </c>
      <c r="C800" t="str">
        <f t="shared" si="24"/>
        <v>San Diego St.Colorado St.</v>
      </c>
      <c r="D800" t="s">
        <v>18</v>
      </c>
      <c r="E800">
        <v>47</v>
      </c>
      <c r="F800">
        <v>0.78867924528301903</v>
      </c>
      <c r="G800">
        <v>112.768108920505</v>
      </c>
      <c r="H800">
        <v>138.66770940753199</v>
      </c>
      <c r="I800" s="1">
        <f t="shared" si="25"/>
        <v>137.22871455105246</v>
      </c>
    </row>
    <row r="801" spans="1:9" x14ac:dyDescent="0.45">
      <c r="A801" t="s">
        <v>58</v>
      </c>
      <c r="B801" t="s">
        <v>18</v>
      </c>
      <c r="C801" t="str">
        <f t="shared" si="24"/>
        <v>SIU EdwardsvilleColorado St.</v>
      </c>
      <c r="D801" t="s">
        <v>18</v>
      </c>
      <c r="E801">
        <v>4.3</v>
      </c>
      <c r="F801">
        <v>20.384905660377399</v>
      </c>
      <c r="G801">
        <v>2241.6265739308201</v>
      </c>
      <c r="H801">
        <v>138.81539717438099</v>
      </c>
      <c r="I801" s="1">
        <f t="shared" si="25"/>
        <v>139.30831862704329</v>
      </c>
    </row>
    <row r="802" spans="1:9" x14ac:dyDescent="0.45">
      <c r="A802" t="s">
        <v>59</v>
      </c>
      <c r="B802" t="s">
        <v>18</v>
      </c>
      <c r="C802" t="str">
        <f t="shared" si="24"/>
        <v>St. John'sColorado St.</v>
      </c>
      <c r="D802" t="s">
        <v>59</v>
      </c>
      <c r="E802">
        <v>90.5</v>
      </c>
      <c r="F802">
        <v>-14.7735849056604</v>
      </c>
      <c r="G802">
        <v>-952.01598638550502</v>
      </c>
      <c r="H802">
        <v>139.79307994692601</v>
      </c>
      <c r="I802" s="1">
        <f t="shared" si="25"/>
        <v>153.07515336352765</v>
      </c>
    </row>
    <row r="803" spans="1:9" x14ac:dyDescent="0.45">
      <c r="A803" t="s">
        <v>60</v>
      </c>
      <c r="B803" t="s">
        <v>18</v>
      </c>
      <c r="C803" t="str">
        <f t="shared" si="24"/>
        <v>TennesseeColorado St.</v>
      </c>
      <c r="D803" t="s">
        <v>60</v>
      </c>
      <c r="E803">
        <v>95</v>
      </c>
      <c r="F803">
        <v>-19.316981132075501</v>
      </c>
      <c r="G803">
        <v>-1904.5118948250899</v>
      </c>
      <c r="H803">
        <v>140.38706282361699</v>
      </c>
      <c r="I803" s="1">
        <f t="shared" si="25"/>
        <v>161.4390770505737</v>
      </c>
    </row>
    <row r="804" spans="1:9" x14ac:dyDescent="0.45">
      <c r="A804" t="s">
        <v>61</v>
      </c>
      <c r="B804" t="s">
        <v>18</v>
      </c>
      <c r="C804" t="str">
        <f t="shared" si="24"/>
        <v>TexasColorado St.</v>
      </c>
      <c r="D804" t="s">
        <v>18</v>
      </c>
      <c r="E804">
        <v>43.8</v>
      </c>
      <c r="F804">
        <v>1.6377358490566001</v>
      </c>
      <c r="G804">
        <v>128.34620312828</v>
      </c>
      <c r="H804">
        <v>138.142777354689</v>
      </c>
      <c r="I804" s="1">
        <f t="shared" si="25"/>
        <v>129.8371014201787</v>
      </c>
    </row>
    <row r="805" spans="1:9" x14ac:dyDescent="0.45">
      <c r="A805" t="s">
        <v>62</v>
      </c>
      <c r="B805" t="s">
        <v>18</v>
      </c>
      <c r="C805" t="str">
        <f t="shared" si="24"/>
        <v>Texas A&amp;MColorado St.</v>
      </c>
      <c r="D805" t="s">
        <v>62</v>
      </c>
      <c r="E805">
        <v>81.8</v>
      </c>
      <c r="F805">
        <v>-9.8603773584905703</v>
      </c>
      <c r="G805">
        <v>-450.00552685662598</v>
      </c>
      <c r="H805">
        <v>138.94057638228199</v>
      </c>
      <c r="I805" s="1">
        <f t="shared" si="25"/>
        <v>141.07097775944374</v>
      </c>
    </row>
    <row r="806" spans="1:9" x14ac:dyDescent="0.45">
      <c r="A806" t="s">
        <v>63</v>
      </c>
      <c r="B806" t="s">
        <v>18</v>
      </c>
      <c r="C806" t="str">
        <f t="shared" si="24"/>
        <v>Texas TechColorado St.</v>
      </c>
      <c r="D806" t="s">
        <v>63</v>
      </c>
      <c r="E806">
        <v>89.9</v>
      </c>
      <c r="F806">
        <v>-14.313207547169799</v>
      </c>
      <c r="G806">
        <v>-887.430560912278</v>
      </c>
      <c r="H806">
        <v>139.98036050134601</v>
      </c>
      <c r="I806" s="1">
        <f t="shared" si="25"/>
        <v>155.71226686747718</v>
      </c>
    </row>
    <row r="807" spans="1:9" x14ac:dyDescent="0.45">
      <c r="A807" t="s">
        <v>64</v>
      </c>
      <c r="B807" t="s">
        <v>18</v>
      </c>
      <c r="C807" t="str">
        <f t="shared" si="24"/>
        <v>TroyColorado St.</v>
      </c>
      <c r="D807" t="s">
        <v>18</v>
      </c>
      <c r="E807">
        <v>11.1</v>
      </c>
      <c r="F807">
        <v>13.633962264150901</v>
      </c>
      <c r="G807">
        <v>800.43583657370198</v>
      </c>
      <c r="H807">
        <v>138.683924921076</v>
      </c>
      <c r="I807" s="1">
        <f t="shared" si="25"/>
        <v>137.45704658409679</v>
      </c>
    </row>
    <row r="808" spans="1:9" x14ac:dyDescent="0.45">
      <c r="A808" t="s">
        <v>65</v>
      </c>
      <c r="B808" t="s">
        <v>18</v>
      </c>
      <c r="C808" t="str">
        <f t="shared" si="24"/>
        <v>UC San DiegoColorado St.</v>
      </c>
      <c r="D808" t="s">
        <v>18</v>
      </c>
      <c r="E808">
        <v>24.2</v>
      </c>
      <c r="F808">
        <v>7.4754716981132097</v>
      </c>
      <c r="G808">
        <v>312.73777740266002</v>
      </c>
      <c r="H808">
        <v>138.77204666446701</v>
      </c>
      <c r="I808" s="1">
        <f t="shared" si="25"/>
        <v>138.69789638939403</v>
      </c>
    </row>
    <row r="809" spans="1:9" x14ac:dyDescent="0.45">
      <c r="A809" t="s">
        <v>66</v>
      </c>
      <c r="B809" t="s">
        <v>18</v>
      </c>
      <c r="C809" t="str">
        <f t="shared" si="24"/>
        <v>UCLAColorado St.</v>
      </c>
      <c r="D809" t="s">
        <v>66</v>
      </c>
      <c r="E809">
        <v>56</v>
      </c>
      <c r="F809">
        <v>-1.56981132075472</v>
      </c>
      <c r="G809">
        <v>-127.063969405593</v>
      </c>
      <c r="H809">
        <v>138.24350117757501</v>
      </c>
      <c r="I809" s="1">
        <f t="shared" si="25"/>
        <v>131.25540218463732</v>
      </c>
    </row>
    <row r="810" spans="1:9" x14ac:dyDescent="0.45">
      <c r="A810" t="s">
        <v>67</v>
      </c>
      <c r="B810" t="s">
        <v>18</v>
      </c>
      <c r="C810" t="str">
        <f t="shared" si="24"/>
        <v>UNC WilmingtonColorado St.</v>
      </c>
      <c r="D810" t="s">
        <v>18</v>
      </c>
      <c r="E810">
        <v>16.100000000000001</v>
      </c>
      <c r="F810">
        <v>10.8339622641509</v>
      </c>
      <c r="G810">
        <v>522.17795740713098</v>
      </c>
      <c r="H810">
        <v>139.35851685149501</v>
      </c>
      <c r="I810" s="1">
        <f t="shared" si="25"/>
        <v>146.95603325077329</v>
      </c>
    </row>
    <row r="811" spans="1:9" x14ac:dyDescent="0.45">
      <c r="A811" t="s">
        <v>68</v>
      </c>
      <c r="B811" t="s">
        <v>18</v>
      </c>
      <c r="C811" t="str">
        <f t="shared" si="24"/>
        <v>Utah St.Colorado St.</v>
      </c>
      <c r="D811" t="s">
        <v>18</v>
      </c>
      <c r="E811">
        <v>49.3</v>
      </c>
      <c r="F811">
        <v>0.19245283018867901</v>
      </c>
      <c r="G811">
        <v>102.953123972521</v>
      </c>
      <c r="H811">
        <v>138.72988725532201</v>
      </c>
      <c r="I811" s="1">
        <f t="shared" si="25"/>
        <v>138.10424614354159</v>
      </c>
    </row>
    <row r="812" spans="1:9" x14ac:dyDescent="0.45">
      <c r="A812" t="s">
        <v>69</v>
      </c>
      <c r="B812" t="s">
        <v>18</v>
      </c>
      <c r="C812" t="str">
        <f t="shared" si="24"/>
        <v>VanderbiltColorado St.</v>
      </c>
      <c r="D812" t="s">
        <v>18</v>
      </c>
      <c r="E812">
        <v>17.2</v>
      </c>
      <c r="F812">
        <v>10.313207547169799</v>
      </c>
      <c r="G812">
        <v>482.20256744200299</v>
      </c>
      <c r="H812">
        <v>137.30445774392001</v>
      </c>
      <c r="I812" s="1">
        <f t="shared" si="25"/>
        <v>118.03265128369119</v>
      </c>
    </row>
    <row r="813" spans="1:9" x14ac:dyDescent="0.45">
      <c r="A813" t="s">
        <v>70</v>
      </c>
      <c r="B813" t="s">
        <v>18</v>
      </c>
      <c r="C813" t="str">
        <f t="shared" si="24"/>
        <v>VCUColorado St.</v>
      </c>
      <c r="D813" t="s">
        <v>18</v>
      </c>
      <c r="E813">
        <v>38.9</v>
      </c>
      <c r="F813">
        <v>2.9660377358490599</v>
      </c>
      <c r="G813">
        <v>157.21698231603199</v>
      </c>
      <c r="H813">
        <v>139.149368905796</v>
      </c>
      <c r="I813" s="1">
        <f t="shared" si="25"/>
        <v>144.01100314001621</v>
      </c>
    </row>
    <row r="814" spans="1:9" x14ac:dyDescent="0.45">
      <c r="A814" t="s">
        <v>71</v>
      </c>
      <c r="B814" t="s">
        <v>18</v>
      </c>
      <c r="C814" t="str">
        <f t="shared" si="24"/>
        <v>WisconsinColorado St.</v>
      </c>
      <c r="D814" t="s">
        <v>71</v>
      </c>
      <c r="E814">
        <v>88.7</v>
      </c>
      <c r="F814">
        <v>-13.498113207547201</v>
      </c>
      <c r="G814">
        <v>-783.68471047441994</v>
      </c>
      <c r="H814">
        <v>139.95004776106299</v>
      </c>
      <c r="I814" s="1">
        <f t="shared" si="25"/>
        <v>155.28543057905608</v>
      </c>
    </row>
    <row r="815" spans="1:9" x14ac:dyDescent="0.45">
      <c r="A815" t="s">
        <v>80</v>
      </c>
      <c r="B815" t="s">
        <v>18</v>
      </c>
      <c r="C815" t="str">
        <f t="shared" si="24"/>
        <v>WoffordColorado St.</v>
      </c>
      <c r="D815" t="s">
        <v>18</v>
      </c>
      <c r="E815">
        <v>6.1</v>
      </c>
      <c r="F815">
        <v>17.890566037735901</v>
      </c>
      <c r="G815">
        <v>1531.55891828779</v>
      </c>
      <c r="H815">
        <v>137.97950350015699</v>
      </c>
      <c r="I815" s="1">
        <f t="shared" si="25"/>
        <v>127.53802831052398</v>
      </c>
    </row>
    <row r="816" spans="1:9" x14ac:dyDescent="0.45">
      <c r="A816" t="s">
        <v>72</v>
      </c>
      <c r="B816" t="s">
        <v>18</v>
      </c>
      <c r="C816" t="str">
        <f t="shared" si="24"/>
        <v>XavierColorado St.</v>
      </c>
      <c r="D816" t="s">
        <v>18</v>
      </c>
      <c r="E816">
        <v>38.6</v>
      </c>
      <c r="F816">
        <v>3.0415094339622599</v>
      </c>
      <c r="G816">
        <v>159.05750455913099</v>
      </c>
      <c r="H816">
        <v>138.55541707030901</v>
      </c>
      <c r="I816" s="1">
        <f t="shared" si="25"/>
        <v>135.64751654681822</v>
      </c>
    </row>
    <row r="817" spans="1:9" x14ac:dyDescent="0.45">
      <c r="A817" t="s">
        <v>73</v>
      </c>
      <c r="B817" t="s">
        <v>18</v>
      </c>
      <c r="C817" t="str">
        <f t="shared" si="24"/>
        <v>YaleColorado St.</v>
      </c>
      <c r="D817" t="s">
        <v>18</v>
      </c>
      <c r="E817">
        <v>26</v>
      </c>
      <c r="F817">
        <v>6.86415094339623</v>
      </c>
      <c r="G817">
        <v>285.01370562807602</v>
      </c>
      <c r="H817">
        <v>139.354651704372</v>
      </c>
      <c r="I817" s="1">
        <f t="shared" si="25"/>
        <v>146.90160778356767</v>
      </c>
    </row>
    <row r="818" spans="1:9" x14ac:dyDescent="0.45">
      <c r="A818" t="s">
        <v>7</v>
      </c>
      <c r="B818" t="s">
        <v>19</v>
      </c>
      <c r="C818" t="str">
        <f t="shared" si="24"/>
        <v>AkronConnecticut</v>
      </c>
      <c r="D818" t="s">
        <v>19</v>
      </c>
      <c r="E818">
        <v>1.7</v>
      </c>
      <c r="F818">
        <v>26.562264150943399</v>
      </c>
      <c r="G818">
        <v>5752.1549124237199</v>
      </c>
      <c r="H818">
        <v>137.50156525748099</v>
      </c>
      <c r="I818" s="1">
        <f t="shared" si="25"/>
        <v>120.80813903975513</v>
      </c>
    </row>
    <row r="819" spans="1:9" x14ac:dyDescent="0.45">
      <c r="A819" t="s">
        <v>8</v>
      </c>
      <c r="B819" t="s">
        <v>19</v>
      </c>
      <c r="C819" t="str">
        <f t="shared" si="24"/>
        <v>AlabamaConnecticut</v>
      </c>
      <c r="D819" t="s">
        <v>8</v>
      </c>
      <c r="E819">
        <v>56.1</v>
      </c>
      <c r="F819">
        <v>-1.6113207547169801</v>
      </c>
      <c r="G819">
        <v>-127.847752958409</v>
      </c>
      <c r="H819">
        <v>139.24966126962099</v>
      </c>
      <c r="I819" s="1">
        <f t="shared" si="25"/>
        <v>145.42322849253611</v>
      </c>
    </row>
    <row r="820" spans="1:9" x14ac:dyDescent="0.45">
      <c r="A820" t="s">
        <v>9</v>
      </c>
      <c r="B820" t="s">
        <v>19</v>
      </c>
      <c r="C820" t="str">
        <f t="shared" si="24"/>
        <v>Alabama St.Connecticut</v>
      </c>
      <c r="D820" t="s">
        <v>19</v>
      </c>
      <c r="E820">
        <v>0.3</v>
      </c>
      <c r="F820">
        <v>38.701886792452797</v>
      </c>
      <c r="G820">
        <v>36651.715005042002</v>
      </c>
      <c r="H820">
        <v>137.728406113294</v>
      </c>
      <c r="I820" s="1">
        <f t="shared" si="25"/>
        <v>124.00230453101273</v>
      </c>
    </row>
    <row r="821" spans="1:9" x14ac:dyDescent="0.45">
      <c r="A821" t="s">
        <v>10</v>
      </c>
      <c r="B821" t="s">
        <v>19</v>
      </c>
      <c r="C821" t="str">
        <f t="shared" si="24"/>
        <v>AmericanConnecticut</v>
      </c>
      <c r="D821" t="s">
        <v>19</v>
      </c>
      <c r="E821">
        <v>0.3</v>
      </c>
      <c r="F821">
        <v>37.441509433962302</v>
      </c>
      <c r="G821">
        <v>30227.113793830202</v>
      </c>
      <c r="H821">
        <v>137.81949199489799</v>
      </c>
      <c r="I821" s="1">
        <f t="shared" si="25"/>
        <v>125.28489261999466</v>
      </c>
    </row>
    <row r="822" spans="1:9" x14ac:dyDescent="0.45">
      <c r="A822" t="s">
        <v>11</v>
      </c>
      <c r="B822" t="s">
        <v>19</v>
      </c>
      <c r="C822" t="str">
        <f t="shared" si="24"/>
        <v>ArizonaConnecticut</v>
      </c>
      <c r="D822" t="s">
        <v>19</v>
      </c>
      <c r="E822">
        <v>47.6</v>
      </c>
      <c r="F822">
        <v>0.63018867924528299</v>
      </c>
      <c r="G822">
        <v>110.089299957655</v>
      </c>
      <c r="H822">
        <v>139.012020088611</v>
      </c>
      <c r="I822" s="1">
        <f t="shared" si="25"/>
        <v>142.07698269848245</v>
      </c>
    </row>
    <row r="823" spans="1:9" x14ac:dyDescent="0.45">
      <c r="A823" t="s">
        <v>12</v>
      </c>
      <c r="B823" t="s">
        <v>19</v>
      </c>
      <c r="C823" t="str">
        <f t="shared" si="24"/>
        <v>ArkansasConnecticut</v>
      </c>
      <c r="D823" t="s">
        <v>19</v>
      </c>
      <c r="E823">
        <v>5.2</v>
      </c>
      <c r="F823">
        <v>19.022641509433999</v>
      </c>
      <c r="G823">
        <v>1820.6784455721399</v>
      </c>
      <c r="H823">
        <v>137.12962392246899</v>
      </c>
      <c r="I823" s="1">
        <f t="shared" si="25"/>
        <v>115.57080129118422</v>
      </c>
    </row>
    <row r="824" spans="1:9" x14ac:dyDescent="0.45">
      <c r="A824" t="s">
        <v>13</v>
      </c>
      <c r="B824" t="s">
        <v>19</v>
      </c>
      <c r="C824" t="str">
        <f t="shared" si="24"/>
        <v>AuburnConnecticut</v>
      </c>
      <c r="D824" t="s">
        <v>13</v>
      </c>
      <c r="E824">
        <v>71.5</v>
      </c>
      <c r="F824">
        <v>-6.02264150943396</v>
      </c>
      <c r="G824">
        <v>-250.55000754761201</v>
      </c>
      <c r="H824">
        <v>140.26834332773001</v>
      </c>
      <c r="I824" s="1">
        <f t="shared" si="25"/>
        <v>159.76737767550929</v>
      </c>
    </row>
    <row r="825" spans="1:9" x14ac:dyDescent="0.45">
      <c r="A825" t="s">
        <v>14</v>
      </c>
      <c r="B825" t="s">
        <v>19</v>
      </c>
      <c r="C825" t="str">
        <f t="shared" si="24"/>
        <v>BaylorConnecticut</v>
      </c>
      <c r="D825" t="s">
        <v>19</v>
      </c>
      <c r="E825">
        <v>20.9</v>
      </c>
      <c r="F825">
        <v>8.7094339622641499</v>
      </c>
      <c r="G825">
        <v>377.65329533890298</v>
      </c>
      <c r="H825">
        <v>138.80334134045501</v>
      </c>
      <c r="I825" s="1">
        <f t="shared" si="25"/>
        <v>139.13855939845681</v>
      </c>
    </row>
    <row r="826" spans="1:9" x14ac:dyDescent="0.45">
      <c r="A826" t="s">
        <v>15</v>
      </c>
      <c r="B826" t="s">
        <v>19</v>
      </c>
      <c r="C826" t="str">
        <f t="shared" si="24"/>
        <v>BryantConnecticut</v>
      </c>
      <c r="D826" t="s">
        <v>19</v>
      </c>
      <c r="E826">
        <v>1.2</v>
      </c>
      <c r="F826">
        <v>28.996226415094299</v>
      </c>
      <c r="G826">
        <v>8337.4534748965307</v>
      </c>
      <c r="H826">
        <v>138.35233909034901</v>
      </c>
      <c r="I826" s="1">
        <f t="shared" si="25"/>
        <v>132.7879581427658</v>
      </c>
    </row>
    <row r="827" spans="1:9" x14ac:dyDescent="0.45">
      <c r="A827" t="s">
        <v>16</v>
      </c>
      <c r="B827" t="s">
        <v>19</v>
      </c>
      <c r="C827" t="str">
        <f t="shared" si="24"/>
        <v>BYUConnecticut</v>
      </c>
      <c r="D827" t="s">
        <v>19</v>
      </c>
      <c r="E827">
        <v>24.4</v>
      </c>
      <c r="F827">
        <v>7.4150943396226401</v>
      </c>
      <c r="G827">
        <v>309.99643224279498</v>
      </c>
      <c r="H827">
        <v>138.61285956857299</v>
      </c>
      <c r="I827" s="1">
        <f t="shared" si="25"/>
        <v>136.45636927764059</v>
      </c>
    </row>
    <row r="828" spans="1:9" x14ac:dyDescent="0.45">
      <c r="A828" t="s">
        <v>17</v>
      </c>
      <c r="B828" t="s">
        <v>19</v>
      </c>
      <c r="C828" t="str">
        <f t="shared" si="24"/>
        <v>ClemsonConnecticut</v>
      </c>
      <c r="D828" t="s">
        <v>19</v>
      </c>
      <c r="E828">
        <v>29.2</v>
      </c>
      <c r="F828">
        <v>5.7924528301886804</v>
      </c>
      <c r="G828">
        <v>241.93860348655801</v>
      </c>
      <c r="H828">
        <v>138.83477142486399</v>
      </c>
      <c r="I828" s="1">
        <f t="shared" si="25"/>
        <v>139.58112910507634</v>
      </c>
    </row>
    <row r="829" spans="1:9" x14ac:dyDescent="0.45">
      <c r="A829" t="s">
        <v>18</v>
      </c>
      <c r="B829" t="s">
        <v>19</v>
      </c>
      <c r="C829" t="str">
        <f t="shared" si="24"/>
        <v>Colorado St.Connecticut</v>
      </c>
      <c r="D829" t="s">
        <v>19</v>
      </c>
      <c r="E829">
        <v>6.4</v>
      </c>
      <c r="F829">
        <v>17.6301886792453</v>
      </c>
      <c r="G829">
        <v>1472.4708280576001</v>
      </c>
      <c r="H829">
        <v>138.14216327297001</v>
      </c>
      <c r="I829" s="1">
        <f t="shared" si="25"/>
        <v>129.82845448297425</v>
      </c>
    </row>
    <row r="830" spans="1:9" x14ac:dyDescent="0.45">
      <c r="A830" t="s">
        <v>19</v>
      </c>
      <c r="B830" t="s">
        <v>19</v>
      </c>
      <c r="C830" t="str">
        <f t="shared" si="24"/>
        <v>ConnecticutConnecticut</v>
      </c>
      <c r="D830" t="s">
        <v>19</v>
      </c>
      <c r="E830">
        <v>41.2</v>
      </c>
      <c r="F830">
        <v>2.3283018867924499</v>
      </c>
      <c r="G830">
        <v>142.64273539779199</v>
      </c>
      <c r="H830">
        <v>138.77771517530499</v>
      </c>
      <c r="I830" s="1">
        <f t="shared" si="25"/>
        <v>138.77771517530277</v>
      </c>
    </row>
    <row r="831" spans="1:9" x14ac:dyDescent="0.45">
      <c r="A831" t="s">
        <v>20</v>
      </c>
      <c r="B831" t="s">
        <v>19</v>
      </c>
      <c r="C831" t="str">
        <f t="shared" si="24"/>
        <v>CreightonConnecticut</v>
      </c>
      <c r="D831" t="s">
        <v>19</v>
      </c>
      <c r="E831">
        <v>17.8</v>
      </c>
      <c r="F831">
        <v>10.018867924528299</v>
      </c>
      <c r="G831">
        <v>461.136698247384</v>
      </c>
      <c r="H831">
        <v>138.250657537569</v>
      </c>
      <c r="I831" s="1">
        <f t="shared" si="25"/>
        <v>131.35617150176</v>
      </c>
    </row>
    <row r="832" spans="1:9" x14ac:dyDescent="0.45">
      <c r="A832" t="s">
        <v>21</v>
      </c>
      <c r="B832" t="s">
        <v>19</v>
      </c>
      <c r="C832" t="str">
        <f t="shared" si="24"/>
        <v>DrakeConnecticut</v>
      </c>
      <c r="D832" t="s">
        <v>19</v>
      </c>
      <c r="E832">
        <v>6.3</v>
      </c>
      <c r="F832">
        <v>17.683018867924499</v>
      </c>
      <c r="G832">
        <v>1483.89987088721</v>
      </c>
      <c r="H832">
        <v>138.30412264172301</v>
      </c>
      <c r="I832" s="1">
        <f t="shared" si="25"/>
        <v>132.10901820595348</v>
      </c>
    </row>
    <row r="833" spans="1:9" x14ac:dyDescent="0.45">
      <c r="A833" t="s">
        <v>22</v>
      </c>
      <c r="B833" t="s">
        <v>19</v>
      </c>
      <c r="C833" t="str">
        <f t="shared" si="24"/>
        <v>DukeConnecticut</v>
      </c>
      <c r="D833" t="s">
        <v>22</v>
      </c>
      <c r="E833">
        <v>78.599999999999994</v>
      </c>
      <c r="F833">
        <v>-8.52830188679245</v>
      </c>
      <c r="G833">
        <v>-367.37012780244697</v>
      </c>
      <c r="H833">
        <v>140.59144310317899</v>
      </c>
      <c r="I833" s="1">
        <f t="shared" si="25"/>
        <v>164.31697324670105</v>
      </c>
    </row>
    <row r="834" spans="1:9" x14ac:dyDescent="0.45">
      <c r="A834" t="s">
        <v>23</v>
      </c>
      <c r="B834" t="s">
        <v>19</v>
      </c>
      <c r="C834" t="str">
        <f t="shared" si="24"/>
        <v>FloridaConnecticut</v>
      </c>
      <c r="D834" t="s">
        <v>23</v>
      </c>
      <c r="E834">
        <v>67</v>
      </c>
      <c r="F834">
        <v>-4.63018867924528</v>
      </c>
      <c r="G834">
        <v>-202.65494891123001</v>
      </c>
      <c r="H834">
        <v>140.31519937912199</v>
      </c>
      <c r="I834" s="1">
        <f t="shared" si="25"/>
        <v>160.42716174252163</v>
      </c>
    </row>
    <row r="835" spans="1:9" x14ac:dyDescent="0.45">
      <c r="A835" t="s">
        <v>24</v>
      </c>
      <c r="B835" t="s">
        <v>19</v>
      </c>
      <c r="C835" t="str">
        <f t="shared" ref="C835:C898" si="26">A835&amp;B835</f>
        <v>GeorgiaConnecticut</v>
      </c>
      <c r="D835" t="s">
        <v>19</v>
      </c>
      <c r="E835">
        <v>7.1</v>
      </c>
      <c r="F835">
        <v>16.875471698113198</v>
      </c>
      <c r="G835">
        <v>1312.43413750537</v>
      </c>
      <c r="H835">
        <v>137.45701290346599</v>
      </c>
      <c r="I835" s="1">
        <f t="shared" ref="I835:I898" si="27">18*(H835-AVERAGE($H$2:$H$4625))/_xlfn.STDEV.P($H$2:$H$4625)+AVERAGE($H$2:$H$4625)</f>
        <v>120.18079353253177</v>
      </c>
    </row>
    <row r="836" spans="1:9" x14ac:dyDescent="0.45">
      <c r="A836" t="s">
        <v>25</v>
      </c>
      <c r="B836" t="s">
        <v>19</v>
      </c>
      <c r="C836" t="str">
        <f t="shared" si="26"/>
        <v>GonzagaConnecticut</v>
      </c>
      <c r="D836" t="s">
        <v>19</v>
      </c>
      <c r="E836">
        <v>30</v>
      </c>
      <c r="F836">
        <v>5.5509433962264101</v>
      </c>
      <c r="G836">
        <v>233.16118884149401</v>
      </c>
      <c r="H836">
        <v>139.594654022995</v>
      </c>
      <c r="I836" s="1">
        <f t="shared" si="27"/>
        <v>150.28110095828629</v>
      </c>
    </row>
    <row r="837" spans="1:9" x14ac:dyDescent="0.45">
      <c r="A837" t="s">
        <v>26</v>
      </c>
      <c r="B837" t="s">
        <v>19</v>
      </c>
      <c r="C837" t="str">
        <f t="shared" si="26"/>
        <v>Grand CanyonConnecticut</v>
      </c>
      <c r="D837" t="s">
        <v>19</v>
      </c>
      <c r="E837">
        <v>4</v>
      </c>
      <c r="F837">
        <v>20.8</v>
      </c>
      <c r="G837">
        <v>2387.4751366262099</v>
      </c>
      <c r="H837">
        <v>138.246622269299</v>
      </c>
      <c r="I837" s="1">
        <f t="shared" si="27"/>
        <v>131.29935054413397</v>
      </c>
    </row>
    <row r="838" spans="1:9" x14ac:dyDescent="0.45">
      <c r="A838" t="s">
        <v>27</v>
      </c>
      <c r="B838" t="s">
        <v>19</v>
      </c>
      <c r="C838" t="str">
        <f t="shared" si="26"/>
        <v>High PointConnecticut</v>
      </c>
      <c r="D838" t="s">
        <v>19</v>
      </c>
      <c r="E838">
        <v>2.7</v>
      </c>
      <c r="F838">
        <v>23.569811320754699</v>
      </c>
      <c r="G838">
        <v>3644.3067566160598</v>
      </c>
      <c r="H838">
        <v>138.527514016955</v>
      </c>
      <c r="I838" s="1">
        <f t="shared" si="27"/>
        <v>135.25461126613297</v>
      </c>
    </row>
    <row r="839" spans="1:9" x14ac:dyDescent="0.45">
      <c r="A839" t="s">
        <v>28</v>
      </c>
      <c r="B839" t="s">
        <v>19</v>
      </c>
      <c r="C839" t="str">
        <f t="shared" si="26"/>
        <v>HoustonConnecticut</v>
      </c>
      <c r="D839" t="s">
        <v>28</v>
      </c>
      <c r="E839">
        <v>86.3</v>
      </c>
      <c r="F839">
        <v>-12.045283018867901</v>
      </c>
      <c r="G839">
        <v>-627.90087101179404</v>
      </c>
      <c r="H839">
        <v>140.73510745280899</v>
      </c>
      <c r="I839" s="1">
        <f t="shared" si="27"/>
        <v>166.33992324072852</v>
      </c>
    </row>
    <row r="840" spans="1:9" x14ac:dyDescent="0.45">
      <c r="A840" t="s">
        <v>29</v>
      </c>
      <c r="B840" t="s">
        <v>19</v>
      </c>
      <c r="C840" t="str">
        <f t="shared" si="26"/>
        <v>IllinoisConnecticut</v>
      </c>
      <c r="D840" t="s">
        <v>19</v>
      </c>
      <c r="E840">
        <v>38.5</v>
      </c>
      <c r="F840">
        <v>3.0679245283018899</v>
      </c>
      <c r="G840">
        <v>159.66567549061901</v>
      </c>
      <c r="H840">
        <v>138.78535260674599</v>
      </c>
      <c r="I840" s="1">
        <f t="shared" si="27"/>
        <v>138.88525850061444</v>
      </c>
    </row>
    <row r="841" spans="1:9" x14ac:dyDescent="0.45">
      <c r="A841" t="s">
        <v>30</v>
      </c>
      <c r="B841" t="s">
        <v>19</v>
      </c>
      <c r="C841" t="str">
        <f t="shared" si="26"/>
        <v>Iowa St.Connecticut</v>
      </c>
      <c r="D841" t="s">
        <v>30</v>
      </c>
      <c r="E841">
        <v>56.9</v>
      </c>
      <c r="F841">
        <v>-1.81509433962264</v>
      </c>
      <c r="G841">
        <v>-131.92552052524701</v>
      </c>
      <c r="H841">
        <v>139.71162118510401</v>
      </c>
      <c r="I841" s="1">
        <f t="shared" si="27"/>
        <v>151.9281255715548</v>
      </c>
    </row>
    <row r="842" spans="1:9" x14ac:dyDescent="0.45">
      <c r="A842" t="s">
        <v>31</v>
      </c>
      <c r="B842" t="s">
        <v>19</v>
      </c>
      <c r="C842" t="str">
        <f t="shared" si="26"/>
        <v>KansasConnecticut</v>
      </c>
      <c r="D842" t="s">
        <v>19</v>
      </c>
      <c r="E842">
        <v>27.7</v>
      </c>
      <c r="F842">
        <v>6.2867924528301904</v>
      </c>
      <c r="G842">
        <v>260.90516114146101</v>
      </c>
      <c r="H842">
        <v>138.667011469416</v>
      </c>
      <c r="I842" s="1">
        <f t="shared" si="27"/>
        <v>137.21888682475006</v>
      </c>
    </row>
    <row r="843" spans="1:9" x14ac:dyDescent="0.45">
      <c r="A843" t="s">
        <v>32</v>
      </c>
      <c r="B843" t="s">
        <v>19</v>
      </c>
      <c r="C843" t="str">
        <f t="shared" si="26"/>
        <v>KentuckyConnecticut</v>
      </c>
      <c r="D843" t="s">
        <v>19</v>
      </c>
      <c r="E843">
        <v>39.299999999999997</v>
      </c>
      <c r="F843">
        <v>2.8566037735849101</v>
      </c>
      <c r="G843">
        <v>154.658326392269</v>
      </c>
      <c r="H843">
        <v>138.614049069808</v>
      </c>
      <c r="I843" s="1">
        <f t="shared" si="27"/>
        <v>136.47311874626294</v>
      </c>
    </row>
    <row r="844" spans="1:9" x14ac:dyDescent="0.45">
      <c r="A844" t="s">
        <v>33</v>
      </c>
      <c r="B844" t="s">
        <v>19</v>
      </c>
      <c r="C844" t="str">
        <f t="shared" si="26"/>
        <v>LibertyConnecticut</v>
      </c>
      <c r="D844" t="s">
        <v>19</v>
      </c>
      <c r="E844">
        <v>1.8</v>
      </c>
      <c r="F844">
        <v>26.3471698113208</v>
      </c>
      <c r="G844">
        <v>5565.8741781532499</v>
      </c>
      <c r="H844">
        <v>137.822985318207</v>
      </c>
      <c r="I844" s="1">
        <f t="shared" si="27"/>
        <v>125.33408240427525</v>
      </c>
    </row>
    <row r="845" spans="1:9" x14ac:dyDescent="0.45">
      <c r="A845" t="s">
        <v>34</v>
      </c>
      <c r="B845" t="s">
        <v>19</v>
      </c>
      <c r="C845" t="str">
        <f t="shared" si="26"/>
        <v>LipscombConnecticut</v>
      </c>
      <c r="D845" t="s">
        <v>19</v>
      </c>
      <c r="E845">
        <v>1.4</v>
      </c>
      <c r="F845">
        <v>28.090566037735801</v>
      </c>
      <c r="G845">
        <v>7260.4448985725503</v>
      </c>
      <c r="H845">
        <v>138.25490554946401</v>
      </c>
      <c r="I845" s="1">
        <f t="shared" si="27"/>
        <v>131.41598812056475</v>
      </c>
    </row>
    <row r="846" spans="1:9" x14ac:dyDescent="0.45">
      <c r="A846" t="s">
        <v>35</v>
      </c>
      <c r="B846" t="s">
        <v>19</v>
      </c>
      <c r="C846" t="str">
        <f t="shared" si="26"/>
        <v>LouisvilleConnecticut</v>
      </c>
      <c r="D846" t="s">
        <v>19</v>
      </c>
      <c r="E846">
        <v>3.4</v>
      </c>
      <c r="F846">
        <v>21.981132075471699</v>
      </c>
      <c r="G846">
        <v>2859.8941692417102</v>
      </c>
      <c r="H846">
        <v>137.540628861432</v>
      </c>
      <c r="I846" s="1">
        <f t="shared" si="27"/>
        <v>121.35819698790235</v>
      </c>
    </row>
    <row r="847" spans="1:9" x14ac:dyDescent="0.45">
      <c r="A847" t="s">
        <v>36</v>
      </c>
      <c r="B847" t="s">
        <v>19</v>
      </c>
      <c r="C847" t="str">
        <f t="shared" si="26"/>
        <v>MarquetteConnecticut</v>
      </c>
      <c r="D847" t="s">
        <v>19</v>
      </c>
      <c r="E847">
        <v>33</v>
      </c>
      <c r="F847">
        <v>4.6377358490566003</v>
      </c>
      <c r="G847">
        <v>202.88248521965201</v>
      </c>
      <c r="H847">
        <v>138.87238549633801</v>
      </c>
      <c r="I847" s="1">
        <f t="shared" si="27"/>
        <v>140.11077606244393</v>
      </c>
    </row>
    <row r="848" spans="1:9" x14ac:dyDescent="0.45">
      <c r="A848" t="s">
        <v>37</v>
      </c>
      <c r="B848" t="s">
        <v>19</v>
      </c>
      <c r="C848" t="str">
        <f t="shared" si="26"/>
        <v>MarylandConnecticut</v>
      </c>
      <c r="D848" t="s">
        <v>19</v>
      </c>
      <c r="E848">
        <v>25.1</v>
      </c>
      <c r="F848">
        <v>7.1811320754716998</v>
      </c>
      <c r="G848">
        <v>299.08106211209298</v>
      </c>
      <c r="H848">
        <v>138.48232480801599</v>
      </c>
      <c r="I848" s="1">
        <f t="shared" si="27"/>
        <v>134.61829815025763</v>
      </c>
    </row>
    <row r="849" spans="1:9" x14ac:dyDescent="0.45">
      <c r="A849" t="s">
        <v>38</v>
      </c>
      <c r="B849" t="s">
        <v>19</v>
      </c>
      <c r="C849" t="str">
        <f t="shared" si="26"/>
        <v>McNeese St.Connecticut</v>
      </c>
      <c r="D849" t="s">
        <v>19</v>
      </c>
      <c r="E849">
        <v>5.6</v>
      </c>
      <c r="F849">
        <v>18.4905660377358</v>
      </c>
      <c r="G849">
        <v>1678.5646616696599</v>
      </c>
      <c r="H849">
        <v>138.317736422217</v>
      </c>
      <c r="I849" s="1">
        <f t="shared" si="27"/>
        <v>132.30071501340726</v>
      </c>
    </row>
    <row r="850" spans="1:9" x14ac:dyDescent="0.45">
      <c r="A850" t="s">
        <v>39</v>
      </c>
      <c r="B850" t="s">
        <v>19</v>
      </c>
      <c r="C850" t="str">
        <f t="shared" si="26"/>
        <v>MemphisConnecticut</v>
      </c>
      <c r="D850" t="s">
        <v>19</v>
      </c>
      <c r="E850">
        <v>14.6</v>
      </c>
      <c r="F850">
        <v>11.5660377358491</v>
      </c>
      <c r="G850">
        <v>583.92278042582302</v>
      </c>
      <c r="H850">
        <v>137.45995962103601</v>
      </c>
      <c r="I850" s="1">
        <f t="shared" si="27"/>
        <v>120.22228651465301</v>
      </c>
    </row>
    <row r="851" spans="1:9" x14ac:dyDescent="0.45">
      <c r="A851" t="s">
        <v>40</v>
      </c>
      <c r="B851" t="s">
        <v>19</v>
      </c>
      <c r="C851" t="str">
        <f t="shared" si="26"/>
        <v>MichiganConnecticut</v>
      </c>
      <c r="D851" t="s">
        <v>19</v>
      </c>
      <c r="E851">
        <v>8.3000000000000007</v>
      </c>
      <c r="F851">
        <v>15.7547169811321</v>
      </c>
      <c r="G851">
        <v>1106.1765769497799</v>
      </c>
      <c r="H851">
        <v>137.11688070571901</v>
      </c>
      <c r="I851" s="1">
        <f t="shared" si="27"/>
        <v>115.39136296626465</v>
      </c>
    </row>
    <row r="852" spans="1:9" x14ac:dyDescent="0.45">
      <c r="A852" t="s">
        <v>41</v>
      </c>
      <c r="B852" t="s">
        <v>19</v>
      </c>
      <c r="C852" t="str">
        <f t="shared" si="26"/>
        <v>Michigan St.Connecticut</v>
      </c>
      <c r="D852" t="s">
        <v>19</v>
      </c>
      <c r="E852">
        <v>46.5</v>
      </c>
      <c r="F852">
        <v>0.932075471698113</v>
      </c>
      <c r="G852">
        <v>115.27911213502</v>
      </c>
      <c r="H852">
        <v>138.81577266654801</v>
      </c>
      <c r="I852" s="1">
        <f t="shared" si="27"/>
        <v>139.3136059643611</v>
      </c>
    </row>
    <row r="853" spans="1:9" x14ac:dyDescent="0.45">
      <c r="A853" t="s">
        <v>42</v>
      </c>
      <c r="B853" t="s">
        <v>19</v>
      </c>
      <c r="C853" t="str">
        <f t="shared" si="26"/>
        <v>MississippiConnecticut</v>
      </c>
      <c r="D853" t="s">
        <v>19</v>
      </c>
      <c r="E853">
        <v>18.2</v>
      </c>
      <c r="F853">
        <v>9.8415094339622602</v>
      </c>
      <c r="G853">
        <v>448.817221953966</v>
      </c>
      <c r="H853">
        <v>137.946693771643</v>
      </c>
      <c r="I853" s="1">
        <f t="shared" si="27"/>
        <v>127.07603171726775</v>
      </c>
    </row>
    <row r="854" spans="1:9" x14ac:dyDescent="0.45">
      <c r="A854" t="s">
        <v>43</v>
      </c>
      <c r="B854" t="s">
        <v>19</v>
      </c>
      <c r="C854" t="str">
        <f t="shared" si="26"/>
        <v>Mississippi St.Connecticut</v>
      </c>
      <c r="D854" t="s">
        <v>19</v>
      </c>
      <c r="E854">
        <v>14.4</v>
      </c>
      <c r="F854">
        <v>11.690566037735801</v>
      </c>
      <c r="G854">
        <v>595.06005113135905</v>
      </c>
      <c r="H854">
        <v>138.071065125432</v>
      </c>
      <c r="I854" s="1">
        <f t="shared" si="27"/>
        <v>128.82731538682546</v>
      </c>
    </row>
    <row r="855" spans="1:9" x14ac:dyDescent="0.45">
      <c r="A855" t="s">
        <v>44</v>
      </c>
      <c r="B855" t="s">
        <v>19</v>
      </c>
      <c r="C855" t="str">
        <f t="shared" si="26"/>
        <v>MissouriConnecticut</v>
      </c>
      <c r="D855" t="s">
        <v>19</v>
      </c>
      <c r="E855">
        <v>6.9</v>
      </c>
      <c r="F855">
        <v>17.1056603773585</v>
      </c>
      <c r="G855">
        <v>1358.81313462655</v>
      </c>
      <c r="H855">
        <v>137.335537061606</v>
      </c>
      <c r="I855" s="1">
        <f t="shared" si="27"/>
        <v>118.470281814085</v>
      </c>
    </row>
    <row r="856" spans="1:9" x14ac:dyDescent="0.45">
      <c r="A856" t="s">
        <v>45</v>
      </c>
      <c r="B856" t="s">
        <v>19</v>
      </c>
      <c r="C856" t="str">
        <f t="shared" si="26"/>
        <v>MontanaConnecticut</v>
      </c>
      <c r="D856" t="s">
        <v>19</v>
      </c>
      <c r="E856">
        <v>0.7</v>
      </c>
      <c r="F856">
        <v>32.362264150943403</v>
      </c>
      <c r="G856">
        <v>13930.022188990801</v>
      </c>
      <c r="H856">
        <v>136.64427178662501</v>
      </c>
      <c r="I856" s="1">
        <f t="shared" si="27"/>
        <v>108.73651635664416</v>
      </c>
    </row>
    <row r="857" spans="1:9" x14ac:dyDescent="0.45">
      <c r="A857" t="s">
        <v>46</v>
      </c>
      <c r="B857" t="s">
        <v>19</v>
      </c>
      <c r="C857" t="str">
        <f t="shared" si="26"/>
        <v>Mount St. Mary'sConnecticut</v>
      </c>
      <c r="D857" t="s">
        <v>19</v>
      </c>
      <c r="E857">
        <v>0.3</v>
      </c>
      <c r="F857">
        <v>38.479245283018898</v>
      </c>
      <c r="G857">
        <v>35412.1670383975</v>
      </c>
      <c r="H857">
        <v>137.99214600857201</v>
      </c>
      <c r="I857" s="1">
        <f t="shared" si="27"/>
        <v>127.71604855276577</v>
      </c>
    </row>
    <row r="858" spans="1:9" x14ac:dyDescent="0.45">
      <c r="A858" t="s">
        <v>47</v>
      </c>
      <c r="B858" t="s">
        <v>19</v>
      </c>
      <c r="C858" t="str">
        <f t="shared" si="26"/>
        <v>Nebraska OmahaConnecticut</v>
      </c>
      <c r="D858" t="s">
        <v>19</v>
      </c>
      <c r="E858">
        <v>0.4</v>
      </c>
      <c r="F858">
        <v>36.762264150943402</v>
      </c>
      <c r="G858">
        <v>27257.256468594602</v>
      </c>
      <c r="H858">
        <v>137.27614718847099</v>
      </c>
      <c r="I858" s="1">
        <f t="shared" si="27"/>
        <v>117.63400793115441</v>
      </c>
    </row>
    <row r="859" spans="1:9" x14ac:dyDescent="0.45">
      <c r="A859" t="s">
        <v>48</v>
      </c>
      <c r="B859" t="s">
        <v>19</v>
      </c>
      <c r="C859" t="str">
        <f t="shared" si="26"/>
        <v>New MexicoConnecticut</v>
      </c>
      <c r="D859" t="s">
        <v>19</v>
      </c>
      <c r="E859">
        <v>8.6</v>
      </c>
      <c r="F859">
        <v>15.513207547169801</v>
      </c>
      <c r="G859">
        <v>1066.21948189916</v>
      </c>
      <c r="H859">
        <v>138.15389153574699</v>
      </c>
      <c r="I859" s="1">
        <f t="shared" si="27"/>
        <v>129.99360115419614</v>
      </c>
    </row>
    <row r="860" spans="1:9" x14ac:dyDescent="0.45">
      <c r="A860" t="s">
        <v>49</v>
      </c>
      <c r="B860" t="s">
        <v>19</v>
      </c>
      <c r="C860" t="str">
        <f t="shared" si="26"/>
        <v>Norfolk St.Connecticut</v>
      </c>
      <c r="D860" t="s">
        <v>19</v>
      </c>
      <c r="E860">
        <v>0.5</v>
      </c>
      <c r="F860">
        <v>34.230188679245302</v>
      </c>
      <c r="G860">
        <v>18522.495798769702</v>
      </c>
      <c r="H860">
        <v>137.166255197949</v>
      </c>
      <c r="I860" s="1">
        <f t="shared" si="27"/>
        <v>116.08660941410646</v>
      </c>
    </row>
    <row r="861" spans="1:9" x14ac:dyDescent="0.45">
      <c r="A861" t="s">
        <v>50</v>
      </c>
      <c r="B861" t="s">
        <v>19</v>
      </c>
      <c r="C861" t="str">
        <f t="shared" si="26"/>
        <v>North CarolinaConnecticut</v>
      </c>
      <c r="D861" t="s">
        <v>19</v>
      </c>
      <c r="E861">
        <v>24.2</v>
      </c>
      <c r="F861">
        <v>7.4754716981132097</v>
      </c>
      <c r="G861">
        <v>312.71850459769303</v>
      </c>
      <c r="H861">
        <v>139.23818662990499</v>
      </c>
      <c r="I861" s="1">
        <f t="shared" si="27"/>
        <v>145.26165310932706</v>
      </c>
    </row>
    <row r="862" spans="1:9" x14ac:dyDescent="0.45">
      <c r="A862" t="s">
        <v>51</v>
      </c>
      <c r="B862" t="s">
        <v>19</v>
      </c>
      <c r="C862" t="str">
        <f t="shared" si="26"/>
        <v>OklahomaConnecticut</v>
      </c>
      <c r="D862" t="s">
        <v>19</v>
      </c>
      <c r="E862">
        <v>9.5</v>
      </c>
      <c r="F862">
        <v>14.781132075471699</v>
      </c>
      <c r="G862">
        <v>953.15186641841603</v>
      </c>
      <c r="H862">
        <v>137.58078992540899</v>
      </c>
      <c r="I862" s="1">
        <f t="shared" si="27"/>
        <v>121.92370836453571</v>
      </c>
    </row>
    <row r="863" spans="1:9" x14ac:dyDescent="0.45">
      <c r="A863" t="s">
        <v>52</v>
      </c>
      <c r="B863" t="s">
        <v>19</v>
      </c>
      <c r="C863" t="str">
        <f t="shared" si="26"/>
        <v>OregonConnecticut</v>
      </c>
      <c r="D863" t="s">
        <v>19</v>
      </c>
      <c r="E863">
        <v>25.7</v>
      </c>
      <c r="F863">
        <v>6.9547169811320799</v>
      </c>
      <c r="G863">
        <v>288.89345045228299</v>
      </c>
      <c r="H863">
        <v>138.17516771355</v>
      </c>
      <c r="I863" s="1">
        <f t="shared" si="27"/>
        <v>130.29319283348443</v>
      </c>
    </row>
    <row r="864" spans="1:9" x14ac:dyDescent="0.45">
      <c r="A864" t="s">
        <v>53</v>
      </c>
      <c r="B864" t="s">
        <v>19</v>
      </c>
      <c r="C864" t="str">
        <f t="shared" si="26"/>
        <v>PurdueConnecticut</v>
      </c>
      <c r="D864" t="s">
        <v>53</v>
      </c>
      <c r="E864">
        <v>64.599999999999994</v>
      </c>
      <c r="F864">
        <v>-3.9547169811320799</v>
      </c>
      <c r="G864">
        <v>-182.83947870589</v>
      </c>
      <c r="H864">
        <v>139.523155042339</v>
      </c>
      <c r="I864" s="1">
        <f t="shared" si="27"/>
        <v>149.27431769672182</v>
      </c>
    </row>
    <row r="865" spans="1:9" x14ac:dyDescent="0.45">
      <c r="A865" t="s">
        <v>54</v>
      </c>
      <c r="B865" t="s">
        <v>19</v>
      </c>
      <c r="C865" t="str">
        <f t="shared" si="26"/>
        <v>Robert MorrisConnecticut</v>
      </c>
      <c r="D865" t="s">
        <v>19</v>
      </c>
      <c r="E865">
        <v>0.2</v>
      </c>
      <c r="F865">
        <v>39.9849056603774</v>
      </c>
      <c r="G865">
        <v>44577.017416543902</v>
      </c>
      <c r="H865">
        <v>136.581791891102</v>
      </c>
      <c r="I865" s="1">
        <f t="shared" si="27"/>
        <v>107.85673160419421</v>
      </c>
    </row>
    <row r="866" spans="1:9" x14ac:dyDescent="0.45">
      <c r="A866" t="s">
        <v>55</v>
      </c>
      <c r="B866" t="s">
        <v>19</v>
      </c>
      <c r="C866" t="str">
        <f t="shared" si="26"/>
        <v>Saint FrancisConnecticut</v>
      </c>
      <c r="D866" t="s">
        <v>19</v>
      </c>
      <c r="E866">
        <v>0.1</v>
      </c>
      <c r="F866">
        <v>42.713207547169802</v>
      </c>
      <c r="G866">
        <v>67565.645083234107</v>
      </c>
      <c r="H866">
        <v>137.63464742430901</v>
      </c>
      <c r="I866" s="1">
        <f t="shared" si="27"/>
        <v>122.68208041270715</v>
      </c>
    </row>
    <row r="867" spans="1:9" x14ac:dyDescent="0.45">
      <c r="A867" t="s">
        <v>56</v>
      </c>
      <c r="B867" t="s">
        <v>19</v>
      </c>
      <c r="C867" t="str">
        <f t="shared" si="26"/>
        <v>Saint Mary'sConnecticut</v>
      </c>
      <c r="D867" t="s">
        <v>19</v>
      </c>
      <c r="E867">
        <v>22.8</v>
      </c>
      <c r="F867">
        <v>7.9962264150943403</v>
      </c>
      <c r="G867">
        <v>338.72110111592798</v>
      </c>
      <c r="H867">
        <v>138.88590262539901</v>
      </c>
      <c r="I867" s="1">
        <f t="shared" si="27"/>
        <v>140.30111191280378</v>
      </c>
    </row>
    <row r="868" spans="1:9" x14ac:dyDescent="0.45">
      <c r="A868" t="s">
        <v>57</v>
      </c>
      <c r="B868" t="s">
        <v>19</v>
      </c>
      <c r="C868" t="str">
        <f t="shared" si="26"/>
        <v>San Diego St.Connecticut</v>
      </c>
      <c r="D868" t="s">
        <v>19</v>
      </c>
      <c r="E868">
        <v>7.9</v>
      </c>
      <c r="F868">
        <v>16.090566037735801</v>
      </c>
      <c r="G868">
        <v>1164.08136914651</v>
      </c>
      <c r="H868">
        <v>138.03215750519701</v>
      </c>
      <c r="I868" s="1">
        <f t="shared" si="27"/>
        <v>128.27945385872394</v>
      </c>
    </row>
    <row r="869" spans="1:9" x14ac:dyDescent="0.45">
      <c r="A869" t="s">
        <v>58</v>
      </c>
      <c r="B869" t="s">
        <v>19</v>
      </c>
      <c r="C869" t="str">
        <f t="shared" si="26"/>
        <v>SIU EdwardsvilleConnecticut</v>
      </c>
      <c r="D869" t="s">
        <v>19</v>
      </c>
      <c r="E869">
        <v>0.4</v>
      </c>
      <c r="F869">
        <v>35.686792452830197</v>
      </c>
      <c r="G869">
        <v>23139.837639168902</v>
      </c>
      <c r="H869">
        <v>138.17984527204499</v>
      </c>
      <c r="I869" s="1">
        <f t="shared" si="27"/>
        <v>130.35905793470039</v>
      </c>
    </row>
    <row r="870" spans="1:9" x14ac:dyDescent="0.45">
      <c r="A870" t="s">
        <v>59</v>
      </c>
      <c r="B870" t="s">
        <v>19</v>
      </c>
      <c r="C870" t="str">
        <f t="shared" si="26"/>
        <v>St. John'sConnecticut</v>
      </c>
      <c r="D870" t="s">
        <v>19</v>
      </c>
      <c r="E870">
        <v>48</v>
      </c>
      <c r="F870">
        <v>0.53207547169811298</v>
      </c>
      <c r="G870">
        <v>108.43083440227601</v>
      </c>
      <c r="H870">
        <v>139.15752804459001</v>
      </c>
      <c r="I870" s="1">
        <f t="shared" si="27"/>
        <v>144.12589267118472</v>
      </c>
    </row>
    <row r="871" spans="1:9" x14ac:dyDescent="0.45">
      <c r="A871" t="s">
        <v>60</v>
      </c>
      <c r="B871" t="s">
        <v>19</v>
      </c>
      <c r="C871" t="str">
        <f t="shared" si="26"/>
        <v>TennesseeConnecticut</v>
      </c>
      <c r="D871" t="s">
        <v>60</v>
      </c>
      <c r="E871">
        <v>64.900000000000006</v>
      </c>
      <c r="F871">
        <v>-4.0150943396226397</v>
      </c>
      <c r="G871">
        <v>-184.49586986646599</v>
      </c>
      <c r="H871">
        <v>139.75151092128101</v>
      </c>
      <c r="I871" s="1">
        <f t="shared" si="27"/>
        <v>152.4898163582312</v>
      </c>
    </row>
    <row r="872" spans="1:9" x14ac:dyDescent="0.45">
      <c r="A872" t="s">
        <v>61</v>
      </c>
      <c r="B872" t="s">
        <v>19</v>
      </c>
      <c r="C872" t="str">
        <f t="shared" si="26"/>
        <v>TexasConnecticut</v>
      </c>
      <c r="D872" t="s">
        <v>19</v>
      </c>
      <c r="E872">
        <v>7</v>
      </c>
      <c r="F872">
        <v>16.939622641509398</v>
      </c>
      <c r="G872">
        <v>1324.8907451985999</v>
      </c>
      <c r="H872">
        <v>137.507225452353</v>
      </c>
      <c r="I872" s="1">
        <f t="shared" si="27"/>
        <v>120.88784072783579</v>
      </c>
    </row>
    <row r="873" spans="1:9" x14ac:dyDescent="0.45">
      <c r="A873" t="s">
        <v>62</v>
      </c>
      <c r="B873" t="s">
        <v>19</v>
      </c>
      <c r="C873" t="str">
        <f t="shared" si="26"/>
        <v>Texas A&amp;MConnecticut</v>
      </c>
      <c r="D873" t="s">
        <v>19</v>
      </c>
      <c r="E873">
        <v>30.4</v>
      </c>
      <c r="F873">
        <v>5.4415094339622598</v>
      </c>
      <c r="G873">
        <v>229.392488774865</v>
      </c>
      <c r="H873">
        <v>138.30502447994701</v>
      </c>
      <c r="I873" s="1">
        <f t="shared" si="27"/>
        <v>132.12171706711521</v>
      </c>
    </row>
    <row r="874" spans="1:9" x14ac:dyDescent="0.45">
      <c r="A874" t="s">
        <v>63</v>
      </c>
      <c r="B874" t="s">
        <v>19</v>
      </c>
      <c r="C874" t="str">
        <f t="shared" si="26"/>
        <v>Texas TechConnecticut</v>
      </c>
      <c r="D874" t="s">
        <v>19</v>
      </c>
      <c r="E874">
        <v>46.2</v>
      </c>
      <c r="F874">
        <v>0.99245283018867902</v>
      </c>
      <c r="G874">
        <v>116.322214170726</v>
      </c>
      <c r="H874">
        <v>139.344808599011</v>
      </c>
      <c r="I874" s="1">
        <f t="shared" si="27"/>
        <v>146.76300617514826</v>
      </c>
    </row>
    <row r="875" spans="1:9" x14ac:dyDescent="0.45">
      <c r="A875" t="s">
        <v>64</v>
      </c>
      <c r="B875" t="s">
        <v>19</v>
      </c>
      <c r="C875" t="str">
        <f t="shared" si="26"/>
        <v>TroyConnecticut</v>
      </c>
      <c r="D875" t="s">
        <v>19</v>
      </c>
      <c r="E875">
        <v>1.2</v>
      </c>
      <c r="F875">
        <v>28.9358490566038</v>
      </c>
      <c r="G875">
        <v>8262.7300703384008</v>
      </c>
      <c r="H875">
        <v>138.04837301873999</v>
      </c>
      <c r="I875" s="1">
        <f t="shared" si="27"/>
        <v>128.50778589175388</v>
      </c>
    </row>
    <row r="876" spans="1:9" x14ac:dyDescent="0.45">
      <c r="A876" t="s">
        <v>65</v>
      </c>
      <c r="B876" t="s">
        <v>19</v>
      </c>
      <c r="C876" t="str">
        <f t="shared" si="26"/>
        <v>UC San DiegoConnecticut</v>
      </c>
      <c r="D876" t="s">
        <v>19</v>
      </c>
      <c r="E876">
        <v>3</v>
      </c>
      <c r="F876">
        <v>22.777358490566002</v>
      </c>
      <c r="G876">
        <v>3228.3260186562402</v>
      </c>
      <c r="H876">
        <v>138.13649476213101</v>
      </c>
      <c r="I876" s="1">
        <f t="shared" si="27"/>
        <v>129.74863569705113</v>
      </c>
    </row>
    <row r="877" spans="1:9" x14ac:dyDescent="0.45">
      <c r="A877" t="s">
        <v>66</v>
      </c>
      <c r="B877" t="s">
        <v>19</v>
      </c>
      <c r="C877" t="str">
        <f t="shared" si="26"/>
        <v>UCLAConnecticut</v>
      </c>
      <c r="D877" t="s">
        <v>19</v>
      </c>
      <c r="E877">
        <v>11</v>
      </c>
      <c r="F877">
        <v>13.732075471698099</v>
      </c>
      <c r="G877">
        <v>812.40880676865004</v>
      </c>
      <c r="H877">
        <v>137.60794927524</v>
      </c>
      <c r="I877" s="1">
        <f t="shared" si="27"/>
        <v>122.30614149230841</v>
      </c>
    </row>
    <row r="878" spans="1:9" x14ac:dyDescent="0.45">
      <c r="A878" t="s">
        <v>67</v>
      </c>
      <c r="B878" t="s">
        <v>19</v>
      </c>
      <c r="C878" t="str">
        <f t="shared" si="26"/>
        <v>UNC WilmingtonConnecticut</v>
      </c>
      <c r="D878" t="s">
        <v>19</v>
      </c>
      <c r="E878">
        <v>1.8</v>
      </c>
      <c r="F878">
        <v>26.135849056603799</v>
      </c>
      <c r="G878">
        <v>5390.3327582191596</v>
      </c>
      <c r="H878">
        <v>138.72296494915901</v>
      </c>
      <c r="I878" s="1">
        <f t="shared" si="27"/>
        <v>138.00677255843038</v>
      </c>
    </row>
    <row r="879" spans="1:9" x14ac:dyDescent="0.45">
      <c r="A879" t="s">
        <v>68</v>
      </c>
      <c r="B879" t="s">
        <v>19</v>
      </c>
      <c r="C879" t="str">
        <f t="shared" si="26"/>
        <v>Utah St.Connecticut</v>
      </c>
      <c r="D879" t="s">
        <v>19</v>
      </c>
      <c r="E879">
        <v>8.6</v>
      </c>
      <c r="F879">
        <v>15.494339622641499</v>
      </c>
      <c r="G879">
        <v>1062.76335268092</v>
      </c>
      <c r="H879">
        <v>138.09433535298601</v>
      </c>
      <c r="I879" s="1">
        <f t="shared" si="27"/>
        <v>129.15498545119868</v>
      </c>
    </row>
    <row r="880" spans="1:9" x14ac:dyDescent="0.45">
      <c r="A880" t="s">
        <v>69</v>
      </c>
      <c r="B880" t="s">
        <v>19</v>
      </c>
      <c r="C880" t="str">
        <f t="shared" si="26"/>
        <v>VanderbiltConnecticut</v>
      </c>
      <c r="D880" t="s">
        <v>19</v>
      </c>
      <c r="E880">
        <v>2</v>
      </c>
      <c r="F880">
        <v>25.615094339622601</v>
      </c>
      <c r="G880">
        <v>4977.67525133859</v>
      </c>
      <c r="H880">
        <v>136.668905841585</v>
      </c>
      <c r="I880" s="1">
        <f t="shared" si="27"/>
        <v>109.08339059136229</v>
      </c>
    </row>
    <row r="881" spans="1:9" x14ac:dyDescent="0.45">
      <c r="A881" t="s">
        <v>70</v>
      </c>
      <c r="B881" t="s">
        <v>19</v>
      </c>
      <c r="C881" t="str">
        <f t="shared" si="26"/>
        <v>VCUConnecticut</v>
      </c>
      <c r="D881" t="s">
        <v>19</v>
      </c>
      <c r="E881">
        <v>5.8</v>
      </c>
      <c r="F881">
        <v>18.267924528301901</v>
      </c>
      <c r="G881">
        <v>1622.9177005756401</v>
      </c>
      <c r="H881">
        <v>138.51381700345999</v>
      </c>
      <c r="I881" s="1">
        <f t="shared" si="27"/>
        <v>135.06174244767331</v>
      </c>
    </row>
    <row r="882" spans="1:9" x14ac:dyDescent="0.45">
      <c r="A882" t="s">
        <v>71</v>
      </c>
      <c r="B882" t="s">
        <v>19</v>
      </c>
      <c r="C882" t="str">
        <f t="shared" si="26"/>
        <v>WisconsinConnecticut</v>
      </c>
      <c r="D882" t="s">
        <v>19</v>
      </c>
      <c r="E882">
        <v>43.2</v>
      </c>
      <c r="F882">
        <v>1.8075471698113199</v>
      </c>
      <c r="G882">
        <v>131.72119653271599</v>
      </c>
      <c r="H882">
        <v>139.31449585872701</v>
      </c>
      <c r="I882" s="1">
        <f t="shared" si="27"/>
        <v>146.33616988671358</v>
      </c>
    </row>
    <row r="883" spans="1:9" x14ac:dyDescent="0.45">
      <c r="A883" t="s">
        <v>80</v>
      </c>
      <c r="B883" t="s">
        <v>19</v>
      </c>
      <c r="C883" t="str">
        <f t="shared" si="26"/>
        <v>WoffordConnecticut</v>
      </c>
      <c r="D883" t="s">
        <v>19</v>
      </c>
      <c r="E883">
        <v>0.6</v>
      </c>
      <c r="F883">
        <v>33.192452830188699</v>
      </c>
      <c r="G883">
        <v>15809.9592127223</v>
      </c>
      <c r="H883">
        <v>137.34395159782201</v>
      </c>
      <c r="I883" s="1">
        <f t="shared" si="27"/>
        <v>118.58876761819548</v>
      </c>
    </row>
    <row r="884" spans="1:9" x14ac:dyDescent="0.45">
      <c r="A884" t="s">
        <v>72</v>
      </c>
      <c r="B884" t="s">
        <v>19</v>
      </c>
      <c r="C884" t="str">
        <f t="shared" si="26"/>
        <v>XavierConnecticut</v>
      </c>
      <c r="D884" t="s">
        <v>19</v>
      </c>
      <c r="E884">
        <v>5.7</v>
      </c>
      <c r="F884">
        <v>18.343396226415098</v>
      </c>
      <c r="G884">
        <v>1641.9170229301701</v>
      </c>
      <c r="H884">
        <v>137.919865167973</v>
      </c>
      <c r="I884" s="1">
        <f t="shared" si="27"/>
        <v>126.69825585447532</v>
      </c>
    </row>
    <row r="885" spans="1:9" x14ac:dyDescent="0.45">
      <c r="A885" t="s">
        <v>73</v>
      </c>
      <c r="B885" t="s">
        <v>19</v>
      </c>
      <c r="C885" t="str">
        <f t="shared" si="26"/>
        <v>YaleConnecticut</v>
      </c>
      <c r="D885" t="s">
        <v>19</v>
      </c>
      <c r="E885">
        <v>3.3</v>
      </c>
      <c r="F885">
        <v>22.1698113207547</v>
      </c>
      <c r="G885">
        <v>2942.13628169413</v>
      </c>
      <c r="H885">
        <v>138.719099802036</v>
      </c>
      <c r="I885" s="1">
        <f t="shared" si="27"/>
        <v>137.95234709122477</v>
      </c>
    </row>
    <row r="886" spans="1:9" x14ac:dyDescent="0.45">
      <c r="A886" t="s">
        <v>7</v>
      </c>
      <c r="B886" t="s">
        <v>20</v>
      </c>
      <c r="C886" t="str">
        <f t="shared" si="26"/>
        <v>AkronCreighton</v>
      </c>
      <c r="D886" t="s">
        <v>20</v>
      </c>
      <c r="E886">
        <v>5.3</v>
      </c>
      <c r="F886">
        <v>18.871698113207501</v>
      </c>
      <c r="G886">
        <v>1779.30560343257</v>
      </c>
      <c r="H886">
        <v>138.02862289521701</v>
      </c>
      <c r="I886" s="1">
        <f t="shared" si="27"/>
        <v>128.22968271329827</v>
      </c>
    </row>
    <row r="887" spans="1:9" x14ac:dyDescent="0.45">
      <c r="A887" t="s">
        <v>8</v>
      </c>
      <c r="B887" t="s">
        <v>20</v>
      </c>
      <c r="C887" t="str">
        <f t="shared" si="26"/>
        <v>AlabamaCreighton</v>
      </c>
      <c r="D887" t="s">
        <v>8</v>
      </c>
      <c r="E887">
        <v>80.5</v>
      </c>
      <c r="F887">
        <v>-9.3018867924528301</v>
      </c>
      <c r="G887">
        <v>-413.30734799201298</v>
      </c>
      <c r="H887">
        <v>139.77671890735701</v>
      </c>
      <c r="I887" s="1">
        <f t="shared" si="27"/>
        <v>152.84477216607925</v>
      </c>
    </row>
    <row r="888" spans="1:9" x14ac:dyDescent="0.45">
      <c r="A888" t="s">
        <v>9</v>
      </c>
      <c r="B888" t="s">
        <v>20</v>
      </c>
      <c r="C888" t="str">
        <f t="shared" si="26"/>
        <v>Alabama St.Creighton</v>
      </c>
      <c r="D888" t="s">
        <v>20</v>
      </c>
      <c r="E888">
        <v>0.9</v>
      </c>
      <c r="F888">
        <v>31.011320754717001</v>
      </c>
      <c r="G888">
        <v>11337.4209973087</v>
      </c>
      <c r="H888">
        <v>138.25546375103099</v>
      </c>
      <c r="I888" s="1">
        <f t="shared" si="27"/>
        <v>131.42384820456948</v>
      </c>
    </row>
    <row r="889" spans="1:9" x14ac:dyDescent="0.45">
      <c r="A889" t="s">
        <v>10</v>
      </c>
      <c r="B889" t="s">
        <v>20</v>
      </c>
      <c r="C889" t="str">
        <f t="shared" si="26"/>
        <v>AmericanCreighton</v>
      </c>
      <c r="D889" t="s">
        <v>20</v>
      </c>
      <c r="E889">
        <v>1.1000000000000001</v>
      </c>
      <c r="F889">
        <v>29.747169811320799</v>
      </c>
      <c r="G889">
        <v>9350.1085711013802</v>
      </c>
      <c r="H889">
        <v>138.346549632635</v>
      </c>
      <c r="I889" s="1">
        <f t="shared" si="27"/>
        <v>132.70643629355183</v>
      </c>
    </row>
    <row r="890" spans="1:9" x14ac:dyDescent="0.45">
      <c r="A890" t="s">
        <v>11</v>
      </c>
      <c r="B890" t="s">
        <v>20</v>
      </c>
      <c r="C890" t="str">
        <f t="shared" si="26"/>
        <v>ArizonaCreighton</v>
      </c>
      <c r="D890" t="s">
        <v>11</v>
      </c>
      <c r="E890">
        <v>74.599999999999994</v>
      </c>
      <c r="F890">
        <v>-7.0603773584905696</v>
      </c>
      <c r="G890">
        <v>-293.65332119551601</v>
      </c>
      <c r="H890">
        <v>139.53907772634699</v>
      </c>
      <c r="I890" s="1">
        <f t="shared" si="27"/>
        <v>149.4985263720252</v>
      </c>
    </row>
    <row r="891" spans="1:9" x14ac:dyDescent="0.45">
      <c r="A891" t="s">
        <v>12</v>
      </c>
      <c r="B891" t="s">
        <v>20</v>
      </c>
      <c r="C891" t="str">
        <f t="shared" si="26"/>
        <v>ArkansasCreighton</v>
      </c>
      <c r="D891" t="s">
        <v>20</v>
      </c>
      <c r="E891">
        <v>15.1</v>
      </c>
      <c r="F891">
        <v>11.332075471698101</v>
      </c>
      <c r="G891">
        <v>563.18778085383804</v>
      </c>
      <c r="H891">
        <v>137.65668156020499</v>
      </c>
      <c r="I891" s="1">
        <f t="shared" si="27"/>
        <v>122.99234496472697</v>
      </c>
    </row>
    <row r="892" spans="1:9" x14ac:dyDescent="0.45">
      <c r="A892" t="s">
        <v>13</v>
      </c>
      <c r="B892" t="s">
        <v>20</v>
      </c>
      <c r="C892" t="str">
        <f t="shared" si="26"/>
        <v>AuburnCreighton</v>
      </c>
      <c r="D892" t="s">
        <v>13</v>
      </c>
      <c r="E892">
        <v>89</v>
      </c>
      <c r="F892">
        <v>-13.7132075471698</v>
      </c>
      <c r="G892">
        <v>-809.98028328718704</v>
      </c>
      <c r="H892">
        <v>140.795400965466</v>
      </c>
      <c r="I892" s="1">
        <f t="shared" si="27"/>
        <v>167.18892134905204</v>
      </c>
    </row>
    <row r="893" spans="1:9" x14ac:dyDescent="0.45">
      <c r="A893" t="s">
        <v>14</v>
      </c>
      <c r="B893" t="s">
        <v>20</v>
      </c>
      <c r="C893" t="str">
        <f t="shared" si="26"/>
        <v>BaylorCreighton</v>
      </c>
      <c r="D893" t="s">
        <v>20</v>
      </c>
      <c r="E893">
        <v>46.1</v>
      </c>
      <c r="F893">
        <v>1.0188679245283001</v>
      </c>
      <c r="G893">
        <v>116.81893738639801</v>
      </c>
      <c r="H893">
        <v>139.330398978191</v>
      </c>
      <c r="I893" s="1">
        <f t="shared" si="27"/>
        <v>146.56010307199958</v>
      </c>
    </row>
    <row r="894" spans="1:9" x14ac:dyDescent="0.45">
      <c r="A894" t="s">
        <v>15</v>
      </c>
      <c r="B894" t="s">
        <v>20</v>
      </c>
      <c r="C894" t="str">
        <f t="shared" si="26"/>
        <v>BryantCreighton</v>
      </c>
      <c r="D894" t="s">
        <v>20</v>
      </c>
      <c r="E894">
        <v>3.7</v>
      </c>
      <c r="F894">
        <v>21.3056603773585</v>
      </c>
      <c r="G894">
        <v>2579.01219840252</v>
      </c>
      <c r="H894">
        <v>138.879396728085</v>
      </c>
      <c r="I894" s="1">
        <f t="shared" si="27"/>
        <v>140.20950181630857</v>
      </c>
    </row>
    <row r="895" spans="1:9" x14ac:dyDescent="0.45">
      <c r="A895" t="s">
        <v>16</v>
      </c>
      <c r="B895" t="s">
        <v>20</v>
      </c>
      <c r="C895" t="str">
        <f t="shared" si="26"/>
        <v>BYUCreighton</v>
      </c>
      <c r="D895" t="s">
        <v>16</v>
      </c>
      <c r="E895">
        <v>51</v>
      </c>
      <c r="F895">
        <v>-0.27547169811320799</v>
      </c>
      <c r="G895">
        <v>-104.285356856413</v>
      </c>
      <c r="H895">
        <v>139.13991720630901</v>
      </c>
      <c r="I895" s="1">
        <f t="shared" si="27"/>
        <v>143.87791295118376</v>
      </c>
    </row>
    <row r="896" spans="1:9" x14ac:dyDescent="0.45">
      <c r="A896" t="s">
        <v>17</v>
      </c>
      <c r="B896" t="s">
        <v>20</v>
      </c>
      <c r="C896" t="str">
        <f t="shared" si="26"/>
        <v>ClemsonCreighton</v>
      </c>
      <c r="D896" t="s">
        <v>17</v>
      </c>
      <c r="E896">
        <v>57.2</v>
      </c>
      <c r="F896">
        <v>-1.8981132075471701</v>
      </c>
      <c r="G896">
        <v>-133.62104308604401</v>
      </c>
      <c r="H896">
        <v>139.36182906260001</v>
      </c>
      <c r="I896" s="1">
        <f t="shared" si="27"/>
        <v>147.00267277861948</v>
      </c>
    </row>
    <row r="897" spans="1:9" x14ac:dyDescent="0.45">
      <c r="A897" t="s">
        <v>18</v>
      </c>
      <c r="B897" t="s">
        <v>20</v>
      </c>
      <c r="C897" t="str">
        <f t="shared" si="26"/>
        <v>Colorado St.Creighton</v>
      </c>
      <c r="D897" t="s">
        <v>20</v>
      </c>
      <c r="E897">
        <v>18</v>
      </c>
      <c r="F897">
        <v>9.9396226415094304</v>
      </c>
      <c r="G897">
        <v>455.47723160152901</v>
      </c>
      <c r="H897">
        <v>138.669220910706</v>
      </c>
      <c r="I897" s="1">
        <f t="shared" si="27"/>
        <v>137.24999815651699</v>
      </c>
    </row>
    <row r="898" spans="1:9" x14ac:dyDescent="0.45">
      <c r="A898" t="s">
        <v>19</v>
      </c>
      <c r="B898" t="s">
        <v>20</v>
      </c>
      <c r="C898" t="str">
        <f t="shared" si="26"/>
        <v>ConnecticutCreighton</v>
      </c>
      <c r="D898" t="s">
        <v>19</v>
      </c>
      <c r="E898">
        <v>69.400000000000006</v>
      </c>
      <c r="F898">
        <v>-5.3622641509433997</v>
      </c>
      <c r="G898">
        <v>-226.63676822027</v>
      </c>
      <c r="H898">
        <v>139.30477281304201</v>
      </c>
      <c r="I898" s="1">
        <f t="shared" si="27"/>
        <v>146.19925884885993</v>
      </c>
    </row>
    <row r="899" spans="1:9" x14ac:dyDescent="0.45">
      <c r="A899" t="s">
        <v>20</v>
      </c>
      <c r="B899" t="s">
        <v>20</v>
      </c>
      <c r="C899" t="str">
        <f t="shared" ref="C899:C962" si="28">A899&amp;B899</f>
        <v>CreightonCreighton</v>
      </c>
      <c r="D899" t="s">
        <v>20</v>
      </c>
      <c r="E899">
        <v>41.2</v>
      </c>
      <c r="F899">
        <v>2.3283018867924499</v>
      </c>
      <c r="G899">
        <v>142.64273539779199</v>
      </c>
      <c r="H899">
        <v>138.77771517530499</v>
      </c>
      <c r="I899" s="1">
        <f t="shared" ref="I899:I962" si="29">18*(H899-AVERAGE($H$2:$H$4625))/_xlfn.STDEV.P($H$2:$H$4625)+AVERAGE($H$2:$H$4625)</f>
        <v>138.77771517530277</v>
      </c>
    </row>
    <row r="900" spans="1:9" x14ac:dyDescent="0.45">
      <c r="A900" t="s">
        <v>21</v>
      </c>
      <c r="B900" t="s">
        <v>20</v>
      </c>
      <c r="C900" t="str">
        <f t="shared" si="28"/>
        <v>DrakeCreighton</v>
      </c>
      <c r="D900" t="s">
        <v>20</v>
      </c>
      <c r="E900">
        <v>17.899999999999999</v>
      </c>
      <c r="F900">
        <v>9.98867924528302</v>
      </c>
      <c r="G900">
        <v>459.01256057965901</v>
      </c>
      <c r="H900">
        <v>138.83118027946</v>
      </c>
      <c r="I900" s="1">
        <f t="shared" si="29"/>
        <v>139.53056187951023</v>
      </c>
    </row>
    <row r="901" spans="1:9" x14ac:dyDescent="0.45">
      <c r="A901" t="s">
        <v>22</v>
      </c>
      <c r="B901" t="s">
        <v>20</v>
      </c>
      <c r="C901" t="str">
        <f t="shared" si="28"/>
        <v>DukeCreighton</v>
      </c>
      <c r="D901" t="s">
        <v>22</v>
      </c>
      <c r="E901">
        <v>92.2</v>
      </c>
      <c r="F901">
        <v>-16.222641509433998</v>
      </c>
      <c r="G901">
        <v>-1187.63740261365</v>
      </c>
      <c r="H901">
        <v>141.11850074091601</v>
      </c>
      <c r="I901" s="1">
        <f t="shared" si="29"/>
        <v>171.73851692025821</v>
      </c>
    </row>
    <row r="902" spans="1:9" x14ac:dyDescent="0.45">
      <c r="A902" t="s">
        <v>23</v>
      </c>
      <c r="B902" t="s">
        <v>20</v>
      </c>
      <c r="C902" t="str">
        <f t="shared" si="28"/>
        <v>FloridaCreighton</v>
      </c>
      <c r="D902" t="s">
        <v>23</v>
      </c>
      <c r="E902">
        <v>86.8</v>
      </c>
      <c r="F902">
        <v>-12.320754716981099</v>
      </c>
      <c r="G902">
        <v>-655.14471356571801</v>
      </c>
      <c r="H902">
        <v>140.84225701685801</v>
      </c>
      <c r="I902" s="1">
        <f t="shared" si="29"/>
        <v>167.84870541606477</v>
      </c>
    </row>
    <row r="903" spans="1:9" x14ac:dyDescent="0.45">
      <c r="A903" t="s">
        <v>24</v>
      </c>
      <c r="B903" t="s">
        <v>20</v>
      </c>
      <c r="C903" t="str">
        <f t="shared" si="28"/>
        <v>GeorgiaCreighton</v>
      </c>
      <c r="D903" t="s">
        <v>20</v>
      </c>
      <c r="E903">
        <v>19.8</v>
      </c>
      <c r="F903">
        <v>9.1849056603773604</v>
      </c>
      <c r="G903">
        <v>405.973317922261</v>
      </c>
      <c r="H903">
        <v>137.98407054120301</v>
      </c>
      <c r="I903" s="1">
        <f t="shared" si="29"/>
        <v>127.60233720608892</v>
      </c>
    </row>
    <row r="904" spans="1:9" x14ac:dyDescent="0.45">
      <c r="A904" t="s">
        <v>25</v>
      </c>
      <c r="B904" t="s">
        <v>20</v>
      </c>
      <c r="C904" t="str">
        <f t="shared" si="28"/>
        <v>GonzagaCreighton</v>
      </c>
      <c r="D904" t="s">
        <v>25</v>
      </c>
      <c r="E904">
        <v>58.1</v>
      </c>
      <c r="F904">
        <v>-2.1433962264150899</v>
      </c>
      <c r="G904">
        <v>-138.65124260724099</v>
      </c>
      <c r="H904">
        <v>140.12171166073099</v>
      </c>
      <c r="I904" s="1">
        <f t="shared" si="29"/>
        <v>157.70264463182903</v>
      </c>
    </row>
    <row r="905" spans="1:9" x14ac:dyDescent="0.45">
      <c r="A905" t="s">
        <v>26</v>
      </c>
      <c r="B905" t="s">
        <v>20</v>
      </c>
      <c r="C905" t="str">
        <f t="shared" si="28"/>
        <v>Grand CanyonCreighton</v>
      </c>
      <c r="D905" t="s">
        <v>20</v>
      </c>
      <c r="E905">
        <v>11.9</v>
      </c>
      <c r="F905">
        <v>13.1056603773585</v>
      </c>
      <c r="G905">
        <v>738.51416613969502</v>
      </c>
      <c r="H905">
        <v>138.77367990703499</v>
      </c>
      <c r="I905" s="1">
        <f t="shared" si="29"/>
        <v>138.72089421767672</v>
      </c>
    </row>
    <row r="906" spans="1:9" x14ac:dyDescent="0.45">
      <c r="A906" t="s">
        <v>27</v>
      </c>
      <c r="B906" t="s">
        <v>20</v>
      </c>
      <c r="C906" t="str">
        <f t="shared" si="28"/>
        <v>High PointCreighton</v>
      </c>
      <c r="D906" t="s">
        <v>20</v>
      </c>
      <c r="E906">
        <v>8.1</v>
      </c>
      <c r="F906">
        <v>15.8792452830189</v>
      </c>
      <c r="G906">
        <v>1127.2880392475199</v>
      </c>
      <c r="H906">
        <v>139.05457165469099</v>
      </c>
      <c r="I906" s="1">
        <f t="shared" si="29"/>
        <v>142.67615493967571</v>
      </c>
    </row>
    <row r="907" spans="1:9" x14ac:dyDescent="0.45">
      <c r="A907" t="s">
        <v>28</v>
      </c>
      <c r="B907" t="s">
        <v>20</v>
      </c>
      <c r="C907" t="str">
        <f t="shared" si="28"/>
        <v>HoustonCreighton</v>
      </c>
      <c r="D907" t="s">
        <v>28</v>
      </c>
      <c r="E907">
        <v>95.3</v>
      </c>
      <c r="F907">
        <v>-19.735849056603801</v>
      </c>
      <c r="G907">
        <v>-2029.88349653814</v>
      </c>
      <c r="H907">
        <v>141.26216509054501</v>
      </c>
      <c r="I907" s="1">
        <f t="shared" si="29"/>
        <v>173.76146691427169</v>
      </c>
    </row>
    <row r="908" spans="1:9" x14ac:dyDescent="0.45">
      <c r="A908" t="s">
        <v>29</v>
      </c>
      <c r="B908" t="s">
        <v>20</v>
      </c>
      <c r="C908" t="str">
        <f t="shared" si="28"/>
        <v>IllinoisCreighton</v>
      </c>
      <c r="D908" t="s">
        <v>29</v>
      </c>
      <c r="E908">
        <v>66.900000000000006</v>
      </c>
      <c r="F908">
        <v>-4.6226415094339597</v>
      </c>
      <c r="G908">
        <v>-202.47362785593799</v>
      </c>
      <c r="H908">
        <v>139.31241024448201</v>
      </c>
      <c r="I908" s="1">
        <f t="shared" si="29"/>
        <v>146.30680217415761</v>
      </c>
    </row>
    <row r="909" spans="1:9" x14ac:dyDescent="0.45">
      <c r="A909" t="s">
        <v>30</v>
      </c>
      <c r="B909" t="s">
        <v>20</v>
      </c>
      <c r="C909" t="str">
        <f t="shared" si="28"/>
        <v>Iowa St.Creighton</v>
      </c>
      <c r="D909" t="s">
        <v>30</v>
      </c>
      <c r="E909">
        <v>81</v>
      </c>
      <c r="F909">
        <v>-9.5094339622641506</v>
      </c>
      <c r="G909">
        <v>-426.48999109506502</v>
      </c>
      <c r="H909">
        <v>140.23867882284</v>
      </c>
      <c r="I909" s="1">
        <f t="shared" si="29"/>
        <v>159.34966924509757</v>
      </c>
    </row>
    <row r="910" spans="1:9" x14ac:dyDescent="0.45">
      <c r="A910" t="s">
        <v>31</v>
      </c>
      <c r="B910" t="s">
        <v>20</v>
      </c>
      <c r="C910" t="str">
        <f t="shared" si="28"/>
        <v>KansasCreighton</v>
      </c>
      <c r="D910" t="s">
        <v>31</v>
      </c>
      <c r="E910">
        <v>55.3</v>
      </c>
      <c r="F910">
        <v>-1.4037735849056601</v>
      </c>
      <c r="G910">
        <v>-123.90743218424301</v>
      </c>
      <c r="H910">
        <v>139.19406910715199</v>
      </c>
      <c r="I910" s="1">
        <f t="shared" si="29"/>
        <v>144.6404304982928</v>
      </c>
    </row>
    <row r="911" spans="1:9" x14ac:dyDescent="0.45">
      <c r="A911" t="s">
        <v>32</v>
      </c>
      <c r="B911" t="s">
        <v>20</v>
      </c>
      <c r="C911" t="str">
        <f t="shared" si="28"/>
        <v>KentuckyCreighton</v>
      </c>
      <c r="D911" t="s">
        <v>32</v>
      </c>
      <c r="E911">
        <v>67.599999999999994</v>
      </c>
      <c r="F911">
        <v>-4.8339622641509399</v>
      </c>
      <c r="G911">
        <v>-209.02908569344601</v>
      </c>
      <c r="H911">
        <v>139.141106707544</v>
      </c>
      <c r="I911" s="1">
        <f t="shared" si="29"/>
        <v>143.89466241980568</v>
      </c>
    </row>
    <row r="912" spans="1:9" x14ac:dyDescent="0.45">
      <c r="A912" t="s">
        <v>33</v>
      </c>
      <c r="B912" t="s">
        <v>20</v>
      </c>
      <c r="C912" t="str">
        <f t="shared" si="28"/>
        <v>LibertyCreighton</v>
      </c>
      <c r="D912" t="s">
        <v>20</v>
      </c>
      <c r="E912">
        <v>5.5</v>
      </c>
      <c r="F912">
        <v>18.656603773584902</v>
      </c>
      <c r="G912">
        <v>1721.6836583797501</v>
      </c>
      <c r="H912">
        <v>138.350042955943</v>
      </c>
      <c r="I912" s="1">
        <f t="shared" si="29"/>
        <v>132.75562607781799</v>
      </c>
    </row>
    <row r="913" spans="1:9" x14ac:dyDescent="0.45">
      <c r="A913" t="s">
        <v>34</v>
      </c>
      <c r="B913" t="s">
        <v>20</v>
      </c>
      <c r="C913" t="str">
        <f t="shared" si="28"/>
        <v>LipscombCreighton</v>
      </c>
      <c r="D913" t="s">
        <v>20</v>
      </c>
      <c r="E913">
        <v>4.3</v>
      </c>
      <c r="F913">
        <v>20.399999999999999</v>
      </c>
      <c r="G913">
        <v>2245.8627224280099</v>
      </c>
      <c r="H913">
        <v>138.781963187201</v>
      </c>
      <c r="I913" s="1">
        <f t="shared" si="29"/>
        <v>138.8375317941215</v>
      </c>
    </row>
    <row r="914" spans="1:9" x14ac:dyDescent="0.45">
      <c r="A914" t="s">
        <v>35</v>
      </c>
      <c r="B914" t="s">
        <v>20</v>
      </c>
      <c r="C914" t="str">
        <f t="shared" si="28"/>
        <v>LouisvilleCreighton</v>
      </c>
      <c r="D914" t="s">
        <v>20</v>
      </c>
      <c r="E914">
        <v>10.199999999999999</v>
      </c>
      <c r="F914">
        <v>14.2905660377358</v>
      </c>
      <c r="G914">
        <v>884.64684940339703</v>
      </c>
      <c r="H914">
        <v>138.06768649916901</v>
      </c>
      <c r="I914" s="1">
        <f t="shared" si="29"/>
        <v>128.7797406614595</v>
      </c>
    </row>
    <row r="915" spans="1:9" x14ac:dyDescent="0.45">
      <c r="A915" t="s">
        <v>36</v>
      </c>
      <c r="B915" t="s">
        <v>20</v>
      </c>
      <c r="C915" t="str">
        <f t="shared" si="28"/>
        <v>MarquetteCreighton</v>
      </c>
      <c r="D915" t="s">
        <v>36</v>
      </c>
      <c r="E915">
        <v>61.4</v>
      </c>
      <c r="F915">
        <v>-3.0528301886792502</v>
      </c>
      <c r="G915">
        <v>-159.343910469424</v>
      </c>
      <c r="H915">
        <v>139.39944313407401</v>
      </c>
      <c r="I915" s="1">
        <f t="shared" si="29"/>
        <v>147.5323197359867</v>
      </c>
    </row>
    <row r="916" spans="1:9" x14ac:dyDescent="0.45">
      <c r="A916" t="s">
        <v>37</v>
      </c>
      <c r="B916" t="s">
        <v>20</v>
      </c>
      <c r="C916" t="str">
        <f t="shared" si="28"/>
        <v>MarylandCreighton</v>
      </c>
      <c r="D916" t="s">
        <v>37</v>
      </c>
      <c r="E916">
        <v>51.9</v>
      </c>
      <c r="F916">
        <v>-0.50943396226415105</v>
      </c>
      <c r="G916">
        <v>-108.091392789485</v>
      </c>
      <c r="H916">
        <v>139.00938244575201</v>
      </c>
      <c r="I916" s="1">
        <f t="shared" si="29"/>
        <v>142.03984182380077</v>
      </c>
    </row>
    <row r="917" spans="1:9" x14ac:dyDescent="0.45">
      <c r="A917" t="s">
        <v>38</v>
      </c>
      <c r="B917" t="s">
        <v>20</v>
      </c>
      <c r="C917" t="str">
        <f t="shared" si="28"/>
        <v>McNeese St.Creighton</v>
      </c>
      <c r="D917" t="s">
        <v>20</v>
      </c>
      <c r="E917">
        <v>16.100000000000001</v>
      </c>
      <c r="F917">
        <v>10.796226415094299</v>
      </c>
      <c r="G917">
        <v>519.22793347967502</v>
      </c>
      <c r="H917">
        <v>138.84479405995401</v>
      </c>
      <c r="I917" s="1">
        <f t="shared" si="29"/>
        <v>139.72225868696441</v>
      </c>
    </row>
    <row r="918" spans="1:9" x14ac:dyDescent="0.45">
      <c r="A918" t="s">
        <v>39</v>
      </c>
      <c r="B918" t="s">
        <v>20</v>
      </c>
      <c r="C918" t="str">
        <f t="shared" si="28"/>
        <v>MemphisCreighton</v>
      </c>
      <c r="D918" t="s">
        <v>20</v>
      </c>
      <c r="E918">
        <v>35.6</v>
      </c>
      <c r="F918">
        <v>3.87547169811321</v>
      </c>
      <c r="G918">
        <v>180.62397327644501</v>
      </c>
      <c r="H918">
        <v>137.987017258772</v>
      </c>
      <c r="I918" s="1">
        <f t="shared" si="29"/>
        <v>127.64383018819575</v>
      </c>
    </row>
    <row r="919" spans="1:9" x14ac:dyDescent="0.45">
      <c r="A919" t="s">
        <v>40</v>
      </c>
      <c r="B919" t="s">
        <v>20</v>
      </c>
      <c r="C919" t="str">
        <f t="shared" si="28"/>
        <v>MichiganCreighton</v>
      </c>
      <c r="D919" t="s">
        <v>20</v>
      </c>
      <c r="E919">
        <v>22.6</v>
      </c>
      <c r="F919">
        <v>8.0641509433962302</v>
      </c>
      <c r="G919">
        <v>342.17197062991897</v>
      </c>
      <c r="H919">
        <v>137.64393834345501</v>
      </c>
      <c r="I919" s="1">
        <f t="shared" si="29"/>
        <v>122.81290663980741</v>
      </c>
    </row>
    <row r="920" spans="1:9" x14ac:dyDescent="0.45">
      <c r="A920" t="s">
        <v>41</v>
      </c>
      <c r="B920" t="s">
        <v>20</v>
      </c>
      <c r="C920" t="str">
        <f t="shared" si="28"/>
        <v>Michigan St.Creighton</v>
      </c>
      <c r="D920" t="s">
        <v>41</v>
      </c>
      <c r="E920">
        <v>73.7</v>
      </c>
      <c r="F920">
        <v>-6.7584905660377403</v>
      </c>
      <c r="G920">
        <v>-280.43318483222401</v>
      </c>
      <c r="H920">
        <v>139.34283030428401</v>
      </c>
      <c r="I920" s="1">
        <f t="shared" si="29"/>
        <v>146.73514963790385</v>
      </c>
    </row>
    <row r="921" spans="1:9" x14ac:dyDescent="0.45">
      <c r="A921" t="s">
        <v>42</v>
      </c>
      <c r="B921" t="s">
        <v>20</v>
      </c>
      <c r="C921" t="str">
        <f t="shared" si="28"/>
        <v>MississippiCreighton</v>
      </c>
      <c r="D921" t="s">
        <v>20</v>
      </c>
      <c r="E921">
        <v>41.9</v>
      </c>
      <c r="F921">
        <v>2.1509433962264199</v>
      </c>
      <c r="G921">
        <v>138.83196994832701</v>
      </c>
      <c r="H921">
        <v>138.47375140937899</v>
      </c>
      <c r="I921" s="1">
        <f t="shared" si="29"/>
        <v>134.49757539081051</v>
      </c>
    </row>
    <row r="922" spans="1:9" x14ac:dyDescent="0.45">
      <c r="A922" t="s">
        <v>43</v>
      </c>
      <c r="B922" t="s">
        <v>20</v>
      </c>
      <c r="C922" t="str">
        <f t="shared" si="28"/>
        <v>Mississippi St.Creighton</v>
      </c>
      <c r="D922" t="s">
        <v>20</v>
      </c>
      <c r="E922">
        <v>35.200000000000003</v>
      </c>
      <c r="F922">
        <v>4</v>
      </c>
      <c r="G922">
        <v>184.06904881335501</v>
      </c>
      <c r="H922">
        <v>138.59812276316799</v>
      </c>
      <c r="I922" s="1">
        <f t="shared" si="29"/>
        <v>136.24885906036823</v>
      </c>
    </row>
    <row r="923" spans="1:9" x14ac:dyDescent="0.45">
      <c r="A923" t="s">
        <v>44</v>
      </c>
      <c r="B923" t="s">
        <v>20</v>
      </c>
      <c r="C923" t="str">
        <f t="shared" si="28"/>
        <v>MissouriCreighton</v>
      </c>
      <c r="D923" t="s">
        <v>20</v>
      </c>
      <c r="E923">
        <v>19.2</v>
      </c>
      <c r="F923">
        <v>9.4113207547169804</v>
      </c>
      <c r="G923">
        <v>420.31966476370002</v>
      </c>
      <c r="H923">
        <v>137.862594699342</v>
      </c>
      <c r="I923" s="1">
        <f t="shared" si="29"/>
        <v>125.89182548762776</v>
      </c>
    </row>
    <row r="924" spans="1:9" x14ac:dyDescent="0.45">
      <c r="A924" t="s">
        <v>45</v>
      </c>
      <c r="B924" t="s">
        <v>20</v>
      </c>
      <c r="C924" t="str">
        <f t="shared" si="28"/>
        <v>MontanaCreighton</v>
      </c>
      <c r="D924" t="s">
        <v>20</v>
      </c>
      <c r="E924">
        <v>2.2999999999999998</v>
      </c>
      <c r="F924">
        <v>24.667924528301899</v>
      </c>
      <c r="G924">
        <v>4308.9532382513198</v>
      </c>
      <c r="H924">
        <v>137.17132942436101</v>
      </c>
      <c r="I924" s="1">
        <f t="shared" si="29"/>
        <v>116.15806003018692</v>
      </c>
    </row>
    <row r="925" spans="1:9" x14ac:dyDescent="0.45">
      <c r="A925" t="s">
        <v>46</v>
      </c>
      <c r="B925" t="s">
        <v>20</v>
      </c>
      <c r="C925" t="str">
        <f t="shared" si="28"/>
        <v>Mount St. Mary'sCreighton</v>
      </c>
      <c r="D925" t="s">
        <v>20</v>
      </c>
      <c r="E925">
        <v>0.9</v>
      </c>
      <c r="F925">
        <v>30.784905660377401</v>
      </c>
      <c r="G925">
        <v>10953.993451223199</v>
      </c>
      <c r="H925">
        <v>138.519203646308</v>
      </c>
      <c r="I925" s="1">
        <f t="shared" si="29"/>
        <v>135.13759222630853</v>
      </c>
    </row>
    <row r="926" spans="1:9" x14ac:dyDescent="0.45">
      <c r="A926" t="s">
        <v>47</v>
      </c>
      <c r="B926" t="s">
        <v>20</v>
      </c>
      <c r="C926" t="str">
        <f t="shared" si="28"/>
        <v>Nebraska OmahaCreighton</v>
      </c>
      <c r="D926" t="s">
        <v>20</v>
      </c>
      <c r="E926">
        <v>1.2</v>
      </c>
      <c r="F926">
        <v>29.0716981132075</v>
      </c>
      <c r="G926">
        <v>8431.4469806818197</v>
      </c>
      <c r="H926">
        <v>137.803204826208</v>
      </c>
      <c r="I926" s="1">
        <f t="shared" si="29"/>
        <v>125.05555160471158</v>
      </c>
    </row>
    <row r="927" spans="1:9" x14ac:dyDescent="0.45">
      <c r="A927" t="s">
        <v>48</v>
      </c>
      <c r="B927" t="s">
        <v>20</v>
      </c>
      <c r="C927" t="str">
        <f t="shared" si="28"/>
        <v>New MexicoCreighton</v>
      </c>
      <c r="D927" t="s">
        <v>20</v>
      </c>
      <c r="E927">
        <v>23.3</v>
      </c>
      <c r="F927">
        <v>7.8226415094339599</v>
      </c>
      <c r="G927">
        <v>329.81210129349103</v>
      </c>
      <c r="H927">
        <v>138.68094917348401</v>
      </c>
      <c r="I927" s="1">
        <f t="shared" si="29"/>
        <v>137.41514482775329</v>
      </c>
    </row>
    <row r="928" spans="1:9" x14ac:dyDescent="0.45">
      <c r="A928" t="s">
        <v>49</v>
      </c>
      <c r="B928" t="s">
        <v>20</v>
      </c>
      <c r="C928" t="str">
        <f t="shared" si="28"/>
        <v>Norfolk St.Creighton</v>
      </c>
      <c r="D928" t="s">
        <v>20</v>
      </c>
      <c r="E928">
        <v>1.7</v>
      </c>
      <c r="F928">
        <v>26.535849056603801</v>
      </c>
      <c r="G928">
        <v>5729.5363330923201</v>
      </c>
      <c r="H928">
        <v>137.69331283568499</v>
      </c>
      <c r="I928" s="1">
        <f t="shared" si="29"/>
        <v>123.50815308764921</v>
      </c>
    </row>
    <row r="929" spans="1:9" x14ac:dyDescent="0.45">
      <c r="A929" t="s">
        <v>50</v>
      </c>
      <c r="B929" t="s">
        <v>20</v>
      </c>
      <c r="C929" t="str">
        <f t="shared" si="28"/>
        <v>North CarolinaCreighton</v>
      </c>
      <c r="D929" t="s">
        <v>50</v>
      </c>
      <c r="E929">
        <v>50.8</v>
      </c>
      <c r="F929">
        <v>-0.218867924528302</v>
      </c>
      <c r="G929">
        <v>-103.377600255041</v>
      </c>
      <c r="H929">
        <v>139.76524426764101</v>
      </c>
      <c r="I929" s="1">
        <f t="shared" si="29"/>
        <v>152.6831967828702</v>
      </c>
    </row>
    <row r="930" spans="1:9" x14ac:dyDescent="0.45">
      <c r="A930" t="s">
        <v>51</v>
      </c>
      <c r="B930" t="s">
        <v>20</v>
      </c>
      <c r="C930" t="str">
        <f t="shared" si="28"/>
        <v>OklahomaCreighton</v>
      </c>
      <c r="D930" t="s">
        <v>20</v>
      </c>
      <c r="E930">
        <v>25.3</v>
      </c>
      <c r="F930">
        <v>7.0867924528301902</v>
      </c>
      <c r="G930">
        <v>294.83706239856798</v>
      </c>
      <c r="H930">
        <v>138.10784756314499</v>
      </c>
      <c r="I930" s="1">
        <f t="shared" si="29"/>
        <v>129.34525203807846</v>
      </c>
    </row>
    <row r="931" spans="1:9" x14ac:dyDescent="0.45">
      <c r="A931" t="s">
        <v>52</v>
      </c>
      <c r="B931" t="s">
        <v>20</v>
      </c>
      <c r="C931" t="str">
        <f t="shared" si="28"/>
        <v>OregonCreighton</v>
      </c>
      <c r="D931" t="s">
        <v>52</v>
      </c>
      <c r="E931">
        <v>52.8</v>
      </c>
      <c r="F931">
        <v>-0.73584905660377398</v>
      </c>
      <c r="G931">
        <v>-111.903154986874</v>
      </c>
      <c r="H931">
        <v>138.70222535128599</v>
      </c>
      <c r="I931" s="1">
        <f t="shared" si="29"/>
        <v>137.7147365070272</v>
      </c>
    </row>
    <row r="932" spans="1:9" x14ac:dyDescent="0.45">
      <c r="A932" t="s">
        <v>53</v>
      </c>
      <c r="B932" t="s">
        <v>20</v>
      </c>
      <c r="C932" t="str">
        <f t="shared" si="28"/>
        <v>PurdueCreighton</v>
      </c>
      <c r="D932" t="s">
        <v>53</v>
      </c>
      <c r="E932">
        <v>85.5</v>
      </c>
      <c r="F932">
        <v>-11.6490566037736</v>
      </c>
      <c r="G932">
        <v>-591.08508599879406</v>
      </c>
      <c r="H932">
        <v>140.05021268007499</v>
      </c>
      <c r="I932" s="1">
        <f t="shared" si="29"/>
        <v>156.69586137026457</v>
      </c>
    </row>
    <row r="933" spans="1:9" x14ac:dyDescent="0.45">
      <c r="A933" t="s">
        <v>54</v>
      </c>
      <c r="B933" t="s">
        <v>20</v>
      </c>
      <c r="C933" t="str">
        <f t="shared" si="28"/>
        <v>Robert MorrisCreighton</v>
      </c>
      <c r="D933" t="s">
        <v>20</v>
      </c>
      <c r="E933">
        <v>0.7</v>
      </c>
      <c r="F933">
        <v>32.294339622641502</v>
      </c>
      <c r="G933">
        <v>13788.943114563501</v>
      </c>
      <c r="H933">
        <v>137.10884952883799</v>
      </c>
      <c r="I933" s="1">
        <f t="shared" si="29"/>
        <v>115.27827527773695</v>
      </c>
    </row>
    <row r="934" spans="1:9" x14ac:dyDescent="0.45">
      <c r="A934" t="s">
        <v>55</v>
      </c>
      <c r="B934" t="s">
        <v>20</v>
      </c>
      <c r="C934" t="str">
        <f t="shared" si="28"/>
        <v>Saint FrancisCreighton</v>
      </c>
      <c r="D934" t="s">
        <v>20</v>
      </c>
      <c r="E934">
        <v>0.5</v>
      </c>
      <c r="F934">
        <v>35.022641509434003</v>
      </c>
      <c r="G934">
        <v>20899.981437648599</v>
      </c>
      <c r="H934">
        <v>138.161705062045</v>
      </c>
      <c r="I934" s="1">
        <f t="shared" si="29"/>
        <v>130.10362408624991</v>
      </c>
    </row>
    <row r="935" spans="1:9" x14ac:dyDescent="0.45">
      <c r="A935" t="s">
        <v>56</v>
      </c>
      <c r="B935" t="s">
        <v>20</v>
      </c>
      <c r="C935" t="str">
        <f t="shared" si="28"/>
        <v>Saint Mary'sCreighton</v>
      </c>
      <c r="D935" t="s">
        <v>20</v>
      </c>
      <c r="E935">
        <v>48.8</v>
      </c>
      <c r="F935">
        <v>0.305660377358491</v>
      </c>
      <c r="G935">
        <v>104.776099112823</v>
      </c>
      <c r="H935">
        <v>139.41296026313501</v>
      </c>
      <c r="I935" s="1">
        <f t="shared" si="29"/>
        <v>147.72265558634655</v>
      </c>
    </row>
    <row r="936" spans="1:9" x14ac:dyDescent="0.45">
      <c r="A936" t="s">
        <v>57</v>
      </c>
      <c r="B936" t="s">
        <v>20</v>
      </c>
      <c r="C936" t="str">
        <f t="shared" si="28"/>
        <v>San Diego St.Creighton</v>
      </c>
      <c r="D936" t="s">
        <v>20</v>
      </c>
      <c r="E936">
        <v>21.7</v>
      </c>
      <c r="F936">
        <v>8.4</v>
      </c>
      <c r="G936">
        <v>360.083574679165</v>
      </c>
      <c r="H936">
        <v>138.559215142933</v>
      </c>
      <c r="I936" s="1">
        <f t="shared" si="29"/>
        <v>135.70099753226668</v>
      </c>
    </row>
    <row r="937" spans="1:9" x14ac:dyDescent="0.45">
      <c r="A937" t="s">
        <v>58</v>
      </c>
      <c r="B937" t="s">
        <v>20</v>
      </c>
      <c r="C937" t="str">
        <f t="shared" si="28"/>
        <v>SIU EdwardsvilleCreighton</v>
      </c>
      <c r="D937" t="s">
        <v>20</v>
      </c>
      <c r="E937">
        <v>1.4</v>
      </c>
      <c r="F937">
        <v>27.996226415094299</v>
      </c>
      <c r="G937">
        <v>7157.8118810685301</v>
      </c>
      <c r="H937">
        <v>138.70690290978101</v>
      </c>
      <c r="I937" s="1">
        <f t="shared" si="29"/>
        <v>137.78060160824353</v>
      </c>
    </row>
    <row r="938" spans="1:9" x14ac:dyDescent="0.45">
      <c r="A938" t="s">
        <v>59</v>
      </c>
      <c r="B938" t="s">
        <v>20</v>
      </c>
      <c r="C938" t="str">
        <f t="shared" si="28"/>
        <v>St. John'sCreighton</v>
      </c>
      <c r="D938" t="s">
        <v>59</v>
      </c>
      <c r="E938">
        <v>74.900000000000006</v>
      </c>
      <c r="F938">
        <v>-7.1622641509434004</v>
      </c>
      <c r="G938">
        <v>-298.14479192070303</v>
      </c>
      <c r="H938">
        <v>139.684585682326</v>
      </c>
      <c r="I938" s="1">
        <f t="shared" si="29"/>
        <v>151.54743634472749</v>
      </c>
    </row>
    <row r="939" spans="1:9" x14ac:dyDescent="0.45">
      <c r="A939" t="s">
        <v>60</v>
      </c>
      <c r="B939" t="s">
        <v>20</v>
      </c>
      <c r="C939" t="str">
        <f t="shared" si="28"/>
        <v>TennesseeCreighton</v>
      </c>
      <c r="D939" t="s">
        <v>60</v>
      </c>
      <c r="E939">
        <v>85.6</v>
      </c>
      <c r="F939">
        <v>-11.7056603773585</v>
      </c>
      <c r="G939">
        <v>-596.43988201181298</v>
      </c>
      <c r="H939">
        <v>140.278568559017</v>
      </c>
      <c r="I939" s="1">
        <f t="shared" si="29"/>
        <v>159.91136003177394</v>
      </c>
    </row>
    <row r="940" spans="1:9" x14ac:dyDescent="0.45">
      <c r="A940" t="s">
        <v>61</v>
      </c>
      <c r="B940" t="s">
        <v>20</v>
      </c>
      <c r="C940" t="str">
        <f t="shared" si="28"/>
        <v>TexasCreighton</v>
      </c>
      <c r="D940" t="s">
        <v>20</v>
      </c>
      <c r="E940">
        <v>19.600000000000001</v>
      </c>
      <c r="F940">
        <v>9.2452830188679194</v>
      </c>
      <c r="G940">
        <v>409.82650202557301</v>
      </c>
      <c r="H940">
        <v>138.03428309008899</v>
      </c>
      <c r="I940" s="1">
        <f t="shared" si="29"/>
        <v>128.30938440137854</v>
      </c>
    </row>
    <row r="941" spans="1:9" x14ac:dyDescent="0.45">
      <c r="A941" t="s">
        <v>62</v>
      </c>
      <c r="B941" t="s">
        <v>20</v>
      </c>
      <c r="C941" t="str">
        <f t="shared" si="28"/>
        <v>Texas A&amp;MCreighton</v>
      </c>
      <c r="D941" t="s">
        <v>62</v>
      </c>
      <c r="E941">
        <v>58.5</v>
      </c>
      <c r="F941">
        <v>-2.24905660377358</v>
      </c>
      <c r="G941">
        <v>-140.92915044128901</v>
      </c>
      <c r="H941">
        <v>138.832082117683</v>
      </c>
      <c r="I941" s="1">
        <f t="shared" si="29"/>
        <v>139.54326074065798</v>
      </c>
    </row>
    <row r="942" spans="1:9" x14ac:dyDescent="0.45">
      <c r="A942" t="s">
        <v>63</v>
      </c>
      <c r="B942" t="s">
        <v>20</v>
      </c>
      <c r="C942" t="str">
        <f t="shared" si="28"/>
        <v>Texas TechCreighton</v>
      </c>
      <c r="D942" t="s">
        <v>63</v>
      </c>
      <c r="E942">
        <v>73.5</v>
      </c>
      <c r="F942">
        <v>-6.7018867924528296</v>
      </c>
      <c r="G942">
        <v>-277.91844224359897</v>
      </c>
      <c r="H942">
        <v>139.871866236747</v>
      </c>
      <c r="I942" s="1">
        <f t="shared" si="29"/>
        <v>154.18454984869101</v>
      </c>
    </row>
    <row r="943" spans="1:9" x14ac:dyDescent="0.45">
      <c r="A943" t="s">
        <v>64</v>
      </c>
      <c r="B943" t="s">
        <v>20</v>
      </c>
      <c r="C943" t="str">
        <f t="shared" si="28"/>
        <v>TroyCreighton</v>
      </c>
      <c r="D943" t="s">
        <v>20</v>
      </c>
      <c r="E943">
        <v>3.8</v>
      </c>
      <c r="F943">
        <v>21.245283018867902</v>
      </c>
      <c r="G943">
        <v>2555.8981177732499</v>
      </c>
      <c r="H943">
        <v>138.57543065647599</v>
      </c>
      <c r="I943" s="1">
        <f t="shared" si="29"/>
        <v>135.92932956529663</v>
      </c>
    </row>
    <row r="944" spans="1:9" x14ac:dyDescent="0.45">
      <c r="A944" t="s">
        <v>65</v>
      </c>
      <c r="B944" t="s">
        <v>20</v>
      </c>
      <c r="C944" t="str">
        <f t="shared" si="28"/>
        <v>UC San DiegoCreighton</v>
      </c>
      <c r="D944" t="s">
        <v>20</v>
      </c>
      <c r="E944">
        <v>9.1</v>
      </c>
      <c r="F944">
        <v>15.086792452830201</v>
      </c>
      <c r="G944">
        <v>998.61333050952896</v>
      </c>
      <c r="H944">
        <v>138.663552399867</v>
      </c>
      <c r="I944" s="1">
        <f t="shared" si="29"/>
        <v>137.17017937059387</v>
      </c>
    </row>
    <row r="945" spans="1:9" x14ac:dyDescent="0.45">
      <c r="A945" t="s">
        <v>66</v>
      </c>
      <c r="B945" t="s">
        <v>20</v>
      </c>
      <c r="C945" t="str">
        <f t="shared" si="28"/>
        <v>UCLACreighton</v>
      </c>
      <c r="D945" t="s">
        <v>20</v>
      </c>
      <c r="E945">
        <v>28.5</v>
      </c>
      <c r="F945">
        <v>6.0415094339622604</v>
      </c>
      <c r="G945">
        <v>251.301219137776</v>
      </c>
      <c r="H945">
        <v>138.135006912976</v>
      </c>
      <c r="I945" s="1">
        <f t="shared" si="29"/>
        <v>129.72768516585117</v>
      </c>
    </row>
    <row r="946" spans="1:9" x14ac:dyDescent="0.45">
      <c r="A946" t="s">
        <v>67</v>
      </c>
      <c r="B946" t="s">
        <v>20</v>
      </c>
      <c r="C946" t="str">
        <f t="shared" si="28"/>
        <v>UNC WilmingtonCreighton</v>
      </c>
      <c r="D946" t="s">
        <v>20</v>
      </c>
      <c r="E946">
        <v>5.7</v>
      </c>
      <c r="F946">
        <v>18.445283018867901</v>
      </c>
      <c r="G946">
        <v>1667.38368960655</v>
      </c>
      <c r="H946">
        <v>139.25002258689599</v>
      </c>
      <c r="I946" s="1">
        <f t="shared" si="29"/>
        <v>145.42831623198714</v>
      </c>
    </row>
    <row r="947" spans="1:9" x14ac:dyDescent="0.45">
      <c r="A947" t="s">
        <v>68</v>
      </c>
      <c r="B947" t="s">
        <v>20</v>
      </c>
      <c r="C947" t="str">
        <f t="shared" si="28"/>
        <v>Utah St.Creighton</v>
      </c>
      <c r="D947" t="s">
        <v>20</v>
      </c>
      <c r="E947">
        <v>23.3</v>
      </c>
      <c r="F947">
        <v>7.8</v>
      </c>
      <c r="G947">
        <v>328.74302193491599</v>
      </c>
      <c r="H947">
        <v>138.621392990723</v>
      </c>
      <c r="I947" s="1">
        <f t="shared" si="29"/>
        <v>136.57652912475544</v>
      </c>
    </row>
    <row r="948" spans="1:9" x14ac:dyDescent="0.45">
      <c r="A948" t="s">
        <v>69</v>
      </c>
      <c r="B948" t="s">
        <v>20</v>
      </c>
      <c r="C948" t="str">
        <f t="shared" si="28"/>
        <v>VanderbiltCreighton</v>
      </c>
      <c r="D948" t="s">
        <v>20</v>
      </c>
      <c r="E948">
        <v>6.1</v>
      </c>
      <c r="F948">
        <v>17.924528301886799</v>
      </c>
      <c r="G948">
        <v>1539.7369510416199</v>
      </c>
      <c r="H948">
        <v>137.19596347932099</v>
      </c>
      <c r="I948" s="1">
        <f t="shared" si="29"/>
        <v>116.50493426490503</v>
      </c>
    </row>
    <row r="949" spans="1:9" x14ac:dyDescent="0.45">
      <c r="A949" t="s">
        <v>70</v>
      </c>
      <c r="B949" t="s">
        <v>20</v>
      </c>
      <c r="C949" t="str">
        <f t="shared" si="28"/>
        <v>VCUCreighton</v>
      </c>
      <c r="D949" t="s">
        <v>20</v>
      </c>
      <c r="E949">
        <v>16.600000000000001</v>
      </c>
      <c r="F949">
        <v>10.577358490566001</v>
      </c>
      <c r="G949">
        <v>502.014740998587</v>
      </c>
      <c r="H949">
        <v>139.04087464119701</v>
      </c>
      <c r="I949" s="1">
        <f t="shared" si="29"/>
        <v>142.48328612123046</v>
      </c>
    </row>
    <row r="950" spans="1:9" x14ac:dyDescent="0.45">
      <c r="A950" t="s">
        <v>71</v>
      </c>
      <c r="B950" t="s">
        <v>20</v>
      </c>
      <c r="C950" t="str">
        <f t="shared" si="28"/>
        <v>WisconsinCreighton</v>
      </c>
      <c r="D950" t="s">
        <v>71</v>
      </c>
      <c r="E950">
        <v>71.099999999999994</v>
      </c>
      <c r="F950">
        <v>-5.88679245283019</v>
      </c>
      <c r="G950">
        <v>-245.42814225518501</v>
      </c>
      <c r="H950">
        <v>139.84155349646301</v>
      </c>
      <c r="I950" s="1">
        <f t="shared" si="29"/>
        <v>153.75771356025632</v>
      </c>
    </row>
    <row r="951" spans="1:9" x14ac:dyDescent="0.45">
      <c r="A951" t="s">
        <v>80</v>
      </c>
      <c r="B951" t="s">
        <v>20</v>
      </c>
      <c r="C951" t="str">
        <f t="shared" si="28"/>
        <v>WoffordCreighton</v>
      </c>
      <c r="D951" t="s">
        <v>20</v>
      </c>
      <c r="E951">
        <v>2</v>
      </c>
      <c r="F951">
        <v>25.498113207547199</v>
      </c>
      <c r="G951">
        <v>4890.4713877714503</v>
      </c>
      <c r="H951">
        <v>137.87100923555801</v>
      </c>
      <c r="I951" s="1">
        <f t="shared" si="29"/>
        <v>126.01031129173822</v>
      </c>
    </row>
    <row r="952" spans="1:9" x14ac:dyDescent="0.45">
      <c r="A952" t="s">
        <v>72</v>
      </c>
      <c r="B952" t="s">
        <v>20</v>
      </c>
      <c r="C952" t="str">
        <f t="shared" si="28"/>
        <v>XavierCreighton</v>
      </c>
      <c r="D952" t="s">
        <v>20</v>
      </c>
      <c r="E952">
        <v>16.5</v>
      </c>
      <c r="F952">
        <v>10.6528301886792</v>
      </c>
      <c r="G952">
        <v>507.89177338758299</v>
      </c>
      <c r="H952">
        <v>138.44692280570899</v>
      </c>
      <c r="I952" s="1">
        <f t="shared" si="29"/>
        <v>134.11979952801806</v>
      </c>
    </row>
    <row r="953" spans="1:9" x14ac:dyDescent="0.45">
      <c r="A953" t="s">
        <v>73</v>
      </c>
      <c r="B953" t="s">
        <v>20</v>
      </c>
      <c r="C953" t="str">
        <f t="shared" si="28"/>
        <v>YaleCreighton</v>
      </c>
      <c r="D953" t="s">
        <v>20</v>
      </c>
      <c r="E953">
        <v>9.9</v>
      </c>
      <c r="F953">
        <v>14.4754716981132</v>
      </c>
      <c r="G953">
        <v>910.08668086702005</v>
      </c>
      <c r="H953">
        <v>139.24615743977199</v>
      </c>
      <c r="I953" s="1">
        <f t="shared" si="29"/>
        <v>145.37389076476751</v>
      </c>
    </row>
    <row r="954" spans="1:9" x14ac:dyDescent="0.45">
      <c r="A954" t="s">
        <v>7</v>
      </c>
      <c r="B954" t="s">
        <v>21</v>
      </c>
      <c r="C954" t="str">
        <f t="shared" si="28"/>
        <v>AkronDrake</v>
      </c>
      <c r="D954" t="s">
        <v>21</v>
      </c>
      <c r="E954">
        <v>15.3</v>
      </c>
      <c r="F954">
        <v>11.211320754717001</v>
      </c>
      <c r="G954">
        <v>552.93697859101201</v>
      </c>
      <c r="H954">
        <v>137.975157791063</v>
      </c>
      <c r="I954" s="1">
        <f t="shared" si="29"/>
        <v>127.47683600910483</v>
      </c>
    </row>
    <row r="955" spans="1:9" x14ac:dyDescent="0.45">
      <c r="A955" t="s">
        <v>8</v>
      </c>
      <c r="B955" t="s">
        <v>21</v>
      </c>
      <c r="C955" t="str">
        <f t="shared" si="28"/>
        <v>AlabamaDrake</v>
      </c>
      <c r="D955" t="s">
        <v>8</v>
      </c>
      <c r="E955">
        <v>93</v>
      </c>
      <c r="F955">
        <v>-16.962264150943401</v>
      </c>
      <c r="G955">
        <v>-1329.98896564303</v>
      </c>
      <c r="H955">
        <v>139.72325380320299</v>
      </c>
      <c r="I955" s="1">
        <f t="shared" si="29"/>
        <v>152.09192546188581</v>
      </c>
    </row>
    <row r="956" spans="1:9" x14ac:dyDescent="0.45">
      <c r="A956" t="s">
        <v>9</v>
      </c>
      <c r="B956" t="s">
        <v>21</v>
      </c>
      <c r="C956" t="str">
        <f t="shared" si="28"/>
        <v>Alabama St.Drake</v>
      </c>
      <c r="D956" t="s">
        <v>21</v>
      </c>
      <c r="E956">
        <v>2.8</v>
      </c>
      <c r="F956">
        <v>23.350943396226398</v>
      </c>
      <c r="G956">
        <v>3523.21675330672</v>
      </c>
      <c r="H956">
        <v>138.20199864687601</v>
      </c>
      <c r="I956" s="1">
        <f t="shared" si="29"/>
        <v>130.67100150036242</v>
      </c>
    </row>
    <row r="957" spans="1:9" x14ac:dyDescent="0.45">
      <c r="A957" t="s">
        <v>10</v>
      </c>
      <c r="B957" t="s">
        <v>21</v>
      </c>
      <c r="C957" t="str">
        <f t="shared" si="28"/>
        <v>AmericanDrake</v>
      </c>
      <c r="D957" t="s">
        <v>21</v>
      </c>
      <c r="E957">
        <v>3.3</v>
      </c>
      <c r="F957">
        <v>22.086792452830199</v>
      </c>
      <c r="G957">
        <v>2905.63957806288</v>
      </c>
      <c r="H957">
        <v>138.29308452848099</v>
      </c>
      <c r="I957" s="1">
        <f t="shared" si="29"/>
        <v>131.95358958935836</v>
      </c>
    </row>
    <row r="958" spans="1:9" x14ac:dyDescent="0.45">
      <c r="A958" t="s">
        <v>11</v>
      </c>
      <c r="B958" t="s">
        <v>21</v>
      </c>
      <c r="C958" t="str">
        <f t="shared" si="28"/>
        <v>ArizonaDrake</v>
      </c>
      <c r="D958" t="s">
        <v>11</v>
      </c>
      <c r="E958">
        <v>90.4</v>
      </c>
      <c r="F958">
        <v>-14.724528301886799</v>
      </c>
      <c r="G958">
        <v>-944.95217375620598</v>
      </c>
      <c r="H958">
        <v>139.485612622193</v>
      </c>
      <c r="I958" s="1">
        <f t="shared" si="29"/>
        <v>148.74567966783215</v>
      </c>
    </row>
    <row r="959" spans="1:9" x14ac:dyDescent="0.45">
      <c r="A959" t="s">
        <v>12</v>
      </c>
      <c r="B959" t="s">
        <v>21</v>
      </c>
      <c r="C959" t="str">
        <f t="shared" si="28"/>
        <v>ArkansasDrake</v>
      </c>
      <c r="D959" t="s">
        <v>21</v>
      </c>
      <c r="E959">
        <v>36.4</v>
      </c>
      <c r="F959">
        <v>3.66792452830189</v>
      </c>
      <c r="G959">
        <v>175.01622505090899</v>
      </c>
      <c r="H959">
        <v>137.603216456051</v>
      </c>
      <c r="I959" s="1">
        <f t="shared" si="29"/>
        <v>122.23949826053392</v>
      </c>
    </row>
    <row r="960" spans="1:9" x14ac:dyDescent="0.45">
      <c r="A960" t="s">
        <v>13</v>
      </c>
      <c r="B960" t="s">
        <v>21</v>
      </c>
      <c r="C960" t="str">
        <f t="shared" si="28"/>
        <v>AuburnDrake</v>
      </c>
      <c r="D960" t="s">
        <v>13</v>
      </c>
      <c r="E960">
        <v>96.3</v>
      </c>
      <c r="F960">
        <v>-21.373584905660401</v>
      </c>
      <c r="G960">
        <v>-2606.4497628558902</v>
      </c>
      <c r="H960">
        <v>140.74193586131199</v>
      </c>
      <c r="I960" s="1">
        <f t="shared" si="29"/>
        <v>166.43607464485859</v>
      </c>
    </row>
    <row r="961" spans="1:9" x14ac:dyDescent="0.45">
      <c r="A961" t="s">
        <v>14</v>
      </c>
      <c r="B961" t="s">
        <v>21</v>
      </c>
      <c r="C961" t="str">
        <f t="shared" si="28"/>
        <v>BaylorDrake</v>
      </c>
      <c r="D961" t="s">
        <v>14</v>
      </c>
      <c r="E961">
        <v>73.400000000000006</v>
      </c>
      <c r="F961">
        <v>-6.64150943396226</v>
      </c>
      <c r="G961">
        <v>-275.46197686142199</v>
      </c>
      <c r="H961">
        <v>139.27693387403701</v>
      </c>
      <c r="I961" s="1">
        <f t="shared" si="29"/>
        <v>145.80725636780653</v>
      </c>
    </row>
    <row r="962" spans="1:9" x14ac:dyDescent="0.45">
      <c r="A962" t="s">
        <v>15</v>
      </c>
      <c r="B962" t="s">
        <v>21</v>
      </c>
      <c r="C962" t="str">
        <f t="shared" si="28"/>
        <v>BryantDrake</v>
      </c>
      <c r="D962" t="s">
        <v>21</v>
      </c>
      <c r="E962">
        <v>11.1</v>
      </c>
      <c r="F962">
        <v>13.6452830188679</v>
      </c>
      <c r="G962">
        <v>801.45378623155398</v>
      </c>
      <c r="H962">
        <v>138.82593162393101</v>
      </c>
      <c r="I962" s="1">
        <f t="shared" si="29"/>
        <v>139.4566551121155</v>
      </c>
    </row>
    <row r="963" spans="1:9" x14ac:dyDescent="0.45">
      <c r="A963" t="s">
        <v>16</v>
      </c>
      <c r="B963" t="s">
        <v>21</v>
      </c>
      <c r="C963" t="str">
        <f t="shared" ref="C963:C1026" si="30">A963&amp;B963</f>
        <v>BYUDrake</v>
      </c>
      <c r="D963" t="s">
        <v>16</v>
      </c>
      <c r="E963">
        <v>77</v>
      </c>
      <c r="F963">
        <v>-7.9358490566037698</v>
      </c>
      <c r="G963">
        <v>-335.58167927818999</v>
      </c>
      <c r="H963">
        <v>139.08645210215499</v>
      </c>
      <c r="I963" s="1">
        <f t="shared" ref="I963:I1026" si="31">18*(H963-AVERAGE($H$2:$H$4625))/_xlfn.STDEV.P($H$2:$H$4625)+AVERAGE($H$2:$H$4625)</f>
        <v>143.12506624699029</v>
      </c>
    </row>
    <row r="964" spans="1:9" x14ac:dyDescent="0.45">
      <c r="A964" t="s">
        <v>17</v>
      </c>
      <c r="B964" t="s">
        <v>21</v>
      </c>
      <c r="C964" t="str">
        <f t="shared" si="30"/>
        <v>ClemsonDrake</v>
      </c>
      <c r="D964" t="s">
        <v>17</v>
      </c>
      <c r="E964">
        <v>81.099999999999994</v>
      </c>
      <c r="F964">
        <v>-9.5622641509434008</v>
      </c>
      <c r="G964">
        <v>-429.98149862456597</v>
      </c>
      <c r="H964">
        <v>139.30836395844599</v>
      </c>
      <c r="I964" s="1">
        <f t="shared" si="31"/>
        <v>146.24982607442604</v>
      </c>
    </row>
    <row r="965" spans="1:9" x14ac:dyDescent="0.45">
      <c r="A965" t="s">
        <v>18</v>
      </c>
      <c r="B965" t="s">
        <v>21</v>
      </c>
      <c r="C965" t="str">
        <f t="shared" si="30"/>
        <v>Colorado St.Drake</v>
      </c>
      <c r="D965" t="s">
        <v>21</v>
      </c>
      <c r="E965">
        <v>41.4</v>
      </c>
      <c r="F965">
        <v>2.2792452830188701</v>
      </c>
      <c r="G965">
        <v>141.544096625609</v>
      </c>
      <c r="H965">
        <v>138.61575580655199</v>
      </c>
      <c r="I965" s="1">
        <f t="shared" si="31"/>
        <v>136.49715145232355</v>
      </c>
    </row>
    <row r="966" spans="1:9" x14ac:dyDescent="0.45">
      <c r="A966" t="s">
        <v>19</v>
      </c>
      <c r="B966" t="s">
        <v>21</v>
      </c>
      <c r="C966" t="str">
        <f t="shared" si="30"/>
        <v>ConnecticutDrake</v>
      </c>
      <c r="D966" t="s">
        <v>19</v>
      </c>
      <c r="E966">
        <v>87.9</v>
      </c>
      <c r="F966">
        <v>-13.026415094339599</v>
      </c>
      <c r="G966">
        <v>-729.29843228381401</v>
      </c>
      <c r="H966">
        <v>139.25130770888799</v>
      </c>
      <c r="I966" s="1">
        <f t="shared" si="31"/>
        <v>145.44641214466645</v>
      </c>
    </row>
    <row r="967" spans="1:9" x14ac:dyDescent="0.45">
      <c r="A967" t="s">
        <v>20</v>
      </c>
      <c r="B967" t="s">
        <v>21</v>
      </c>
      <c r="C967" t="str">
        <f t="shared" si="30"/>
        <v>CreightonDrake</v>
      </c>
      <c r="D967" t="s">
        <v>20</v>
      </c>
      <c r="E967">
        <v>69.3</v>
      </c>
      <c r="F967">
        <v>-5.3320754716981096</v>
      </c>
      <c r="G967">
        <v>-225.59280945902199</v>
      </c>
      <c r="H967">
        <v>138.724250071151</v>
      </c>
      <c r="I967" s="1">
        <f t="shared" si="31"/>
        <v>138.0248684711097</v>
      </c>
    </row>
    <row r="968" spans="1:9" x14ac:dyDescent="0.45">
      <c r="A968" t="s">
        <v>21</v>
      </c>
      <c r="B968" t="s">
        <v>21</v>
      </c>
      <c r="C968" t="str">
        <f t="shared" si="30"/>
        <v>DrakeDrake</v>
      </c>
      <c r="D968" t="s">
        <v>21</v>
      </c>
      <c r="E968">
        <v>41.2</v>
      </c>
      <c r="F968">
        <v>2.3283018867924499</v>
      </c>
      <c r="G968">
        <v>142.64273539779199</v>
      </c>
      <c r="H968">
        <v>138.77771517530499</v>
      </c>
      <c r="I968" s="1">
        <f t="shared" si="31"/>
        <v>138.77771517530277</v>
      </c>
    </row>
    <row r="969" spans="1:9" x14ac:dyDescent="0.45">
      <c r="A969" t="s">
        <v>22</v>
      </c>
      <c r="B969" t="s">
        <v>21</v>
      </c>
      <c r="C969" t="str">
        <f t="shared" si="30"/>
        <v>DukeDrake</v>
      </c>
      <c r="D969" t="s">
        <v>22</v>
      </c>
      <c r="E969">
        <v>97.5</v>
      </c>
      <c r="F969">
        <v>-23.883018867924498</v>
      </c>
      <c r="G969">
        <v>-3821.7192322737001</v>
      </c>
      <c r="H969">
        <v>141.06503563676199</v>
      </c>
      <c r="I969" s="1">
        <f t="shared" si="31"/>
        <v>170.98567021606476</v>
      </c>
    </row>
    <row r="970" spans="1:9" x14ac:dyDescent="0.45">
      <c r="A970" t="s">
        <v>23</v>
      </c>
      <c r="B970" t="s">
        <v>21</v>
      </c>
      <c r="C970" t="str">
        <f t="shared" si="30"/>
        <v>FloridaDrake</v>
      </c>
      <c r="D970" t="s">
        <v>23</v>
      </c>
      <c r="E970">
        <v>95.5</v>
      </c>
      <c r="F970">
        <v>-19.9849056603774</v>
      </c>
      <c r="G970">
        <v>-2108.2016668104502</v>
      </c>
      <c r="H970">
        <v>140.788791912704</v>
      </c>
      <c r="I970" s="1">
        <f t="shared" si="31"/>
        <v>167.09585871187133</v>
      </c>
    </row>
    <row r="971" spans="1:9" x14ac:dyDescent="0.45">
      <c r="A971" t="s">
        <v>24</v>
      </c>
      <c r="B971" t="s">
        <v>21</v>
      </c>
      <c r="C971" t="str">
        <f t="shared" si="30"/>
        <v>GeorgiaDrake</v>
      </c>
      <c r="D971" t="s">
        <v>21</v>
      </c>
      <c r="E971">
        <v>44.2</v>
      </c>
      <c r="F971">
        <v>1.5245283018867899</v>
      </c>
      <c r="G971">
        <v>126.160261265659</v>
      </c>
      <c r="H971">
        <v>137.930605437048</v>
      </c>
      <c r="I971" s="1">
        <f t="shared" si="31"/>
        <v>126.84949050188146</v>
      </c>
    </row>
    <row r="972" spans="1:9" x14ac:dyDescent="0.45">
      <c r="A972" t="s">
        <v>25</v>
      </c>
      <c r="B972" t="s">
        <v>21</v>
      </c>
      <c r="C972" t="str">
        <f t="shared" si="30"/>
        <v>GonzagaDrake</v>
      </c>
      <c r="D972" t="s">
        <v>25</v>
      </c>
      <c r="E972">
        <v>81.7</v>
      </c>
      <c r="F972">
        <v>-9.8037735849056595</v>
      </c>
      <c r="G972">
        <v>-446.16826590725998</v>
      </c>
      <c r="H972">
        <v>140.06824655657701</v>
      </c>
      <c r="I972" s="1">
        <f t="shared" si="31"/>
        <v>156.94979792763598</v>
      </c>
    </row>
    <row r="973" spans="1:9" x14ac:dyDescent="0.45">
      <c r="A973" t="s">
        <v>26</v>
      </c>
      <c r="B973" t="s">
        <v>21</v>
      </c>
      <c r="C973" t="str">
        <f t="shared" si="30"/>
        <v>Grand CanyonDrake</v>
      </c>
      <c r="D973" t="s">
        <v>21</v>
      </c>
      <c r="E973">
        <v>30.3</v>
      </c>
      <c r="F973">
        <v>5.4452830188679204</v>
      </c>
      <c r="G973">
        <v>229.50064951415101</v>
      </c>
      <c r="H973">
        <v>138.720214802881</v>
      </c>
      <c r="I973" s="1">
        <f t="shared" si="31"/>
        <v>137.96804751348367</v>
      </c>
    </row>
    <row r="974" spans="1:9" x14ac:dyDescent="0.45">
      <c r="A974" t="s">
        <v>27</v>
      </c>
      <c r="B974" t="s">
        <v>21</v>
      </c>
      <c r="C974" t="str">
        <f t="shared" si="30"/>
        <v>High PointDrake</v>
      </c>
      <c r="D974" t="s">
        <v>21</v>
      </c>
      <c r="E974">
        <v>22.2</v>
      </c>
      <c r="F974">
        <v>8.2188679245283005</v>
      </c>
      <c r="G974">
        <v>350.31601160634102</v>
      </c>
      <c r="H974">
        <v>139.001106550537</v>
      </c>
      <c r="I974" s="1">
        <f t="shared" si="31"/>
        <v>141.92330823548266</v>
      </c>
    </row>
    <row r="975" spans="1:9" x14ac:dyDescent="0.45">
      <c r="A975" t="s">
        <v>28</v>
      </c>
      <c r="B975" t="s">
        <v>21</v>
      </c>
      <c r="C975" t="str">
        <f t="shared" si="30"/>
        <v>HoustonDrake</v>
      </c>
      <c r="D975" t="s">
        <v>28</v>
      </c>
      <c r="E975">
        <v>98.5</v>
      </c>
      <c r="F975">
        <v>-27.396226415094301</v>
      </c>
      <c r="G975">
        <v>-6531.9977132097702</v>
      </c>
      <c r="H975">
        <v>141.208699986391</v>
      </c>
      <c r="I975" s="1">
        <f t="shared" si="31"/>
        <v>173.00862021007822</v>
      </c>
    </row>
    <row r="976" spans="1:9" x14ac:dyDescent="0.45">
      <c r="A976" t="s">
        <v>29</v>
      </c>
      <c r="B976" t="s">
        <v>21</v>
      </c>
      <c r="C976" t="str">
        <f t="shared" si="30"/>
        <v>IllinoisDrake</v>
      </c>
      <c r="D976" t="s">
        <v>29</v>
      </c>
      <c r="E976">
        <v>86.7</v>
      </c>
      <c r="F976">
        <v>-12.2867924528302</v>
      </c>
      <c r="G976">
        <v>-651.54343901796699</v>
      </c>
      <c r="H976">
        <v>139.258945140328</v>
      </c>
      <c r="I976" s="1">
        <f t="shared" si="31"/>
        <v>145.55395546996414</v>
      </c>
    </row>
    <row r="977" spans="1:9" x14ac:dyDescent="0.45">
      <c r="A977" t="s">
        <v>30</v>
      </c>
      <c r="B977" t="s">
        <v>21</v>
      </c>
      <c r="C977" t="str">
        <f t="shared" si="30"/>
        <v>Iowa St.Drake</v>
      </c>
      <c r="D977" t="s">
        <v>30</v>
      </c>
      <c r="E977">
        <v>93.2</v>
      </c>
      <c r="F977">
        <v>-17.1698113207547</v>
      </c>
      <c r="G977">
        <v>-1372.4096241439099</v>
      </c>
      <c r="H977">
        <v>140.18521371868599</v>
      </c>
      <c r="I977" s="1">
        <f t="shared" si="31"/>
        <v>158.5968225409041</v>
      </c>
    </row>
    <row r="978" spans="1:9" x14ac:dyDescent="0.45">
      <c r="A978" t="s">
        <v>31</v>
      </c>
      <c r="B978" t="s">
        <v>21</v>
      </c>
      <c r="C978" t="str">
        <f t="shared" si="30"/>
        <v>KansasDrake</v>
      </c>
      <c r="D978" t="s">
        <v>31</v>
      </c>
      <c r="E978">
        <v>79.900000000000006</v>
      </c>
      <c r="F978">
        <v>-9.0679245283018908</v>
      </c>
      <c r="G978">
        <v>-398.72389970040098</v>
      </c>
      <c r="H978">
        <v>139.140604002998</v>
      </c>
      <c r="I978" s="1">
        <f t="shared" si="31"/>
        <v>143.88758379409975</v>
      </c>
    </row>
    <row r="979" spans="1:9" x14ac:dyDescent="0.45">
      <c r="A979" t="s">
        <v>32</v>
      </c>
      <c r="B979" t="s">
        <v>21</v>
      </c>
      <c r="C979" t="str">
        <f t="shared" si="30"/>
        <v>KentuckyDrake</v>
      </c>
      <c r="D979" t="s">
        <v>32</v>
      </c>
      <c r="E979">
        <v>87.1</v>
      </c>
      <c r="F979">
        <v>-12.494339622641499</v>
      </c>
      <c r="G979">
        <v>-672.63836179391603</v>
      </c>
      <c r="H979">
        <v>139.08764160339001</v>
      </c>
      <c r="I979" s="1">
        <f t="shared" si="31"/>
        <v>143.14181571561264</v>
      </c>
    </row>
    <row r="980" spans="1:9" x14ac:dyDescent="0.45">
      <c r="A980" t="s">
        <v>33</v>
      </c>
      <c r="B980" t="s">
        <v>21</v>
      </c>
      <c r="C980" t="str">
        <f t="shared" si="30"/>
        <v>LibertyDrake</v>
      </c>
      <c r="D980" t="s">
        <v>21</v>
      </c>
      <c r="E980">
        <v>15.7</v>
      </c>
      <c r="F980">
        <v>10.9962264150943</v>
      </c>
      <c r="G980">
        <v>535.030383941629</v>
      </c>
      <c r="H980">
        <v>138.29657785178901</v>
      </c>
      <c r="I980" s="1">
        <f t="shared" si="31"/>
        <v>132.00277937362495</v>
      </c>
    </row>
    <row r="981" spans="1:9" x14ac:dyDescent="0.45">
      <c r="A981" t="s">
        <v>34</v>
      </c>
      <c r="B981" t="s">
        <v>21</v>
      </c>
      <c r="C981" t="str">
        <f t="shared" si="30"/>
        <v>LipscombDrake</v>
      </c>
      <c r="D981" t="s">
        <v>21</v>
      </c>
      <c r="E981">
        <v>12.5</v>
      </c>
      <c r="F981">
        <v>12.735849056603801</v>
      </c>
      <c r="G981">
        <v>697.92426083178304</v>
      </c>
      <c r="H981">
        <v>138.72849808304599</v>
      </c>
      <c r="I981" s="1">
        <f t="shared" si="31"/>
        <v>138.08468508991405</v>
      </c>
    </row>
    <row r="982" spans="1:9" x14ac:dyDescent="0.45">
      <c r="A982" t="s">
        <v>35</v>
      </c>
      <c r="B982" t="s">
        <v>21</v>
      </c>
      <c r="C982" t="str">
        <f t="shared" si="30"/>
        <v>LouisvilleDrake</v>
      </c>
      <c r="D982" t="s">
        <v>21</v>
      </c>
      <c r="E982">
        <v>26.7</v>
      </c>
      <c r="F982">
        <v>6.63018867924528</v>
      </c>
      <c r="G982">
        <v>274.91283964121402</v>
      </c>
      <c r="H982">
        <v>138.014221395015</v>
      </c>
      <c r="I982" s="1">
        <f t="shared" si="31"/>
        <v>128.02689395726605</v>
      </c>
    </row>
    <row r="983" spans="1:9" x14ac:dyDescent="0.45">
      <c r="A983" t="s">
        <v>36</v>
      </c>
      <c r="B983" t="s">
        <v>21</v>
      </c>
      <c r="C983" t="str">
        <f t="shared" si="30"/>
        <v>MarquetteDrake</v>
      </c>
      <c r="D983" t="s">
        <v>36</v>
      </c>
      <c r="E983">
        <v>83.7</v>
      </c>
      <c r="F983">
        <v>-10.7169811320755</v>
      </c>
      <c r="G983">
        <v>-512.75556482688398</v>
      </c>
      <c r="H983">
        <v>139.34597802991999</v>
      </c>
      <c r="I983" s="1">
        <f t="shared" si="31"/>
        <v>146.77947303179323</v>
      </c>
    </row>
    <row r="984" spans="1:9" x14ac:dyDescent="0.45">
      <c r="A984" t="s">
        <v>37</v>
      </c>
      <c r="B984" t="s">
        <v>21</v>
      </c>
      <c r="C984" t="str">
        <f t="shared" si="30"/>
        <v>MarylandDrake</v>
      </c>
      <c r="D984" t="s">
        <v>37</v>
      </c>
      <c r="E984">
        <v>77.7</v>
      </c>
      <c r="F984">
        <v>-8.1698113207547198</v>
      </c>
      <c r="G984">
        <v>-347.82918907548702</v>
      </c>
      <c r="H984">
        <v>138.955917341598</v>
      </c>
      <c r="I984" s="1">
        <f t="shared" si="31"/>
        <v>141.28699511960733</v>
      </c>
    </row>
    <row r="985" spans="1:9" x14ac:dyDescent="0.45">
      <c r="A985" t="s">
        <v>38</v>
      </c>
      <c r="B985" t="s">
        <v>21</v>
      </c>
      <c r="C985" t="str">
        <f t="shared" si="30"/>
        <v>McNeese St.Drake</v>
      </c>
      <c r="D985" t="s">
        <v>21</v>
      </c>
      <c r="E985">
        <v>38.299999999999997</v>
      </c>
      <c r="F985">
        <v>3.13584905660377</v>
      </c>
      <c r="G985">
        <v>161.35526364017699</v>
      </c>
      <c r="H985">
        <v>138.791328955799</v>
      </c>
      <c r="I985" s="1">
        <f t="shared" si="31"/>
        <v>138.96941198275695</v>
      </c>
    </row>
    <row r="986" spans="1:9" x14ac:dyDescent="0.45">
      <c r="A986" t="s">
        <v>39</v>
      </c>
      <c r="B986" t="s">
        <v>21</v>
      </c>
      <c r="C986" t="str">
        <f t="shared" si="30"/>
        <v>MemphisDrake</v>
      </c>
      <c r="D986" t="s">
        <v>39</v>
      </c>
      <c r="E986">
        <v>64</v>
      </c>
      <c r="F986">
        <v>-3.7849056603773601</v>
      </c>
      <c r="G986">
        <v>-178.15561712872699</v>
      </c>
      <c r="H986">
        <v>137.93355215461801</v>
      </c>
      <c r="I986" s="1">
        <f t="shared" si="31"/>
        <v>126.8909834840027</v>
      </c>
    </row>
    <row r="987" spans="1:9" x14ac:dyDescent="0.45">
      <c r="A987" t="s">
        <v>40</v>
      </c>
      <c r="B987" t="s">
        <v>21</v>
      </c>
      <c r="C987" t="str">
        <f t="shared" si="30"/>
        <v>MichiganDrake</v>
      </c>
      <c r="D987" t="s">
        <v>21</v>
      </c>
      <c r="E987">
        <v>48.5</v>
      </c>
      <c r="F987">
        <v>0.40377358490566001</v>
      </c>
      <c r="G987">
        <v>106.33335568305</v>
      </c>
      <c r="H987">
        <v>137.59047323930099</v>
      </c>
      <c r="I987" s="1">
        <f t="shared" si="31"/>
        <v>122.06005993561395</v>
      </c>
    </row>
    <row r="988" spans="1:9" x14ac:dyDescent="0.45">
      <c r="A988" t="s">
        <v>41</v>
      </c>
      <c r="B988" t="s">
        <v>21</v>
      </c>
      <c r="C988" t="str">
        <f t="shared" si="30"/>
        <v>Michigan St.Drake</v>
      </c>
      <c r="D988" t="s">
        <v>41</v>
      </c>
      <c r="E988">
        <v>90</v>
      </c>
      <c r="F988">
        <v>-14.422641509433999</v>
      </c>
      <c r="G988">
        <v>-902.41086503547399</v>
      </c>
      <c r="H988">
        <v>139.28936520012999</v>
      </c>
      <c r="I988" s="1">
        <f t="shared" si="31"/>
        <v>145.9823029337104</v>
      </c>
    </row>
    <row r="989" spans="1:9" x14ac:dyDescent="0.45">
      <c r="A989" t="s">
        <v>42</v>
      </c>
      <c r="B989" t="s">
        <v>21</v>
      </c>
      <c r="C989" t="str">
        <f t="shared" si="30"/>
        <v>MississippiDrake</v>
      </c>
      <c r="D989" t="s">
        <v>42</v>
      </c>
      <c r="E989">
        <v>69.900000000000006</v>
      </c>
      <c r="F989">
        <v>-5.5094339622641497</v>
      </c>
      <c r="G989">
        <v>-231.785052385879</v>
      </c>
      <c r="H989">
        <v>138.42028630522501</v>
      </c>
      <c r="I989" s="1">
        <f t="shared" si="31"/>
        <v>133.74472868661746</v>
      </c>
    </row>
    <row r="990" spans="1:9" x14ac:dyDescent="0.45">
      <c r="A990" t="s">
        <v>43</v>
      </c>
      <c r="B990" t="s">
        <v>21</v>
      </c>
      <c r="C990" t="str">
        <f t="shared" si="30"/>
        <v>Mississippi St.Drake</v>
      </c>
      <c r="D990" t="s">
        <v>43</v>
      </c>
      <c r="E990">
        <v>63.6</v>
      </c>
      <c r="F990">
        <v>-3.6603773584905701</v>
      </c>
      <c r="G990">
        <v>-174.82121863919301</v>
      </c>
      <c r="H990">
        <v>138.54465765901401</v>
      </c>
      <c r="I990" s="1">
        <f t="shared" si="31"/>
        <v>135.49601235617516</v>
      </c>
    </row>
    <row r="991" spans="1:9" x14ac:dyDescent="0.45">
      <c r="A991" t="s">
        <v>44</v>
      </c>
      <c r="B991" t="s">
        <v>21</v>
      </c>
      <c r="C991" t="str">
        <f t="shared" si="30"/>
        <v>MissouriDrake</v>
      </c>
      <c r="D991" t="s">
        <v>21</v>
      </c>
      <c r="E991">
        <v>43.4</v>
      </c>
      <c r="F991">
        <v>1.75094339622642</v>
      </c>
      <c r="G991">
        <v>130.61853176231801</v>
      </c>
      <c r="H991">
        <v>137.80912959518801</v>
      </c>
      <c r="I991" s="1">
        <f t="shared" si="31"/>
        <v>125.13897878343469</v>
      </c>
    </row>
    <row r="992" spans="1:9" x14ac:dyDescent="0.45">
      <c r="A992" t="s">
        <v>45</v>
      </c>
      <c r="B992" t="s">
        <v>21</v>
      </c>
      <c r="C992" t="str">
        <f t="shared" si="30"/>
        <v>MontanaDrake</v>
      </c>
      <c r="D992" t="s">
        <v>21</v>
      </c>
      <c r="E992">
        <v>6.9</v>
      </c>
      <c r="F992">
        <v>17.0075471698113</v>
      </c>
      <c r="G992">
        <v>1339.05023389589</v>
      </c>
      <c r="H992">
        <v>137.11786432020699</v>
      </c>
      <c r="I992" s="1">
        <f t="shared" si="31"/>
        <v>115.40521332599346</v>
      </c>
    </row>
    <row r="993" spans="1:9" x14ac:dyDescent="0.45">
      <c r="A993" t="s">
        <v>46</v>
      </c>
      <c r="B993" t="s">
        <v>21</v>
      </c>
      <c r="C993" t="str">
        <f t="shared" si="30"/>
        <v>Mount St. Mary'sDrake</v>
      </c>
      <c r="D993" t="s">
        <v>21</v>
      </c>
      <c r="E993">
        <v>2.9</v>
      </c>
      <c r="F993">
        <v>23.124528301886802</v>
      </c>
      <c r="G993">
        <v>3404.0628157076499</v>
      </c>
      <c r="H993">
        <v>138.46573854215401</v>
      </c>
      <c r="I993" s="1">
        <f t="shared" si="31"/>
        <v>134.38474552211548</v>
      </c>
    </row>
    <row r="994" spans="1:9" x14ac:dyDescent="0.45">
      <c r="A994" t="s">
        <v>47</v>
      </c>
      <c r="B994" t="s">
        <v>21</v>
      </c>
      <c r="C994" t="str">
        <f t="shared" si="30"/>
        <v>Nebraska OmahaDrake</v>
      </c>
      <c r="D994" t="s">
        <v>21</v>
      </c>
      <c r="E994">
        <v>3.7</v>
      </c>
      <c r="F994">
        <v>21.407547169811298</v>
      </c>
      <c r="G994">
        <v>2620.1563180909702</v>
      </c>
      <c r="H994">
        <v>137.74973972205399</v>
      </c>
      <c r="I994" s="1">
        <f t="shared" si="31"/>
        <v>124.30270490051812</v>
      </c>
    </row>
    <row r="995" spans="1:9" x14ac:dyDescent="0.45">
      <c r="A995" t="s">
        <v>48</v>
      </c>
      <c r="B995" t="s">
        <v>21</v>
      </c>
      <c r="C995" t="str">
        <f t="shared" si="30"/>
        <v>New MexicoDrake</v>
      </c>
      <c r="D995" t="s">
        <v>21</v>
      </c>
      <c r="E995">
        <v>49.4</v>
      </c>
      <c r="F995">
        <v>0.162264150943396</v>
      </c>
      <c r="G995">
        <v>102.492402901538</v>
      </c>
      <c r="H995">
        <v>138.627484069329</v>
      </c>
      <c r="I995" s="1">
        <f t="shared" si="31"/>
        <v>136.66229812354584</v>
      </c>
    </row>
    <row r="996" spans="1:9" x14ac:dyDescent="0.45">
      <c r="A996" t="s">
        <v>49</v>
      </c>
      <c r="B996" t="s">
        <v>21</v>
      </c>
      <c r="C996" t="str">
        <f t="shared" si="30"/>
        <v>Norfolk St.Drake</v>
      </c>
      <c r="D996" t="s">
        <v>21</v>
      </c>
      <c r="E996">
        <v>5.3</v>
      </c>
      <c r="F996">
        <v>18.875471698113198</v>
      </c>
      <c r="G996">
        <v>1780.5106119127399</v>
      </c>
      <c r="H996">
        <v>137.63984773153101</v>
      </c>
      <c r="I996" s="1">
        <f t="shared" si="31"/>
        <v>122.75530638345616</v>
      </c>
    </row>
    <row r="997" spans="1:9" x14ac:dyDescent="0.45">
      <c r="A997" t="s">
        <v>50</v>
      </c>
      <c r="B997" t="s">
        <v>21</v>
      </c>
      <c r="C997" t="str">
        <f t="shared" si="30"/>
        <v>North CarolinaDrake</v>
      </c>
      <c r="D997" t="s">
        <v>50</v>
      </c>
      <c r="E997">
        <v>76.900000000000006</v>
      </c>
      <c r="F997">
        <v>-7.8792452830188697</v>
      </c>
      <c r="G997">
        <v>-332.660593386107</v>
      </c>
      <c r="H997">
        <v>139.71177916348699</v>
      </c>
      <c r="I997" s="1">
        <f t="shared" si="31"/>
        <v>151.93035007867675</v>
      </c>
    </row>
    <row r="998" spans="1:9" x14ac:dyDescent="0.45">
      <c r="A998" t="s">
        <v>51</v>
      </c>
      <c r="B998" t="s">
        <v>21</v>
      </c>
      <c r="C998" t="str">
        <f t="shared" si="30"/>
        <v>OklahomaDrake</v>
      </c>
      <c r="D998" t="s">
        <v>51</v>
      </c>
      <c r="E998">
        <v>52.2</v>
      </c>
      <c r="F998">
        <v>-0.57358490566037701</v>
      </c>
      <c r="G998">
        <v>-109.14223322374301</v>
      </c>
      <c r="H998">
        <v>138.054382458991</v>
      </c>
      <c r="I998" s="1">
        <f t="shared" si="31"/>
        <v>128.59240533388541</v>
      </c>
    </row>
    <row r="999" spans="1:9" x14ac:dyDescent="0.45">
      <c r="A999" t="s">
        <v>52</v>
      </c>
      <c r="B999" t="s">
        <v>21</v>
      </c>
      <c r="C999" t="str">
        <f t="shared" si="30"/>
        <v>OregonDrake</v>
      </c>
      <c r="D999" t="s">
        <v>52</v>
      </c>
      <c r="E999">
        <v>78.3</v>
      </c>
      <c r="F999">
        <v>-8.4</v>
      </c>
      <c r="G999">
        <v>-360.095125519183</v>
      </c>
      <c r="H999">
        <v>138.648760247132</v>
      </c>
      <c r="I999" s="1">
        <f t="shared" si="31"/>
        <v>136.96188980283412</v>
      </c>
    </row>
    <row r="1000" spans="1:9" x14ac:dyDescent="0.45">
      <c r="A1000" t="s">
        <v>53</v>
      </c>
      <c r="B1000" t="s">
        <v>21</v>
      </c>
      <c r="C1000" t="str">
        <f t="shared" si="30"/>
        <v>PurdueDrake</v>
      </c>
      <c r="D1000" t="s">
        <v>53</v>
      </c>
      <c r="E1000">
        <v>95</v>
      </c>
      <c r="F1000">
        <v>-19.309433962264201</v>
      </c>
      <c r="G1000">
        <v>-1902.06306748205</v>
      </c>
      <c r="H1000">
        <v>139.99674757592101</v>
      </c>
      <c r="I1000" s="1">
        <f t="shared" si="31"/>
        <v>155.94301466607152</v>
      </c>
    </row>
    <row r="1001" spans="1:9" x14ac:dyDescent="0.45">
      <c r="A1001" t="s">
        <v>54</v>
      </c>
      <c r="B1001" t="s">
        <v>21</v>
      </c>
      <c r="C1001" t="str">
        <f t="shared" si="30"/>
        <v>Robert MorrisDrake</v>
      </c>
      <c r="D1001" t="s">
        <v>21</v>
      </c>
      <c r="E1001">
        <v>2.2999999999999998</v>
      </c>
      <c r="F1001">
        <v>24.633962264150899</v>
      </c>
      <c r="G1001">
        <v>4285.0517241227999</v>
      </c>
      <c r="H1001">
        <v>137.05538442468401</v>
      </c>
      <c r="I1001" s="1">
        <f t="shared" si="31"/>
        <v>114.52542857354391</v>
      </c>
    </row>
    <row r="1002" spans="1:9" x14ac:dyDescent="0.45">
      <c r="A1002" t="s">
        <v>55</v>
      </c>
      <c r="B1002" t="s">
        <v>21</v>
      </c>
      <c r="C1002" t="str">
        <f t="shared" si="30"/>
        <v>Saint FrancisDrake</v>
      </c>
      <c r="D1002" t="s">
        <v>21</v>
      </c>
      <c r="E1002">
        <v>1.5</v>
      </c>
      <c r="F1002">
        <v>27.358490566037698</v>
      </c>
      <c r="G1002">
        <v>6494.8778705847399</v>
      </c>
      <c r="H1002">
        <v>138.10823995789099</v>
      </c>
      <c r="I1002" s="1">
        <f t="shared" si="31"/>
        <v>129.35077738205644</v>
      </c>
    </row>
    <row r="1003" spans="1:9" x14ac:dyDescent="0.45">
      <c r="A1003" t="s">
        <v>56</v>
      </c>
      <c r="B1003" t="s">
        <v>21</v>
      </c>
      <c r="C1003" t="str">
        <f t="shared" si="30"/>
        <v>Saint Mary'sDrake</v>
      </c>
      <c r="D1003" t="s">
        <v>56</v>
      </c>
      <c r="E1003">
        <v>75.400000000000006</v>
      </c>
      <c r="F1003">
        <v>-7.3547169811320803</v>
      </c>
      <c r="G1003">
        <v>-307.12324375292002</v>
      </c>
      <c r="H1003">
        <v>139.35949515898099</v>
      </c>
      <c r="I1003" s="1">
        <f t="shared" si="31"/>
        <v>146.96980888215307</v>
      </c>
    </row>
    <row r="1004" spans="1:9" x14ac:dyDescent="0.45">
      <c r="A1004" t="s">
        <v>57</v>
      </c>
      <c r="B1004" t="s">
        <v>21</v>
      </c>
      <c r="C1004" t="str">
        <f t="shared" si="30"/>
        <v>San Diego St.Drake</v>
      </c>
      <c r="D1004" t="s">
        <v>21</v>
      </c>
      <c r="E1004">
        <v>47.2</v>
      </c>
      <c r="F1004">
        <v>0.73584905660377398</v>
      </c>
      <c r="G1004">
        <v>111.89956544803</v>
      </c>
      <c r="H1004">
        <v>138.50575003877901</v>
      </c>
      <c r="I1004" s="1">
        <f t="shared" si="31"/>
        <v>134.94815082807364</v>
      </c>
    </row>
    <row r="1005" spans="1:9" x14ac:dyDescent="0.45">
      <c r="A1005" t="s">
        <v>58</v>
      </c>
      <c r="B1005" t="s">
        <v>21</v>
      </c>
      <c r="C1005" t="str">
        <f t="shared" si="30"/>
        <v>SIU EdwardsvilleDrake</v>
      </c>
      <c r="D1005" t="s">
        <v>21</v>
      </c>
      <c r="E1005">
        <v>4.3</v>
      </c>
      <c r="F1005">
        <v>20.335849056603799</v>
      </c>
      <c r="G1005">
        <v>2224.3614965330298</v>
      </c>
      <c r="H1005">
        <v>138.65343780562699</v>
      </c>
      <c r="I1005" s="1">
        <f t="shared" si="31"/>
        <v>137.02775490405008</v>
      </c>
    </row>
    <row r="1006" spans="1:9" x14ac:dyDescent="0.45">
      <c r="A1006" t="s">
        <v>59</v>
      </c>
      <c r="B1006" t="s">
        <v>21</v>
      </c>
      <c r="C1006" t="str">
        <f t="shared" si="30"/>
        <v>St. John'sDrake</v>
      </c>
      <c r="D1006" t="s">
        <v>59</v>
      </c>
      <c r="E1006">
        <v>90.6</v>
      </c>
      <c r="F1006">
        <v>-14.822641509434</v>
      </c>
      <c r="G1006">
        <v>-959.40535619544596</v>
      </c>
      <c r="H1006">
        <v>139.63112057817199</v>
      </c>
      <c r="I1006" s="1">
        <f t="shared" si="31"/>
        <v>150.79458964053401</v>
      </c>
    </row>
    <row r="1007" spans="1:9" x14ac:dyDescent="0.45">
      <c r="A1007" t="s">
        <v>60</v>
      </c>
      <c r="B1007" t="s">
        <v>21</v>
      </c>
      <c r="C1007" t="str">
        <f t="shared" si="30"/>
        <v>TennesseeDrake</v>
      </c>
      <c r="D1007" t="s">
        <v>60</v>
      </c>
      <c r="E1007">
        <v>95</v>
      </c>
      <c r="F1007">
        <v>-19.3698113207547</v>
      </c>
      <c r="G1007">
        <v>-1919.2943595100801</v>
      </c>
      <c r="H1007">
        <v>140.22510345486299</v>
      </c>
      <c r="I1007" s="1">
        <f t="shared" si="31"/>
        <v>159.15851332758049</v>
      </c>
    </row>
    <row r="1008" spans="1:9" x14ac:dyDescent="0.45">
      <c r="A1008" t="s">
        <v>61</v>
      </c>
      <c r="B1008" t="s">
        <v>21</v>
      </c>
      <c r="C1008" t="str">
        <f t="shared" si="30"/>
        <v>TexasDrake</v>
      </c>
      <c r="D1008" t="s">
        <v>21</v>
      </c>
      <c r="E1008">
        <v>44</v>
      </c>
      <c r="F1008">
        <v>1.5849056603773599</v>
      </c>
      <c r="G1008">
        <v>127.357676691053</v>
      </c>
      <c r="H1008">
        <v>137.980817985935</v>
      </c>
      <c r="I1008" s="1">
        <f t="shared" si="31"/>
        <v>127.55653769718549</v>
      </c>
    </row>
    <row r="1009" spans="1:9" x14ac:dyDescent="0.45">
      <c r="A1009" t="s">
        <v>62</v>
      </c>
      <c r="B1009" t="s">
        <v>21</v>
      </c>
      <c r="C1009" t="str">
        <f t="shared" si="30"/>
        <v>Texas A&amp;MDrake</v>
      </c>
      <c r="D1009" t="s">
        <v>62</v>
      </c>
      <c r="E1009">
        <v>81.900000000000006</v>
      </c>
      <c r="F1009">
        <v>-9.9094339622641492</v>
      </c>
      <c r="G1009">
        <v>-453.498385487169</v>
      </c>
      <c r="H1009">
        <v>138.77861701352899</v>
      </c>
      <c r="I1009" s="1">
        <f t="shared" si="31"/>
        <v>138.79041403646451</v>
      </c>
    </row>
    <row r="1010" spans="1:9" x14ac:dyDescent="0.45">
      <c r="A1010" t="s">
        <v>63</v>
      </c>
      <c r="B1010" t="s">
        <v>21</v>
      </c>
      <c r="C1010" t="str">
        <f t="shared" si="30"/>
        <v>Texas TechDrake</v>
      </c>
      <c r="D1010" t="s">
        <v>63</v>
      </c>
      <c r="E1010">
        <v>89.9</v>
      </c>
      <c r="F1010">
        <v>-14.3622641509434</v>
      </c>
      <c r="G1010">
        <v>-894.31863074409</v>
      </c>
      <c r="H1010">
        <v>139.81840113259301</v>
      </c>
      <c r="I1010" s="1">
        <f t="shared" si="31"/>
        <v>153.43170314449796</v>
      </c>
    </row>
    <row r="1011" spans="1:9" x14ac:dyDescent="0.45">
      <c r="A1011" t="s">
        <v>64</v>
      </c>
      <c r="B1011" t="s">
        <v>21</v>
      </c>
      <c r="C1011" t="str">
        <f t="shared" si="30"/>
        <v>TroyDrake</v>
      </c>
      <c r="D1011" t="s">
        <v>21</v>
      </c>
      <c r="E1011">
        <v>11.2</v>
      </c>
      <c r="F1011">
        <v>13.5849056603774</v>
      </c>
      <c r="G1011">
        <v>794.27085493442098</v>
      </c>
      <c r="H1011">
        <v>138.521965552322</v>
      </c>
      <c r="I1011" s="1">
        <f t="shared" si="31"/>
        <v>135.17648286110358</v>
      </c>
    </row>
    <row r="1012" spans="1:9" x14ac:dyDescent="0.45">
      <c r="A1012" t="s">
        <v>65</v>
      </c>
      <c r="B1012" t="s">
        <v>21</v>
      </c>
      <c r="C1012" t="str">
        <f t="shared" si="30"/>
        <v>UC San DiegoDrake</v>
      </c>
      <c r="D1012" t="s">
        <v>21</v>
      </c>
      <c r="E1012">
        <v>24.4</v>
      </c>
      <c r="F1012">
        <v>7.4226415094339604</v>
      </c>
      <c r="G1012">
        <v>310.32906134135698</v>
      </c>
      <c r="H1012">
        <v>138.61008729571299</v>
      </c>
      <c r="I1012" s="1">
        <f t="shared" si="31"/>
        <v>136.41733266640043</v>
      </c>
    </row>
    <row r="1013" spans="1:9" x14ac:dyDescent="0.45">
      <c r="A1013" t="s">
        <v>66</v>
      </c>
      <c r="B1013" t="s">
        <v>21</v>
      </c>
      <c r="C1013" t="str">
        <f t="shared" si="30"/>
        <v>UCLADrake</v>
      </c>
      <c r="D1013" t="s">
        <v>66</v>
      </c>
      <c r="E1013">
        <v>56.2</v>
      </c>
      <c r="F1013">
        <v>-1.6226415094339599</v>
      </c>
      <c r="G1013">
        <v>-128.050216141871</v>
      </c>
      <c r="H1013">
        <v>138.08154180882201</v>
      </c>
      <c r="I1013" s="1">
        <f t="shared" si="31"/>
        <v>128.97483846165809</v>
      </c>
    </row>
    <row r="1014" spans="1:9" x14ac:dyDescent="0.45">
      <c r="A1014" t="s">
        <v>67</v>
      </c>
      <c r="B1014" t="s">
        <v>21</v>
      </c>
      <c r="C1014" t="str">
        <f t="shared" si="30"/>
        <v>UNC WilmingtonDrake</v>
      </c>
      <c r="D1014" t="s">
        <v>21</v>
      </c>
      <c r="E1014">
        <v>16.2</v>
      </c>
      <c r="F1014">
        <v>10.784905660377399</v>
      </c>
      <c r="G1014">
        <v>518.15612658352302</v>
      </c>
      <c r="H1014">
        <v>139.19655748274201</v>
      </c>
      <c r="I1014" s="1">
        <f t="shared" si="31"/>
        <v>144.67546952779409</v>
      </c>
    </row>
    <row r="1015" spans="1:9" x14ac:dyDescent="0.45">
      <c r="A1015" t="s">
        <v>68</v>
      </c>
      <c r="B1015" t="s">
        <v>21</v>
      </c>
      <c r="C1015" t="str">
        <f t="shared" si="30"/>
        <v>Utah St.Drake</v>
      </c>
      <c r="D1015" t="s">
        <v>21</v>
      </c>
      <c r="E1015">
        <v>49.5</v>
      </c>
      <c r="F1015">
        <v>0.13962264150943399</v>
      </c>
      <c r="G1015">
        <v>102.160175818532</v>
      </c>
      <c r="H1015">
        <v>138.56792788656799</v>
      </c>
      <c r="I1015" s="1">
        <f t="shared" si="31"/>
        <v>135.82368242054798</v>
      </c>
    </row>
    <row r="1016" spans="1:9" x14ac:dyDescent="0.45">
      <c r="A1016" t="s">
        <v>69</v>
      </c>
      <c r="B1016" t="s">
        <v>21</v>
      </c>
      <c r="C1016" t="str">
        <f t="shared" si="30"/>
        <v>VanderbiltDrake</v>
      </c>
      <c r="D1016" t="s">
        <v>21</v>
      </c>
      <c r="E1016">
        <v>17.3</v>
      </c>
      <c r="F1016">
        <v>10.260377358490601</v>
      </c>
      <c r="G1016">
        <v>478.488628311767</v>
      </c>
      <c r="H1016">
        <v>137.14249837516701</v>
      </c>
      <c r="I1016" s="1">
        <f t="shared" si="31"/>
        <v>115.75208756071198</v>
      </c>
    </row>
    <row r="1017" spans="1:9" x14ac:dyDescent="0.45">
      <c r="A1017" t="s">
        <v>70</v>
      </c>
      <c r="B1017" t="s">
        <v>21</v>
      </c>
      <c r="C1017" t="str">
        <f t="shared" si="30"/>
        <v>VCUDrake</v>
      </c>
      <c r="D1017" t="s">
        <v>21</v>
      </c>
      <c r="E1017">
        <v>39.1</v>
      </c>
      <c r="F1017">
        <v>2.9169811320754699</v>
      </c>
      <c r="G1017">
        <v>156.00609224205601</v>
      </c>
      <c r="H1017">
        <v>138.987409537042</v>
      </c>
      <c r="I1017" s="1">
        <f t="shared" si="31"/>
        <v>141.73043941702301</v>
      </c>
    </row>
    <row r="1018" spans="1:9" x14ac:dyDescent="0.45">
      <c r="A1018" t="s">
        <v>71</v>
      </c>
      <c r="B1018" t="s">
        <v>21</v>
      </c>
      <c r="C1018" t="str">
        <f t="shared" si="30"/>
        <v>WisconsinDrake</v>
      </c>
      <c r="D1018" t="s">
        <v>71</v>
      </c>
      <c r="E1018">
        <v>88.8</v>
      </c>
      <c r="F1018">
        <v>-13.547169811320799</v>
      </c>
      <c r="G1018">
        <v>-789.76752444278702</v>
      </c>
      <c r="H1018">
        <v>139.78808839230899</v>
      </c>
      <c r="I1018" s="1">
        <f t="shared" si="31"/>
        <v>153.00486685606288</v>
      </c>
    </row>
    <row r="1019" spans="1:9" x14ac:dyDescent="0.45">
      <c r="A1019" t="s">
        <v>80</v>
      </c>
      <c r="B1019" t="s">
        <v>21</v>
      </c>
      <c r="C1019" t="str">
        <f t="shared" si="30"/>
        <v>WoffordDrake</v>
      </c>
      <c r="D1019" t="s">
        <v>21</v>
      </c>
      <c r="E1019">
        <v>6.2</v>
      </c>
      <c r="F1019">
        <v>17.8377358490566</v>
      </c>
      <c r="G1019">
        <v>1519.76280399694</v>
      </c>
      <c r="H1019">
        <v>137.81754413140399</v>
      </c>
      <c r="I1019" s="1">
        <f t="shared" si="31"/>
        <v>125.25746458754477</v>
      </c>
    </row>
    <row r="1020" spans="1:9" x14ac:dyDescent="0.45">
      <c r="A1020" t="s">
        <v>72</v>
      </c>
      <c r="B1020" t="s">
        <v>21</v>
      </c>
      <c r="C1020" t="str">
        <f t="shared" si="30"/>
        <v>XavierDrake</v>
      </c>
      <c r="D1020" t="s">
        <v>21</v>
      </c>
      <c r="E1020">
        <v>38.799999999999997</v>
      </c>
      <c r="F1020">
        <v>2.9924528301886801</v>
      </c>
      <c r="G1020">
        <v>157.832438725754</v>
      </c>
      <c r="H1020">
        <v>138.39345770155501</v>
      </c>
      <c r="I1020" s="1">
        <f t="shared" si="31"/>
        <v>133.36695282382502</v>
      </c>
    </row>
    <row r="1021" spans="1:9" x14ac:dyDescent="0.45">
      <c r="A1021" t="s">
        <v>73</v>
      </c>
      <c r="B1021" t="s">
        <v>21</v>
      </c>
      <c r="C1021" t="str">
        <f t="shared" si="30"/>
        <v>YaleDrake</v>
      </c>
      <c r="D1021" t="s">
        <v>21</v>
      </c>
      <c r="E1021">
        <v>26.1</v>
      </c>
      <c r="F1021">
        <v>6.8150943396226404</v>
      </c>
      <c r="G1021">
        <v>282.81852122746</v>
      </c>
      <c r="H1021">
        <v>139.19269233561801</v>
      </c>
      <c r="I1021" s="1">
        <f t="shared" si="31"/>
        <v>144.62104406057446</v>
      </c>
    </row>
    <row r="1022" spans="1:9" x14ac:dyDescent="0.45">
      <c r="A1022" t="s">
        <v>7</v>
      </c>
      <c r="B1022" t="s">
        <v>22</v>
      </c>
      <c r="C1022" t="str">
        <f t="shared" si="30"/>
        <v>AkronDuke</v>
      </c>
      <c r="D1022" t="s">
        <v>22</v>
      </c>
      <c r="E1022">
        <v>0.3</v>
      </c>
      <c r="F1022">
        <v>37.422641509434001</v>
      </c>
      <c r="G1022">
        <v>30142.833280179399</v>
      </c>
      <c r="H1022">
        <v>135.68783732960699</v>
      </c>
      <c r="I1022" s="1">
        <f t="shared" si="31"/>
        <v>95.268880968356854</v>
      </c>
    </row>
    <row r="1023" spans="1:9" x14ac:dyDescent="0.45">
      <c r="A1023" t="s">
        <v>8</v>
      </c>
      <c r="B1023" t="s">
        <v>22</v>
      </c>
      <c r="C1023" t="str">
        <f t="shared" si="30"/>
        <v>AlabamaDuke</v>
      </c>
      <c r="D1023" t="s">
        <v>22</v>
      </c>
      <c r="E1023">
        <v>19.600000000000001</v>
      </c>
      <c r="F1023">
        <v>9.2490566037735906</v>
      </c>
      <c r="G1023">
        <v>409.88346467243002</v>
      </c>
      <c r="H1023">
        <v>137.43593334174699</v>
      </c>
      <c r="I1023" s="1">
        <f t="shared" si="31"/>
        <v>119.88397042113782</v>
      </c>
    </row>
    <row r="1024" spans="1:9" x14ac:dyDescent="0.45">
      <c r="A1024" t="s">
        <v>9</v>
      </c>
      <c r="B1024" t="s">
        <v>22</v>
      </c>
      <c r="C1024" t="str">
        <f t="shared" si="30"/>
        <v>Alabama St.Duke</v>
      </c>
      <c r="D1024" t="s">
        <v>22</v>
      </c>
      <c r="E1024">
        <v>0.1</v>
      </c>
      <c r="F1024">
        <v>49.562264150943399</v>
      </c>
      <c r="G1024">
        <v>192064.809041125</v>
      </c>
      <c r="H1024">
        <v>135.91467818542</v>
      </c>
      <c r="I1024" s="1">
        <f t="shared" si="31"/>
        <v>98.463046459614446</v>
      </c>
    </row>
    <row r="1025" spans="1:9" x14ac:dyDescent="0.45">
      <c r="A1025" t="s">
        <v>10</v>
      </c>
      <c r="B1025" t="s">
        <v>22</v>
      </c>
      <c r="C1025" t="str">
        <f t="shared" si="30"/>
        <v>AmericanDuke</v>
      </c>
      <c r="D1025" t="s">
        <v>22</v>
      </c>
      <c r="E1025">
        <v>0.1</v>
      </c>
      <c r="F1025">
        <v>48.298113207547203</v>
      </c>
      <c r="G1025">
        <v>158398.176944181</v>
      </c>
      <c r="H1025">
        <v>136.00576406702399</v>
      </c>
      <c r="I1025" s="1">
        <f t="shared" si="31"/>
        <v>99.745634548596371</v>
      </c>
    </row>
    <row r="1026" spans="1:9" x14ac:dyDescent="0.45">
      <c r="A1026" t="s">
        <v>11</v>
      </c>
      <c r="B1026" t="s">
        <v>22</v>
      </c>
      <c r="C1026" t="str">
        <f t="shared" si="30"/>
        <v>ArizonaDuke</v>
      </c>
      <c r="D1026" t="s">
        <v>22</v>
      </c>
      <c r="E1026">
        <v>14.8</v>
      </c>
      <c r="F1026">
        <v>11.486792452830199</v>
      </c>
      <c r="G1026">
        <v>576.89743497485404</v>
      </c>
      <c r="H1026">
        <v>137.198292160737</v>
      </c>
      <c r="I1026" s="1">
        <f t="shared" si="31"/>
        <v>116.53772462708416</v>
      </c>
    </row>
    <row r="1027" spans="1:9" x14ac:dyDescent="0.45">
      <c r="A1027" t="s">
        <v>12</v>
      </c>
      <c r="B1027" t="s">
        <v>22</v>
      </c>
      <c r="C1027" t="str">
        <f t="shared" ref="C1027:C1090" si="32">A1027&amp;B1027</f>
        <v>ArkansasDuke</v>
      </c>
      <c r="D1027" t="s">
        <v>22</v>
      </c>
      <c r="E1027">
        <v>1</v>
      </c>
      <c r="F1027">
        <v>29.8792452830189</v>
      </c>
      <c r="G1027">
        <v>9540.8429844551902</v>
      </c>
      <c r="H1027">
        <v>135.315895994595</v>
      </c>
      <c r="I1027" s="1">
        <f t="shared" ref="I1027:I1090" si="33">18*(H1027-AVERAGE($H$2:$H$4625))/_xlfn.STDEV.P($H$2:$H$4625)+AVERAGE($H$2:$H$4625)</f>
        <v>90.031543219785931</v>
      </c>
    </row>
    <row r="1028" spans="1:9" x14ac:dyDescent="0.45">
      <c r="A1028" t="s">
        <v>13</v>
      </c>
      <c r="B1028" t="s">
        <v>22</v>
      </c>
      <c r="C1028" t="str">
        <f t="shared" si="32"/>
        <v>AuburnDuke</v>
      </c>
      <c r="D1028" t="s">
        <v>22</v>
      </c>
      <c r="E1028">
        <v>32.299999999999997</v>
      </c>
      <c r="F1028">
        <v>4.8377358490565996</v>
      </c>
      <c r="G1028">
        <v>209.15058213765701</v>
      </c>
      <c r="H1028">
        <v>138.45461539985601</v>
      </c>
      <c r="I1028" s="1">
        <f t="shared" si="33"/>
        <v>134.22811960411099</v>
      </c>
    </row>
    <row r="1029" spans="1:9" x14ac:dyDescent="0.45">
      <c r="A1029" t="s">
        <v>14</v>
      </c>
      <c r="B1029" t="s">
        <v>22</v>
      </c>
      <c r="C1029" t="str">
        <f t="shared" si="32"/>
        <v>BaylorDuke</v>
      </c>
      <c r="D1029" t="s">
        <v>22</v>
      </c>
      <c r="E1029">
        <v>4.8</v>
      </c>
      <c r="F1029">
        <v>19.569811320754699</v>
      </c>
      <c r="G1029">
        <v>1979.00447613543</v>
      </c>
      <c r="H1029">
        <v>136.98961341258101</v>
      </c>
      <c r="I1029" s="1">
        <f t="shared" si="33"/>
        <v>113.59930132705853</v>
      </c>
    </row>
    <row r="1030" spans="1:9" x14ac:dyDescent="0.45">
      <c r="A1030" t="s">
        <v>15</v>
      </c>
      <c r="B1030" t="s">
        <v>22</v>
      </c>
      <c r="C1030" t="str">
        <f t="shared" si="32"/>
        <v>BryantDuke</v>
      </c>
      <c r="D1030" t="s">
        <v>22</v>
      </c>
      <c r="E1030">
        <v>0.2</v>
      </c>
      <c r="F1030">
        <v>39.856603773584901</v>
      </c>
      <c r="G1030">
        <v>43690.490590276</v>
      </c>
      <c r="H1030">
        <v>136.53861116247501</v>
      </c>
      <c r="I1030" s="1">
        <f t="shared" si="33"/>
        <v>107.24870007136752</v>
      </c>
    </row>
    <row r="1031" spans="1:9" x14ac:dyDescent="0.45">
      <c r="A1031" t="s">
        <v>16</v>
      </c>
      <c r="B1031" t="s">
        <v>22</v>
      </c>
      <c r="C1031" t="str">
        <f t="shared" si="32"/>
        <v>BYUDuke</v>
      </c>
      <c r="D1031" t="s">
        <v>22</v>
      </c>
      <c r="E1031">
        <v>5.8</v>
      </c>
      <c r="F1031">
        <v>18.275471698113201</v>
      </c>
      <c r="G1031">
        <v>1624.4643819246101</v>
      </c>
      <c r="H1031">
        <v>136.79913164069899</v>
      </c>
      <c r="I1031" s="1">
        <f t="shared" si="33"/>
        <v>110.91711120624231</v>
      </c>
    </row>
    <row r="1032" spans="1:9" x14ac:dyDescent="0.45">
      <c r="A1032" t="s">
        <v>17</v>
      </c>
      <c r="B1032" t="s">
        <v>22</v>
      </c>
      <c r="C1032" t="str">
        <f t="shared" si="32"/>
        <v>ClemsonDuke</v>
      </c>
      <c r="D1032" t="s">
        <v>22</v>
      </c>
      <c r="E1032">
        <v>7.3</v>
      </c>
      <c r="F1032">
        <v>16.649056603773602</v>
      </c>
      <c r="G1032">
        <v>1267.8231201986</v>
      </c>
      <c r="H1032">
        <v>137.02104349698999</v>
      </c>
      <c r="I1032" s="1">
        <f t="shared" si="33"/>
        <v>114.04187103367805</v>
      </c>
    </row>
    <row r="1033" spans="1:9" x14ac:dyDescent="0.45">
      <c r="A1033" t="s">
        <v>18</v>
      </c>
      <c r="B1033" t="s">
        <v>22</v>
      </c>
      <c r="C1033" t="str">
        <f t="shared" si="32"/>
        <v>Colorado St.Duke</v>
      </c>
      <c r="D1033" t="s">
        <v>22</v>
      </c>
      <c r="E1033">
        <v>1.3</v>
      </c>
      <c r="F1033">
        <v>28.4905660377358</v>
      </c>
      <c r="G1033">
        <v>7716.14175136431</v>
      </c>
      <c r="H1033">
        <v>136.32843534509601</v>
      </c>
      <c r="I1033" s="1">
        <f t="shared" si="33"/>
        <v>104.28919641157597</v>
      </c>
    </row>
    <row r="1034" spans="1:9" x14ac:dyDescent="0.45">
      <c r="A1034" t="s">
        <v>19</v>
      </c>
      <c r="B1034" t="s">
        <v>22</v>
      </c>
      <c r="C1034" t="str">
        <f t="shared" si="32"/>
        <v>ConnecticutDuke</v>
      </c>
      <c r="D1034" t="s">
        <v>22</v>
      </c>
      <c r="E1034">
        <v>11.8</v>
      </c>
      <c r="F1034">
        <v>13.1849056603774</v>
      </c>
      <c r="G1034">
        <v>747.48616078433895</v>
      </c>
      <c r="H1034">
        <v>136.96398724743099</v>
      </c>
      <c r="I1034" s="1">
        <f t="shared" si="33"/>
        <v>113.23845710390448</v>
      </c>
    </row>
    <row r="1035" spans="1:9" x14ac:dyDescent="0.45">
      <c r="A1035" t="s">
        <v>20</v>
      </c>
      <c r="B1035" t="s">
        <v>22</v>
      </c>
      <c r="C1035" t="str">
        <f t="shared" si="32"/>
        <v>CreightonDuke</v>
      </c>
      <c r="D1035" t="s">
        <v>22</v>
      </c>
      <c r="E1035">
        <v>4</v>
      </c>
      <c r="F1035">
        <v>20.8792452830189</v>
      </c>
      <c r="G1035">
        <v>2416.47988036999</v>
      </c>
      <c r="H1035">
        <v>136.436929609695</v>
      </c>
      <c r="I1035" s="1">
        <f t="shared" si="33"/>
        <v>105.81691343036172</v>
      </c>
    </row>
    <row r="1036" spans="1:9" x14ac:dyDescent="0.45">
      <c r="A1036" t="s">
        <v>21</v>
      </c>
      <c r="B1036" t="s">
        <v>22</v>
      </c>
      <c r="C1036" t="str">
        <f t="shared" si="32"/>
        <v>DrakeDuke</v>
      </c>
      <c r="D1036" t="s">
        <v>22</v>
      </c>
      <c r="E1036">
        <v>1.3</v>
      </c>
      <c r="F1036">
        <v>28.5396226415094</v>
      </c>
      <c r="G1036">
        <v>7776.0329986985498</v>
      </c>
      <c r="H1036">
        <v>136.49039471384901</v>
      </c>
      <c r="I1036" s="1">
        <f t="shared" si="33"/>
        <v>106.56976013455518</v>
      </c>
    </row>
    <row r="1037" spans="1:9" x14ac:dyDescent="0.45">
      <c r="A1037" t="s">
        <v>22</v>
      </c>
      <c r="B1037" t="s">
        <v>22</v>
      </c>
      <c r="C1037" t="str">
        <f t="shared" si="32"/>
        <v>DukeDuke</v>
      </c>
      <c r="D1037" t="s">
        <v>22</v>
      </c>
      <c r="E1037">
        <v>41.2</v>
      </c>
      <c r="F1037">
        <v>2.3283018867924499</v>
      </c>
      <c r="G1037">
        <v>142.64273539779199</v>
      </c>
      <c r="H1037">
        <v>138.77771517530499</v>
      </c>
      <c r="I1037" s="1">
        <f t="shared" si="33"/>
        <v>138.77771517530277</v>
      </c>
    </row>
    <row r="1038" spans="1:9" x14ac:dyDescent="0.45">
      <c r="A1038" t="s">
        <v>23</v>
      </c>
      <c r="B1038" t="s">
        <v>22</v>
      </c>
      <c r="C1038" t="str">
        <f t="shared" si="32"/>
        <v>FloridaDuke</v>
      </c>
      <c r="D1038" t="s">
        <v>22</v>
      </c>
      <c r="E1038">
        <v>27.9</v>
      </c>
      <c r="F1038">
        <v>6.2264150943396199</v>
      </c>
      <c r="G1038">
        <v>258.58080552541401</v>
      </c>
      <c r="H1038">
        <v>138.50147145124799</v>
      </c>
      <c r="I1038" s="1">
        <f t="shared" si="33"/>
        <v>134.88790367112335</v>
      </c>
    </row>
    <row r="1039" spans="1:9" x14ac:dyDescent="0.45">
      <c r="A1039" t="s">
        <v>24</v>
      </c>
      <c r="B1039" t="s">
        <v>22</v>
      </c>
      <c r="C1039" t="str">
        <f t="shared" si="32"/>
        <v>GeorgiaDuke</v>
      </c>
      <c r="D1039" t="s">
        <v>22</v>
      </c>
      <c r="E1039">
        <v>1.4</v>
      </c>
      <c r="F1039">
        <v>27.735849056603801</v>
      </c>
      <c r="G1039">
        <v>6877.5066041069504</v>
      </c>
      <c r="H1039">
        <v>135.643284975592</v>
      </c>
      <c r="I1039" s="1">
        <f t="shared" si="33"/>
        <v>94.641535461133486</v>
      </c>
    </row>
    <row r="1040" spans="1:9" x14ac:dyDescent="0.45">
      <c r="A1040" t="s">
        <v>25</v>
      </c>
      <c r="B1040" t="s">
        <v>22</v>
      </c>
      <c r="C1040" t="str">
        <f t="shared" si="32"/>
        <v>GonzagaDuke</v>
      </c>
      <c r="D1040" t="s">
        <v>22</v>
      </c>
      <c r="E1040">
        <v>7.6</v>
      </c>
      <c r="F1040">
        <v>16.407547169811298</v>
      </c>
      <c r="G1040">
        <v>1221.8271151700001</v>
      </c>
      <c r="H1040">
        <v>137.780926095121</v>
      </c>
      <c r="I1040" s="1">
        <f t="shared" si="33"/>
        <v>124.74184288688801</v>
      </c>
    </row>
    <row r="1041" spans="1:9" x14ac:dyDescent="0.45">
      <c r="A1041" t="s">
        <v>26</v>
      </c>
      <c r="B1041" t="s">
        <v>22</v>
      </c>
      <c r="C1041" t="str">
        <f t="shared" si="32"/>
        <v>Grand CanyonDuke</v>
      </c>
      <c r="D1041" t="s">
        <v>22</v>
      </c>
      <c r="E1041">
        <v>0.8</v>
      </c>
      <c r="F1041">
        <v>31.656603773584902</v>
      </c>
      <c r="G1041">
        <v>12511.009543304201</v>
      </c>
      <c r="H1041">
        <v>136.432894341425</v>
      </c>
      <c r="I1041" s="1">
        <f t="shared" si="33"/>
        <v>105.76009247273568</v>
      </c>
    </row>
    <row r="1042" spans="1:9" x14ac:dyDescent="0.45">
      <c r="A1042" t="s">
        <v>27</v>
      </c>
      <c r="B1042" t="s">
        <v>22</v>
      </c>
      <c r="C1042" t="str">
        <f t="shared" si="32"/>
        <v>High PointDuke</v>
      </c>
      <c r="D1042" t="s">
        <v>22</v>
      </c>
      <c r="E1042">
        <v>0.5</v>
      </c>
      <c r="F1042">
        <v>34.430188679245298</v>
      </c>
      <c r="G1042">
        <v>19097.144054526801</v>
      </c>
      <c r="H1042">
        <v>136.713786089081</v>
      </c>
      <c r="I1042" s="1">
        <f t="shared" si="33"/>
        <v>109.71535319473469</v>
      </c>
    </row>
    <row r="1043" spans="1:9" x14ac:dyDescent="0.45">
      <c r="A1043" t="s">
        <v>28</v>
      </c>
      <c r="B1043" t="s">
        <v>22</v>
      </c>
      <c r="C1043" t="str">
        <f t="shared" si="32"/>
        <v>HoustonDuke</v>
      </c>
      <c r="D1043" t="s">
        <v>28</v>
      </c>
      <c r="E1043">
        <v>54.5</v>
      </c>
      <c r="F1043">
        <v>-1.18490566037736</v>
      </c>
      <c r="G1043">
        <v>-119.822282336033</v>
      </c>
      <c r="H1043">
        <v>138.92137952493499</v>
      </c>
      <c r="I1043" s="1">
        <f t="shared" si="33"/>
        <v>140.80066516933024</v>
      </c>
    </row>
    <row r="1044" spans="1:9" x14ac:dyDescent="0.45">
      <c r="A1044" t="s">
        <v>29</v>
      </c>
      <c r="B1044" t="s">
        <v>22</v>
      </c>
      <c r="C1044" t="str">
        <f t="shared" si="32"/>
        <v>IllinoisDuke</v>
      </c>
      <c r="D1044" t="s">
        <v>22</v>
      </c>
      <c r="E1044">
        <v>10.7</v>
      </c>
      <c r="F1044">
        <v>13.9245283018868</v>
      </c>
      <c r="G1044">
        <v>836.69092890494801</v>
      </c>
      <c r="H1044">
        <v>136.97162467887199</v>
      </c>
      <c r="I1044" s="1">
        <f t="shared" si="33"/>
        <v>113.34600042921616</v>
      </c>
    </row>
    <row r="1045" spans="1:9" x14ac:dyDescent="0.45">
      <c r="A1045" t="s">
        <v>30</v>
      </c>
      <c r="B1045" t="s">
        <v>22</v>
      </c>
      <c r="C1045" t="str">
        <f t="shared" si="32"/>
        <v>Iowa St.Duke</v>
      </c>
      <c r="D1045" t="s">
        <v>22</v>
      </c>
      <c r="E1045">
        <v>20.100000000000001</v>
      </c>
      <c r="F1045">
        <v>9.0415094339622595</v>
      </c>
      <c r="G1045">
        <v>397.21412297288498</v>
      </c>
      <c r="H1045">
        <v>137.89789325723001</v>
      </c>
      <c r="I1045" s="1">
        <f t="shared" si="33"/>
        <v>126.38886750015652</v>
      </c>
    </row>
    <row r="1046" spans="1:9" x14ac:dyDescent="0.45">
      <c r="A1046" t="s">
        <v>31</v>
      </c>
      <c r="B1046" t="s">
        <v>22</v>
      </c>
      <c r="C1046" t="str">
        <f t="shared" si="32"/>
        <v>KansasDuke</v>
      </c>
      <c r="D1046" t="s">
        <v>22</v>
      </c>
      <c r="E1046">
        <v>6.8</v>
      </c>
      <c r="F1046">
        <v>17.143396226415099</v>
      </c>
      <c r="G1046">
        <v>1367.2129652210001</v>
      </c>
      <c r="H1046">
        <v>136.853283541542</v>
      </c>
      <c r="I1046" s="1">
        <f t="shared" si="33"/>
        <v>111.67962875335176</v>
      </c>
    </row>
    <row r="1047" spans="1:9" x14ac:dyDescent="0.45">
      <c r="A1047" t="s">
        <v>32</v>
      </c>
      <c r="B1047" t="s">
        <v>22</v>
      </c>
      <c r="C1047" t="str">
        <f t="shared" si="32"/>
        <v>KentuckyDuke</v>
      </c>
      <c r="D1047" t="s">
        <v>22</v>
      </c>
      <c r="E1047">
        <v>11</v>
      </c>
      <c r="F1047">
        <v>13.7169811320755</v>
      </c>
      <c r="G1047">
        <v>810.45107769349704</v>
      </c>
      <c r="H1047">
        <v>136.80032114193401</v>
      </c>
      <c r="I1047" s="1">
        <f t="shared" si="33"/>
        <v>110.93386067486465</v>
      </c>
    </row>
    <row r="1048" spans="1:9" x14ac:dyDescent="0.45">
      <c r="A1048" t="s">
        <v>33</v>
      </c>
      <c r="B1048" t="s">
        <v>22</v>
      </c>
      <c r="C1048" t="str">
        <f t="shared" si="32"/>
        <v>LibertyDuke</v>
      </c>
      <c r="D1048" t="s">
        <v>22</v>
      </c>
      <c r="E1048">
        <v>0.3</v>
      </c>
      <c r="F1048">
        <v>37.207547169811299</v>
      </c>
      <c r="G1048">
        <v>29166.6723106102</v>
      </c>
      <c r="H1048">
        <v>136.009257390333</v>
      </c>
      <c r="I1048" s="1">
        <f t="shared" si="33"/>
        <v>99.794824332876956</v>
      </c>
    </row>
    <row r="1049" spans="1:9" x14ac:dyDescent="0.45">
      <c r="A1049" t="s">
        <v>34</v>
      </c>
      <c r="B1049" t="s">
        <v>22</v>
      </c>
      <c r="C1049" t="str">
        <f t="shared" si="32"/>
        <v>LipscombDuke</v>
      </c>
      <c r="D1049" t="s">
        <v>22</v>
      </c>
      <c r="E1049">
        <v>0.3</v>
      </c>
      <c r="F1049">
        <v>38.947169811320698</v>
      </c>
      <c r="G1049">
        <v>38046.677019236799</v>
      </c>
      <c r="H1049">
        <v>136.44117762158999</v>
      </c>
      <c r="I1049" s="1">
        <f t="shared" si="33"/>
        <v>105.87673004916607</v>
      </c>
    </row>
    <row r="1050" spans="1:9" x14ac:dyDescent="0.45">
      <c r="A1050" t="s">
        <v>35</v>
      </c>
      <c r="B1050" t="s">
        <v>22</v>
      </c>
      <c r="C1050" t="str">
        <f t="shared" si="32"/>
        <v>LouisvilleDuke</v>
      </c>
      <c r="D1050" t="s">
        <v>22</v>
      </c>
      <c r="E1050">
        <v>0.7</v>
      </c>
      <c r="F1050">
        <v>32.841509433962301</v>
      </c>
      <c r="G1050">
        <v>14986.611879353401</v>
      </c>
      <c r="H1050">
        <v>135.726900933558</v>
      </c>
      <c r="I1050" s="1">
        <f t="shared" si="33"/>
        <v>95.818938916504052</v>
      </c>
    </row>
    <row r="1051" spans="1:9" x14ac:dyDescent="0.45">
      <c r="A1051" t="s">
        <v>36</v>
      </c>
      <c r="B1051" t="s">
        <v>22</v>
      </c>
      <c r="C1051" t="str">
        <f t="shared" si="32"/>
        <v>MarquetteDuke</v>
      </c>
      <c r="D1051" t="s">
        <v>22</v>
      </c>
      <c r="E1051">
        <v>8.6</v>
      </c>
      <c r="F1051">
        <v>15.494339622641499</v>
      </c>
      <c r="G1051">
        <v>1063.1585937013001</v>
      </c>
      <c r="H1051">
        <v>137.05865756846401</v>
      </c>
      <c r="I1051" s="1">
        <f t="shared" si="33"/>
        <v>114.57151799104565</v>
      </c>
    </row>
    <row r="1052" spans="1:9" x14ac:dyDescent="0.45">
      <c r="A1052" t="s">
        <v>37</v>
      </c>
      <c r="B1052" t="s">
        <v>22</v>
      </c>
      <c r="C1052" t="str">
        <f t="shared" si="32"/>
        <v>MarylandDuke</v>
      </c>
      <c r="D1052" t="s">
        <v>22</v>
      </c>
      <c r="E1052">
        <v>6</v>
      </c>
      <c r="F1052">
        <v>18.0415094339623</v>
      </c>
      <c r="G1052">
        <v>1567.26491719348</v>
      </c>
      <c r="H1052">
        <v>136.66859688014199</v>
      </c>
      <c r="I1052" s="1">
        <f t="shared" si="33"/>
        <v>109.07904007885934</v>
      </c>
    </row>
    <row r="1053" spans="1:9" x14ac:dyDescent="0.45">
      <c r="A1053" t="s">
        <v>38</v>
      </c>
      <c r="B1053" t="s">
        <v>22</v>
      </c>
      <c r="C1053" t="str">
        <f t="shared" si="32"/>
        <v>McNeese St.Duke</v>
      </c>
      <c r="D1053" t="s">
        <v>22</v>
      </c>
      <c r="E1053">
        <v>1.1000000000000001</v>
      </c>
      <c r="F1053">
        <v>29.3471698113208</v>
      </c>
      <c r="G1053">
        <v>8796.1286712617493</v>
      </c>
      <c r="H1053">
        <v>136.504008494343</v>
      </c>
      <c r="I1053" s="1">
        <f t="shared" si="33"/>
        <v>106.76145694200896</v>
      </c>
    </row>
    <row r="1054" spans="1:9" x14ac:dyDescent="0.45">
      <c r="A1054" t="s">
        <v>39</v>
      </c>
      <c r="B1054" t="s">
        <v>22</v>
      </c>
      <c r="C1054" t="str">
        <f t="shared" si="32"/>
        <v>MemphisDuke</v>
      </c>
      <c r="D1054" t="s">
        <v>22</v>
      </c>
      <c r="E1054">
        <v>3.2</v>
      </c>
      <c r="F1054">
        <v>22.4264150943396</v>
      </c>
      <c r="G1054">
        <v>3059.9118568345398</v>
      </c>
      <c r="H1054">
        <v>135.64623169316201</v>
      </c>
      <c r="I1054" s="1">
        <f t="shared" si="33"/>
        <v>94.683028443254727</v>
      </c>
    </row>
    <row r="1055" spans="1:9" x14ac:dyDescent="0.45">
      <c r="A1055" t="s">
        <v>40</v>
      </c>
      <c r="B1055" t="s">
        <v>22</v>
      </c>
      <c r="C1055" t="str">
        <f t="shared" si="32"/>
        <v>MichiganDuke</v>
      </c>
      <c r="D1055" t="s">
        <v>22</v>
      </c>
      <c r="E1055">
        <v>1.7</v>
      </c>
      <c r="F1055">
        <v>26.615094339622601</v>
      </c>
      <c r="G1055">
        <v>5796.6617111476899</v>
      </c>
      <c r="H1055">
        <v>135.30315277784501</v>
      </c>
      <c r="I1055" s="1">
        <f t="shared" si="33"/>
        <v>89.852104894866358</v>
      </c>
    </row>
    <row r="1056" spans="1:9" x14ac:dyDescent="0.45">
      <c r="A1056" t="s">
        <v>41</v>
      </c>
      <c r="B1056" t="s">
        <v>22</v>
      </c>
      <c r="C1056" t="str">
        <f t="shared" si="32"/>
        <v>Michigan St.Duke</v>
      </c>
      <c r="D1056" t="s">
        <v>22</v>
      </c>
      <c r="E1056">
        <v>14.2</v>
      </c>
      <c r="F1056">
        <v>11.788679245282999</v>
      </c>
      <c r="G1056">
        <v>604.09344161923002</v>
      </c>
      <c r="H1056">
        <v>137.00204473867399</v>
      </c>
      <c r="I1056" s="1">
        <f t="shared" si="33"/>
        <v>113.77434789296242</v>
      </c>
    </row>
    <row r="1057" spans="1:9" x14ac:dyDescent="0.45">
      <c r="A1057" t="s">
        <v>42</v>
      </c>
      <c r="B1057" t="s">
        <v>22</v>
      </c>
      <c r="C1057" t="str">
        <f t="shared" si="32"/>
        <v>MississippiDuke</v>
      </c>
      <c r="D1057" t="s">
        <v>22</v>
      </c>
      <c r="E1057">
        <v>4.0999999999999996</v>
      </c>
      <c r="F1057">
        <v>20.7018867924528</v>
      </c>
      <c r="G1057">
        <v>2351.9225230551501</v>
      </c>
      <c r="H1057">
        <v>136.132965843769</v>
      </c>
      <c r="I1057" s="1">
        <f t="shared" si="33"/>
        <v>101.53677364586946</v>
      </c>
    </row>
    <row r="1058" spans="1:9" x14ac:dyDescent="0.45">
      <c r="A1058" t="s">
        <v>43</v>
      </c>
      <c r="B1058" t="s">
        <v>22</v>
      </c>
      <c r="C1058" t="str">
        <f t="shared" si="32"/>
        <v>Mississippi St.Duke</v>
      </c>
      <c r="D1058" t="s">
        <v>22</v>
      </c>
      <c r="E1058">
        <v>3.1</v>
      </c>
      <c r="F1058">
        <v>22.550943396226401</v>
      </c>
      <c r="G1058">
        <v>3118.2741400456798</v>
      </c>
      <c r="H1058">
        <v>136.257337197558</v>
      </c>
      <c r="I1058" s="1">
        <f t="shared" si="33"/>
        <v>103.28805731542718</v>
      </c>
    </row>
    <row r="1059" spans="1:9" x14ac:dyDescent="0.45">
      <c r="A1059" t="s">
        <v>44</v>
      </c>
      <c r="B1059" t="s">
        <v>22</v>
      </c>
      <c r="C1059" t="str">
        <f t="shared" si="32"/>
        <v>MissouriDuke</v>
      </c>
      <c r="D1059" t="s">
        <v>22</v>
      </c>
      <c r="E1059">
        <v>1.4</v>
      </c>
      <c r="F1059">
        <v>27.962264150943401</v>
      </c>
      <c r="G1059">
        <v>7120.5449782832802</v>
      </c>
      <c r="H1059">
        <v>135.52180913373201</v>
      </c>
      <c r="I1059" s="1">
        <f t="shared" si="33"/>
        <v>92.931023742686705</v>
      </c>
    </row>
    <row r="1060" spans="1:9" x14ac:dyDescent="0.45">
      <c r="A1060" t="s">
        <v>45</v>
      </c>
      <c r="B1060" t="s">
        <v>22</v>
      </c>
      <c r="C1060" t="str">
        <f t="shared" si="32"/>
        <v>MontanaDuke</v>
      </c>
      <c r="D1060" t="s">
        <v>22</v>
      </c>
      <c r="E1060">
        <v>0.1</v>
      </c>
      <c r="F1060">
        <v>43.218867924528297</v>
      </c>
      <c r="G1060">
        <v>72997.049423174598</v>
      </c>
      <c r="H1060">
        <v>134.83054385875101</v>
      </c>
      <c r="I1060" s="1">
        <f t="shared" si="33"/>
        <v>83.19725828524588</v>
      </c>
    </row>
    <row r="1061" spans="1:9" x14ac:dyDescent="0.45">
      <c r="A1061" t="s">
        <v>46</v>
      </c>
      <c r="B1061" t="s">
        <v>22</v>
      </c>
      <c r="C1061" t="str">
        <f t="shared" si="32"/>
        <v>Mount St. Mary'sDuke</v>
      </c>
      <c r="D1061" t="s">
        <v>22</v>
      </c>
      <c r="E1061">
        <v>0.1</v>
      </c>
      <c r="F1061">
        <v>49.335849056603799</v>
      </c>
      <c r="G1061">
        <v>185569.24550533501</v>
      </c>
      <c r="H1061">
        <v>136.17841808069801</v>
      </c>
      <c r="I1061" s="1">
        <f t="shared" si="33"/>
        <v>102.17679048136749</v>
      </c>
    </row>
    <row r="1062" spans="1:9" x14ac:dyDescent="0.45">
      <c r="A1062" t="s">
        <v>47</v>
      </c>
      <c r="B1062" t="s">
        <v>22</v>
      </c>
      <c r="C1062" t="str">
        <f t="shared" si="32"/>
        <v>Nebraska OmahaDuke</v>
      </c>
      <c r="D1062" t="s">
        <v>22</v>
      </c>
      <c r="E1062">
        <v>0.1</v>
      </c>
      <c r="F1062">
        <v>47.618867924528303</v>
      </c>
      <c r="G1062">
        <v>142835.328658029</v>
      </c>
      <c r="H1062">
        <v>135.46241926059699</v>
      </c>
      <c r="I1062" s="1">
        <f t="shared" si="33"/>
        <v>92.094749859756121</v>
      </c>
    </row>
    <row r="1063" spans="1:9" x14ac:dyDescent="0.45">
      <c r="A1063" t="s">
        <v>48</v>
      </c>
      <c r="B1063" t="s">
        <v>22</v>
      </c>
      <c r="C1063" t="str">
        <f t="shared" si="32"/>
        <v>New MexicoDuke</v>
      </c>
      <c r="D1063" t="s">
        <v>22</v>
      </c>
      <c r="E1063">
        <v>1.8</v>
      </c>
      <c r="F1063">
        <v>26.373584905660401</v>
      </c>
      <c r="G1063">
        <v>5587.2758248479704</v>
      </c>
      <c r="H1063">
        <v>136.340163607873</v>
      </c>
      <c r="I1063" s="1">
        <f t="shared" si="33"/>
        <v>104.45434308279786</v>
      </c>
    </row>
    <row r="1064" spans="1:9" x14ac:dyDescent="0.45">
      <c r="A1064" t="s">
        <v>49</v>
      </c>
      <c r="B1064" t="s">
        <v>22</v>
      </c>
      <c r="C1064" t="str">
        <f t="shared" si="32"/>
        <v>Norfolk St.Duke</v>
      </c>
      <c r="D1064" t="s">
        <v>22</v>
      </c>
      <c r="E1064">
        <v>0.1</v>
      </c>
      <c r="F1064">
        <v>45.086792452830203</v>
      </c>
      <c r="G1064">
        <v>97062.841890655196</v>
      </c>
      <c r="H1064">
        <v>135.352527270075</v>
      </c>
      <c r="I1064" s="1">
        <f t="shared" si="33"/>
        <v>90.547351342708168</v>
      </c>
    </row>
    <row r="1065" spans="1:9" x14ac:dyDescent="0.45">
      <c r="A1065" t="s">
        <v>50</v>
      </c>
      <c r="B1065" t="s">
        <v>22</v>
      </c>
      <c r="C1065" t="str">
        <f t="shared" si="32"/>
        <v>North CarolinaDuke</v>
      </c>
      <c r="D1065" t="s">
        <v>22</v>
      </c>
      <c r="E1065">
        <v>5.8</v>
      </c>
      <c r="F1065">
        <v>18.332075471698101</v>
      </c>
      <c r="G1065">
        <v>1638.7287705614799</v>
      </c>
      <c r="H1065">
        <v>137.42445870203099</v>
      </c>
      <c r="I1065" s="1">
        <f t="shared" si="33"/>
        <v>119.72239503792876</v>
      </c>
    </row>
    <row r="1066" spans="1:9" x14ac:dyDescent="0.45">
      <c r="A1066" t="s">
        <v>51</v>
      </c>
      <c r="B1066" t="s">
        <v>22</v>
      </c>
      <c r="C1066" t="str">
        <f t="shared" si="32"/>
        <v>OklahomaDuke</v>
      </c>
      <c r="D1066" t="s">
        <v>22</v>
      </c>
      <c r="E1066">
        <v>2</v>
      </c>
      <c r="F1066">
        <v>25.6377358490566</v>
      </c>
      <c r="G1066">
        <v>4994.7712183634903</v>
      </c>
      <c r="H1066">
        <v>135.767061997535</v>
      </c>
      <c r="I1066" s="1">
        <f t="shared" si="33"/>
        <v>96.384450293137434</v>
      </c>
    </row>
    <row r="1067" spans="1:9" x14ac:dyDescent="0.45">
      <c r="A1067" t="s">
        <v>52</v>
      </c>
      <c r="B1067" t="s">
        <v>22</v>
      </c>
      <c r="C1067" t="str">
        <f t="shared" si="32"/>
        <v>OregonDuke</v>
      </c>
      <c r="D1067" t="s">
        <v>22</v>
      </c>
      <c r="E1067">
        <v>6.2</v>
      </c>
      <c r="F1067">
        <v>17.811320754716998</v>
      </c>
      <c r="G1067">
        <v>1513.8791018842201</v>
      </c>
      <c r="H1067">
        <v>136.361439785676</v>
      </c>
      <c r="I1067" s="1">
        <f t="shared" si="33"/>
        <v>104.75393476208615</v>
      </c>
    </row>
    <row r="1068" spans="1:9" x14ac:dyDescent="0.45">
      <c r="A1068" t="s">
        <v>53</v>
      </c>
      <c r="B1068" t="s">
        <v>22</v>
      </c>
      <c r="C1068" t="str">
        <f t="shared" si="32"/>
        <v>PurdueDuke</v>
      </c>
      <c r="D1068" t="s">
        <v>22</v>
      </c>
      <c r="E1068">
        <v>25.9</v>
      </c>
      <c r="F1068">
        <v>6.9018867924528298</v>
      </c>
      <c r="G1068">
        <v>286.60484214938498</v>
      </c>
      <c r="H1068">
        <v>137.709427114465</v>
      </c>
      <c r="I1068" s="1">
        <f t="shared" si="33"/>
        <v>123.73505962532353</v>
      </c>
    </row>
    <row r="1069" spans="1:9" x14ac:dyDescent="0.45">
      <c r="A1069" t="s">
        <v>54</v>
      </c>
      <c r="B1069" t="s">
        <v>22</v>
      </c>
      <c r="C1069" t="str">
        <f t="shared" si="32"/>
        <v>Robert MorrisDuke</v>
      </c>
      <c r="D1069" t="s">
        <v>22</v>
      </c>
      <c r="E1069">
        <v>0</v>
      </c>
      <c r="F1069">
        <v>50.845283018867903</v>
      </c>
      <c r="G1069">
        <v>233595.51760548199</v>
      </c>
      <c r="H1069">
        <v>134.768063963228</v>
      </c>
      <c r="I1069" s="1">
        <f t="shared" si="33"/>
        <v>82.31747353279593</v>
      </c>
    </row>
    <row r="1070" spans="1:9" x14ac:dyDescent="0.45">
      <c r="A1070" t="s">
        <v>55</v>
      </c>
      <c r="B1070" t="s">
        <v>22</v>
      </c>
      <c r="C1070" t="str">
        <f t="shared" si="32"/>
        <v>Saint FrancisDuke</v>
      </c>
      <c r="D1070" t="s">
        <v>22</v>
      </c>
      <c r="E1070">
        <v>0</v>
      </c>
      <c r="F1070">
        <v>53.569811320754702</v>
      </c>
      <c r="G1070">
        <v>354062.08737753797</v>
      </c>
      <c r="H1070">
        <v>135.82091949643501</v>
      </c>
      <c r="I1070" s="1">
        <f t="shared" si="33"/>
        <v>97.142822341308872</v>
      </c>
    </row>
    <row r="1071" spans="1:9" x14ac:dyDescent="0.45">
      <c r="A1071" t="s">
        <v>56</v>
      </c>
      <c r="B1071" t="s">
        <v>22</v>
      </c>
      <c r="C1071" t="str">
        <f t="shared" si="32"/>
        <v>Saint Mary'sDuke</v>
      </c>
      <c r="D1071" t="s">
        <v>22</v>
      </c>
      <c r="E1071">
        <v>5.3</v>
      </c>
      <c r="F1071">
        <v>18.856603773584901</v>
      </c>
      <c r="G1071">
        <v>1774.9893448391399</v>
      </c>
      <c r="H1071">
        <v>137.07217469752501</v>
      </c>
      <c r="I1071" s="1">
        <f t="shared" si="33"/>
        <v>114.7618538414055</v>
      </c>
    </row>
    <row r="1072" spans="1:9" x14ac:dyDescent="0.45">
      <c r="A1072" t="s">
        <v>57</v>
      </c>
      <c r="B1072" t="s">
        <v>22</v>
      </c>
      <c r="C1072" t="str">
        <f t="shared" si="32"/>
        <v>San Diego St.Duke</v>
      </c>
      <c r="D1072" t="s">
        <v>22</v>
      </c>
      <c r="E1072">
        <v>1.6</v>
      </c>
      <c r="F1072">
        <v>26.947169811320801</v>
      </c>
      <c r="G1072">
        <v>6100.0983403559703</v>
      </c>
      <c r="H1072">
        <v>136.21842957732301</v>
      </c>
      <c r="I1072" s="1">
        <f t="shared" si="33"/>
        <v>102.74019578732566</v>
      </c>
    </row>
    <row r="1073" spans="1:9" x14ac:dyDescent="0.45">
      <c r="A1073" t="s">
        <v>58</v>
      </c>
      <c r="B1073" t="s">
        <v>22</v>
      </c>
      <c r="C1073" t="str">
        <f t="shared" si="32"/>
        <v>SIU EdwardsvilleDuke</v>
      </c>
      <c r="D1073" t="s">
        <v>22</v>
      </c>
      <c r="E1073">
        <v>0.1</v>
      </c>
      <c r="F1073">
        <v>46.547169811320799</v>
      </c>
      <c r="G1073">
        <v>121258.950551106</v>
      </c>
      <c r="H1073">
        <v>136.36611734417099</v>
      </c>
      <c r="I1073" s="1">
        <f t="shared" si="33"/>
        <v>104.81979986330209</v>
      </c>
    </row>
    <row r="1074" spans="1:9" x14ac:dyDescent="0.45">
      <c r="A1074" t="s">
        <v>59</v>
      </c>
      <c r="B1074" t="s">
        <v>22</v>
      </c>
      <c r="C1074" t="str">
        <f t="shared" si="32"/>
        <v>St. John'sDuke</v>
      </c>
      <c r="D1074" t="s">
        <v>22</v>
      </c>
      <c r="E1074">
        <v>15</v>
      </c>
      <c r="F1074">
        <v>11.388679245283001</v>
      </c>
      <c r="G1074">
        <v>568.20663100698096</v>
      </c>
      <c r="H1074">
        <v>137.34380011671601</v>
      </c>
      <c r="I1074" s="1">
        <f t="shared" si="33"/>
        <v>118.58663459978644</v>
      </c>
    </row>
    <row r="1075" spans="1:9" x14ac:dyDescent="0.45">
      <c r="A1075" t="s">
        <v>60</v>
      </c>
      <c r="B1075" t="s">
        <v>22</v>
      </c>
      <c r="C1075" t="str">
        <f t="shared" si="32"/>
        <v>TennesseeDuke</v>
      </c>
      <c r="D1075" t="s">
        <v>22</v>
      </c>
      <c r="E1075">
        <v>26</v>
      </c>
      <c r="F1075">
        <v>6.8415094339622602</v>
      </c>
      <c r="G1075">
        <v>284.03172369715003</v>
      </c>
      <c r="H1075">
        <v>137.93778299340701</v>
      </c>
      <c r="I1075" s="1">
        <f t="shared" si="33"/>
        <v>126.9505582868329</v>
      </c>
    </row>
    <row r="1076" spans="1:9" x14ac:dyDescent="0.45">
      <c r="A1076" t="s">
        <v>61</v>
      </c>
      <c r="B1076" t="s">
        <v>22</v>
      </c>
      <c r="C1076" t="str">
        <f t="shared" si="32"/>
        <v>TexasDuke</v>
      </c>
      <c r="D1076" t="s">
        <v>22</v>
      </c>
      <c r="E1076">
        <v>1.4</v>
      </c>
      <c r="F1076">
        <v>27.796226415094299</v>
      </c>
      <c r="G1076">
        <v>6942.7825667071302</v>
      </c>
      <c r="H1076">
        <v>135.693497524479</v>
      </c>
      <c r="I1076" s="1">
        <f t="shared" si="33"/>
        <v>95.348582656437515</v>
      </c>
    </row>
    <row r="1077" spans="1:9" x14ac:dyDescent="0.45">
      <c r="A1077" t="s">
        <v>62</v>
      </c>
      <c r="B1077" t="s">
        <v>22</v>
      </c>
      <c r="C1077" t="str">
        <f t="shared" si="32"/>
        <v>Texas A&amp;MDuke</v>
      </c>
      <c r="D1077" t="s">
        <v>22</v>
      </c>
      <c r="E1077">
        <v>7.7</v>
      </c>
      <c r="F1077">
        <v>16.301886792452802</v>
      </c>
      <c r="G1077">
        <v>1202.0781168344199</v>
      </c>
      <c r="H1077">
        <v>136.49129655207301</v>
      </c>
      <c r="I1077" s="1">
        <f t="shared" si="33"/>
        <v>106.58245899571693</v>
      </c>
    </row>
    <row r="1078" spans="1:9" x14ac:dyDescent="0.45">
      <c r="A1078" t="s">
        <v>63</v>
      </c>
      <c r="B1078" t="s">
        <v>22</v>
      </c>
      <c r="C1078" t="str">
        <f t="shared" si="32"/>
        <v>Texas TechDuke</v>
      </c>
      <c r="D1078" t="s">
        <v>22</v>
      </c>
      <c r="E1078">
        <v>14.1</v>
      </c>
      <c r="F1078">
        <v>11.849056603773599</v>
      </c>
      <c r="G1078">
        <v>609.55957583070904</v>
      </c>
      <c r="H1078">
        <v>137.531080671137</v>
      </c>
      <c r="I1078" s="1">
        <f t="shared" si="33"/>
        <v>121.22374810374997</v>
      </c>
    </row>
    <row r="1079" spans="1:9" x14ac:dyDescent="0.45">
      <c r="A1079" t="s">
        <v>64</v>
      </c>
      <c r="B1079" t="s">
        <v>22</v>
      </c>
      <c r="C1079" t="str">
        <f t="shared" si="32"/>
        <v>TroyDuke</v>
      </c>
      <c r="D1079" t="s">
        <v>22</v>
      </c>
      <c r="E1079">
        <v>0.2</v>
      </c>
      <c r="F1079">
        <v>39.796226415094303</v>
      </c>
      <c r="G1079">
        <v>43298.919925018301</v>
      </c>
      <c r="H1079">
        <v>136.234645090866</v>
      </c>
      <c r="I1079" s="1">
        <f t="shared" si="33"/>
        <v>102.96852782035559</v>
      </c>
    </row>
    <row r="1080" spans="1:9" x14ac:dyDescent="0.45">
      <c r="A1080" t="s">
        <v>65</v>
      </c>
      <c r="B1080" t="s">
        <v>22</v>
      </c>
      <c r="C1080" t="str">
        <f t="shared" si="32"/>
        <v>UC San DiegoDuke</v>
      </c>
      <c r="D1080" t="s">
        <v>22</v>
      </c>
      <c r="E1080">
        <v>0.6</v>
      </c>
      <c r="F1080">
        <v>33.633962264150902</v>
      </c>
      <c r="G1080">
        <v>16917.293507559199</v>
      </c>
      <c r="H1080">
        <v>136.32276683425701</v>
      </c>
      <c r="I1080" s="1">
        <f t="shared" si="33"/>
        <v>104.20937762565285</v>
      </c>
    </row>
    <row r="1081" spans="1:9" x14ac:dyDescent="0.45">
      <c r="A1081" t="s">
        <v>66</v>
      </c>
      <c r="B1081" t="s">
        <v>22</v>
      </c>
      <c r="C1081" t="str">
        <f t="shared" si="32"/>
        <v>UCLADuke</v>
      </c>
      <c r="D1081" t="s">
        <v>22</v>
      </c>
      <c r="E1081">
        <v>2.2999999999999998</v>
      </c>
      <c r="F1081">
        <v>24.592452830188702</v>
      </c>
      <c r="G1081">
        <v>4257.2398675992099</v>
      </c>
      <c r="H1081">
        <v>135.794221347366</v>
      </c>
      <c r="I1081" s="1">
        <f t="shared" si="33"/>
        <v>96.766883420910119</v>
      </c>
    </row>
    <row r="1082" spans="1:9" x14ac:dyDescent="0.45">
      <c r="A1082" t="s">
        <v>67</v>
      </c>
      <c r="B1082" t="s">
        <v>22</v>
      </c>
      <c r="C1082" t="str">
        <f t="shared" si="32"/>
        <v>UNC WilmingtonDuke</v>
      </c>
      <c r="D1082" t="s">
        <v>22</v>
      </c>
      <c r="E1082">
        <v>0.4</v>
      </c>
      <c r="F1082">
        <v>36.996226415094299</v>
      </c>
      <c r="G1082">
        <v>28246.788226228</v>
      </c>
      <c r="H1082">
        <v>136.90923702128501</v>
      </c>
      <c r="I1082" s="1">
        <f t="shared" si="33"/>
        <v>112.46751448703209</v>
      </c>
    </row>
    <row r="1083" spans="1:9" x14ac:dyDescent="0.45">
      <c r="A1083" t="s">
        <v>68</v>
      </c>
      <c r="B1083" t="s">
        <v>22</v>
      </c>
      <c r="C1083" t="str">
        <f t="shared" si="32"/>
        <v>Utah St.Duke</v>
      </c>
      <c r="D1083" t="s">
        <v>22</v>
      </c>
      <c r="E1083">
        <v>1.8</v>
      </c>
      <c r="F1083">
        <v>26.350943396226398</v>
      </c>
      <c r="G1083">
        <v>5569.1647815248598</v>
      </c>
      <c r="H1083">
        <v>136.28060742511201</v>
      </c>
      <c r="I1083" s="1">
        <f t="shared" si="33"/>
        <v>103.6157273798004</v>
      </c>
    </row>
    <row r="1084" spans="1:9" x14ac:dyDescent="0.45">
      <c r="A1084" t="s">
        <v>69</v>
      </c>
      <c r="B1084" t="s">
        <v>22</v>
      </c>
      <c r="C1084" t="str">
        <f t="shared" si="32"/>
        <v>VanderbiltDuke</v>
      </c>
      <c r="D1084" t="s">
        <v>22</v>
      </c>
      <c r="E1084">
        <v>0.4</v>
      </c>
      <c r="F1084">
        <v>36.475471698113203</v>
      </c>
      <c r="G1084">
        <v>26084.352300719402</v>
      </c>
      <c r="H1084">
        <v>134.85517791371001</v>
      </c>
      <c r="I1084" s="1">
        <f t="shared" si="33"/>
        <v>83.544132519949997</v>
      </c>
    </row>
    <row r="1085" spans="1:9" x14ac:dyDescent="0.45">
      <c r="A1085" t="s">
        <v>70</v>
      </c>
      <c r="B1085" t="s">
        <v>22</v>
      </c>
      <c r="C1085" t="str">
        <f t="shared" si="32"/>
        <v>VCUDuke</v>
      </c>
      <c r="D1085" t="s">
        <v>22</v>
      </c>
      <c r="E1085">
        <v>1.2</v>
      </c>
      <c r="F1085">
        <v>29.128301886792499</v>
      </c>
      <c r="G1085">
        <v>8504.5236821153703</v>
      </c>
      <c r="H1085">
        <v>136.70008907558599</v>
      </c>
      <c r="I1085" s="1">
        <f t="shared" si="33"/>
        <v>109.52248437627502</v>
      </c>
    </row>
    <row r="1086" spans="1:9" x14ac:dyDescent="0.45">
      <c r="A1086" t="s">
        <v>71</v>
      </c>
      <c r="B1086" t="s">
        <v>22</v>
      </c>
      <c r="C1086" t="str">
        <f t="shared" si="32"/>
        <v>WisconsinDuke</v>
      </c>
      <c r="D1086" t="s">
        <v>22</v>
      </c>
      <c r="E1086">
        <v>12.7</v>
      </c>
      <c r="F1086">
        <v>12.6641509433962</v>
      </c>
      <c r="G1086">
        <v>690.25437023190705</v>
      </c>
      <c r="H1086">
        <v>137.50076793085299</v>
      </c>
      <c r="I1086" s="1">
        <f t="shared" si="33"/>
        <v>120.79691181531489</v>
      </c>
    </row>
    <row r="1087" spans="1:9" x14ac:dyDescent="0.45">
      <c r="A1087" t="s">
        <v>80</v>
      </c>
      <c r="B1087" t="s">
        <v>22</v>
      </c>
      <c r="C1087" t="str">
        <f t="shared" si="32"/>
        <v>WoffordDuke</v>
      </c>
      <c r="D1087" t="s">
        <v>22</v>
      </c>
      <c r="E1087">
        <v>0.1</v>
      </c>
      <c r="F1087">
        <v>44.0490566037736</v>
      </c>
      <c r="G1087">
        <v>82848.423238087693</v>
      </c>
      <c r="H1087">
        <v>135.53022366994799</v>
      </c>
      <c r="I1087" s="1">
        <f t="shared" si="33"/>
        <v>93.049509546796784</v>
      </c>
    </row>
    <row r="1088" spans="1:9" x14ac:dyDescent="0.45">
      <c r="A1088" t="s">
        <v>72</v>
      </c>
      <c r="B1088" t="s">
        <v>22</v>
      </c>
      <c r="C1088" t="str">
        <f t="shared" si="32"/>
        <v>XavierDuke</v>
      </c>
      <c r="D1088" t="s">
        <v>22</v>
      </c>
      <c r="E1088">
        <v>1.1000000000000001</v>
      </c>
      <c r="F1088">
        <v>29.203773584905701</v>
      </c>
      <c r="G1088">
        <v>8604.0852229445409</v>
      </c>
      <c r="H1088">
        <v>136.106137240099</v>
      </c>
      <c r="I1088" s="1">
        <f t="shared" si="33"/>
        <v>101.15899778307704</v>
      </c>
    </row>
    <row r="1089" spans="1:9" x14ac:dyDescent="0.45">
      <c r="A1089" t="s">
        <v>73</v>
      </c>
      <c r="B1089" t="s">
        <v>22</v>
      </c>
      <c r="C1089" t="str">
        <f t="shared" si="32"/>
        <v>YaleDuke</v>
      </c>
      <c r="D1089" t="s">
        <v>22</v>
      </c>
      <c r="E1089">
        <v>0.6</v>
      </c>
      <c r="F1089">
        <v>33.026415094339598</v>
      </c>
      <c r="G1089">
        <v>15417.582588940601</v>
      </c>
      <c r="H1089">
        <v>136.905371874162</v>
      </c>
      <c r="I1089" s="1">
        <f t="shared" si="33"/>
        <v>112.41308901982647</v>
      </c>
    </row>
    <row r="1090" spans="1:9" x14ac:dyDescent="0.45">
      <c r="A1090" t="s">
        <v>7</v>
      </c>
      <c r="B1090" t="s">
        <v>23</v>
      </c>
      <c r="C1090" t="str">
        <f t="shared" si="32"/>
        <v>AkronFlorida</v>
      </c>
      <c r="D1090" t="s">
        <v>23</v>
      </c>
      <c r="E1090">
        <v>0.6</v>
      </c>
      <c r="F1090">
        <v>33.520754716981102</v>
      </c>
      <c r="G1090">
        <v>16627.901606957399</v>
      </c>
      <c r="H1090">
        <v>135.96408105366501</v>
      </c>
      <c r="I1090" s="1">
        <f t="shared" si="33"/>
        <v>99.158692472550669</v>
      </c>
    </row>
    <row r="1091" spans="1:9" x14ac:dyDescent="0.45">
      <c r="A1091" t="s">
        <v>8</v>
      </c>
      <c r="B1091" t="s">
        <v>23</v>
      </c>
      <c r="C1091" t="str">
        <f t="shared" ref="C1091:C1154" si="34">A1091&amp;B1091</f>
        <v>AlabamaFlorida</v>
      </c>
      <c r="D1091" t="s">
        <v>23</v>
      </c>
      <c r="E1091">
        <v>30.7</v>
      </c>
      <c r="F1091">
        <v>5.3471698113207502</v>
      </c>
      <c r="G1091">
        <v>226.106877795511</v>
      </c>
      <c r="H1091">
        <v>137.71217706580401</v>
      </c>
      <c r="I1091" s="1">
        <f t="shared" ref="I1091:I1154" si="35">18*(H1091-AVERAGE($H$2:$H$4625))/_xlfn.STDEV.P($H$2:$H$4625)+AVERAGE($H$2:$H$4625)</f>
        <v>123.77378192531764</v>
      </c>
    </row>
    <row r="1092" spans="1:9" x14ac:dyDescent="0.45">
      <c r="A1092" t="s">
        <v>9</v>
      </c>
      <c r="B1092" t="s">
        <v>23</v>
      </c>
      <c r="C1092" t="str">
        <f t="shared" si="34"/>
        <v>Alabama St.Florida</v>
      </c>
      <c r="D1092" t="s">
        <v>23</v>
      </c>
      <c r="E1092">
        <v>0.1</v>
      </c>
      <c r="F1092">
        <v>45.660377358490599</v>
      </c>
      <c r="G1092">
        <v>105950.051782123</v>
      </c>
      <c r="H1092">
        <v>136.19092190947799</v>
      </c>
      <c r="I1092" s="1">
        <f t="shared" si="35"/>
        <v>102.35285796380788</v>
      </c>
    </row>
    <row r="1093" spans="1:9" x14ac:dyDescent="0.45">
      <c r="A1093" t="s">
        <v>10</v>
      </c>
      <c r="B1093" t="s">
        <v>23</v>
      </c>
      <c r="C1093" t="str">
        <f t="shared" si="34"/>
        <v>AmericanFlorida</v>
      </c>
      <c r="D1093" t="s">
        <v>23</v>
      </c>
      <c r="E1093">
        <v>0.1</v>
      </c>
      <c r="F1093">
        <v>44.4</v>
      </c>
      <c r="G1093">
        <v>87378.292427513006</v>
      </c>
      <c r="H1093">
        <v>136.28200779108201</v>
      </c>
      <c r="I1093" s="1">
        <f t="shared" si="35"/>
        <v>103.6354460527902</v>
      </c>
    </row>
    <row r="1094" spans="1:9" x14ac:dyDescent="0.45">
      <c r="A1094" t="s">
        <v>11</v>
      </c>
      <c r="B1094" t="s">
        <v>23</v>
      </c>
      <c r="C1094" t="str">
        <f t="shared" si="34"/>
        <v>ArizonaFlorida</v>
      </c>
      <c r="D1094" t="s">
        <v>23</v>
      </c>
      <c r="E1094">
        <v>23.9</v>
      </c>
      <c r="F1094">
        <v>7.5886792452830196</v>
      </c>
      <c r="G1094">
        <v>318.23796047651803</v>
      </c>
      <c r="H1094">
        <v>137.47453588479399</v>
      </c>
      <c r="I1094" s="1">
        <f t="shared" si="35"/>
        <v>120.42753613126357</v>
      </c>
    </row>
    <row r="1095" spans="1:9" x14ac:dyDescent="0.45">
      <c r="A1095" t="s">
        <v>12</v>
      </c>
      <c r="B1095" t="s">
        <v>23</v>
      </c>
      <c r="C1095" t="str">
        <f t="shared" si="34"/>
        <v>ArkansasFlorida</v>
      </c>
      <c r="D1095" t="s">
        <v>23</v>
      </c>
      <c r="E1095">
        <v>1.9</v>
      </c>
      <c r="F1095">
        <v>25.981132075471699</v>
      </c>
      <c r="G1095">
        <v>5263.08183833762</v>
      </c>
      <c r="H1095">
        <v>135.59213971865199</v>
      </c>
      <c r="I1095" s="1">
        <f t="shared" si="35"/>
        <v>93.921354723965351</v>
      </c>
    </row>
    <row r="1096" spans="1:9" x14ac:dyDescent="0.45">
      <c r="A1096" t="s">
        <v>13</v>
      </c>
      <c r="B1096" t="s">
        <v>23</v>
      </c>
      <c r="C1096" t="str">
        <f t="shared" si="34"/>
        <v>AuburnFlorida</v>
      </c>
      <c r="D1096" t="s">
        <v>23</v>
      </c>
      <c r="E1096">
        <v>46.4</v>
      </c>
      <c r="F1096">
        <v>0.93584905660377404</v>
      </c>
      <c r="G1096">
        <v>115.375196103733</v>
      </c>
      <c r="H1096">
        <v>138.730859123914</v>
      </c>
      <c r="I1096" s="1">
        <f t="shared" si="35"/>
        <v>138.11793110830442</v>
      </c>
    </row>
    <row r="1097" spans="1:9" x14ac:dyDescent="0.45">
      <c r="A1097" t="s">
        <v>14</v>
      </c>
      <c r="B1097" t="s">
        <v>23</v>
      </c>
      <c r="C1097" t="str">
        <f t="shared" si="34"/>
        <v>BaylorFlorida</v>
      </c>
      <c r="D1097" t="s">
        <v>23</v>
      </c>
      <c r="E1097">
        <v>8.4</v>
      </c>
      <c r="F1097">
        <v>15.667924528301899</v>
      </c>
      <c r="G1097">
        <v>1091.69205837549</v>
      </c>
      <c r="H1097">
        <v>137.265857136639</v>
      </c>
      <c r="I1097" s="1">
        <f t="shared" si="35"/>
        <v>117.48911283125196</v>
      </c>
    </row>
    <row r="1098" spans="1:9" x14ac:dyDescent="0.45">
      <c r="A1098" t="s">
        <v>15</v>
      </c>
      <c r="B1098" t="s">
        <v>23</v>
      </c>
      <c r="C1098" t="str">
        <f t="shared" si="34"/>
        <v>BryantFlorida</v>
      </c>
      <c r="D1098" t="s">
        <v>23</v>
      </c>
      <c r="E1098">
        <v>0.4</v>
      </c>
      <c r="F1098">
        <v>35.954716981132101</v>
      </c>
      <c r="G1098">
        <v>24101.290410961901</v>
      </c>
      <c r="H1098">
        <v>136.814854886533</v>
      </c>
      <c r="I1098" s="1">
        <f t="shared" si="35"/>
        <v>111.13851157556095</v>
      </c>
    </row>
    <row r="1099" spans="1:9" x14ac:dyDescent="0.45">
      <c r="A1099" t="s">
        <v>16</v>
      </c>
      <c r="B1099" t="s">
        <v>23</v>
      </c>
      <c r="C1099" t="str">
        <f t="shared" si="34"/>
        <v>BYUFlorida</v>
      </c>
      <c r="D1099" t="s">
        <v>23</v>
      </c>
      <c r="E1099">
        <v>10</v>
      </c>
      <c r="F1099">
        <v>14.373584905660399</v>
      </c>
      <c r="G1099">
        <v>896.11463048534699</v>
      </c>
      <c r="H1099">
        <v>137.07537536475601</v>
      </c>
      <c r="I1099" s="1">
        <f t="shared" si="35"/>
        <v>114.80692271042213</v>
      </c>
    </row>
    <row r="1100" spans="1:9" x14ac:dyDescent="0.45">
      <c r="A1100" t="s">
        <v>17</v>
      </c>
      <c r="B1100" t="s">
        <v>23</v>
      </c>
      <c r="C1100" t="str">
        <f t="shared" si="34"/>
        <v>ClemsonFlorida</v>
      </c>
      <c r="D1100" t="s">
        <v>23</v>
      </c>
      <c r="E1100">
        <v>12.5</v>
      </c>
      <c r="F1100">
        <v>12.7509433962264</v>
      </c>
      <c r="G1100">
        <v>699.37812088653902</v>
      </c>
      <c r="H1100">
        <v>137.29728722104801</v>
      </c>
      <c r="I1100" s="1">
        <f t="shared" si="35"/>
        <v>117.93168253787186</v>
      </c>
    </row>
    <row r="1101" spans="1:9" x14ac:dyDescent="0.45">
      <c r="A1101" t="s">
        <v>18</v>
      </c>
      <c r="B1101" t="s">
        <v>23</v>
      </c>
      <c r="C1101" t="str">
        <f t="shared" si="34"/>
        <v>Colorado St.Florida</v>
      </c>
      <c r="D1101" t="s">
        <v>23</v>
      </c>
      <c r="E1101">
        <v>2.2999999999999998</v>
      </c>
      <c r="F1101">
        <v>24.588679245283</v>
      </c>
      <c r="G1101">
        <v>4256.50915540805</v>
      </c>
      <c r="H1101">
        <v>136.60467906915301</v>
      </c>
      <c r="I1101" s="1">
        <f t="shared" si="35"/>
        <v>108.17900791575538</v>
      </c>
    </row>
    <row r="1102" spans="1:9" x14ac:dyDescent="0.45">
      <c r="A1102" t="s">
        <v>19</v>
      </c>
      <c r="B1102" t="s">
        <v>23</v>
      </c>
      <c r="C1102" t="str">
        <f t="shared" si="34"/>
        <v>ConnecticutFlorida</v>
      </c>
      <c r="D1102" t="s">
        <v>23</v>
      </c>
      <c r="E1102">
        <v>19.5</v>
      </c>
      <c r="F1102">
        <v>9.2867924528301895</v>
      </c>
      <c r="G1102">
        <v>412.341010500072</v>
      </c>
      <c r="H1102">
        <v>137.24023097148901</v>
      </c>
      <c r="I1102" s="1">
        <f t="shared" si="35"/>
        <v>117.1282686080983</v>
      </c>
    </row>
    <row r="1103" spans="1:9" x14ac:dyDescent="0.45">
      <c r="A1103" t="s">
        <v>20</v>
      </c>
      <c r="B1103" t="s">
        <v>23</v>
      </c>
      <c r="C1103" t="str">
        <f t="shared" si="34"/>
        <v>CreightonFlorida</v>
      </c>
      <c r="D1103" t="s">
        <v>23</v>
      </c>
      <c r="E1103">
        <v>7</v>
      </c>
      <c r="F1103">
        <v>16.977358490566001</v>
      </c>
      <c r="G1103">
        <v>1333.0196704636201</v>
      </c>
      <c r="H1103">
        <v>136.71317333375299</v>
      </c>
      <c r="I1103" s="1">
        <f t="shared" si="35"/>
        <v>109.70672493455515</v>
      </c>
    </row>
    <row r="1104" spans="1:9" x14ac:dyDescent="0.45">
      <c r="A1104" t="s">
        <v>21</v>
      </c>
      <c r="B1104" t="s">
        <v>23</v>
      </c>
      <c r="C1104" t="str">
        <f t="shared" si="34"/>
        <v>DrakeFlorida</v>
      </c>
      <c r="D1104" t="s">
        <v>23</v>
      </c>
      <c r="E1104">
        <v>2.2999999999999998</v>
      </c>
      <c r="F1104">
        <v>24.641509433962302</v>
      </c>
      <c r="G1104">
        <v>4289.5473823900702</v>
      </c>
      <c r="H1104">
        <v>136.76663843790701</v>
      </c>
      <c r="I1104" s="1">
        <f t="shared" si="35"/>
        <v>110.4595716387486</v>
      </c>
    </row>
    <row r="1105" spans="1:9" x14ac:dyDescent="0.45">
      <c r="A1105" t="s">
        <v>22</v>
      </c>
      <c r="B1105" t="s">
        <v>23</v>
      </c>
      <c r="C1105" t="str">
        <f t="shared" si="34"/>
        <v>DukeFlorida</v>
      </c>
      <c r="D1105" t="s">
        <v>22</v>
      </c>
      <c r="E1105">
        <v>56</v>
      </c>
      <c r="F1105">
        <v>-1.56981132075472</v>
      </c>
      <c r="G1105">
        <v>-127.08578239556</v>
      </c>
      <c r="H1105">
        <v>139.05395889936301</v>
      </c>
      <c r="I1105" s="1">
        <f t="shared" si="35"/>
        <v>142.66752667949658</v>
      </c>
    </row>
    <row r="1106" spans="1:9" x14ac:dyDescent="0.45">
      <c r="A1106" t="s">
        <v>23</v>
      </c>
      <c r="B1106" t="s">
        <v>23</v>
      </c>
      <c r="C1106" t="str">
        <f t="shared" si="34"/>
        <v>FloridaFlorida</v>
      </c>
      <c r="D1106" t="s">
        <v>23</v>
      </c>
      <c r="E1106">
        <v>41.2</v>
      </c>
      <c r="F1106">
        <v>2.3283018867924499</v>
      </c>
      <c r="G1106">
        <v>142.64273539779199</v>
      </c>
      <c r="H1106">
        <v>138.77771517530499</v>
      </c>
      <c r="I1106" s="1">
        <f t="shared" si="35"/>
        <v>138.77771517530277</v>
      </c>
    </row>
    <row r="1107" spans="1:9" x14ac:dyDescent="0.45">
      <c r="A1107" t="s">
        <v>24</v>
      </c>
      <c r="B1107" t="s">
        <v>23</v>
      </c>
      <c r="C1107" t="str">
        <f t="shared" si="34"/>
        <v>GeorgiaFlorida</v>
      </c>
      <c r="D1107" t="s">
        <v>23</v>
      </c>
      <c r="E1107">
        <v>2.6</v>
      </c>
      <c r="F1107">
        <v>23.833962264150902</v>
      </c>
      <c r="G1107">
        <v>3793.8869930149399</v>
      </c>
      <c r="H1107">
        <v>135.91952869964999</v>
      </c>
      <c r="I1107" s="1">
        <f t="shared" si="35"/>
        <v>98.531346965326904</v>
      </c>
    </row>
    <row r="1108" spans="1:9" x14ac:dyDescent="0.45">
      <c r="A1108" t="s">
        <v>25</v>
      </c>
      <c r="B1108" t="s">
        <v>23</v>
      </c>
      <c r="C1108" t="str">
        <f t="shared" si="34"/>
        <v>GonzagaFlorida</v>
      </c>
      <c r="D1108" t="s">
        <v>23</v>
      </c>
      <c r="E1108">
        <v>12.9</v>
      </c>
      <c r="F1108">
        <v>12.5094339622642</v>
      </c>
      <c r="G1108">
        <v>674.00502344676897</v>
      </c>
      <c r="H1108">
        <v>138.05716981917899</v>
      </c>
      <c r="I1108" s="1">
        <f t="shared" si="35"/>
        <v>128.63165439108144</v>
      </c>
    </row>
    <row r="1109" spans="1:9" x14ac:dyDescent="0.45">
      <c r="A1109" t="s">
        <v>26</v>
      </c>
      <c r="B1109" t="s">
        <v>23</v>
      </c>
      <c r="C1109" t="str">
        <f t="shared" si="34"/>
        <v>Grand CanyonFlorida</v>
      </c>
      <c r="D1109" t="s">
        <v>23</v>
      </c>
      <c r="E1109">
        <v>1.4</v>
      </c>
      <c r="F1109">
        <v>27.7584905660377</v>
      </c>
      <c r="G1109">
        <v>6901.53555759341</v>
      </c>
      <c r="H1109">
        <v>136.70913806548299</v>
      </c>
      <c r="I1109" s="1">
        <f t="shared" si="35"/>
        <v>109.6499039769291</v>
      </c>
    </row>
    <row r="1110" spans="1:9" x14ac:dyDescent="0.45">
      <c r="A1110" t="s">
        <v>27</v>
      </c>
      <c r="B1110" t="s">
        <v>23</v>
      </c>
      <c r="C1110" t="str">
        <f t="shared" si="34"/>
        <v>High PointFlorida</v>
      </c>
      <c r="D1110" t="s">
        <v>23</v>
      </c>
      <c r="E1110">
        <v>0.9</v>
      </c>
      <c r="F1110">
        <v>30.528301886792502</v>
      </c>
      <c r="G1110">
        <v>10534.690928386201</v>
      </c>
      <c r="H1110">
        <v>136.99002981313799</v>
      </c>
      <c r="I1110" s="1">
        <f t="shared" si="35"/>
        <v>113.60516469891409</v>
      </c>
    </row>
    <row r="1111" spans="1:9" x14ac:dyDescent="0.45">
      <c r="A1111" t="s">
        <v>28</v>
      </c>
      <c r="B1111" t="s">
        <v>23</v>
      </c>
      <c r="C1111" t="str">
        <f t="shared" si="34"/>
        <v>HoustonFlorida</v>
      </c>
      <c r="D1111" t="s">
        <v>28</v>
      </c>
      <c r="E1111">
        <v>68.5</v>
      </c>
      <c r="F1111">
        <v>-5.0867924528301902</v>
      </c>
      <c r="G1111">
        <v>-217.21219941513101</v>
      </c>
      <c r="H1111">
        <v>139.19762324899301</v>
      </c>
      <c r="I1111" s="1">
        <f t="shared" si="35"/>
        <v>144.69047667352407</v>
      </c>
    </row>
    <row r="1112" spans="1:9" x14ac:dyDescent="0.45">
      <c r="A1112" t="s">
        <v>29</v>
      </c>
      <c r="B1112" t="s">
        <v>23</v>
      </c>
      <c r="C1112" t="str">
        <f t="shared" si="34"/>
        <v>IllinoisFlorida</v>
      </c>
      <c r="D1112" t="s">
        <v>23</v>
      </c>
      <c r="E1112">
        <v>17.8</v>
      </c>
      <c r="F1112">
        <v>10.026415094339599</v>
      </c>
      <c r="G1112">
        <v>461.54965964707401</v>
      </c>
      <c r="H1112">
        <v>137.24786840292899</v>
      </c>
      <c r="I1112" s="1">
        <f t="shared" si="35"/>
        <v>117.23581193339558</v>
      </c>
    </row>
    <row r="1113" spans="1:9" x14ac:dyDescent="0.45">
      <c r="A1113" t="s">
        <v>30</v>
      </c>
      <c r="B1113" t="s">
        <v>23</v>
      </c>
      <c r="C1113" t="str">
        <f t="shared" si="34"/>
        <v>Iowa St.Florida</v>
      </c>
      <c r="D1113" t="s">
        <v>23</v>
      </c>
      <c r="E1113">
        <v>31.3</v>
      </c>
      <c r="F1113">
        <v>5.1433962264150903</v>
      </c>
      <c r="G1113">
        <v>219.118000364952</v>
      </c>
      <c r="H1113">
        <v>138.174136981288</v>
      </c>
      <c r="I1113" s="1">
        <f t="shared" si="35"/>
        <v>130.27867900434995</v>
      </c>
    </row>
    <row r="1114" spans="1:9" x14ac:dyDescent="0.45">
      <c r="A1114" t="s">
        <v>31</v>
      </c>
      <c r="B1114" t="s">
        <v>23</v>
      </c>
      <c r="C1114" t="str">
        <f t="shared" si="34"/>
        <v>KansasFlorida</v>
      </c>
      <c r="D1114" t="s">
        <v>23</v>
      </c>
      <c r="E1114">
        <v>11.7</v>
      </c>
      <c r="F1114">
        <v>13.2452830188679</v>
      </c>
      <c r="G1114">
        <v>754.20523512632803</v>
      </c>
      <c r="H1114">
        <v>137.12952726559899</v>
      </c>
      <c r="I1114" s="1">
        <f t="shared" si="35"/>
        <v>115.56944025753118</v>
      </c>
    </row>
    <row r="1115" spans="1:9" x14ac:dyDescent="0.45">
      <c r="A1115" t="s">
        <v>32</v>
      </c>
      <c r="B1115" t="s">
        <v>23</v>
      </c>
      <c r="C1115" t="str">
        <f t="shared" si="34"/>
        <v>KentuckyFlorida</v>
      </c>
      <c r="D1115" t="s">
        <v>23</v>
      </c>
      <c r="E1115">
        <v>18.3</v>
      </c>
      <c r="F1115">
        <v>9.8188679245283002</v>
      </c>
      <c r="G1115">
        <v>447.07478729285202</v>
      </c>
      <c r="H1115">
        <v>137.076564865992</v>
      </c>
      <c r="I1115" s="1">
        <f t="shared" si="35"/>
        <v>114.82367217905806</v>
      </c>
    </row>
    <row r="1116" spans="1:9" x14ac:dyDescent="0.45">
      <c r="A1116" t="s">
        <v>33</v>
      </c>
      <c r="B1116" t="s">
        <v>23</v>
      </c>
      <c r="C1116" t="str">
        <f t="shared" si="34"/>
        <v>LibertyFlorida</v>
      </c>
      <c r="D1116" t="s">
        <v>23</v>
      </c>
      <c r="E1116">
        <v>0.6</v>
      </c>
      <c r="F1116">
        <v>33.3056603773585</v>
      </c>
      <c r="G1116">
        <v>16089.415114872299</v>
      </c>
      <c r="H1116">
        <v>136.28550111439</v>
      </c>
      <c r="I1116" s="1">
        <f t="shared" si="35"/>
        <v>103.68463583705638</v>
      </c>
    </row>
    <row r="1117" spans="1:9" x14ac:dyDescent="0.45">
      <c r="A1117" t="s">
        <v>34</v>
      </c>
      <c r="B1117" t="s">
        <v>23</v>
      </c>
      <c r="C1117" t="str">
        <f t="shared" si="34"/>
        <v>LipscombFlorida</v>
      </c>
      <c r="D1117" t="s">
        <v>23</v>
      </c>
      <c r="E1117">
        <v>0.5</v>
      </c>
      <c r="F1117">
        <v>35.0490566037736</v>
      </c>
      <c r="G1117">
        <v>20987.954120542199</v>
      </c>
      <c r="H1117">
        <v>136.71742134564801</v>
      </c>
      <c r="I1117" s="1">
        <f t="shared" si="35"/>
        <v>109.7665415533599</v>
      </c>
    </row>
    <row r="1118" spans="1:9" x14ac:dyDescent="0.45">
      <c r="A1118" t="s">
        <v>35</v>
      </c>
      <c r="B1118" t="s">
        <v>23</v>
      </c>
      <c r="C1118" t="str">
        <f t="shared" si="34"/>
        <v>LouisvilleFlorida</v>
      </c>
      <c r="D1118" t="s">
        <v>23</v>
      </c>
      <c r="E1118">
        <v>1.2</v>
      </c>
      <c r="F1118">
        <v>28.939622641509398</v>
      </c>
      <c r="G1118">
        <v>8267.1693611299597</v>
      </c>
      <c r="H1118">
        <v>136.00314465761599</v>
      </c>
      <c r="I1118" s="1">
        <f t="shared" si="35"/>
        <v>99.70875042069747</v>
      </c>
    </row>
    <row r="1119" spans="1:9" x14ac:dyDescent="0.45">
      <c r="A1119" t="s">
        <v>36</v>
      </c>
      <c r="B1119" t="s">
        <v>23</v>
      </c>
      <c r="C1119" t="str">
        <f t="shared" si="34"/>
        <v>MarquetteFlorida</v>
      </c>
      <c r="D1119" t="s">
        <v>23</v>
      </c>
      <c r="E1119">
        <v>14.6</v>
      </c>
      <c r="F1119">
        <v>11.5962264150943</v>
      </c>
      <c r="G1119">
        <v>586.47759898140896</v>
      </c>
      <c r="H1119">
        <v>137.33490129252101</v>
      </c>
      <c r="I1119" s="1">
        <f t="shared" si="35"/>
        <v>118.46132949522507</v>
      </c>
    </row>
    <row r="1120" spans="1:9" x14ac:dyDescent="0.45">
      <c r="A1120" t="s">
        <v>37</v>
      </c>
      <c r="B1120" t="s">
        <v>23</v>
      </c>
      <c r="C1120" t="str">
        <f t="shared" si="34"/>
        <v>MarylandFlorida</v>
      </c>
      <c r="D1120" t="s">
        <v>23</v>
      </c>
      <c r="E1120">
        <v>10.4</v>
      </c>
      <c r="F1120">
        <v>14.1396226415094</v>
      </c>
      <c r="G1120">
        <v>864.56129033714797</v>
      </c>
      <c r="H1120">
        <v>136.94484060420001</v>
      </c>
      <c r="I1120" s="1">
        <f t="shared" si="35"/>
        <v>112.96885158305315</v>
      </c>
    </row>
    <row r="1121" spans="1:9" x14ac:dyDescent="0.45">
      <c r="A1121" t="s">
        <v>38</v>
      </c>
      <c r="B1121" t="s">
        <v>23</v>
      </c>
      <c r="C1121" t="str">
        <f t="shared" si="34"/>
        <v>McNeese St.Florida</v>
      </c>
      <c r="D1121" t="s">
        <v>23</v>
      </c>
      <c r="E1121">
        <v>2</v>
      </c>
      <c r="F1121">
        <v>25.449056603773599</v>
      </c>
      <c r="G1121">
        <v>4852.2698814796804</v>
      </c>
      <c r="H1121">
        <v>136.78025221840099</v>
      </c>
      <c r="I1121" s="1">
        <f t="shared" si="35"/>
        <v>110.65126844620238</v>
      </c>
    </row>
    <row r="1122" spans="1:9" x14ac:dyDescent="0.45">
      <c r="A1122" t="s">
        <v>39</v>
      </c>
      <c r="B1122" t="s">
        <v>23</v>
      </c>
      <c r="C1122" t="str">
        <f t="shared" si="34"/>
        <v>MemphisFlorida</v>
      </c>
      <c r="D1122" t="s">
        <v>23</v>
      </c>
      <c r="E1122">
        <v>5.6</v>
      </c>
      <c r="F1122">
        <v>18.5245283018868</v>
      </c>
      <c r="G1122">
        <v>1687.9605446666401</v>
      </c>
      <c r="H1122">
        <v>135.922475417219</v>
      </c>
      <c r="I1122" s="1">
        <f t="shared" si="35"/>
        <v>98.572839947434133</v>
      </c>
    </row>
    <row r="1123" spans="1:9" x14ac:dyDescent="0.45">
      <c r="A1123" t="s">
        <v>40</v>
      </c>
      <c r="B1123" t="s">
        <v>23</v>
      </c>
      <c r="C1123" t="str">
        <f t="shared" si="34"/>
        <v>MichiganFlorida</v>
      </c>
      <c r="D1123" t="s">
        <v>23</v>
      </c>
      <c r="E1123">
        <v>3</v>
      </c>
      <c r="F1123">
        <v>22.713207547169802</v>
      </c>
      <c r="G1123">
        <v>3197.6529772720701</v>
      </c>
      <c r="H1123">
        <v>135.57939650190301</v>
      </c>
      <c r="I1123" s="1">
        <f t="shared" si="35"/>
        <v>93.741916399059789</v>
      </c>
    </row>
    <row r="1124" spans="1:9" x14ac:dyDescent="0.45">
      <c r="A1124" t="s">
        <v>41</v>
      </c>
      <c r="B1124" t="s">
        <v>23</v>
      </c>
      <c r="C1124" t="str">
        <f t="shared" si="34"/>
        <v>Michigan St.Florida</v>
      </c>
      <c r="D1124" t="s">
        <v>23</v>
      </c>
      <c r="E1124">
        <v>23.1</v>
      </c>
      <c r="F1124">
        <v>7.8905660377358497</v>
      </c>
      <c r="G1124">
        <v>333.24028352894999</v>
      </c>
      <c r="H1124">
        <v>137.27828846273201</v>
      </c>
      <c r="I1124" s="1">
        <f t="shared" si="35"/>
        <v>117.66415939715624</v>
      </c>
    </row>
    <row r="1125" spans="1:9" x14ac:dyDescent="0.45">
      <c r="A1125" t="s">
        <v>42</v>
      </c>
      <c r="B1125" t="s">
        <v>23</v>
      </c>
      <c r="C1125" t="str">
        <f t="shared" si="34"/>
        <v>MississippiFlorida</v>
      </c>
      <c r="D1125" t="s">
        <v>23</v>
      </c>
      <c r="E1125">
        <v>7.2</v>
      </c>
      <c r="F1125">
        <v>16.8</v>
      </c>
      <c r="G1125">
        <v>1297.4074446499901</v>
      </c>
      <c r="H1125">
        <v>136.409209567826</v>
      </c>
      <c r="I1125" s="1">
        <f t="shared" si="35"/>
        <v>105.42658515004888</v>
      </c>
    </row>
    <row r="1126" spans="1:9" x14ac:dyDescent="0.45">
      <c r="A1126" t="s">
        <v>43</v>
      </c>
      <c r="B1126" t="s">
        <v>23</v>
      </c>
      <c r="C1126" t="str">
        <f t="shared" si="34"/>
        <v>Mississippi St.Florida</v>
      </c>
      <c r="D1126" t="s">
        <v>23</v>
      </c>
      <c r="E1126">
        <v>5.5</v>
      </c>
      <c r="F1126">
        <v>18.649056603773602</v>
      </c>
      <c r="G1126">
        <v>1720.15533849281</v>
      </c>
      <c r="H1126">
        <v>136.533580921615</v>
      </c>
      <c r="I1126" s="1">
        <f t="shared" si="35"/>
        <v>107.1778688196066</v>
      </c>
    </row>
    <row r="1127" spans="1:9" x14ac:dyDescent="0.45">
      <c r="A1127" t="s">
        <v>44</v>
      </c>
      <c r="B1127" t="s">
        <v>23</v>
      </c>
      <c r="C1127" t="str">
        <f t="shared" si="34"/>
        <v>MissouriFlorida</v>
      </c>
      <c r="D1127" t="s">
        <v>23</v>
      </c>
      <c r="E1127">
        <v>2.5</v>
      </c>
      <c r="F1127">
        <v>24.0641509433962</v>
      </c>
      <c r="G1127">
        <v>3927.9559484762799</v>
      </c>
      <c r="H1127">
        <v>135.798052857789</v>
      </c>
      <c r="I1127" s="1">
        <f t="shared" si="35"/>
        <v>96.820835246866125</v>
      </c>
    </row>
    <row r="1128" spans="1:9" x14ac:dyDescent="0.45">
      <c r="A1128" t="s">
        <v>45</v>
      </c>
      <c r="B1128" t="s">
        <v>23</v>
      </c>
      <c r="C1128" t="str">
        <f t="shared" si="34"/>
        <v>MontanaFlorida</v>
      </c>
      <c r="D1128" t="s">
        <v>23</v>
      </c>
      <c r="E1128">
        <v>0.2</v>
      </c>
      <c r="F1128">
        <v>39.320754716981099</v>
      </c>
      <c r="G1128">
        <v>40267.872104938797</v>
      </c>
      <c r="H1128">
        <v>135.10678758280801</v>
      </c>
      <c r="I1128" s="1">
        <f t="shared" si="35"/>
        <v>87.0870697894253</v>
      </c>
    </row>
    <row r="1129" spans="1:9" x14ac:dyDescent="0.45">
      <c r="A1129" t="s">
        <v>46</v>
      </c>
      <c r="B1129" t="s">
        <v>23</v>
      </c>
      <c r="C1129" t="str">
        <f t="shared" si="34"/>
        <v>Mount St. Mary'sFlorida</v>
      </c>
      <c r="D1129" t="s">
        <v>23</v>
      </c>
      <c r="E1129">
        <v>0.1</v>
      </c>
      <c r="F1129">
        <v>45.437735849056601</v>
      </c>
      <c r="G1129">
        <v>102366.85871095701</v>
      </c>
      <c r="H1129">
        <v>136.45466180475501</v>
      </c>
      <c r="I1129" s="1">
        <f t="shared" si="35"/>
        <v>106.0666019855469</v>
      </c>
    </row>
    <row r="1130" spans="1:9" x14ac:dyDescent="0.45">
      <c r="A1130" t="s">
        <v>47</v>
      </c>
      <c r="B1130" t="s">
        <v>23</v>
      </c>
      <c r="C1130" t="str">
        <f t="shared" si="34"/>
        <v>Nebraska OmahaFlorida</v>
      </c>
      <c r="D1130" t="s">
        <v>23</v>
      </c>
      <c r="E1130">
        <v>0.1</v>
      </c>
      <c r="F1130">
        <v>43.720754716981098</v>
      </c>
      <c r="G1130">
        <v>78793.249753494994</v>
      </c>
      <c r="H1130">
        <v>135.73866298465501</v>
      </c>
      <c r="I1130" s="1">
        <f t="shared" si="35"/>
        <v>95.98456136394995</v>
      </c>
    </row>
    <row r="1131" spans="1:9" x14ac:dyDescent="0.45">
      <c r="A1131" t="s">
        <v>48</v>
      </c>
      <c r="B1131" t="s">
        <v>23</v>
      </c>
      <c r="C1131" t="str">
        <f t="shared" si="34"/>
        <v>New MexicoFlorida</v>
      </c>
      <c r="D1131" t="s">
        <v>23</v>
      </c>
      <c r="E1131">
        <v>3.1</v>
      </c>
      <c r="F1131">
        <v>22.471698113207498</v>
      </c>
      <c r="G1131">
        <v>3082.1479786903101</v>
      </c>
      <c r="H1131">
        <v>136.61640733193099</v>
      </c>
      <c r="I1131" s="1">
        <f t="shared" si="35"/>
        <v>108.34415458699128</v>
      </c>
    </row>
    <row r="1132" spans="1:9" x14ac:dyDescent="0.45">
      <c r="A1132" t="s">
        <v>49</v>
      </c>
      <c r="B1132" t="s">
        <v>23</v>
      </c>
      <c r="C1132" t="str">
        <f t="shared" si="34"/>
        <v>Norfolk St.Florida</v>
      </c>
      <c r="D1132" t="s">
        <v>23</v>
      </c>
      <c r="E1132">
        <v>0.2</v>
      </c>
      <c r="F1132">
        <v>41.188679245282998</v>
      </c>
      <c r="G1132">
        <v>53543.453252974301</v>
      </c>
      <c r="H1132">
        <v>135.628770994132</v>
      </c>
      <c r="I1132" s="1">
        <f t="shared" si="35"/>
        <v>94.437162846887588</v>
      </c>
    </row>
    <row r="1133" spans="1:9" x14ac:dyDescent="0.45">
      <c r="A1133" t="s">
        <v>50</v>
      </c>
      <c r="B1133" t="s">
        <v>23</v>
      </c>
      <c r="C1133" t="str">
        <f t="shared" si="34"/>
        <v>North CarolinaFlorida</v>
      </c>
      <c r="D1133" t="s">
        <v>23</v>
      </c>
      <c r="E1133">
        <v>10</v>
      </c>
      <c r="F1133">
        <v>14.4339622641509</v>
      </c>
      <c r="G1133">
        <v>903.98339479600702</v>
      </c>
      <c r="H1133">
        <v>137.70070242608799</v>
      </c>
      <c r="I1133" s="1">
        <f t="shared" si="35"/>
        <v>123.61220654210817</v>
      </c>
    </row>
    <row r="1134" spans="1:9" x14ac:dyDescent="0.45">
      <c r="A1134" t="s">
        <v>51</v>
      </c>
      <c r="B1134" t="s">
        <v>23</v>
      </c>
      <c r="C1134" t="str">
        <f t="shared" si="34"/>
        <v>OklahomaFlorida</v>
      </c>
      <c r="D1134" t="s">
        <v>23</v>
      </c>
      <c r="E1134">
        <v>3.5</v>
      </c>
      <c r="F1134">
        <v>21.739622641509399</v>
      </c>
      <c r="G1134">
        <v>2755.3005252105099</v>
      </c>
      <c r="H1134">
        <v>136.04330572159299</v>
      </c>
      <c r="I1134" s="1">
        <f t="shared" si="35"/>
        <v>100.27426179733085</v>
      </c>
    </row>
    <row r="1135" spans="1:9" x14ac:dyDescent="0.45">
      <c r="A1135" t="s">
        <v>52</v>
      </c>
      <c r="B1135" t="s">
        <v>23</v>
      </c>
      <c r="C1135" t="str">
        <f t="shared" si="34"/>
        <v>OregonFlorida</v>
      </c>
      <c r="D1135" t="s">
        <v>23</v>
      </c>
      <c r="E1135">
        <v>10.7</v>
      </c>
      <c r="F1135">
        <v>13.913207547169799</v>
      </c>
      <c r="G1135">
        <v>835.11170024990304</v>
      </c>
      <c r="H1135">
        <v>136.63768350973299</v>
      </c>
      <c r="I1135" s="1">
        <f t="shared" si="35"/>
        <v>108.64374626626557</v>
      </c>
    </row>
    <row r="1136" spans="1:9" x14ac:dyDescent="0.45">
      <c r="A1136" t="s">
        <v>53</v>
      </c>
      <c r="B1136" t="s">
        <v>23</v>
      </c>
      <c r="C1136" t="str">
        <f t="shared" si="34"/>
        <v>PurdueFlorida</v>
      </c>
      <c r="D1136" t="s">
        <v>23</v>
      </c>
      <c r="E1136">
        <v>38.700000000000003</v>
      </c>
      <c r="F1136">
        <v>3.0037735849056602</v>
      </c>
      <c r="G1136">
        <v>158.10183040992399</v>
      </c>
      <c r="H1136">
        <v>137.985670838522</v>
      </c>
      <c r="I1136" s="1">
        <f t="shared" si="35"/>
        <v>127.62487112950294</v>
      </c>
    </row>
    <row r="1137" spans="1:9" x14ac:dyDescent="0.45">
      <c r="A1137" t="s">
        <v>54</v>
      </c>
      <c r="B1137" t="s">
        <v>23</v>
      </c>
      <c r="C1137" t="str">
        <f t="shared" si="34"/>
        <v>Robert MorrisFlorida</v>
      </c>
      <c r="D1137" t="s">
        <v>23</v>
      </c>
      <c r="E1137">
        <v>0.1</v>
      </c>
      <c r="F1137">
        <v>46.943396226415103</v>
      </c>
      <c r="G1137">
        <v>128859.926552569</v>
      </c>
      <c r="H1137">
        <v>135.044307687285</v>
      </c>
      <c r="I1137" s="1">
        <f t="shared" si="35"/>
        <v>86.207285036975335</v>
      </c>
    </row>
    <row r="1138" spans="1:9" x14ac:dyDescent="0.45">
      <c r="A1138" t="s">
        <v>55</v>
      </c>
      <c r="B1138" t="s">
        <v>23</v>
      </c>
      <c r="C1138" t="str">
        <f t="shared" si="34"/>
        <v>Saint FrancisFlorida</v>
      </c>
      <c r="D1138" t="s">
        <v>23</v>
      </c>
      <c r="E1138">
        <v>0.1</v>
      </c>
      <c r="F1138">
        <v>49.671698113207498</v>
      </c>
      <c r="G1138">
        <v>195313.741642824</v>
      </c>
      <c r="H1138">
        <v>136.09716322049201</v>
      </c>
      <c r="I1138" s="1">
        <f t="shared" si="35"/>
        <v>101.03263384548828</v>
      </c>
    </row>
    <row r="1139" spans="1:9" x14ac:dyDescent="0.45">
      <c r="A1139" t="s">
        <v>56</v>
      </c>
      <c r="B1139" t="s">
        <v>23</v>
      </c>
      <c r="C1139" t="str">
        <f t="shared" si="34"/>
        <v>Saint Mary'sFlorida</v>
      </c>
      <c r="D1139" t="s">
        <v>23</v>
      </c>
      <c r="E1139">
        <v>9.3000000000000007</v>
      </c>
      <c r="F1139">
        <v>14.954716981132099</v>
      </c>
      <c r="G1139">
        <v>979.149766879759</v>
      </c>
      <c r="H1139">
        <v>137.34841842158301</v>
      </c>
      <c r="I1139" s="1">
        <f t="shared" si="35"/>
        <v>118.65166534559893</v>
      </c>
    </row>
    <row r="1140" spans="1:9" x14ac:dyDescent="0.45">
      <c r="A1140" t="s">
        <v>57</v>
      </c>
      <c r="B1140" t="s">
        <v>23</v>
      </c>
      <c r="C1140" t="str">
        <f t="shared" si="34"/>
        <v>San Diego St.Florida</v>
      </c>
      <c r="D1140" t="s">
        <v>23</v>
      </c>
      <c r="E1140">
        <v>2.9</v>
      </c>
      <c r="F1140">
        <v>23.0490566037736</v>
      </c>
      <c r="G1140">
        <v>3365.03984391211</v>
      </c>
      <c r="H1140">
        <v>136.49467330138</v>
      </c>
      <c r="I1140" s="1">
        <f t="shared" si="35"/>
        <v>106.63000729150508</v>
      </c>
    </row>
    <row r="1141" spans="1:9" x14ac:dyDescent="0.45">
      <c r="A1141" t="s">
        <v>58</v>
      </c>
      <c r="B1141" t="s">
        <v>23</v>
      </c>
      <c r="C1141" t="str">
        <f t="shared" si="34"/>
        <v>SIU EdwardsvilleFlorida</v>
      </c>
      <c r="D1141" t="s">
        <v>23</v>
      </c>
      <c r="E1141">
        <v>0.1</v>
      </c>
      <c r="F1141">
        <v>42.6452830188679</v>
      </c>
      <c r="G1141">
        <v>66890.921632523794</v>
      </c>
      <c r="H1141">
        <v>136.64236106822901</v>
      </c>
      <c r="I1141" s="1">
        <f t="shared" si="35"/>
        <v>108.70961136749591</v>
      </c>
    </row>
    <row r="1142" spans="1:9" x14ac:dyDescent="0.45">
      <c r="A1142" t="s">
        <v>59</v>
      </c>
      <c r="B1142" t="s">
        <v>23</v>
      </c>
      <c r="C1142" t="str">
        <f t="shared" si="34"/>
        <v>St. John'sFlorida</v>
      </c>
      <c r="D1142" t="s">
        <v>23</v>
      </c>
      <c r="E1142">
        <v>24.2</v>
      </c>
      <c r="F1142">
        <v>7.4905660377358503</v>
      </c>
      <c r="G1142">
        <v>313.44379159664101</v>
      </c>
      <c r="H1142">
        <v>137.62004384077301</v>
      </c>
      <c r="I1142" s="1">
        <f t="shared" si="35"/>
        <v>122.47644610396586</v>
      </c>
    </row>
    <row r="1143" spans="1:9" x14ac:dyDescent="0.45">
      <c r="A1143" t="s">
        <v>60</v>
      </c>
      <c r="B1143" t="s">
        <v>23</v>
      </c>
      <c r="C1143" t="str">
        <f t="shared" si="34"/>
        <v>TennesseeFlorida</v>
      </c>
      <c r="D1143" t="s">
        <v>23</v>
      </c>
      <c r="E1143">
        <v>39</v>
      </c>
      <c r="F1143">
        <v>2.9433962264150901</v>
      </c>
      <c r="G1143">
        <v>156.68240311027</v>
      </c>
      <c r="H1143">
        <v>138.21402671746401</v>
      </c>
      <c r="I1143" s="1">
        <f t="shared" si="35"/>
        <v>130.84036979101231</v>
      </c>
    </row>
    <row r="1144" spans="1:9" x14ac:dyDescent="0.45">
      <c r="A1144" t="s">
        <v>61</v>
      </c>
      <c r="B1144" t="s">
        <v>23</v>
      </c>
      <c r="C1144" t="str">
        <f t="shared" si="34"/>
        <v>TexasFlorida</v>
      </c>
      <c r="D1144" t="s">
        <v>23</v>
      </c>
      <c r="E1144">
        <v>2.5</v>
      </c>
      <c r="F1144">
        <v>23.898113207547201</v>
      </c>
      <c r="G1144">
        <v>3829.8956280800699</v>
      </c>
      <c r="H1144">
        <v>135.96974124853699</v>
      </c>
      <c r="I1144" s="1">
        <f t="shared" si="35"/>
        <v>99.238394160630918</v>
      </c>
    </row>
    <row r="1145" spans="1:9" x14ac:dyDescent="0.45">
      <c r="A1145" t="s">
        <v>62</v>
      </c>
      <c r="B1145" t="s">
        <v>23</v>
      </c>
      <c r="C1145" t="str">
        <f t="shared" si="34"/>
        <v>Texas A&amp;MFlorida</v>
      </c>
      <c r="D1145" t="s">
        <v>23</v>
      </c>
      <c r="E1145">
        <v>13.1</v>
      </c>
      <c r="F1145">
        <v>12.4</v>
      </c>
      <c r="G1145">
        <v>663.11074558949099</v>
      </c>
      <c r="H1145">
        <v>136.76754027613001</v>
      </c>
      <c r="I1145" s="1">
        <f t="shared" si="35"/>
        <v>110.47227049989635</v>
      </c>
    </row>
    <row r="1146" spans="1:9" x14ac:dyDescent="0.45">
      <c r="A1146" t="s">
        <v>63</v>
      </c>
      <c r="B1146" t="s">
        <v>23</v>
      </c>
      <c r="C1146" t="str">
        <f t="shared" si="34"/>
        <v>Texas TechFlorida</v>
      </c>
      <c r="D1146" t="s">
        <v>23</v>
      </c>
      <c r="E1146">
        <v>22.9</v>
      </c>
      <c r="F1146">
        <v>7.9509433962264104</v>
      </c>
      <c r="G1146">
        <v>336.25560531353699</v>
      </c>
      <c r="H1146">
        <v>137.807324395194</v>
      </c>
      <c r="I1146" s="1">
        <f t="shared" si="35"/>
        <v>125.11355960792939</v>
      </c>
    </row>
    <row r="1147" spans="1:9" x14ac:dyDescent="0.45">
      <c r="A1147" t="s">
        <v>64</v>
      </c>
      <c r="B1147" t="s">
        <v>23</v>
      </c>
      <c r="C1147" t="str">
        <f t="shared" si="34"/>
        <v>TroyFlorida</v>
      </c>
      <c r="D1147" t="s">
        <v>23</v>
      </c>
      <c r="E1147">
        <v>0.4</v>
      </c>
      <c r="F1147">
        <v>35.898113207547198</v>
      </c>
      <c r="G1147">
        <v>23885.2855505841</v>
      </c>
      <c r="H1147">
        <v>136.51088881492399</v>
      </c>
      <c r="I1147" s="1">
        <f t="shared" si="35"/>
        <v>106.85833932454901</v>
      </c>
    </row>
    <row r="1148" spans="1:9" x14ac:dyDescent="0.45">
      <c r="A1148" t="s">
        <v>65</v>
      </c>
      <c r="B1148" t="s">
        <v>23</v>
      </c>
      <c r="C1148" t="str">
        <f t="shared" si="34"/>
        <v>UC San DiegoFlorida</v>
      </c>
      <c r="D1148" t="s">
        <v>23</v>
      </c>
      <c r="E1148">
        <v>1.1000000000000001</v>
      </c>
      <c r="F1148">
        <v>29.735849056603801</v>
      </c>
      <c r="G1148">
        <v>9332.2047494680501</v>
      </c>
      <c r="H1148">
        <v>136.599010558315</v>
      </c>
      <c r="I1148" s="1">
        <f t="shared" si="35"/>
        <v>108.09918912984627</v>
      </c>
    </row>
    <row r="1149" spans="1:9" x14ac:dyDescent="0.45">
      <c r="A1149" t="s">
        <v>66</v>
      </c>
      <c r="B1149" t="s">
        <v>23</v>
      </c>
      <c r="C1149" t="str">
        <f t="shared" si="34"/>
        <v>UCLAFlorida</v>
      </c>
      <c r="D1149" t="s">
        <v>23</v>
      </c>
      <c r="E1149">
        <v>4.0999999999999996</v>
      </c>
      <c r="F1149">
        <v>20.690566037735799</v>
      </c>
      <c r="G1149">
        <v>2348.4509560753199</v>
      </c>
      <c r="H1149">
        <v>136.070465071423</v>
      </c>
      <c r="I1149" s="1">
        <f t="shared" si="35"/>
        <v>100.65669492508954</v>
      </c>
    </row>
    <row r="1150" spans="1:9" x14ac:dyDescent="0.45">
      <c r="A1150" t="s">
        <v>67</v>
      </c>
      <c r="B1150" t="s">
        <v>23</v>
      </c>
      <c r="C1150" t="str">
        <f t="shared" si="34"/>
        <v>UNC WilmingtonFlorida</v>
      </c>
      <c r="D1150" t="s">
        <v>23</v>
      </c>
      <c r="E1150">
        <v>0.6</v>
      </c>
      <c r="F1150">
        <v>33.094339622641499</v>
      </c>
      <c r="G1150">
        <v>15581.973033939301</v>
      </c>
      <c r="H1150">
        <v>137.185480745343</v>
      </c>
      <c r="I1150" s="1">
        <f t="shared" si="35"/>
        <v>116.35732599122551</v>
      </c>
    </row>
    <row r="1151" spans="1:9" x14ac:dyDescent="0.45">
      <c r="A1151" t="s">
        <v>68</v>
      </c>
      <c r="B1151" t="s">
        <v>23</v>
      </c>
      <c r="C1151" t="str">
        <f t="shared" si="34"/>
        <v>Utah St.Florida</v>
      </c>
      <c r="D1151" t="s">
        <v>23</v>
      </c>
      <c r="E1151">
        <v>3.2</v>
      </c>
      <c r="F1151">
        <v>22.452830188679201</v>
      </c>
      <c r="G1151">
        <v>3072.1572573942499</v>
      </c>
      <c r="H1151">
        <v>136.55685114917</v>
      </c>
      <c r="I1151" s="1">
        <f t="shared" si="35"/>
        <v>107.50553888399382</v>
      </c>
    </row>
    <row r="1152" spans="1:9" x14ac:dyDescent="0.45">
      <c r="A1152" t="s">
        <v>69</v>
      </c>
      <c r="B1152" t="s">
        <v>23</v>
      </c>
      <c r="C1152" t="str">
        <f t="shared" si="34"/>
        <v>VanderbiltFlorida</v>
      </c>
      <c r="D1152" t="s">
        <v>23</v>
      </c>
      <c r="E1152">
        <v>0.7</v>
      </c>
      <c r="F1152">
        <v>32.573584905660397</v>
      </c>
      <c r="G1152">
        <v>14389.093404261301</v>
      </c>
      <c r="H1152">
        <v>135.131421637768</v>
      </c>
      <c r="I1152" s="1">
        <f t="shared" si="35"/>
        <v>87.433944024143415</v>
      </c>
    </row>
    <row r="1153" spans="1:9" x14ac:dyDescent="0.45">
      <c r="A1153" t="s">
        <v>70</v>
      </c>
      <c r="B1153" t="s">
        <v>23</v>
      </c>
      <c r="C1153" t="str">
        <f t="shared" si="34"/>
        <v>VCUFlorida</v>
      </c>
      <c r="D1153" t="s">
        <v>23</v>
      </c>
      <c r="E1153">
        <v>2.1</v>
      </c>
      <c r="F1153">
        <v>25.2264150943396</v>
      </c>
      <c r="G1153">
        <v>4691.4097850662301</v>
      </c>
      <c r="H1153">
        <v>136.97633279964401</v>
      </c>
      <c r="I1153" s="1">
        <f t="shared" si="35"/>
        <v>113.41229588046885</v>
      </c>
    </row>
    <row r="1154" spans="1:9" x14ac:dyDescent="0.45">
      <c r="A1154" t="s">
        <v>71</v>
      </c>
      <c r="B1154" t="s">
        <v>23</v>
      </c>
      <c r="C1154" t="str">
        <f t="shared" si="34"/>
        <v>WisconsinFlorida</v>
      </c>
      <c r="D1154" t="s">
        <v>23</v>
      </c>
      <c r="E1154">
        <v>20.8</v>
      </c>
      <c r="F1154">
        <v>8.7660377358490607</v>
      </c>
      <c r="G1154">
        <v>380.76983823334302</v>
      </c>
      <c r="H1154">
        <v>137.77701165491001</v>
      </c>
      <c r="I1154" s="1">
        <f t="shared" si="35"/>
        <v>124.6867233194947</v>
      </c>
    </row>
    <row r="1155" spans="1:9" x14ac:dyDescent="0.45">
      <c r="A1155" t="s">
        <v>80</v>
      </c>
      <c r="B1155" t="s">
        <v>23</v>
      </c>
      <c r="C1155" t="str">
        <f t="shared" ref="C1155:C1218" si="36">A1155&amp;B1155</f>
        <v>WoffordFlorida</v>
      </c>
      <c r="D1155" t="s">
        <v>23</v>
      </c>
      <c r="E1155">
        <v>0.2</v>
      </c>
      <c r="F1155">
        <v>40.150943396226403</v>
      </c>
      <c r="G1155">
        <v>45702.254233690001</v>
      </c>
      <c r="H1155">
        <v>135.80646739400501</v>
      </c>
      <c r="I1155" s="1">
        <f t="shared" ref="I1155:I1218" si="37">18*(H1155-AVERAGE($H$2:$H$4625))/_xlfn.STDEV.P($H$2:$H$4625)+AVERAGE($H$2:$H$4625)</f>
        <v>96.939321050976602</v>
      </c>
    </row>
    <row r="1156" spans="1:9" x14ac:dyDescent="0.45">
      <c r="A1156" t="s">
        <v>72</v>
      </c>
      <c r="B1156" t="s">
        <v>23</v>
      </c>
      <c r="C1156" t="str">
        <f t="shared" si="36"/>
        <v>XavierFlorida</v>
      </c>
      <c r="D1156" t="s">
        <v>23</v>
      </c>
      <c r="E1156">
        <v>2.1</v>
      </c>
      <c r="F1156">
        <v>25.301886792452802</v>
      </c>
      <c r="G1156">
        <v>4746.33161306284</v>
      </c>
      <c r="H1156">
        <v>136.38238096415699</v>
      </c>
      <c r="I1156" s="1">
        <f t="shared" si="37"/>
        <v>105.04880928727046</v>
      </c>
    </row>
    <row r="1157" spans="1:9" x14ac:dyDescent="0.45">
      <c r="A1157" t="s">
        <v>73</v>
      </c>
      <c r="B1157" t="s">
        <v>23</v>
      </c>
      <c r="C1157" t="str">
        <f t="shared" si="36"/>
        <v>YaleFlorida</v>
      </c>
      <c r="D1157" t="s">
        <v>23</v>
      </c>
      <c r="E1157">
        <v>1.2</v>
      </c>
      <c r="F1157">
        <v>29.128301886792499</v>
      </c>
      <c r="G1157">
        <v>8504.90874308809</v>
      </c>
      <c r="H1157">
        <v>137.181615598219</v>
      </c>
      <c r="I1157" s="1">
        <f t="shared" si="37"/>
        <v>116.30290052400588</v>
      </c>
    </row>
    <row r="1158" spans="1:9" x14ac:dyDescent="0.45">
      <c r="A1158" t="s">
        <v>7</v>
      </c>
      <c r="B1158" t="s">
        <v>24</v>
      </c>
      <c r="C1158" t="str">
        <f t="shared" si="36"/>
        <v>AkronGeorgia</v>
      </c>
      <c r="D1158" t="s">
        <v>24</v>
      </c>
      <c r="E1158">
        <v>13.8</v>
      </c>
      <c r="F1158">
        <v>12.0150943396226</v>
      </c>
      <c r="G1158">
        <v>625.17659948982396</v>
      </c>
      <c r="H1158">
        <v>138.82226752931999</v>
      </c>
      <c r="I1158" s="1">
        <f t="shared" si="37"/>
        <v>139.40506068252611</v>
      </c>
    </row>
    <row r="1159" spans="1:9" x14ac:dyDescent="0.45">
      <c r="A1159" t="s">
        <v>8</v>
      </c>
      <c r="B1159" t="s">
        <v>24</v>
      </c>
      <c r="C1159" t="str">
        <f t="shared" si="36"/>
        <v>AlabamaGeorgia</v>
      </c>
      <c r="D1159" t="s">
        <v>8</v>
      </c>
      <c r="E1159">
        <v>92.2</v>
      </c>
      <c r="F1159">
        <v>-16.158490566037699</v>
      </c>
      <c r="G1159">
        <v>-1176.3077517971201</v>
      </c>
      <c r="H1159">
        <v>140.57036354146001</v>
      </c>
      <c r="I1159" s="1">
        <f t="shared" si="37"/>
        <v>164.02015013530749</v>
      </c>
    </row>
    <row r="1160" spans="1:9" x14ac:dyDescent="0.45">
      <c r="A1160" t="s">
        <v>9</v>
      </c>
      <c r="B1160" t="s">
        <v>24</v>
      </c>
      <c r="C1160" t="str">
        <f t="shared" si="36"/>
        <v>Alabama St.Georgia</v>
      </c>
      <c r="D1160" t="s">
        <v>24</v>
      </c>
      <c r="E1160">
        <v>2.4</v>
      </c>
      <c r="F1160">
        <v>24.154716981132101</v>
      </c>
      <c r="G1160">
        <v>3983.5148568117002</v>
      </c>
      <c r="H1160">
        <v>139.049108385133</v>
      </c>
      <c r="I1160" s="1">
        <f t="shared" si="37"/>
        <v>142.59922617378373</v>
      </c>
    </row>
    <row r="1161" spans="1:9" x14ac:dyDescent="0.45">
      <c r="A1161" t="s">
        <v>10</v>
      </c>
      <c r="B1161" t="s">
        <v>24</v>
      </c>
      <c r="C1161" t="str">
        <f t="shared" si="36"/>
        <v>AmericanGeorgia</v>
      </c>
      <c r="D1161" t="s">
        <v>24</v>
      </c>
      <c r="E1161">
        <v>3</v>
      </c>
      <c r="F1161">
        <v>22.890566037735901</v>
      </c>
      <c r="G1161">
        <v>3285.2530054786298</v>
      </c>
      <c r="H1161">
        <v>139.14019426673801</v>
      </c>
      <c r="I1161" s="1">
        <f t="shared" si="37"/>
        <v>143.88181426278007</v>
      </c>
    </row>
    <row r="1162" spans="1:9" x14ac:dyDescent="0.45">
      <c r="A1162" t="s">
        <v>11</v>
      </c>
      <c r="B1162" t="s">
        <v>24</v>
      </c>
      <c r="C1162" t="str">
        <f t="shared" si="36"/>
        <v>ArizonaGeorgia</v>
      </c>
      <c r="D1162" t="s">
        <v>11</v>
      </c>
      <c r="E1162">
        <v>89.3</v>
      </c>
      <c r="F1162">
        <v>-13.916981132075501</v>
      </c>
      <c r="G1162">
        <v>-835.76224749319101</v>
      </c>
      <c r="H1162">
        <v>140.33272236044999</v>
      </c>
      <c r="I1162" s="1">
        <f t="shared" si="37"/>
        <v>160.67390434125343</v>
      </c>
    </row>
    <row r="1163" spans="1:9" x14ac:dyDescent="0.45">
      <c r="A1163" t="s">
        <v>12</v>
      </c>
      <c r="B1163" t="s">
        <v>24</v>
      </c>
      <c r="C1163" t="str">
        <f t="shared" si="36"/>
        <v>ArkansasGeorgia</v>
      </c>
      <c r="D1163" t="s">
        <v>24</v>
      </c>
      <c r="E1163">
        <v>33.6</v>
      </c>
      <c r="F1163">
        <v>4.4754716981132097</v>
      </c>
      <c r="G1163">
        <v>197.881589890562</v>
      </c>
      <c r="H1163">
        <v>138.45032619430799</v>
      </c>
      <c r="I1163" s="1">
        <f t="shared" si="37"/>
        <v>134.16772293395522</v>
      </c>
    </row>
    <row r="1164" spans="1:9" x14ac:dyDescent="0.45">
      <c r="A1164" t="s">
        <v>13</v>
      </c>
      <c r="B1164" t="s">
        <v>24</v>
      </c>
      <c r="C1164" t="str">
        <f t="shared" si="36"/>
        <v>AuburnGeorgia</v>
      </c>
      <c r="D1164" t="s">
        <v>13</v>
      </c>
      <c r="E1164">
        <v>95.8</v>
      </c>
      <c r="F1164">
        <v>-20.569811320754699</v>
      </c>
      <c r="G1164">
        <v>-2305.2725548251201</v>
      </c>
      <c r="H1164">
        <v>141.589045599569</v>
      </c>
      <c r="I1164" s="1">
        <f t="shared" si="37"/>
        <v>178.36429931828027</v>
      </c>
    </row>
    <row r="1165" spans="1:9" x14ac:dyDescent="0.45">
      <c r="A1165" t="s">
        <v>14</v>
      </c>
      <c r="B1165" t="s">
        <v>24</v>
      </c>
      <c r="C1165" t="str">
        <f t="shared" si="36"/>
        <v>BaylorGeorgia</v>
      </c>
      <c r="D1165" t="s">
        <v>14</v>
      </c>
      <c r="E1165">
        <v>70.900000000000006</v>
      </c>
      <c r="F1165">
        <v>-5.8377358490565996</v>
      </c>
      <c r="G1165">
        <v>-243.63214062515701</v>
      </c>
      <c r="H1165">
        <v>140.124043612294</v>
      </c>
      <c r="I1165" s="1">
        <f t="shared" si="37"/>
        <v>157.73548104122781</v>
      </c>
    </row>
    <row r="1166" spans="1:9" x14ac:dyDescent="0.45">
      <c r="A1166" t="s">
        <v>15</v>
      </c>
      <c r="B1166" t="s">
        <v>24</v>
      </c>
      <c r="C1166" t="str">
        <f t="shared" si="36"/>
        <v>BryantGeorgia</v>
      </c>
      <c r="D1166" t="s">
        <v>24</v>
      </c>
      <c r="E1166">
        <v>9.9</v>
      </c>
      <c r="F1166">
        <v>14.449056603773601</v>
      </c>
      <c r="G1166">
        <v>906.16141101876997</v>
      </c>
      <c r="H1166">
        <v>139.673041362188</v>
      </c>
      <c r="I1166" s="1">
        <f t="shared" si="37"/>
        <v>151.38487978553681</v>
      </c>
    </row>
    <row r="1167" spans="1:9" x14ac:dyDescent="0.45">
      <c r="A1167" t="s">
        <v>16</v>
      </c>
      <c r="B1167" t="s">
        <v>24</v>
      </c>
      <c r="C1167" t="str">
        <f t="shared" si="36"/>
        <v>BYUGeorgia</v>
      </c>
      <c r="D1167" t="s">
        <v>16</v>
      </c>
      <c r="E1167">
        <v>74.8</v>
      </c>
      <c r="F1167">
        <v>-7.1320754716981103</v>
      </c>
      <c r="G1167">
        <v>-296.804966727806</v>
      </c>
      <c r="H1167">
        <v>139.93356184041201</v>
      </c>
      <c r="I1167" s="1">
        <f t="shared" si="37"/>
        <v>155.053290920412</v>
      </c>
    </row>
    <row r="1168" spans="1:9" x14ac:dyDescent="0.45">
      <c r="A1168" t="s">
        <v>17</v>
      </c>
      <c r="B1168" t="s">
        <v>24</v>
      </c>
      <c r="C1168" t="str">
        <f t="shared" si="36"/>
        <v>ClemsonGeorgia</v>
      </c>
      <c r="D1168" t="s">
        <v>17</v>
      </c>
      <c r="E1168">
        <v>79.2</v>
      </c>
      <c r="F1168">
        <v>-8.7547169811320806</v>
      </c>
      <c r="G1168">
        <v>-380.29681676108999</v>
      </c>
      <c r="H1168">
        <v>140.15547369670301</v>
      </c>
      <c r="I1168" s="1">
        <f t="shared" si="37"/>
        <v>158.17805074784772</v>
      </c>
    </row>
    <row r="1169" spans="1:9" x14ac:dyDescent="0.45">
      <c r="A1169" t="s">
        <v>18</v>
      </c>
      <c r="B1169" t="s">
        <v>24</v>
      </c>
      <c r="C1169" t="str">
        <f t="shared" si="36"/>
        <v>Colorado St.Georgia</v>
      </c>
      <c r="D1169" t="s">
        <v>24</v>
      </c>
      <c r="E1169">
        <v>38.5</v>
      </c>
      <c r="F1169">
        <v>3.0830188679245301</v>
      </c>
      <c r="G1169">
        <v>160.03642446151301</v>
      </c>
      <c r="H1169">
        <v>139.46286554480901</v>
      </c>
      <c r="I1169" s="1">
        <f t="shared" si="37"/>
        <v>148.42537612574523</v>
      </c>
    </row>
    <row r="1170" spans="1:9" x14ac:dyDescent="0.45">
      <c r="A1170" t="s">
        <v>19</v>
      </c>
      <c r="B1170" t="s">
        <v>24</v>
      </c>
      <c r="C1170" t="str">
        <f t="shared" si="36"/>
        <v>ConnecticutGeorgia</v>
      </c>
      <c r="D1170" t="s">
        <v>19</v>
      </c>
      <c r="E1170">
        <v>86.6</v>
      </c>
      <c r="F1170">
        <v>-12.218867924528301</v>
      </c>
      <c r="G1170">
        <v>-645.02745618958295</v>
      </c>
      <c r="H1170">
        <v>140.09841744714501</v>
      </c>
      <c r="I1170" s="1">
        <f t="shared" si="37"/>
        <v>157.37463681808816</v>
      </c>
    </row>
    <row r="1171" spans="1:9" x14ac:dyDescent="0.45">
      <c r="A1171" t="s">
        <v>20</v>
      </c>
      <c r="B1171" t="s">
        <v>24</v>
      </c>
      <c r="C1171" t="str">
        <f t="shared" si="36"/>
        <v>CreightonGeorgia</v>
      </c>
      <c r="D1171" t="s">
        <v>20</v>
      </c>
      <c r="E1171">
        <v>66.599999999999994</v>
      </c>
      <c r="F1171">
        <v>-4.52830188679245</v>
      </c>
      <c r="G1171">
        <v>-199.525392594545</v>
      </c>
      <c r="H1171">
        <v>139.57135980940799</v>
      </c>
      <c r="I1171" s="1">
        <f t="shared" si="37"/>
        <v>149.95309314453101</v>
      </c>
    </row>
    <row r="1172" spans="1:9" x14ac:dyDescent="0.45">
      <c r="A1172" t="s">
        <v>21</v>
      </c>
      <c r="B1172" t="s">
        <v>24</v>
      </c>
      <c r="C1172" t="str">
        <f t="shared" si="36"/>
        <v>DrakeGeorgia</v>
      </c>
      <c r="D1172" t="s">
        <v>24</v>
      </c>
      <c r="E1172">
        <v>38.299999999999997</v>
      </c>
      <c r="F1172">
        <v>3.1320754716981098</v>
      </c>
      <c r="G1172">
        <v>161.27859721944799</v>
      </c>
      <c r="H1172">
        <v>139.62482491356201</v>
      </c>
      <c r="I1172" s="1">
        <f t="shared" si="37"/>
        <v>150.70593984872446</v>
      </c>
    </row>
    <row r="1173" spans="1:9" x14ac:dyDescent="0.45">
      <c r="A1173" t="s">
        <v>22</v>
      </c>
      <c r="B1173" t="s">
        <v>24</v>
      </c>
      <c r="C1173" t="str">
        <f t="shared" si="36"/>
        <v>DukeGeorgia</v>
      </c>
      <c r="D1173" t="s">
        <v>22</v>
      </c>
      <c r="E1173">
        <v>97.1</v>
      </c>
      <c r="F1173">
        <v>-23.079245283018899</v>
      </c>
      <c r="G1173">
        <v>-3380.11673348144</v>
      </c>
      <c r="H1173">
        <v>141.91214537501901</v>
      </c>
      <c r="I1173" s="1">
        <f t="shared" si="37"/>
        <v>182.91389488948644</v>
      </c>
    </row>
    <row r="1174" spans="1:9" x14ac:dyDescent="0.45">
      <c r="A1174" t="s">
        <v>23</v>
      </c>
      <c r="B1174" t="s">
        <v>24</v>
      </c>
      <c r="C1174" t="str">
        <f t="shared" si="36"/>
        <v>FloridaGeorgia</v>
      </c>
      <c r="D1174" t="s">
        <v>23</v>
      </c>
      <c r="E1174">
        <v>94.9</v>
      </c>
      <c r="F1174">
        <v>-19.177358490566</v>
      </c>
      <c r="G1174">
        <v>-1864.59739673235</v>
      </c>
      <c r="H1174">
        <v>141.63590165096099</v>
      </c>
      <c r="I1174" s="1">
        <f t="shared" si="37"/>
        <v>179.02408338529261</v>
      </c>
    </row>
    <row r="1175" spans="1:9" x14ac:dyDescent="0.45">
      <c r="A1175" t="s">
        <v>24</v>
      </c>
      <c r="B1175" t="s">
        <v>24</v>
      </c>
      <c r="C1175" t="str">
        <f t="shared" si="36"/>
        <v>GeorgiaGeorgia</v>
      </c>
      <c r="D1175" t="s">
        <v>24</v>
      </c>
      <c r="E1175">
        <v>41.2</v>
      </c>
      <c r="F1175">
        <v>2.3283018867924499</v>
      </c>
      <c r="G1175">
        <v>142.64273539779199</v>
      </c>
      <c r="H1175">
        <v>138.77771517530499</v>
      </c>
      <c r="I1175" s="1">
        <f t="shared" si="37"/>
        <v>138.77771517530277</v>
      </c>
    </row>
    <row r="1176" spans="1:9" x14ac:dyDescent="0.45">
      <c r="A1176" t="s">
        <v>25</v>
      </c>
      <c r="B1176" t="s">
        <v>24</v>
      </c>
      <c r="C1176" t="str">
        <f t="shared" si="36"/>
        <v>GonzagaGeorgia</v>
      </c>
      <c r="D1176" t="s">
        <v>25</v>
      </c>
      <c r="E1176">
        <v>79.8</v>
      </c>
      <c r="F1176">
        <v>-9</v>
      </c>
      <c r="G1176">
        <v>-394.61319104917601</v>
      </c>
      <c r="H1176">
        <v>140.915356294834</v>
      </c>
      <c r="I1176" s="1">
        <f t="shared" si="37"/>
        <v>168.8780226010573</v>
      </c>
    </row>
    <row r="1177" spans="1:9" x14ac:dyDescent="0.45">
      <c r="A1177" t="s">
        <v>26</v>
      </c>
      <c r="B1177" t="s">
        <v>24</v>
      </c>
      <c r="C1177" t="str">
        <f t="shared" si="36"/>
        <v>Grand CanyonGeorgia</v>
      </c>
      <c r="D1177" t="s">
        <v>24</v>
      </c>
      <c r="E1177">
        <v>27.8</v>
      </c>
      <c r="F1177">
        <v>6.24905660377358</v>
      </c>
      <c r="G1177">
        <v>259.48424720946201</v>
      </c>
      <c r="H1177">
        <v>139.56732454113799</v>
      </c>
      <c r="I1177" s="1">
        <f t="shared" si="37"/>
        <v>149.89627218690495</v>
      </c>
    </row>
    <row r="1178" spans="1:9" x14ac:dyDescent="0.45">
      <c r="A1178" t="s">
        <v>27</v>
      </c>
      <c r="B1178" t="s">
        <v>24</v>
      </c>
      <c r="C1178" t="str">
        <f t="shared" si="36"/>
        <v>High PointGeorgia</v>
      </c>
      <c r="D1178" t="s">
        <v>24</v>
      </c>
      <c r="E1178">
        <v>20.2</v>
      </c>
      <c r="F1178">
        <v>9.02264150943396</v>
      </c>
      <c r="G1178">
        <v>396.08378777807002</v>
      </c>
      <c r="H1178">
        <v>139.84821628879399</v>
      </c>
      <c r="I1178" s="1">
        <f t="shared" si="37"/>
        <v>153.85153290890395</v>
      </c>
    </row>
    <row r="1179" spans="1:9" x14ac:dyDescent="0.45">
      <c r="A1179" t="s">
        <v>28</v>
      </c>
      <c r="B1179" t="s">
        <v>24</v>
      </c>
      <c r="C1179" t="str">
        <f t="shared" si="36"/>
        <v>HoustonGeorgia</v>
      </c>
      <c r="D1179" t="s">
        <v>28</v>
      </c>
      <c r="E1179">
        <v>98.3</v>
      </c>
      <c r="F1179">
        <v>-26.592452830188702</v>
      </c>
      <c r="G1179">
        <v>-5777.2205208144796</v>
      </c>
      <c r="H1179">
        <v>142.05580972464799</v>
      </c>
      <c r="I1179" s="1">
        <f t="shared" si="37"/>
        <v>184.93684488349953</v>
      </c>
    </row>
    <row r="1180" spans="1:9" x14ac:dyDescent="0.45">
      <c r="A1180" t="s">
        <v>29</v>
      </c>
      <c r="B1180" t="s">
        <v>24</v>
      </c>
      <c r="C1180" t="str">
        <f t="shared" si="36"/>
        <v>IllinoisGeorgia</v>
      </c>
      <c r="D1180" t="s">
        <v>29</v>
      </c>
      <c r="E1180">
        <v>85.2</v>
      </c>
      <c r="F1180">
        <v>-11.4792452830189</v>
      </c>
      <c r="G1180">
        <v>-576.257110207555</v>
      </c>
      <c r="H1180">
        <v>140.10605487858501</v>
      </c>
      <c r="I1180" s="1">
        <f t="shared" si="37"/>
        <v>157.48218014338585</v>
      </c>
    </row>
    <row r="1181" spans="1:9" x14ac:dyDescent="0.45">
      <c r="A1181" t="s">
        <v>30</v>
      </c>
      <c r="B1181" t="s">
        <v>24</v>
      </c>
      <c r="C1181" t="str">
        <f t="shared" si="36"/>
        <v>Iowa St.Georgia</v>
      </c>
      <c r="D1181" t="s">
        <v>30</v>
      </c>
      <c r="E1181">
        <v>92.4</v>
      </c>
      <c r="F1181">
        <v>-16.366037735849101</v>
      </c>
      <c r="G1181">
        <v>-1213.82667166785</v>
      </c>
      <c r="H1181">
        <v>141.032323456943</v>
      </c>
      <c r="I1181" s="1">
        <f t="shared" si="37"/>
        <v>170.52504721432581</v>
      </c>
    </row>
    <row r="1182" spans="1:9" x14ac:dyDescent="0.45">
      <c r="A1182" t="s">
        <v>31</v>
      </c>
      <c r="B1182" t="s">
        <v>24</v>
      </c>
      <c r="C1182" t="str">
        <f t="shared" si="36"/>
        <v>KansasGeorgia</v>
      </c>
      <c r="D1182" t="s">
        <v>31</v>
      </c>
      <c r="E1182">
        <v>77.900000000000006</v>
      </c>
      <c r="F1182">
        <v>-8.2603773584905706</v>
      </c>
      <c r="G1182">
        <v>-352.65105663308498</v>
      </c>
      <c r="H1182">
        <v>139.98771374125499</v>
      </c>
      <c r="I1182" s="1">
        <f t="shared" si="37"/>
        <v>155.81580846752104</v>
      </c>
    </row>
    <row r="1183" spans="1:9" x14ac:dyDescent="0.45">
      <c r="A1183" t="s">
        <v>32</v>
      </c>
      <c r="B1183" t="s">
        <v>24</v>
      </c>
      <c r="C1183" t="str">
        <f t="shared" si="36"/>
        <v>KentuckyGeorgia</v>
      </c>
      <c r="D1183" t="s">
        <v>32</v>
      </c>
      <c r="E1183">
        <v>85.6</v>
      </c>
      <c r="F1183">
        <v>-11.690566037735801</v>
      </c>
      <c r="G1183">
        <v>-594.914498972366</v>
      </c>
      <c r="H1183">
        <v>139.934751341647</v>
      </c>
      <c r="I1183" s="1">
        <f t="shared" si="37"/>
        <v>155.07004038903392</v>
      </c>
    </row>
    <row r="1184" spans="1:9" x14ac:dyDescent="0.45">
      <c r="A1184" t="s">
        <v>33</v>
      </c>
      <c r="B1184" t="s">
        <v>24</v>
      </c>
      <c r="C1184" t="str">
        <f t="shared" si="36"/>
        <v>LibertyGeorgia</v>
      </c>
      <c r="D1184" t="s">
        <v>24</v>
      </c>
      <c r="E1184">
        <v>14.2</v>
      </c>
      <c r="F1184">
        <v>11.8</v>
      </c>
      <c r="G1184">
        <v>604.93055991426399</v>
      </c>
      <c r="H1184">
        <v>139.143687590046</v>
      </c>
      <c r="I1184" s="1">
        <f t="shared" si="37"/>
        <v>143.93100404704623</v>
      </c>
    </row>
    <row r="1185" spans="1:9" x14ac:dyDescent="0.45">
      <c r="A1185" t="s">
        <v>34</v>
      </c>
      <c r="B1185" t="s">
        <v>24</v>
      </c>
      <c r="C1185" t="str">
        <f t="shared" si="36"/>
        <v>LipscombGeorgia</v>
      </c>
      <c r="D1185" t="s">
        <v>24</v>
      </c>
      <c r="E1185">
        <v>11.2</v>
      </c>
      <c r="F1185">
        <v>13.5433962264151</v>
      </c>
      <c r="G1185">
        <v>789.10605183271298</v>
      </c>
      <c r="H1185">
        <v>139.57560782130301</v>
      </c>
      <c r="I1185" s="1">
        <f t="shared" si="37"/>
        <v>150.01290976333576</v>
      </c>
    </row>
    <row r="1186" spans="1:9" x14ac:dyDescent="0.45">
      <c r="A1186" t="s">
        <v>35</v>
      </c>
      <c r="B1186" t="s">
        <v>24</v>
      </c>
      <c r="C1186" t="str">
        <f t="shared" si="36"/>
        <v>LouisvilleGeorgia</v>
      </c>
      <c r="D1186" t="s">
        <v>24</v>
      </c>
      <c r="E1186">
        <v>24.3</v>
      </c>
      <c r="F1186">
        <v>7.4339622641509404</v>
      </c>
      <c r="G1186">
        <v>310.82940895170498</v>
      </c>
      <c r="H1186">
        <v>138.86133113327099</v>
      </c>
      <c r="I1186" s="1">
        <f t="shared" si="37"/>
        <v>139.95511863067333</v>
      </c>
    </row>
    <row r="1187" spans="1:9" x14ac:dyDescent="0.45">
      <c r="A1187" t="s">
        <v>36</v>
      </c>
      <c r="B1187" t="s">
        <v>24</v>
      </c>
      <c r="C1187" t="str">
        <f t="shared" si="36"/>
        <v>MarquetteGeorgia</v>
      </c>
      <c r="D1187" t="s">
        <v>36</v>
      </c>
      <c r="E1187">
        <v>81.900000000000006</v>
      </c>
      <c r="F1187">
        <v>-9.9094339622641492</v>
      </c>
      <c r="G1187">
        <v>-453.50627807002502</v>
      </c>
      <c r="H1187">
        <v>140.19308776817701</v>
      </c>
      <c r="I1187" s="1">
        <f t="shared" si="37"/>
        <v>158.70769770521494</v>
      </c>
    </row>
    <row r="1188" spans="1:9" x14ac:dyDescent="0.45">
      <c r="A1188" t="s">
        <v>37</v>
      </c>
      <c r="B1188" t="s">
        <v>24</v>
      </c>
      <c r="C1188" t="str">
        <f t="shared" si="36"/>
        <v>MarylandGeorgia</v>
      </c>
      <c r="D1188" t="s">
        <v>37</v>
      </c>
      <c r="E1188">
        <v>75.5</v>
      </c>
      <c r="F1188">
        <v>-7.3660377358490603</v>
      </c>
      <c r="G1188">
        <v>-307.63726766182702</v>
      </c>
      <c r="H1188">
        <v>139.80302707985501</v>
      </c>
      <c r="I1188" s="1">
        <f t="shared" si="37"/>
        <v>153.21521979302901</v>
      </c>
    </row>
    <row r="1189" spans="1:9" x14ac:dyDescent="0.45">
      <c r="A1189" t="s">
        <v>38</v>
      </c>
      <c r="B1189" t="s">
        <v>24</v>
      </c>
      <c r="C1189" t="str">
        <f t="shared" si="36"/>
        <v>McNeese St.Georgia</v>
      </c>
      <c r="D1189" t="s">
        <v>24</v>
      </c>
      <c r="E1189">
        <v>35.4</v>
      </c>
      <c r="F1189">
        <v>3.93962264150943</v>
      </c>
      <c r="G1189">
        <v>182.43586328662599</v>
      </c>
      <c r="H1189">
        <v>139.63843869405599</v>
      </c>
      <c r="I1189" s="1">
        <f t="shared" si="37"/>
        <v>150.89763665617824</v>
      </c>
    </row>
    <row r="1190" spans="1:9" x14ac:dyDescent="0.45">
      <c r="A1190" t="s">
        <v>39</v>
      </c>
      <c r="B1190" t="s">
        <v>24</v>
      </c>
      <c r="C1190" t="str">
        <f t="shared" si="36"/>
        <v>MemphisGeorgia</v>
      </c>
      <c r="D1190" t="s">
        <v>39</v>
      </c>
      <c r="E1190">
        <v>61.2</v>
      </c>
      <c r="F1190">
        <v>-2.9811320754717001</v>
      </c>
      <c r="G1190">
        <v>-157.569603108248</v>
      </c>
      <c r="H1190">
        <v>138.780661892875</v>
      </c>
      <c r="I1190" s="1">
        <f t="shared" si="37"/>
        <v>138.81920815742399</v>
      </c>
    </row>
    <row r="1191" spans="1:9" x14ac:dyDescent="0.45">
      <c r="A1191" t="s">
        <v>40</v>
      </c>
      <c r="B1191" t="s">
        <v>24</v>
      </c>
      <c r="C1191" t="str">
        <f t="shared" si="36"/>
        <v>MichiganGeorgia</v>
      </c>
      <c r="D1191" t="s">
        <v>24</v>
      </c>
      <c r="E1191">
        <v>45.4</v>
      </c>
      <c r="F1191">
        <v>1.20754716981132</v>
      </c>
      <c r="G1191">
        <v>120.225501806133</v>
      </c>
      <c r="H1191">
        <v>138.43758297755801</v>
      </c>
      <c r="I1191" s="1">
        <f t="shared" si="37"/>
        <v>133.98828460903565</v>
      </c>
    </row>
    <row r="1192" spans="1:9" x14ac:dyDescent="0.45">
      <c r="A1192" t="s">
        <v>41</v>
      </c>
      <c r="B1192" t="s">
        <v>24</v>
      </c>
      <c r="C1192" t="str">
        <f t="shared" si="36"/>
        <v>Michigan St.Georgia</v>
      </c>
      <c r="D1192" t="s">
        <v>41</v>
      </c>
      <c r="E1192">
        <v>88.9</v>
      </c>
      <c r="F1192">
        <v>-13.615094339622599</v>
      </c>
      <c r="G1192">
        <v>-798.13661862521599</v>
      </c>
      <c r="H1192">
        <v>140.13647493838701</v>
      </c>
      <c r="I1192" s="1">
        <f t="shared" si="37"/>
        <v>157.91052760713211</v>
      </c>
    </row>
    <row r="1193" spans="1:9" x14ac:dyDescent="0.45">
      <c r="A1193" t="s">
        <v>42</v>
      </c>
      <c r="B1193" t="s">
        <v>24</v>
      </c>
      <c r="C1193" t="str">
        <f t="shared" si="36"/>
        <v>MississippiGeorgia</v>
      </c>
      <c r="D1193" t="s">
        <v>42</v>
      </c>
      <c r="E1193">
        <v>67.2</v>
      </c>
      <c r="F1193">
        <v>-4.7056603773584902</v>
      </c>
      <c r="G1193">
        <v>-205.00211724718201</v>
      </c>
      <c r="H1193">
        <v>139.26739604348199</v>
      </c>
      <c r="I1193" s="1">
        <f t="shared" si="37"/>
        <v>145.67295336003875</v>
      </c>
    </row>
    <row r="1194" spans="1:9" x14ac:dyDescent="0.45">
      <c r="A1194" t="s">
        <v>43</v>
      </c>
      <c r="B1194" t="s">
        <v>24</v>
      </c>
      <c r="C1194" t="str">
        <f t="shared" si="36"/>
        <v>Mississippi St.Georgia</v>
      </c>
      <c r="D1194" t="s">
        <v>43</v>
      </c>
      <c r="E1194">
        <v>60.7</v>
      </c>
      <c r="F1194">
        <v>-2.8566037735849101</v>
      </c>
      <c r="G1194">
        <v>-154.62049684335301</v>
      </c>
      <c r="H1194">
        <v>139.391767397271</v>
      </c>
      <c r="I1194" s="1">
        <f t="shared" si="37"/>
        <v>147.42423702959647</v>
      </c>
    </row>
    <row r="1195" spans="1:9" x14ac:dyDescent="0.45">
      <c r="A1195" t="s">
        <v>44</v>
      </c>
      <c r="B1195" t="s">
        <v>24</v>
      </c>
      <c r="C1195" t="str">
        <f t="shared" si="36"/>
        <v>MissouriGeorgia</v>
      </c>
      <c r="D1195" t="s">
        <v>24</v>
      </c>
      <c r="E1195">
        <v>40.4</v>
      </c>
      <c r="F1195">
        <v>2.55471698113208</v>
      </c>
      <c r="G1195">
        <v>147.683466071673</v>
      </c>
      <c r="H1195">
        <v>138.656239333445</v>
      </c>
      <c r="I1195" s="1">
        <f t="shared" si="37"/>
        <v>137.06720345685599</v>
      </c>
    </row>
    <row r="1196" spans="1:9" x14ac:dyDescent="0.45">
      <c r="A1196" t="s">
        <v>45</v>
      </c>
      <c r="B1196" t="s">
        <v>24</v>
      </c>
      <c r="C1196" t="str">
        <f t="shared" si="36"/>
        <v>MontanaGeorgia</v>
      </c>
      <c r="D1196" t="s">
        <v>24</v>
      </c>
      <c r="E1196">
        <v>6.2</v>
      </c>
      <c r="F1196">
        <v>17.811320754716998</v>
      </c>
      <c r="G1196">
        <v>1513.9932834774099</v>
      </c>
      <c r="H1196">
        <v>137.96497405846401</v>
      </c>
      <c r="I1196" s="1">
        <f t="shared" si="37"/>
        <v>127.33343799941515</v>
      </c>
    </row>
    <row r="1197" spans="1:9" x14ac:dyDescent="0.45">
      <c r="A1197" t="s">
        <v>46</v>
      </c>
      <c r="B1197" t="s">
        <v>24</v>
      </c>
      <c r="C1197" t="str">
        <f t="shared" si="36"/>
        <v>Mount St. Mary'sGeorgia</v>
      </c>
      <c r="D1197" t="s">
        <v>24</v>
      </c>
      <c r="E1197">
        <v>2.5</v>
      </c>
      <c r="F1197">
        <v>23.9283018867925</v>
      </c>
      <c r="G1197">
        <v>3848.79380105264</v>
      </c>
      <c r="H1197">
        <v>139.312848280411</v>
      </c>
      <c r="I1197" s="1">
        <f t="shared" si="37"/>
        <v>146.31297019553676</v>
      </c>
    </row>
    <row r="1198" spans="1:9" x14ac:dyDescent="0.45">
      <c r="A1198" t="s">
        <v>47</v>
      </c>
      <c r="B1198" t="s">
        <v>24</v>
      </c>
      <c r="C1198" t="str">
        <f t="shared" si="36"/>
        <v>Nebraska OmahaGeorgia</v>
      </c>
      <c r="D1198" t="s">
        <v>24</v>
      </c>
      <c r="E1198">
        <v>3.3</v>
      </c>
      <c r="F1198">
        <v>22.215094339622599</v>
      </c>
      <c r="G1198">
        <v>2962.47218127819</v>
      </c>
      <c r="H1198">
        <v>138.59684946031101</v>
      </c>
      <c r="I1198" s="1">
        <f t="shared" si="37"/>
        <v>136.23092957393982</v>
      </c>
    </row>
    <row r="1199" spans="1:9" x14ac:dyDescent="0.45">
      <c r="A1199" t="s">
        <v>48</v>
      </c>
      <c r="B1199" t="s">
        <v>24</v>
      </c>
      <c r="C1199" t="str">
        <f t="shared" si="36"/>
        <v>New MexicoGeorgia</v>
      </c>
      <c r="D1199" t="s">
        <v>24</v>
      </c>
      <c r="E1199">
        <v>46.3</v>
      </c>
      <c r="F1199">
        <v>0.96603773584905706</v>
      </c>
      <c r="G1199">
        <v>115.88273962577399</v>
      </c>
      <c r="H1199">
        <v>139.47459380758599</v>
      </c>
      <c r="I1199" s="1">
        <f t="shared" si="37"/>
        <v>148.59052279696712</v>
      </c>
    </row>
    <row r="1200" spans="1:9" x14ac:dyDescent="0.45">
      <c r="A1200" t="s">
        <v>49</v>
      </c>
      <c r="B1200" t="s">
        <v>24</v>
      </c>
      <c r="C1200" t="str">
        <f t="shared" si="36"/>
        <v>Norfolk St.Georgia</v>
      </c>
      <c r="D1200" t="s">
        <v>24</v>
      </c>
      <c r="E1200">
        <v>4.7</v>
      </c>
      <c r="F1200">
        <v>19.679245283018901</v>
      </c>
      <c r="G1200">
        <v>2013.1291861644499</v>
      </c>
      <c r="H1200">
        <v>138.486957469788</v>
      </c>
      <c r="I1200" s="1">
        <f t="shared" si="37"/>
        <v>134.68353105687746</v>
      </c>
    </row>
    <row r="1201" spans="1:9" x14ac:dyDescent="0.45">
      <c r="A1201" t="s">
        <v>50</v>
      </c>
      <c r="B1201" t="s">
        <v>24</v>
      </c>
      <c r="C1201" t="str">
        <f t="shared" si="36"/>
        <v>North CarolinaGeorgia</v>
      </c>
      <c r="D1201" t="s">
        <v>50</v>
      </c>
      <c r="E1201">
        <v>74.599999999999994</v>
      </c>
      <c r="F1201">
        <v>-7.0754716981132102</v>
      </c>
      <c r="G1201">
        <v>-294.22141448242297</v>
      </c>
      <c r="H1201">
        <v>140.55888890174401</v>
      </c>
      <c r="I1201" s="1">
        <f t="shared" si="37"/>
        <v>163.85857475209843</v>
      </c>
    </row>
    <row r="1202" spans="1:9" x14ac:dyDescent="0.45">
      <c r="A1202" t="s">
        <v>51</v>
      </c>
      <c r="B1202" t="s">
        <v>24</v>
      </c>
      <c r="C1202" t="str">
        <f t="shared" si="36"/>
        <v>OklahomaGeorgia</v>
      </c>
      <c r="D1202" t="s">
        <v>24</v>
      </c>
      <c r="E1202">
        <v>49.1</v>
      </c>
      <c r="F1202">
        <v>0.230188679245283</v>
      </c>
      <c r="G1202">
        <v>103.59391423165999</v>
      </c>
      <c r="H1202">
        <v>138.90149219724799</v>
      </c>
      <c r="I1202" s="1">
        <f t="shared" si="37"/>
        <v>140.52063000730672</v>
      </c>
    </row>
    <row r="1203" spans="1:9" x14ac:dyDescent="0.45">
      <c r="A1203" t="s">
        <v>52</v>
      </c>
      <c r="B1203" t="s">
        <v>24</v>
      </c>
      <c r="C1203" t="str">
        <f t="shared" si="36"/>
        <v>OregonGeorgia</v>
      </c>
      <c r="D1203" t="s">
        <v>52</v>
      </c>
      <c r="E1203">
        <v>76.099999999999994</v>
      </c>
      <c r="F1203">
        <v>-7.5924528301886802</v>
      </c>
      <c r="G1203">
        <v>-318.48586602955402</v>
      </c>
      <c r="H1203">
        <v>139.49586998538899</v>
      </c>
      <c r="I1203" s="1">
        <f t="shared" si="37"/>
        <v>148.89011447625543</v>
      </c>
    </row>
    <row r="1204" spans="1:9" x14ac:dyDescent="0.45">
      <c r="A1204" t="s">
        <v>53</v>
      </c>
      <c r="B1204" t="s">
        <v>24</v>
      </c>
      <c r="C1204" t="str">
        <f t="shared" si="36"/>
        <v>PurdueGeorgia</v>
      </c>
      <c r="D1204" t="s">
        <v>53</v>
      </c>
      <c r="E1204">
        <v>94.4</v>
      </c>
      <c r="F1204">
        <v>-18.505660377358499</v>
      </c>
      <c r="G1204">
        <v>-1682.27826582335</v>
      </c>
      <c r="H1204">
        <v>140.843857314178</v>
      </c>
      <c r="I1204" s="1">
        <f t="shared" si="37"/>
        <v>167.8712393394928</v>
      </c>
    </row>
    <row r="1205" spans="1:9" x14ac:dyDescent="0.45">
      <c r="A1205" t="s">
        <v>54</v>
      </c>
      <c r="B1205" t="s">
        <v>24</v>
      </c>
      <c r="C1205" t="str">
        <f t="shared" si="36"/>
        <v>Robert MorrisGeorgia</v>
      </c>
      <c r="D1205" t="s">
        <v>24</v>
      </c>
      <c r="E1205">
        <v>2</v>
      </c>
      <c r="F1205">
        <v>25.437735849056601</v>
      </c>
      <c r="G1205">
        <v>4844.8813684906299</v>
      </c>
      <c r="H1205">
        <v>137.902494162941</v>
      </c>
      <c r="I1205" s="1">
        <f t="shared" si="37"/>
        <v>126.4536532469652</v>
      </c>
    </row>
    <row r="1206" spans="1:9" x14ac:dyDescent="0.45">
      <c r="A1206" t="s">
        <v>55</v>
      </c>
      <c r="B1206" t="s">
        <v>24</v>
      </c>
      <c r="C1206" t="str">
        <f t="shared" si="36"/>
        <v>Saint FrancisGeorgia</v>
      </c>
      <c r="D1206" t="s">
        <v>24</v>
      </c>
      <c r="E1206">
        <v>1.3</v>
      </c>
      <c r="F1206">
        <v>28.166037735849098</v>
      </c>
      <c r="G1206">
        <v>7343.4149251161698</v>
      </c>
      <c r="H1206">
        <v>138.95534969614801</v>
      </c>
      <c r="I1206" s="1">
        <f t="shared" si="37"/>
        <v>141.27900205547814</v>
      </c>
    </row>
    <row r="1207" spans="1:9" x14ac:dyDescent="0.45">
      <c r="A1207" t="s">
        <v>56</v>
      </c>
      <c r="B1207" t="s">
        <v>24</v>
      </c>
      <c r="C1207" t="str">
        <f t="shared" si="36"/>
        <v>Saint Mary'sGeorgia</v>
      </c>
      <c r="D1207" t="s">
        <v>56</v>
      </c>
      <c r="E1207">
        <v>73.099999999999994</v>
      </c>
      <c r="F1207">
        <v>-6.5509433962264101</v>
      </c>
      <c r="G1207">
        <v>-271.63492458673602</v>
      </c>
      <c r="H1207">
        <v>140.20660489723801</v>
      </c>
      <c r="I1207" s="1">
        <f t="shared" si="37"/>
        <v>158.89803355557478</v>
      </c>
    </row>
    <row r="1208" spans="1:9" x14ac:dyDescent="0.45">
      <c r="A1208" t="s">
        <v>57</v>
      </c>
      <c r="B1208" t="s">
        <v>24</v>
      </c>
      <c r="C1208" t="str">
        <f t="shared" si="36"/>
        <v>San Diego St.Georgia</v>
      </c>
      <c r="D1208" t="s">
        <v>24</v>
      </c>
      <c r="E1208">
        <v>44.1</v>
      </c>
      <c r="F1208">
        <v>1.54339622641509</v>
      </c>
      <c r="G1208">
        <v>126.518920817073</v>
      </c>
      <c r="H1208">
        <v>139.352859777036</v>
      </c>
      <c r="I1208" s="1">
        <f t="shared" si="37"/>
        <v>146.87637550149492</v>
      </c>
    </row>
    <row r="1209" spans="1:9" x14ac:dyDescent="0.45">
      <c r="A1209" t="s">
        <v>58</v>
      </c>
      <c r="B1209" t="s">
        <v>24</v>
      </c>
      <c r="C1209" t="str">
        <f t="shared" si="36"/>
        <v>SIU EdwardsvilleGeorgia</v>
      </c>
      <c r="D1209" t="s">
        <v>24</v>
      </c>
      <c r="E1209">
        <v>3.8</v>
      </c>
      <c r="F1209">
        <v>21.139622641509401</v>
      </c>
      <c r="G1209">
        <v>2514.96790824548</v>
      </c>
      <c r="H1209">
        <v>139.50054754388401</v>
      </c>
      <c r="I1209" s="1">
        <f t="shared" si="37"/>
        <v>148.95597957747177</v>
      </c>
    </row>
    <row r="1210" spans="1:9" x14ac:dyDescent="0.45">
      <c r="A1210" t="s">
        <v>59</v>
      </c>
      <c r="B1210" t="s">
        <v>24</v>
      </c>
      <c r="C1210" t="str">
        <f t="shared" si="36"/>
        <v>St. John'sGeorgia</v>
      </c>
      <c r="D1210" t="s">
        <v>59</v>
      </c>
      <c r="E1210">
        <v>89.5</v>
      </c>
      <c r="F1210">
        <v>-14.018867924528299</v>
      </c>
      <c r="G1210">
        <v>-848.54535395542905</v>
      </c>
      <c r="H1210">
        <v>140.47823031642901</v>
      </c>
      <c r="I1210" s="1">
        <f t="shared" si="37"/>
        <v>162.72281431395572</v>
      </c>
    </row>
    <row r="1211" spans="1:9" x14ac:dyDescent="0.45">
      <c r="A1211" t="s">
        <v>60</v>
      </c>
      <c r="B1211" t="s">
        <v>24</v>
      </c>
      <c r="C1211" t="str">
        <f t="shared" si="36"/>
        <v>TennesseeGeorgia</v>
      </c>
      <c r="D1211" t="s">
        <v>60</v>
      </c>
      <c r="E1211">
        <v>94.4</v>
      </c>
      <c r="F1211">
        <v>-18.562264150943399</v>
      </c>
      <c r="G1211">
        <v>-1697.5184692458299</v>
      </c>
      <c r="H1211">
        <v>141.07221319312001</v>
      </c>
      <c r="I1211" s="1">
        <f t="shared" si="37"/>
        <v>171.08673800100217</v>
      </c>
    </row>
    <row r="1212" spans="1:9" x14ac:dyDescent="0.45">
      <c r="A1212" t="s">
        <v>61</v>
      </c>
      <c r="B1212" t="s">
        <v>24</v>
      </c>
      <c r="C1212" t="str">
        <f t="shared" si="36"/>
        <v>TexasGeorgia</v>
      </c>
      <c r="D1212" t="s">
        <v>24</v>
      </c>
      <c r="E1212">
        <v>41</v>
      </c>
      <c r="F1212">
        <v>2.3886792452830199</v>
      </c>
      <c r="G1212">
        <v>143.99658969368701</v>
      </c>
      <c r="H1212">
        <v>138.82792772419199</v>
      </c>
      <c r="I1212" s="1">
        <f t="shared" si="37"/>
        <v>139.48476237060677</v>
      </c>
    </row>
    <row r="1213" spans="1:9" x14ac:dyDescent="0.45">
      <c r="A1213" t="s">
        <v>62</v>
      </c>
      <c r="B1213" t="s">
        <v>24</v>
      </c>
      <c r="C1213" t="str">
        <f t="shared" si="36"/>
        <v>Texas A&amp;MGeorgia</v>
      </c>
      <c r="D1213" t="s">
        <v>62</v>
      </c>
      <c r="E1213">
        <v>80</v>
      </c>
      <c r="F1213">
        <v>-9.1056603773584897</v>
      </c>
      <c r="G1213">
        <v>-401.09630986157703</v>
      </c>
      <c r="H1213">
        <v>139.625726751786</v>
      </c>
      <c r="I1213" s="1">
        <f t="shared" si="37"/>
        <v>150.71863870988622</v>
      </c>
    </row>
    <row r="1214" spans="1:9" x14ac:dyDescent="0.45">
      <c r="A1214" t="s">
        <v>63</v>
      </c>
      <c r="B1214" t="s">
        <v>24</v>
      </c>
      <c r="C1214" t="str">
        <f t="shared" si="36"/>
        <v>Texas TechGeorgia</v>
      </c>
      <c r="D1214" t="s">
        <v>63</v>
      </c>
      <c r="E1214">
        <v>88.8</v>
      </c>
      <c r="F1214">
        <v>-13.558490566037699</v>
      </c>
      <c r="G1214">
        <v>-790.97944802288998</v>
      </c>
      <c r="H1214">
        <v>140.66551087085</v>
      </c>
      <c r="I1214" s="1">
        <f t="shared" si="37"/>
        <v>165.35992781791924</v>
      </c>
    </row>
    <row r="1215" spans="1:9" x14ac:dyDescent="0.45">
      <c r="A1215" t="s">
        <v>64</v>
      </c>
      <c r="B1215" t="s">
        <v>24</v>
      </c>
      <c r="C1215" t="str">
        <f t="shared" si="36"/>
        <v>TroyGeorgia</v>
      </c>
      <c r="D1215" t="s">
        <v>24</v>
      </c>
      <c r="E1215">
        <v>10</v>
      </c>
      <c r="F1215">
        <v>14.388679245283001</v>
      </c>
      <c r="G1215">
        <v>898.04005047212502</v>
      </c>
      <c r="H1215">
        <v>139.36907529057899</v>
      </c>
      <c r="I1215" s="1">
        <f t="shared" si="37"/>
        <v>147.10470753452486</v>
      </c>
    </row>
    <row r="1216" spans="1:9" x14ac:dyDescent="0.45">
      <c r="A1216" t="s">
        <v>65</v>
      </c>
      <c r="B1216" t="s">
        <v>24</v>
      </c>
      <c r="C1216" t="str">
        <f t="shared" si="36"/>
        <v>UC San DiegoGeorgia</v>
      </c>
      <c r="D1216" t="s">
        <v>24</v>
      </c>
      <c r="E1216">
        <v>22.2</v>
      </c>
      <c r="F1216">
        <v>8.2301886792452805</v>
      </c>
      <c r="G1216">
        <v>350.87265783278599</v>
      </c>
      <c r="H1216">
        <v>139.45719703397</v>
      </c>
      <c r="I1216" s="1">
        <f t="shared" si="37"/>
        <v>148.34555733982211</v>
      </c>
    </row>
    <row r="1217" spans="1:9" x14ac:dyDescent="0.45">
      <c r="A1217" t="s">
        <v>66</v>
      </c>
      <c r="B1217" t="s">
        <v>24</v>
      </c>
      <c r="C1217" t="str">
        <f t="shared" si="36"/>
        <v>UCLAGeorgia</v>
      </c>
      <c r="D1217" t="s">
        <v>66</v>
      </c>
      <c r="E1217">
        <v>53.1</v>
      </c>
      <c r="F1217">
        <v>-0.81509433962264199</v>
      </c>
      <c r="G1217">
        <v>-113.253918459506</v>
      </c>
      <c r="H1217">
        <v>138.928651547079</v>
      </c>
      <c r="I1217" s="1">
        <f t="shared" si="37"/>
        <v>140.90306313507941</v>
      </c>
    </row>
    <row r="1218" spans="1:9" x14ac:dyDescent="0.45">
      <c r="A1218" t="s">
        <v>67</v>
      </c>
      <c r="B1218" t="s">
        <v>24</v>
      </c>
      <c r="C1218" t="str">
        <f t="shared" si="36"/>
        <v>UNC WilmingtonGeorgia</v>
      </c>
      <c r="D1218" t="s">
        <v>24</v>
      </c>
      <c r="E1218">
        <v>14.6</v>
      </c>
      <c r="F1218">
        <v>11.588679245283</v>
      </c>
      <c r="G1218">
        <v>585.85172951854997</v>
      </c>
      <c r="H1218">
        <v>140.043667220999</v>
      </c>
      <c r="I1218" s="1">
        <f t="shared" si="37"/>
        <v>156.60369420121538</v>
      </c>
    </row>
    <row r="1219" spans="1:9" x14ac:dyDescent="0.45">
      <c r="A1219" t="s">
        <v>68</v>
      </c>
      <c r="B1219" t="s">
        <v>24</v>
      </c>
      <c r="C1219" t="str">
        <f t="shared" ref="C1219:C1282" si="38">A1219&amp;B1219</f>
        <v>Utah St.Georgia</v>
      </c>
      <c r="D1219" t="s">
        <v>24</v>
      </c>
      <c r="E1219">
        <v>46.4</v>
      </c>
      <c r="F1219">
        <v>0.94339622641509402</v>
      </c>
      <c r="G1219">
        <v>115.50710803292699</v>
      </c>
      <c r="H1219">
        <v>139.415037624825</v>
      </c>
      <c r="I1219" s="1">
        <f t="shared" ref="I1219:I1282" si="39">18*(H1219-AVERAGE($H$2:$H$4625))/_xlfn.STDEV.P($H$2:$H$4625)+AVERAGE($H$2:$H$4625)</f>
        <v>147.75190709396969</v>
      </c>
    </row>
    <row r="1220" spans="1:9" x14ac:dyDescent="0.45">
      <c r="A1220" t="s">
        <v>69</v>
      </c>
      <c r="B1220" t="s">
        <v>24</v>
      </c>
      <c r="C1220" t="str">
        <f t="shared" si="38"/>
        <v>VanderbiltGeorgia</v>
      </c>
      <c r="D1220" t="s">
        <v>24</v>
      </c>
      <c r="E1220">
        <v>15.6</v>
      </c>
      <c r="F1220">
        <v>11.0679245283019</v>
      </c>
      <c r="G1220">
        <v>541.00178704771304</v>
      </c>
      <c r="H1220">
        <v>137.989608113424</v>
      </c>
      <c r="I1220" s="1">
        <f t="shared" si="39"/>
        <v>127.68031223413328</v>
      </c>
    </row>
    <row r="1221" spans="1:9" x14ac:dyDescent="0.45">
      <c r="A1221" t="s">
        <v>70</v>
      </c>
      <c r="B1221" t="s">
        <v>24</v>
      </c>
      <c r="C1221" t="str">
        <f t="shared" si="38"/>
        <v>VCUGeorgia</v>
      </c>
      <c r="D1221" t="s">
        <v>24</v>
      </c>
      <c r="E1221">
        <v>36.200000000000003</v>
      </c>
      <c r="F1221">
        <v>3.7207547169811299</v>
      </c>
      <c r="G1221">
        <v>176.38783807896601</v>
      </c>
      <c r="H1221">
        <v>139.83451927529899</v>
      </c>
      <c r="I1221" s="1">
        <f t="shared" si="39"/>
        <v>153.65866409044429</v>
      </c>
    </row>
    <row r="1222" spans="1:9" x14ac:dyDescent="0.45">
      <c r="A1222" t="s">
        <v>71</v>
      </c>
      <c r="B1222" t="s">
        <v>24</v>
      </c>
      <c r="C1222" t="str">
        <f t="shared" si="38"/>
        <v>WisconsinGeorgia</v>
      </c>
      <c r="D1222" t="s">
        <v>71</v>
      </c>
      <c r="E1222">
        <v>87.5</v>
      </c>
      <c r="F1222">
        <v>-12.743396226415101</v>
      </c>
      <c r="G1222">
        <v>-698.50929978994702</v>
      </c>
      <c r="H1222">
        <v>140.63519813056601</v>
      </c>
      <c r="I1222" s="1">
        <f t="shared" si="39"/>
        <v>164.93309152948456</v>
      </c>
    </row>
    <row r="1223" spans="1:9" x14ac:dyDescent="0.45">
      <c r="A1223" t="s">
        <v>80</v>
      </c>
      <c r="B1223" t="s">
        <v>24</v>
      </c>
      <c r="C1223" t="str">
        <f t="shared" si="38"/>
        <v>WoffordGeorgia</v>
      </c>
      <c r="D1223" t="s">
        <v>24</v>
      </c>
      <c r="E1223">
        <v>5.5</v>
      </c>
      <c r="F1223">
        <v>18.641509433962302</v>
      </c>
      <c r="G1223">
        <v>1718.3154294636099</v>
      </c>
      <c r="H1223">
        <v>138.66465386966101</v>
      </c>
      <c r="I1223" s="1">
        <f t="shared" si="39"/>
        <v>137.18568926096646</v>
      </c>
    </row>
    <row r="1224" spans="1:9" x14ac:dyDescent="0.45">
      <c r="A1224" t="s">
        <v>72</v>
      </c>
      <c r="B1224" t="s">
        <v>24</v>
      </c>
      <c r="C1224" t="str">
        <f t="shared" si="38"/>
        <v>XavierGeorgia</v>
      </c>
      <c r="D1224" t="s">
        <v>24</v>
      </c>
      <c r="E1224">
        <v>35.9</v>
      </c>
      <c r="F1224">
        <v>3.7962264150943401</v>
      </c>
      <c r="G1224">
        <v>178.45279146131699</v>
      </c>
      <c r="H1224">
        <v>139.240567439812</v>
      </c>
      <c r="I1224" s="1">
        <f t="shared" si="39"/>
        <v>145.2951774972463</v>
      </c>
    </row>
    <row r="1225" spans="1:9" x14ac:dyDescent="0.45">
      <c r="A1225" t="s">
        <v>73</v>
      </c>
      <c r="B1225" t="s">
        <v>24</v>
      </c>
      <c r="C1225" t="str">
        <f t="shared" si="38"/>
        <v>YaleGeorgia</v>
      </c>
      <c r="D1225" t="s">
        <v>24</v>
      </c>
      <c r="E1225">
        <v>23.8</v>
      </c>
      <c r="F1225">
        <v>7.6188679245283</v>
      </c>
      <c r="G1225">
        <v>319.76794502743002</v>
      </c>
      <c r="H1225">
        <v>140.03980207387499</v>
      </c>
      <c r="I1225" s="1">
        <f t="shared" si="39"/>
        <v>156.54926873399575</v>
      </c>
    </row>
    <row r="1226" spans="1:9" x14ac:dyDescent="0.45">
      <c r="A1226" t="s">
        <v>7</v>
      </c>
      <c r="B1226" t="s">
        <v>25</v>
      </c>
      <c r="C1226" t="str">
        <f t="shared" si="38"/>
        <v>AkronGonzaga</v>
      </c>
      <c r="D1226" t="s">
        <v>25</v>
      </c>
      <c r="E1226">
        <v>2.8</v>
      </c>
      <c r="F1226">
        <v>23.343396226415098</v>
      </c>
      <c r="G1226">
        <v>3519.0381178651101</v>
      </c>
      <c r="H1226">
        <v>136.684626409792</v>
      </c>
      <c r="I1226" s="1">
        <f t="shared" si="39"/>
        <v>109.304753256786</v>
      </c>
    </row>
    <row r="1227" spans="1:9" x14ac:dyDescent="0.45">
      <c r="A1227" t="s">
        <v>8</v>
      </c>
      <c r="B1227" t="s">
        <v>25</v>
      </c>
      <c r="C1227" t="str">
        <f t="shared" si="38"/>
        <v>AlabamaGonzaga</v>
      </c>
      <c r="D1227" t="s">
        <v>8</v>
      </c>
      <c r="E1227">
        <v>67.599999999999994</v>
      </c>
      <c r="F1227">
        <v>-4.8301886792452802</v>
      </c>
      <c r="G1227">
        <v>-208.97758296184301</v>
      </c>
      <c r="H1227">
        <v>138.432722421931</v>
      </c>
      <c r="I1227" s="1">
        <f t="shared" si="39"/>
        <v>133.91984270955297</v>
      </c>
    </row>
    <row r="1228" spans="1:9" x14ac:dyDescent="0.45">
      <c r="A1228" t="s">
        <v>9</v>
      </c>
      <c r="B1228" t="s">
        <v>25</v>
      </c>
      <c r="C1228" t="str">
        <f t="shared" si="38"/>
        <v>Alabama St.Gonzaga</v>
      </c>
      <c r="D1228" t="s">
        <v>25</v>
      </c>
      <c r="E1228">
        <v>0.4</v>
      </c>
      <c r="F1228">
        <v>35.4830188679245</v>
      </c>
      <c r="G1228">
        <v>22422.689261949199</v>
      </c>
      <c r="H1228">
        <v>136.91146726560501</v>
      </c>
      <c r="I1228" s="1">
        <f t="shared" si="39"/>
        <v>112.49891874804361</v>
      </c>
    </row>
    <row r="1229" spans="1:9" x14ac:dyDescent="0.45">
      <c r="A1229" t="s">
        <v>10</v>
      </c>
      <c r="B1229" t="s">
        <v>25</v>
      </c>
      <c r="C1229" t="str">
        <f t="shared" si="38"/>
        <v>AmericanGonzaga</v>
      </c>
      <c r="D1229" t="s">
        <v>25</v>
      </c>
      <c r="E1229">
        <v>0.5</v>
      </c>
      <c r="F1229">
        <v>34.218867924528297</v>
      </c>
      <c r="G1229">
        <v>18492.263726032899</v>
      </c>
      <c r="H1229">
        <v>137.002553147209</v>
      </c>
      <c r="I1229" s="1">
        <f t="shared" si="39"/>
        <v>113.78150683702555</v>
      </c>
    </row>
    <row r="1230" spans="1:9" x14ac:dyDescent="0.45">
      <c r="A1230" t="s">
        <v>11</v>
      </c>
      <c r="B1230" t="s">
        <v>25</v>
      </c>
      <c r="C1230" t="str">
        <f t="shared" si="38"/>
        <v>ArizonaGonzaga</v>
      </c>
      <c r="D1230" t="s">
        <v>11</v>
      </c>
      <c r="E1230">
        <v>59.8</v>
      </c>
      <c r="F1230">
        <v>-2.5924528301886798</v>
      </c>
      <c r="G1230">
        <v>-148.477789205292</v>
      </c>
      <c r="H1230">
        <v>138.19508124092101</v>
      </c>
      <c r="I1230" s="1">
        <f t="shared" si="39"/>
        <v>130.57359691549931</v>
      </c>
    </row>
    <row r="1231" spans="1:9" x14ac:dyDescent="0.45">
      <c r="A1231" t="s">
        <v>12</v>
      </c>
      <c r="B1231" t="s">
        <v>25</v>
      </c>
      <c r="C1231" t="str">
        <f t="shared" si="38"/>
        <v>ArkansasGonzaga</v>
      </c>
      <c r="D1231" t="s">
        <v>25</v>
      </c>
      <c r="E1231">
        <v>8.1999999999999993</v>
      </c>
      <c r="F1231">
        <v>15.8</v>
      </c>
      <c r="G1231">
        <v>1113.84984373519</v>
      </c>
      <c r="H1231">
        <v>136.31268507477901</v>
      </c>
      <c r="I1231" s="1">
        <f t="shared" si="39"/>
        <v>104.06741550820109</v>
      </c>
    </row>
    <row r="1232" spans="1:9" x14ac:dyDescent="0.45">
      <c r="A1232" t="s">
        <v>13</v>
      </c>
      <c r="B1232" t="s">
        <v>25</v>
      </c>
      <c r="C1232" t="str">
        <f t="shared" si="38"/>
        <v>AuburnGonzaga</v>
      </c>
      <c r="D1232" t="s">
        <v>13</v>
      </c>
      <c r="E1232">
        <v>80.400000000000006</v>
      </c>
      <c r="F1232">
        <v>-9.2415094339622605</v>
      </c>
      <c r="G1232">
        <v>-409.54442903196599</v>
      </c>
      <c r="H1232">
        <v>139.45140448004</v>
      </c>
      <c r="I1232" s="1">
        <f t="shared" si="39"/>
        <v>148.26399189252575</v>
      </c>
    </row>
    <row r="1233" spans="1:9" x14ac:dyDescent="0.45">
      <c r="A1233" t="s">
        <v>14</v>
      </c>
      <c r="B1233" t="s">
        <v>25</v>
      </c>
      <c r="C1233" t="str">
        <f t="shared" si="38"/>
        <v>BaylorGonzaga</v>
      </c>
      <c r="D1233" t="s">
        <v>25</v>
      </c>
      <c r="E1233">
        <v>30.2</v>
      </c>
      <c r="F1233">
        <v>5.4905660377358503</v>
      </c>
      <c r="G1233">
        <v>231.03973412896099</v>
      </c>
      <c r="H1233">
        <v>137.986402492765</v>
      </c>
      <c r="I1233" s="1">
        <f t="shared" si="39"/>
        <v>127.63517361547329</v>
      </c>
    </row>
    <row r="1234" spans="1:9" x14ac:dyDescent="0.45">
      <c r="A1234" t="s">
        <v>15</v>
      </c>
      <c r="B1234" t="s">
        <v>25</v>
      </c>
      <c r="C1234" t="str">
        <f t="shared" si="38"/>
        <v>BryantGonzaga</v>
      </c>
      <c r="D1234" t="s">
        <v>25</v>
      </c>
      <c r="E1234">
        <v>1.9</v>
      </c>
      <c r="F1234">
        <v>25.777358490566002</v>
      </c>
      <c r="G1234">
        <v>5100.6652342965599</v>
      </c>
      <c r="H1234">
        <v>137.53540024265999</v>
      </c>
      <c r="I1234" s="1">
        <f t="shared" si="39"/>
        <v>121.28457235979629</v>
      </c>
    </row>
    <row r="1235" spans="1:9" x14ac:dyDescent="0.45">
      <c r="A1235" t="s">
        <v>16</v>
      </c>
      <c r="B1235" t="s">
        <v>25</v>
      </c>
      <c r="C1235" t="str">
        <f t="shared" si="38"/>
        <v>BYUGonzaga</v>
      </c>
      <c r="D1235" t="s">
        <v>25</v>
      </c>
      <c r="E1235">
        <v>34.5</v>
      </c>
      <c r="F1235">
        <v>4.1962264150943396</v>
      </c>
      <c r="G1235">
        <v>189.64879737651799</v>
      </c>
      <c r="H1235">
        <v>137.795920720883</v>
      </c>
      <c r="I1235" s="1">
        <f t="shared" si="39"/>
        <v>124.95298349465746</v>
      </c>
    </row>
    <row r="1236" spans="1:9" x14ac:dyDescent="0.45">
      <c r="A1236" t="s">
        <v>17</v>
      </c>
      <c r="B1236" t="s">
        <v>25</v>
      </c>
      <c r="C1236" t="str">
        <f t="shared" si="38"/>
        <v>ClemsonGonzaga</v>
      </c>
      <c r="D1236" t="s">
        <v>25</v>
      </c>
      <c r="E1236">
        <v>40.299999999999997</v>
      </c>
      <c r="F1236">
        <v>2.5698113207547202</v>
      </c>
      <c r="G1236">
        <v>148.012558913075</v>
      </c>
      <c r="H1236">
        <v>138.017832577174</v>
      </c>
      <c r="I1236" s="1">
        <f t="shared" si="39"/>
        <v>128.0777433220932</v>
      </c>
    </row>
    <row r="1237" spans="1:9" x14ac:dyDescent="0.45">
      <c r="A1237" t="s">
        <v>18</v>
      </c>
      <c r="B1237" t="s">
        <v>25</v>
      </c>
      <c r="C1237" t="str">
        <f t="shared" si="38"/>
        <v>Colorado St.Gonzaga</v>
      </c>
      <c r="D1237" t="s">
        <v>25</v>
      </c>
      <c r="E1237">
        <v>10</v>
      </c>
      <c r="F1237">
        <v>14.411320754717</v>
      </c>
      <c r="G1237">
        <v>900.82430850176297</v>
      </c>
      <c r="H1237">
        <v>137.32522442528</v>
      </c>
      <c r="I1237" s="1">
        <f t="shared" si="39"/>
        <v>118.32506869999072</v>
      </c>
    </row>
    <row r="1238" spans="1:9" x14ac:dyDescent="0.45">
      <c r="A1238" t="s">
        <v>19</v>
      </c>
      <c r="B1238" t="s">
        <v>25</v>
      </c>
      <c r="C1238" t="str">
        <f t="shared" si="38"/>
        <v>ConnecticutGonzaga</v>
      </c>
      <c r="D1238" t="s">
        <v>19</v>
      </c>
      <c r="E1238">
        <v>53.4</v>
      </c>
      <c r="F1238">
        <v>-0.89433962264150901</v>
      </c>
      <c r="G1238">
        <v>-114.592697814486</v>
      </c>
      <c r="H1238">
        <v>137.960776327616</v>
      </c>
      <c r="I1238" s="1">
        <f t="shared" si="39"/>
        <v>127.27432939233364</v>
      </c>
    </row>
    <row r="1239" spans="1:9" x14ac:dyDescent="0.45">
      <c r="A1239" t="s">
        <v>20</v>
      </c>
      <c r="B1239" t="s">
        <v>25</v>
      </c>
      <c r="C1239" t="str">
        <f t="shared" si="38"/>
        <v>CreightonGonzaga</v>
      </c>
      <c r="D1239" t="s">
        <v>25</v>
      </c>
      <c r="E1239">
        <v>26.2</v>
      </c>
      <c r="F1239">
        <v>6.8</v>
      </c>
      <c r="G1239">
        <v>282.11298954659799</v>
      </c>
      <c r="H1239">
        <v>137.43371868988001</v>
      </c>
      <c r="I1239" s="1">
        <f t="shared" si="39"/>
        <v>119.85278571879088</v>
      </c>
    </row>
    <row r="1240" spans="1:9" x14ac:dyDescent="0.45">
      <c r="A1240" t="s">
        <v>21</v>
      </c>
      <c r="B1240" t="s">
        <v>25</v>
      </c>
      <c r="C1240" t="str">
        <f t="shared" si="38"/>
        <v>DrakeGonzaga</v>
      </c>
      <c r="D1240" t="s">
        <v>25</v>
      </c>
      <c r="E1240">
        <v>9.9</v>
      </c>
      <c r="F1240">
        <v>14.4603773584906</v>
      </c>
      <c r="G1240">
        <v>907.81633809422397</v>
      </c>
      <c r="H1240">
        <v>137.487183794034</v>
      </c>
      <c r="I1240" s="1">
        <f t="shared" si="39"/>
        <v>120.60563242298394</v>
      </c>
    </row>
    <row r="1241" spans="1:9" x14ac:dyDescent="0.45">
      <c r="A1241" t="s">
        <v>22</v>
      </c>
      <c r="B1241" t="s">
        <v>25</v>
      </c>
      <c r="C1241" t="str">
        <f t="shared" si="38"/>
        <v>DukeGonzaga</v>
      </c>
      <c r="D1241" t="s">
        <v>22</v>
      </c>
      <c r="E1241">
        <v>85.7</v>
      </c>
      <c r="F1241">
        <v>-11.7509433962264</v>
      </c>
      <c r="G1241">
        <v>-600.49644662518301</v>
      </c>
      <c r="H1241">
        <v>139.77450425549</v>
      </c>
      <c r="I1241" s="1">
        <f t="shared" si="39"/>
        <v>152.81358746373192</v>
      </c>
    </row>
    <row r="1242" spans="1:9" x14ac:dyDescent="0.45">
      <c r="A1242" t="s">
        <v>23</v>
      </c>
      <c r="B1242" t="s">
        <v>25</v>
      </c>
      <c r="C1242" t="str">
        <f t="shared" si="38"/>
        <v>FloridaGonzaga</v>
      </c>
      <c r="D1242" t="s">
        <v>23</v>
      </c>
      <c r="E1242">
        <v>76.8</v>
      </c>
      <c r="F1242">
        <v>-7.8528301886792402</v>
      </c>
      <c r="G1242">
        <v>-331.25604806290102</v>
      </c>
      <c r="H1242">
        <v>139.49826053143201</v>
      </c>
      <c r="I1242" s="1">
        <f t="shared" si="39"/>
        <v>148.92377595953849</v>
      </c>
    </row>
    <row r="1243" spans="1:9" x14ac:dyDescent="0.45">
      <c r="A1243" t="s">
        <v>24</v>
      </c>
      <c r="B1243" t="s">
        <v>25</v>
      </c>
      <c r="C1243" t="str">
        <f t="shared" si="38"/>
        <v>GeorgiaGonzaga</v>
      </c>
      <c r="D1243" t="s">
        <v>25</v>
      </c>
      <c r="E1243">
        <v>11.1</v>
      </c>
      <c r="F1243">
        <v>13.6566037735849</v>
      </c>
      <c r="G1243">
        <v>802.91748525297703</v>
      </c>
      <c r="H1243">
        <v>136.64007405577701</v>
      </c>
      <c r="I1243" s="1">
        <f t="shared" si="39"/>
        <v>108.67740774956265</v>
      </c>
    </row>
    <row r="1244" spans="1:9" x14ac:dyDescent="0.45">
      <c r="A1244" t="s">
        <v>25</v>
      </c>
      <c r="B1244" t="s">
        <v>25</v>
      </c>
      <c r="C1244" t="str">
        <f t="shared" si="38"/>
        <v>GonzagaGonzaga</v>
      </c>
      <c r="D1244" t="s">
        <v>25</v>
      </c>
      <c r="E1244">
        <v>41.2</v>
      </c>
      <c r="F1244">
        <v>2.3283018867924499</v>
      </c>
      <c r="G1244">
        <v>142.64273539779199</v>
      </c>
      <c r="H1244">
        <v>138.77771517530499</v>
      </c>
      <c r="I1244" s="1">
        <f t="shared" si="39"/>
        <v>138.77771517530277</v>
      </c>
    </row>
    <row r="1245" spans="1:9" x14ac:dyDescent="0.45">
      <c r="A1245" t="s">
        <v>26</v>
      </c>
      <c r="B1245" t="s">
        <v>25</v>
      </c>
      <c r="C1245" t="str">
        <f t="shared" si="38"/>
        <v>Grand CanyonGonzaga</v>
      </c>
      <c r="D1245" t="s">
        <v>25</v>
      </c>
      <c r="E1245">
        <v>6.4</v>
      </c>
      <c r="F1245">
        <v>17.577358490565999</v>
      </c>
      <c r="G1245">
        <v>1460.6032242102399</v>
      </c>
      <c r="H1245">
        <v>137.42968342160901</v>
      </c>
      <c r="I1245" s="1">
        <f t="shared" si="39"/>
        <v>119.79596476115083</v>
      </c>
    </row>
    <row r="1246" spans="1:9" x14ac:dyDescent="0.45">
      <c r="A1246" t="s">
        <v>27</v>
      </c>
      <c r="B1246" t="s">
        <v>25</v>
      </c>
      <c r="C1246" t="str">
        <f t="shared" si="38"/>
        <v>High PointGonzaga</v>
      </c>
      <c r="D1246" t="s">
        <v>25</v>
      </c>
      <c r="E1246">
        <v>4.3</v>
      </c>
      <c r="F1246">
        <v>20.350943396226398</v>
      </c>
      <c r="G1246">
        <v>2229.5043483663098</v>
      </c>
      <c r="H1246">
        <v>137.71057516926501</v>
      </c>
      <c r="I1246" s="1">
        <f t="shared" si="39"/>
        <v>123.75122548314984</v>
      </c>
    </row>
    <row r="1247" spans="1:9" x14ac:dyDescent="0.45">
      <c r="A1247" t="s">
        <v>28</v>
      </c>
      <c r="B1247" t="s">
        <v>25</v>
      </c>
      <c r="C1247" t="str">
        <f t="shared" si="38"/>
        <v>HoustonGonzaga</v>
      </c>
      <c r="D1247" t="s">
        <v>28</v>
      </c>
      <c r="E1247">
        <v>91.1</v>
      </c>
      <c r="F1247">
        <v>-15.264150943396199</v>
      </c>
      <c r="G1247">
        <v>-1026.3552023974</v>
      </c>
      <c r="H1247">
        <v>139.91816860511901</v>
      </c>
      <c r="I1247" s="1">
        <f t="shared" si="39"/>
        <v>154.83653745774541</v>
      </c>
    </row>
    <row r="1248" spans="1:9" x14ac:dyDescent="0.45">
      <c r="A1248" t="s">
        <v>29</v>
      </c>
      <c r="B1248" t="s">
        <v>25</v>
      </c>
      <c r="C1248" t="str">
        <f t="shared" si="38"/>
        <v>IllinoisGonzaga</v>
      </c>
      <c r="D1248" t="s">
        <v>29</v>
      </c>
      <c r="E1248">
        <v>50.6</v>
      </c>
      <c r="F1248">
        <v>-0.15471698113207499</v>
      </c>
      <c r="G1248">
        <v>-102.37526520740001</v>
      </c>
      <c r="H1248">
        <v>137.96841375905601</v>
      </c>
      <c r="I1248" s="1">
        <f t="shared" si="39"/>
        <v>127.38187271763132</v>
      </c>
    </row>
    <row r="1249" spans="1:9" x14ac:dyDescent="0.45">
      <c r="A1249" t="s">
        <v>30</v>
      </c>
      <c r="B1249" t="s">
        <v>25</v>
      </c>
      <c r="C1249" t="str">
        <f t="shared" si="38"/>
        <v>Iowa St.Gonzaga</v>
      </c>
      <c r="D1249" t="s">
        <v>30</v>
      </c>
      <c r="E1249">
        <v>68.3</v>
      </c>
      <c r="F1249">
        <v>-5.0377358490565998</v>
      </c>
      <c r="G1249">
        <v>-215.64302674383401</v>
      </c>
      <c r="H1249">
        <v>138.894682337414</v>
      </c>
      <c r="I1249" s="1">
        <f t="shared" si="39"/>
        <v>140.42473978857129</v>
      </c>
    </row>
    <row r="1250" spans="1:9" x14ac:dyDescent="0.45">
      <c r="A1250" t="s">
        <v>31</v>
      </c>
      <c r="B1250" t="s">
        <v>25</v>
      </c>
      <c r="C1250" t="str">
        <f t="shared" si="38"/>
        <v>KansasGonzaga</v>
      </c>
      <c r="D1250" t="s">
        <v>25</v>
      </c>
      <c r="E1250">
        <v>38.5</v>
      </c>
      <c r="F1250">
        <v>3.0641509433962302</v>
      </c>
      <c r="G1250">
        <v>159.61586938862101</v>
      </c>
      <c r="H1250">
        <v>137.85007262172601</v>
      </c>
      <c r="I1250" s="1">
        <f t="shared" si="39"/>
        <v>125.71550104176693</v>
      </c>
    </row>
    <row r="1251" spans="1:9" x14ac:dyDescent="0.45">
      <c r="A1251" t="s">
        <v>32</v>
      </c>
      <c r="B1251" t="s">
        <v>25</v>
      </c>
      <c r="C1251" t="str">
        <f t="shared" si="38"/>
        <v>KentuckyGonzaga</v>
      </c>
      <c r="D1251" t="s">
        <v>32</v>
      </c>
      <c r="E1251">
        <v>51.4</v>
      </c>
      <c r="F1251">
        <v>-0.36226415094339598</v>
      </c>
      <c r="G1251">
        <v>-105.689853589984</v>
      </c>
      <c r="H1251">
        <v>137.79711022211799</v>
      </c>
      <c r="I1251" s="1">
        <f t="shared" si="39"/>
        <v>124.9697329632794</v>
      </c>
    </row>
    <row r="1252" spans="1:9" x14ac:dyDescent="0.45">
      <c r="A1252" t="s">
        <v>33</v>
      </c>
      <c r="B1252" t="s">
        <v>25</v>
      </c>
      <c r="C1252" t="str">
        <f t="shared" si="38"/>
        <v>LibertyGonzaga</v>
      </c>
      <c r="D1252" t="s">
        <v>25</v>
      </c>
      <c r="E1252">
        <v>2.9</v>
      </c>
      <c r="F1252">
        <v>23.128301886792499</v>
      </c>
      <c r="G1252">
        <v>3405.0757829659201</v>
      </c>
      <c r="H1252">
        <v>137.00604647051699</v>
      </c>
      <c r="I1252" s="1">
        <f t="shared" si="39"/>
        <v>113.83069662129171</v>
      </c>
    </row>
    <row r="1253" spans="1:9" x14ac:dyDescent="0.45">
      <c r="A1253" t="s">
        <v>34</v>
      </c>
      <c r="B1253" t="s">
        <v>25</v>
      </c>
      <c r="C1253" t="str">
        <f t="shared" si="38"/>
        <v>LipscombGonzaga</v>
      </c>
      <c r="D1253" t="s">
        <v>25</v>
      </c>
      <c r="E1253">
        <v>2.2000000000000002</v>
      </c>
      <c r="F1253">
        <v>24.867924528301899</v>
      </c>
      <c r="G1253">
        <v>4441.7757761622197</v>
      </c>
      <c r="H1253">
        <v>137.437966701775</v>
      </c>
      <c r="I1253" s="1">
        <f t="shared" si="39"/>
        <v>119.91260233759523</v>
      </c>
    </row>
    <row r="1254" spans="1:9" x14ac:dyDescent="0.45">
      <c r="A1254" t="s">
        <v>35</v>
      </c>
      <c r="B1254" t="s">
        <v>25</v>
      </c>
      <c r="C1254" t="str">
        <f t="shared" si="38"/>
        <v>LouisvilleGonzaga</v>
      </c>
      <c r="D1254" t="s">
        <v>25</v>
      </c>
      <c r="E1254">
        <v>5.4</v>
      </c>
      <c r="F1254">
        <v>18.762264150943398</v>
      </c>
      <c r="G1254">
        <v>1749.6184904347799</v>
      </c>
      <c r="H1254">
        <v>136.72369001374301</v>
      </c>
      <c r="I1254" s="1">
        <f t="shared" si="39"/>
        <v>109.85481120493321</v>
      </c>
    </row>
    <row r="1255" spans="1:9" x14ac:dyDescent="0.45">
      <c r="A1255" t="s">
        <v>36</v>
      </c>
      <c r="B1255" t="s">
        <v>25</v>
      </c>
      <c r="C1255" t="str">
        <f t="shared" si="38"/>
        <v>MarquetteGonzaga</v>
      </c>
      <c r="D1255" t="s">
        <v>25</v>
      </c>
      <c r="E1255">
        <v>44.6</v>
      </c>
      <c r="F1255">
        <v>1.4150943396226401</v>
      </c>
      <c r="G1255">
        <v>124.118910183233</v>
      </c>
      <c r="H1255">
        <v>138.055446648648</v>
      </c>
      <c r="I1255" s="1">
        <f t="shared" si="39"/>
        <v>128.60739027946042</v>
      </c>
    </row>
    <row r="1256" spans="1:9" x14ac:dyDescent="0.45">
      <c r="A1256" t="s">
        <v>37</v>
      </c>
      <c r="B1256" t="s">
        <v>25</v>
      </c>
      <c r="C1256" t="str">
        <f t="shared" si="38"/>
        <v>MarylandGonzaga</v>
      </c>
      <c r="D1256" t="s">
        <v>25</v>
      </c>
      <c r="E1256">
        <v>35.299999999999997</v>
      </c>
      <c r="F1256">
        <v>3.9622641509433998</v>
      </c>
      <c r="G1256">
        <v>182.97102110912601</v>
      </c>
      <c r="H1256">
        <v>137.665385960327</v>
      </c>
      <c r="I1256" s="1">
        <f t="shared" si="39"/>
        <v>123.1149123672885</v>
      </c>
    </row>
    <row r="1257" spans="1:9" x14ac:dyDescent="0.45">
      <c r="A1257" t="s">
        <v>38</v>
      </c>
      <c r="B1257" t="s">
        <v>25</v>
      </c>
      <c r="C1257" t="str">
        <f t="shared" si="38"/>
        <v>McNeese St.Gonzaga</v>
      </c>
      <c r="D1257" t="s">
        <v>25</v>
      </c>
      <c r="E1257">
        <v>8.9</v>
      </c>
      <c r="F1257">
        <v>15.267924528301901</v>
      </c>
      <c r="G1257">
        <v>1026.90784891048</v>
      </c>
      <c r="H1257">
        <v>137.50079757452801</v>
      </c>
      <c r="I1257" s="1">
        <f t="shared" si="39"/>
        <v>120.79732923043812</v>
      </c>
    </row>
    <row r="1258" spans="1:9" x14ac:dyDescent="0.45">
      <c r="A1258" t="s">
        <v>39</v>
      </c>
      <c r="B1258" t="s">
        <v>25</v>
      </c>
      <c r="C1258" t="str">
        <f t="shared" si="38"/>
        <v>MemphisGonzaga</v>
      </c>
      <c r="D1258" t="s">
        <v>25</v>
      </c>
      <c r="E1258">
        <v>21.9</v>
      </c>
      <c r="F1258">
        <v>8.3471698113207502</v>
      </c>
      <c r="G1258">
        <v>357.23073413237199</v>
      </c>
      <c r="H1258">
        <v>136.643020773346</v>
      </c>
      <c r="I1258" s="1">
        <f t="shared" si="39"/>
        <v>108.71890073166946</v>
      </c>
    </row>
    <row r="1259" spans="1:9" x14ac:dyDescent="0.45">
      <c r="A1259" t="s">
        <v>40</v>
      </c>
      <c r="B1259" t="s">
        <v>25</v>
      </c>
      <c r="C1259" t="str">
        <f t="shared" si="38"/>
        <v>MichiganGonzaga</v>
      </c>
      <c r="D1259" t="s">
        <v>25</v>
      </c>
      <c r="E1259">
        <v>12.9</v>
      </c>
      <c r="F1259">
        <v>12.5358490566038</v>
      </c>
      <c r="G1259">
        <v>676.73378040780199</v>
      </c>
      <c r="H1259">
        <v>136.29994185803</v>
      </c>
      <c r="I1259" s="1">
        <f t="shared" si="39"/>
        <v>103.88797718329513</v>
      </c>
    </row>
    <row r="1260" spans="1:9" x14ac:dyDescent="0.45">
      <c r="A1260" t="s">
        <v>41</v>
      </c>
      <c r="B1260" t="s">
        <v>25</v>
      </c>
      <c r="C1260" t="str">
        <f t="shared" si="38"/>
        <v>Michigan St.Gonzaga</v>
      </c>
      <c r="D1260" t="s">
        <v>41</v>
      </c>
      <c r="E1260">
        <v>58.6</v>
      </c>
      <c r="F1260">
        <v>-2.2905660377358501</v>
      </c>
      <c r="G1260">
        <v>-141.793387979307</v>
      </c>
      <c r="H1260">
        <v>137.998833818859</v>
      </c>
      <c r="I1260" s="1">
        <f t="shared" si="39"/>
        <v>127.81022018139159</v>
      </c>
    </row>
    <row r="1261" spans="1:9" x14ac:dyDescent="0.45">
      <c r="A1261" t="s">
        <v>42</v>
      </c>
      <c r="B1261" t="s">
        <v>25</v>
      </c>
      <c r="C1261" t="str">
        <f t="shared" si="38"/>
        <v>MississippiGonzaga</v>
      </c>
      <c r="D1261" t="s">
        <v>25</v>
      </c>
      <c r="E1261">
        <v>26.7</v>
      </c>
      <c r="F1261">
        <v>6.6226415094339597</v>
      </c>
      <c r="G1261">
        <v>274.57621292484299</v>
      </c>
      <c r="H1261">
        <v>137.12975492395299</v>
      </c>
      <c r="I1261" s="1">
        <f t="shared" si="39"/>
        <v>115.57264593428422</v>
      </c>
    </row>
    <row r="1262" spans="1:9" x14ac:dyDescent="0.45">
      <c r="A1262" t="s">
        <v>43</v>
      </c>
      <c r="B1262" t="s">
        <v>25</v>
      </c>
      <c r="C1262" t="str">
        <f t="shared" si="38"/>
        <v>Mississippi St.Gonzaga</v>
      </c>
      <c r="D1262" t="s">
        <v>25</v>
      </c>
      <c r="E1262">
        <v>21.5</v>
      </c>
      <c r="F1262">
        <v>8.47169811320755</v>
      </c>
      <c r="G1262">
        <v>364.04426414650902</v>
      </c>
      <c r="H1262">
        <v>137.25412627774199</v>
      </c>
      <c r="I1262" s="1">
        <f t="shared" si="39"/>
        <v>117.32392960384195</v>
      </c>
    </row>
    <row r="1263" spans="1:9" x14ac:dyDescent="0.45">
      <c r="A1263" t="s">
        <v>44</v>
      </c>
      <c r="B1263" t="s">
        <v>25</v>
      </c>
      <c r="C1263" t="str">
        <f t="shared" si="38"/>
        <v>MissouriGonzaga</v>
      </c>
      <c r="D1263" t="s">
        <v>25</v>
      </c>
      <c r="E1263">
        <v>10.7</v>
      </c>
      <c r="F1263">
        <v>13.8830188679245</v>
      </c>
      <c r="G1263">
        <v>831.29110543926799</v>
      </c>
      <c r="H1263">
        <v>136.51859821391599</v>
      </c>
      <c r="I1263" s="1">
        <f t="shared" si="39"/>
        <v>106.96689603110147</v>
      </c>
    </row>
    <row r="1264" spans="1:9" x14ac:dyDescent="0.45">
      <c r="A1264" t="s">
        <v>45</v>
      </c>
      <c r="B1264" t="s">
        <v>25</v>
      </c>
      <c r="C1264" t="str">
        <f t="shared" si="38"/>
        <v>MontanaGonzaga</v>
      </c>
      <c r="D1264" t="s">
        <v>25</v>
      </c>
      <c r="E1264">
        <v>1.2</v>
      </c>
      <c r="F1264">
        <v>29.139622641509401</v>
      </c>
      <c r="G1264">
        <v>8522.0721298534208</v>
      </c>
      <c r="H1264">
        <v>135.827332938935</v>
      </c>
      <c r="I1264" s="1">
        <f t="shared" si="39"/>
        <v>97.233130573660645</v>
      </c>
    </row>
    <row r="1265" spans="1:9" x14ac:dyDescent="0.45">
      <c r="A1265" t="s">
        <v>46</v>
      </c>
      <c r="B1265" t="s">
        <v>25</v>
      </c>
      <c r="C1265" t="str">
        <f t="shared" si="38"/>
        <v>Mount St. Mary'sGonzaga</v>
      </c>
      <c r="D1265" t="s">
        <v>25</v>
      </c>
      <c r="E1265">
        <v>0.5</v>
      </c>
      <c r="F1265">
        <v>35.256603773584899</v>
      </c>
      <c r="G1265">
        <v>21664.361885521401</v>
      </c>
      <c r="H1265">
        <v>137.175207160882</v>
      </c>
      <c r="I1265" s="1">
        <f t="shared" si="39"/>
        <v>116.21266276978224</v>
      </c>
    </row>
    <row r="1266" spans="1:9" x14ac:dyDescent="0.45">
      <c r="A1266" t="s">
        <v>47</v>
      </c>
      <c r="B1266" t="s">
        <v>25</v>
      </c>
      <c r="C1266" t="str">
        <f t="shared" si="38"/>
        <v>Nebraska OmahaGonzaga</v>
      </c>
      <c r="D1266" t="s">
        <v>25</v>
      </c>
      <c r="E1266">
        <v>0.6</v>
      </c>
      <c r="F1266">
        <v>33.539622641509403</v>
      </c>
      <c r="G1266">
        <v>16675.372266876799</v>
      </c>
      <c r="H1266">
        <v>136.459208340782</v>
      </c>
      <c r="I1266" s="1">
        <f t="shared" si="39"/>
        <v>106.1306221481853</v>
      </c>
    </row>
    <row r="1267" spans="1:9" x14ac:dyDescent="0.45">
      <c r="A1267" t="s">
        <v>48</v>
      </c>
      <c r="B1267" t="s">
        <v>25</v>
      </c>
      <c r="C1267" t="str">
        <f t="shared" si="38"/>
        <v>New MexicoGonzaga</v>
      </c>
      <c r="D1267" t="s">
        <v>25</v>
      </c>
      <c r="E1267">
        <v>13.3</v>
      </c>
      <c r="F1267">
        <v>12.2943396226415</v>
      </c>
      <c r="G1267">
        <v>652.28893448430404</v>
      </c>
      <c r="H1267">
        <v>137.33695268805801</v>
      </c>
      <c r="I1267" s="1">
        <f t="shared" si="39"/>
        <v>118.49021537122702</v>
      </c>
    </row>
    <row r="1268" spans="1:9" x14ac:dyDescent="0.45">
      <c r="A1268" t="s">
        <v>49</v>
      </c>
      <c r="B1268" t="s">
        <v>25</v>
      </c>
      <c r="C1268" t="str">
        <f t="shared" si="38"/>
        <v>Norfolk St.Gonzaga</v>
      </c>
      <c r="D1268" t="s">
        <v>25</v>
      </c>
      <c r="E1268">
        <v>0.9</v>
      </c>
      <c r="F1268">
        <v>31.0075471698113</v>
      </c>
      <c r="G1268">
        <v>11331.643487745099</v>
      </c>
      <c r="H1268">
        <v>136.34931635025899</v>
      </c>
      <c r="I1268" s="1">
        <f t="shared" si="39"/>
        <v>104.58322363112293</v>
      </c>
    </row>
    <row r="1269" spans="1:9" x14ac:dyDescent="0.45">
      <c r="A1269" t="s">
        <v>50</v>
      </c>
      <c r="B1269" t="s">
        <v>25</v>
      </c>
      <c r="C1269" t="str">
        <f t="shared" si="38"/>
        <v>North CarolinaGonzaga</v>
      </c>
      <c r="D1269" t="s">
        <v>25</v>
      </c>
      <c r="E1269">
        <v>34.299999999999997</v>
      </c>
      <c r="F1269">
        <v>4.2528301886792503</v>
      </c>
      <c r="G1269">
        <v>191.31409960191201</v>
      </c>
      <c r="H1269">
        <v>138.421247782215</v>
      </c>
      <c r="I1269" s="1">
        <f t="shared" si="39"/>
        <v>133.75826732634391</v>
      </c>
    </row>
    <row r="1270" spans="1:9" x14ac:dyDescent="0.45">
      <c r="A1270" t="s">
        <v>51</v>
      </c>
      <c r="B1270" t="s">
        <v>25</v>
      </c>
      <c r="C1270" t="str">
        <f t="shared" si="38"/>
        <v>OklahomaGonzaga</v>
      </c>
      <c r="D1270" t="s">
        <v>25</v>
      </c>
      <c r="E1270">
        <v>14.6</v>
      </c>
      <c r="F1270">
        <v>11.558490566037699</v>
      </c>
      <c r="G1270">
        <v>583.11672774949204</v>
      </c>
      <c r="H1270">
        <v>136.76385107772001</v>
      </c>
      <c r="I1270" s="1">
        <f t="shared" si="39"/>
        <v>110.42032258156659</v>
      </c>
    </row>
    <row r="1271" spans="1:9" x14ac:dyDescent="0.45">
      <c r="A1271" t="s">
        <v>52</v>
      </c>
      <c r="B1271" t="s">
        <v>25</v>
      </c>
      <c r="C1271" t="str">
        <f t="shared" si="38"/>
        <v>OregonGonzaga</v>
      </c>
      <c r="D1271" t="s">
        <v>25</v>
      </c>
      <c r="E1271">
        <v>36.1</v>
      </c>
      <c r="F1271">
        <v>3.7320754716981099</v>
      </c>
      <c r="G1271">
        <v>176.738470994133</v>
      </c>
      <c r="H1271">
        <v>137.35822886586001</v>
      </c>
      <c r="I1271" s="1">
        <f t="shared" si="39"/>
        <v>118.78980705050131</v>
      </c>
    </row>
    <row r="1272" spans="1:9" x14ac:dyDescent="0.45">
      <c r="A1272" t="s">
        <v>53</v>
      </c>
      <c r="B1272" t="s">
        <v>25</v>
      </c>
      <c r="C1272" t="str">
        <f t="shared" si="38"/>
        <v>PurdueGonzaga</v>
      </c>
      <c r="D1272" t="s">
        <v>53</v>
      </c>
      <c r="E1272">
        <v>74.900000000000006</v>
      </c>
      <c r="F1272">
        <v>-7.1773584905660401</v>
      </c>
      <c r="G1272">
        <v>-298.86604532181701</v>
      </c>
      <c r="H1272">
        <v>138.70621619464899</v>
      </c>
      <c r="I1272" s="1">
        <f t="shared" si="39"/>
        <v>137.77093191373828</v>
      </c>
    </row>
    <row r="1273" spans="1:9" x14ac:dyDescent="0.45">
      <c r="A1273" t="s">
        <v>54</v>
      </c>
      <c r="B1273" t="s">
        <v>25</v>
      </c>
      <c r="C1273" t="str">
        <f t="shared" si="38"/>
        <v>Robert MorrisGonzaga</v>
      </c>
      <c r="D1273" t="s">
        <v>25</v>
      </c>
      <c r="E1273">
        <v>0.4</v>
      </c>
      <c r="F1273">
        <v>36.766037735849103</v>
      </c>
      <c r="G1273">
        <v>27271.209808822299</v>
      </c>
      <c r="H1273">
        <v>135.76485304341199</v>
      </c>
      <c r="I1273" s="1">
        <f t="shared" si="39"/>
        <v>96.353345821210667</v>
      </c>
    </row>
    <row r="1274" spans="1:9" x14ac:dyDescent="0.45">
      <c r="A1274" t="s">
        <v>55</v>
      </c>
      <c r="B1274" t="s">
        <v>25</v>
      </c>
      <c r="C1274" t="str">
        <f t="shared" si="38"/>
        <v>Saint FrancisGonzaga</v>
      </c>
      <c r="D1274" t="s">
        <v>25</v>
      </c>
      <c r="E1274">
        <v>0.2</v>
      </c>
      <c r="F1274">
        <v>39.490566037735803</v>
      </c>
      <c r="G1274">
        <v>41335.131637799001</v>
      </c>
      <c r="H1274">
        <v>136.817708576619</v>
      </c>
      <c r="I1274" s="1">
        <f t="shared" si="39"/>
        <v>111.17869462972362</v>
      </c>
    </row>
    <row r="1275" spans="1:9" x14ac:dyDescent="0.45">
      <c r="A1275" t="s">
        <v>56</v>
      </c>
      <c r="B1275" t="s">
        <v>25</v>
      </c>
      <c r="C1275" t="str">
        <f t="shared" si="38"/>
        <v>Saint Mary'sGonzaga</v>
      </c>
      <c r="D1275" t="s">
        <v>25</v>
      </c>
      <c r="E1275">
        <v>32.5</v>
      </c>
      <c r="F1275">
        <v>4.7773584905660398</v>
      </c>
      <c r="G1275">
        <v>207.221899322935</v>
      </c>
      <c r="H1275">
        <v>138.068963777709</v>
      </c>
      <c r="I1275" s="1">
        <f t="shared" si="39"/>
        <v>128.79772612982026</v>
      </c>
    </row>
    <row r="1276" spans="1:9" x14ac:dyDescent="0.45">
      <c r="A1276" t="s">
        <v>57</v>
      </c>
      <c r="B1276" t="s">
        <v>25</v>
      </c>
      <c r="C1276" t="str">
        <f t="shared" si="38"/>
        <v>San Diego St.Gonzaga</v>
      </c>
      <c r="D1276" t="s">
        <v>25</v>
      </c>
      <c r="E1276">
        <v>12.3</v>
      </c>
      <c r="F1276">
        <v>12.8679245283019</v>
      </c>
      <c r="G1276">
        <v>712.15862101967002</v>
      </c>
      <c r="H1276">
        <v>137.21521865750699</v>
      </c>
      <c r="I1276" s="1">
        <f t="shared" si="39"/>
        <v>116.77606807574041</v>
      </c>
    </row>
    <row r="1277" spans="1:9" x14ac:dyDescent="0.45">
      <c r="A1277" t="s">
        <v>58</v>
      </c>
      <c r="B1277" t="s">
        <v>25</v>
      </c>
      <c r="C1277" t="str">
        <f t="shared" si="38"/>
        <v>SIU EdwardsvilleGonzaga</v>
      </c>
      <c r="D1277" t="s">
        <v>25</v>
      </c>
      <c r="E1277">
        <v>0.7</v>
      </c>
      <c r="F1277">
        <v>32.4679245283019</v>
      </c>
      <c r="G1277">
        <v>14156.4286659891</v>
      </c>
      <c r="H1277">
        <v>137.362906424356</v>
      </c>
      <c r="I1277" s="1">
        <f t="shared" si="39"/>
        <v>118.85567215173126</v>
      </c>
    </row>
    <row r="1278" spans="1:9" x14ac:dyDescent="0.45">
      <c r="A1278" t="s">
        <v>59</v>
      </c>
      <c r="B1278" t="s">
        <v>25</v>
      </c>
      <c r="C1278" t="str">
        <f t="shared" si="38"/>
        <v>St. John'sGonzaga</v>
      </c>
      <c r="D1278" t="s">
        <v>59</v>
      </c>
      <c r="E1278">
        <v>60.1</v>
      </c>
      <c r="F1278">
        <v>-2.69056603773585</v>
      </c>
      <c r="G1278">
        <v>-150.74877882271301</v>
      </c>
      <c r="H1278">
        <v>138.3405891969</v>
      </c>
      <c r="I1278" s="1">
        <f t="shared" si="39"/>
        <v>132.6225068882012</v>
      </c>
    </row>
    <row r="1279" spans="1:9" x14ac:dyDescent="0.45">
      <c r="A1279" t="s">
        <v>60</v>
      </c>
      <c r="B1279" t="s">
        <v>25</v>
      </c>
      <c r="C1279" t="str">
        <f t="shared" si="38"/>
        <v>TennesseeGonzaga</v>
      </c>
      <c r="D1279" t="s">
        <v>60</v>
      </c>
      <c r="E1279">
        <v>75.099999999999994</v>
      </c>
      <c r="F1279">
        <v>-7.2377358490565999</v>
      </c>
      <c r="G1279">
        <v>-301.57355181423901</v>
      </c>
      <c r="H1279">
        <v>138.934572073591</v>
      </c>
      <c r="I1279" s="1">
        <f t="shared" si="39"/>
        <v>140.98643057524765</v>
      </c>
    </row>
    <row r="1280" spans="1:9" x14ac:dyDescent="0.45">
      <c r="A1280" t="s">
        <v>61</v>
      </c>
      <c r="B1280" t="s">
        <v>25</v>
      </c>
      <c r="C1280" t="str">
        <f t="shared" si="38"/>
        <v>TexasGonzaga</v>
      </c>
      <c r="D1280" t="s">
        <v>25</v>
      </c>
      <c r="E1280">
        <v>11</v>
      </c>
      <c r="F1280">
        <v>13.7169811320755</v>
      </c>
      <c r="G1280">
        <v>810.53815575980195</v>
      </c>
      <c r="H1280">
        <v>136.69028660466299</v>
      </c>
      <c r="I1280" s="1">
        <f t="shared" si="39"/>
        <v>109.38445494485225</v>
      </c>
    </row>
    <row r="1281" spans="1:9" x14ac:dyDescent="0.45">
      <c r="A1281" t="s">
        <v>62</v>
      </c>
      <c r="B1281" t="s">
        <v>25</v>
      </c>
      <c r="C1281" t="str">
        <f t="shared" si="38"/>
        <v>Texas A&amp;MGonzaga</v>
      </c>
      <c r="D1281" t="s">
        <v>25</v>
      </c>
      <c r="E1281">
        <v>41.6</v>
      </c>
      <c r="F1281">
        <v>2.2226415094339602</v>
      </c>
      <c r="G1281">
        <v>140.33713003924601</v>
      </c>
      <c r="H1281">
        <v>137.488085632257</v>
      </c>
      <c r="I1281" s="1">
        <f t="shared" si="39"/>
        <v>120.6183312841317</v>
      </c>
    </row>
    <row r="1282" spans="1:9" x14ac:dyDescent="0.45">
      <c r="A1282" t="s">
        <v>63</v>
      </c>
      <c r="B1282" t="s">
        <v>25</v>
      </c>
      <c r="C1282" t="str">
        <f t="shared" si="38"/>
        <v>Texas TechGonzaga</v>
      </c>
      <c r="D1282" t="s">
        <v>63</v>
      </c>
      <c r="E1282">
        <v>58.4</v>
      </c>
      <c r="F1282">
        <v>-2.2301886792452801</v>
      </c>
      <c r="G1282">
        <v>-140.52187700691499</v>
      </c>
      <c r="H1282">
        <v>138.52786975132099</v>
      </c>
      <c r="I1282" s="1">
        <f t="shared" si="39"/>
        <v>135.25962039216472</v>
      </c>
    </row>
    <row r="1283" spans="1:9" x14ac:dyDescent="0.45">
      <c r="A1283" t="s">
        <v>64</v>
      </c>
      <c r="B1283" t="s">
        <v>25</v>
      </c>
      <c r="C1283" t="str">
        <f t="shared" ref="C1283:C1346" si="40">A1283&amp;B1283</f>
        <v>TroyGonzaga</v>
      </c>
      <c r="D1283" t="s">
        <v>25</v>
      </c>
      <c r="E1283">
        <v>1.9</v>
      </c>
      <c r="F1283">
        <v>25.7169811320755</v>
      </c>
      <c r="G1283">
        <v>5054.9511474994997</v>
      </c>
      <c r="H1283">
        <v>137.23143417105001</v>
      </c>
      <c r="I1283" s="1">
        <f t="shared" ref="I1283:I1346" si="41">18*(H1283-AVERAGE($H$2:$H$4625))/_xlfn.STDEV.P($H$2:$H$4625)+AVERAGE($H$2:$H$4625)</f>
        <v>117.00440010877074</v>
      </c>
    </row>
    <row r="1284" spans="1:9" x14ac:dyDescent="0.45">
      <c r="A1284" t="s">
        <v>65</v>
      </c>
      <c r="B1284" t="s">
        <v>25</v>
      </c>
      <c r="C1284" t="str">
        <f t="shared" si="40"/>
        <v>UC San DiegoGonzaga</v>
      </c>
      <c r="D1284" t="s">
        <v>25</v>
      </c>
      <c r="E1284">
        <v>4.8</v>
      </c>
      <c r="F1284">
        <v>19.554716981132099</v>
      </c>
      <c r="G1284">
        <v>1975.01675276686</v>
      </c>
      <c r="H1284">
        <v>137.319555914441</v>
      </c>
      <c r="I1284" s="1">
        <f t="shared" si="41"/>
        <v>118.24524991406759</v>
      </c>
    </row>
    <row r="1285" spans="1:9" x14ac:dyDescent="0.45">
      <c r="A1285" t="s">
        <v>66</v>
      </c>
      <c r="B1285" t="s">
        <v>25</v>
      </c>
      <c r="C1285" t="str">
        <f t="shared" si="40"/>
        <v>UCLAGonzaga</v>
      </c>
      <c r="D1285" t="s">
        <v>25</v>
      </c>
      <c r="E1285">
        <v>16.8</v>
      </c>
      <c r="F1285">
        <v>10.5094339622642</v>
      </c>
      <c r="G1285">
        <v>497.01331098254002</v>
      </c>
      <c r="H1285">
        <v>136.79101042754999</v>
      </c>
      <c r="I1285" s="1">
        <f t="shared" si="41"/>
        <v>110.80275570932488</v>
      </c>
    </row>
    <row r="1286" spans="1:9" x14ac:dyDescent="0.45">
      <c r="A1286" t="s">
        <v>67</v>
      </c>
      <c r="B1286" t="s">
        <v>25</v>
      </c>
      <c r="C1286" t="str">
        <f t="shared" si="40"/>
        <v>UNC WilmingtonGonzaga</v>
      </c>
      <c r="D1286" t="s">
        <v>25</v>
      </c>
      <c r="E1286">
        <v>2.9</v>
      </c>
      <c r="F1286">
        <v>22.916981132075499</v>
      </c>
      <c r="G1286">
        <v>3297.6835173859299</v>
      </c>
      <c r="H1286">
        <v>137.90602610146999</v>
      </c>
      <c r="I1286" s="1">
        <f t="shared" si="41"/>
        <v>126.50338677546085</v>
      </c>
    </row>
    <row r="1287" spans="1:9" x14ac:dyDescent="0.45">
      <c r="A1287" t="s">
        <v>68</v>
      </c>
      <c r="B1287" t="s">
        <v>25</v>
      </c>
      <c r="C1287" t="str">
        <f t="shared" si="40"/>
        <v>Utah St.Gonzaga</v>
      </c>
      <c r="D1287" t="s">
        <v>25</v>
      </c>
      <c r="E1287">
        <v>13.3</v>
      </c>
      <c r="F1287">
        <v>12.271698113207499</v>
      </c>
      <c r="G1287">
        <v>650.17455289263705</v>
      </c>
      <c r="H1287">
        <v>137.27739650529699</v>
      </c>
      <c r="I1287" s="1">
        <f t="shared" si="41"/>
        <v>117.65159966822917</v>
      </c>
    </row>
    <row r="1288" spans="1:9" x14ac:dyDescent="0.45">
      <c r="A1288" t="s">
        <v>69</v>
      </c>
      <c r="B1288" t="s">
        <v>25</v>
      </c>
      <c r="C1288" t="str">
        <f t="shared" si="40"/>
        <v>VanderbiltGonzaga</v>
      </c>
      <c r="D1288" t="s">
        <v>25</v>
      </c>
      <c r="E1288">
        <v>3.2</v>
      </c>
      <c r="F1288">
        <v>22.392452830188699</v>
      </c>
      <c r="G1288">
        <v>3045.2289993062</v>
      </c>
      <c r="H1288">
        <v>135.85196699389499</v>
      </c>
      <c r="I1288" s="1">
        <f t="shared" si="41"/>
        <v>97.58000480837876</v>
      </c>
    </row>
    <row r="1289" spans="1:9" x14ac:dyDescent="0.45">
      <c r="A1289" t="s">
        <v>70</v>
      </c>
      <c r="B1289" t="s">
        <v>25</v>
      </c>
      <c r="C1289" t="str">
        <f t="shared" si="40"/>
        <v>VCUGonzaga</v>
      </c>
      <c r="D1289" t="s">
        <v>25</v>
      </c>
      <c r="E1289">
        <v>9.1999999999999993</v>
      </c>
      <c r="F1289">
        <v>15.0490566037736</v>
      </c>
      <c r="G1289">
        <v>992.86429823867002</v>
      </c>
      <c r="H1289">
        <v>137.696878155771</v>
      </c>
      <c r="I1289" s="1">
        <f t="shared" si="41"/>
        <v>123.55835666470418</v>
      </c>
    </row>
    <row r="1290" spans="1:9" x14ac:dyDescent="0.45">
      <c r="A1290" t="s">
        <v>71</v>
      </c>
      <c r="B1290" t="s">
        <v>25</v>
      </c>
      <c r="C1290" t="str">
        <f t="shared" si="40"/>
        <v>WisconsinGonzaga</v>
      </c>
      <c r="D1290" t="s">
        <v>71</v>
      </c>
      <c r="E1290">
        <v>55.4</v>
      </c>
      <c r="F1290">
        <v>-1.4150943396226401</v>
      </c>
      <c r="G1290">
        <v>-124.094043351717</v>
      </c>
      <c r="H1290">
        <v>138.497557011037</v>
      </c>
      <c r="I1290" s="1">
        <f t="shared" si="41"/>
        <v>134.83278410373003</v>
      </c>
    </row>
    <row r="1291" spans="1:9" x14ac:dyDescent="0.45">
      <c r="A1291" t="s">
        <v>80</v>
      </c>
      <c r="B1291" t="s">
        <v>25</v>
      </c>
      <c r="C1291" t="str">
        <f t="shared" si="40"/>
        <v>WoffordGonzaga</v>
      </c>
      <c r="D1291" t="s">
        <v>25</v>
      </c>
      <c r="E1291">
        <v>1</v>
      </c>
      <c r="F1291">
        <v>29.969811320754701</v>
      </c>
      <c r="G1291">
        <v>9672.1750297959206</v>
      </c>
      <c r="H1291">
        <v>136.527012750132</v>
      </c>
      <c r="I1291" s="1">
        <f t="shared" si="41"/>
        <v>107.08538183521193</v>
      </c>
    </row>
    <row r="1292" spans="1:9" x14ac:dyDescent="0.45">
      <c r="A1292" t="s">
        <v>72</v>
      </c>
      <c r="B1292" t="s">
        <v>25</v>
      </c>
      <c r="C1292" t="str">
        <f t="shared" si="40"/>
        <v>XavierGonzaga</v>
      </c>
      <c r="D1292" t="s">
        <v>25</v>
      </c>
      <c r="E1292">
        <v>9.1</v>
      </c>
      <c r="F1292">
        <v>15.1245283018868</v>
      </c>
      <c r="G1292">
        <v>1004.4876534154899</v>
      </c>
      <c r="H1292">
        <v>137.10292632028401</v>
      </c>
      <c r="I1292" s="1">
        <f t="shared" si="41"/>
        <v>115.1948700715062</v>
      </c>
    </row>
    <row r="1293" spans="1:9" x14ac:dyDescent="0.45">
      <c r="A1293" t="s">
        <v>73</v>
      </c>
      <c r="B1293" t="s">
        <v>25</v>
      </c>
      <c r="C1293" t="str">
        <f t="shared" si="40"/>
        <v>YaleGonzaga</v>
      </c>
      <c r="D1293" t="s">
        <v>25</v>
      </c>
      <c r="E1293">
        <v>5.3</v>
      </c>
      <c r="F1293">
        <v>18.947169811320801</v>
      </c>
      <c r="G1293">
        <v>1799.9323524604199</v>
      </c>
      <c r="H1293">
        <v>137.90216095434599</v>
      </c>
      <c r="I1293" s="1">
        <f t="shared" si="41"/>
        <v>126.44896130824122</v>
      </c>
    </row>
    <row r="1294" spans="1:9" x14ac:dyDescent="0.45">
      <c r="A1294" t="s">
        <v>7</v>
      </c>
      <c r="B1294" t="s">
        <v>26</v>
      </c>
      <c r="C1294" t="str">
        <f t="shared" si="40"/>
        <v>AkronGrand Canyon</v>
      </c>
      <c r="D1294" t="s">
        <v>26</v>
      </c>
      <c r="E1294">
        <v>22.5</v>
      </c>
      <c r="F1294">
        <v>8.0943396226415096</v>
      </c>
      <c r="G1294">
        <v>343.66980353120402</v>
      </c>
      <c r="H1294">
        <v>138.03265816348801</v>
      </c>
      <c r="I1294" s="1">
        <f t="shared" si="41"/>
        <v>128.28650367093832</v>
      </c>
    </row>
    <row r="1295" spans="1:9" x14ac:dyDescent="0.45">
      <c r="A1295" t="s">
        <v>8</v>
      </c>
      <c r="B1295" t="s">
        <v>26</v>
      </c>
      <c r="C1295" t="str">
        <f t="shared" si="40"/>
        <v>AlabamaGrand Canyon</v>
      </c>
      <c r="D1295" t="s">
        <v>8</v>
      </c>
      <c r="E1295">
        <v>95.5</v>
      </c>
      <c r="F1295">
        <v>-20.083018867924501</v>
      </c>
      <c r="G1295">
        <v>-2139.8449112078301</v>
      </c>
      <c r="H1295">
        <v>139.78075417562701</v>
      </c>
      <c r="I1295" s="1">
        <f t="shared" si="41"/>
        <v>152.90159312370531</v>
      </c>
    </row>
    <row r="1296" spans="1:9" x14ac:dyDescent="0.45">
      <c r="A1296" t="s">
        <v>9</v>
      </c>
      <c r="B1296" t="s">
        <v>26</v>
      </c>
      <c r="C1296" t="str">
        <f t="shared" si="40"/>
        <v>Alabama St.Grand Canyon</v>
      </c>
      <c r="D1296" t="s">
        <v>26</v>
      </c>
      <c r="E1296">
        <v>4.4000000000000004</v>
      </c>
      <c r="F1296">
        <v>20.2339622641509</v>
      </c>
      <c r="G1296">
        <v>2189.8032800992501</v>
      </c>
      <c r="H1296">
        <v>138.25949901930099</v>
      </c>
      <c r="I1296" s="1">
        <f t="shared" si="41"/>
        <v>131.48066916219554</v>
      </c>
    </row>
    <row r="1297" spans="1:9" x14ac:dyDescent="0.45">
      <c r="A1297" t="s">
        <v>10</v>
      </c>
      <c r="B1297" t="s">
        <v>26</v>
      </c>
      <c r="C1297" t="str">
        <f t="shared" si="40"/>
        <v>AmericanGrand Canyon</v>
      </c>
      <c r="D1297" t="s">
        <v>26</v>
      </c>
      <c r="E1297">
        <v>5.2</v>
      </c>
      <c r="F1297">
        <v>18.969811320754701</v>
      </c>
      <c r="G1297">
        <v>1805.9573180834</v>
      </c>
      <c r="H1297">
        <v>138.35058490090501</v>
      </c>
      <c r="I1297" s="1">
        <f t="shared" si="41"/>
        <v>132.76325725117786</v>
      </c>
    </row>
    <row r="1298" spans="1:9" x14ac:dyDescent="0.45">
      <c r="A1298" t="s">
        <v>11</v>
      </c>
      <c r="B1298" t="s">
        <v>26</v>
      </c>
      <c r="C1298" t="str">
        <f t="shared" si="40"/>
        <v>ArizonaGrand Canyon</v>
      </c>
      <c r="D1298" t="s">
        <v>11</v>
      </c>
      <c r="E1298">
        <v>93.8</v>
      </c>
      <c r="F1298">
        <v>-17.841509433962301</v>
      </c>
      <c r="G1298">
        <v>-1520.3517868055101</v>
      </c>
      <c r="H1298">
        <v>139.54311299461699</v>
      </c>
      <c r="I1298" s="1">
        <f t="shared" si="41"/>
        <v>149.55534732965123</v>
      </c>
    </row>
    <row r="1299" spans="1:9" x14ac:dyDescent="0.45">
      <c r="A1299" t="s">
        <v>12</v>
      </c>
      <c r="B1299" t="s">
        <v>26</v>
      </c>
      <c r="C1299" t="str">
        <f t="shared" si="40"/>
        <v>ArkansasGrand Canyon</v>
      </c>
      <c r="D1299" t="s">
        <v>26</v>
      </c>
      <c r="E1299">
        <v>47.9</v>
      </c>
      <c r="F1299">
        <v>0.55094339622641497</v>
      </c>
      <c r="G1299">
        <v>108.77874695826399</v>
      </c>
      <c r="H1299">
        <v>137.66071682847499</v>
      </c>
      <c r="I1299" s="1">
        <f t="shared" si="41"/>
        <v>123.04916592235301</v>
      </c>
    </row>
    <row r="1300" spans="1:9" x14ac:dyDescent="0.45">
      <c r="A1300" t="s">
        <v>13</v>
      </c>
      <c r="B1300" t="s">
        <v>26</v>
      </c>
      <c r="C1300" t="str">
        <f t="shared" si="40"/>
        <v>AuburnGrand Canyon</v>
      </c>
      <c r="D1300" t="s">
        <v>13</v>
      </c>
      <c r="E1300">
        <v>97.7</v>
      </c>
      <c r="F1300">
        <v>-24.4905660377358</v>
      </c>
      <c r="G1300">
        <v>-4193.5673193118801</v>
      </c>
      <c r="H1300">
        <v>140.799436233736</v>
      </c>
      <c r="I1300" s="1">
        <f t="shared" si="41"/>
        <v>167.24574230667807</v>
      </c>
    </row>
    <row r="1301" spans="1:9" x14ac:dyDescent="0.45">
      <c r="A1301" t="s">
        <v>14</v>
      </c>
      <c r="B1301" t="s">
        <v>26</v>
      </c>
      <c r="C1301" t="str">
        <f t="shared" si="40"/>
        <v>BaylorGrand Canyon</v>
      </c>
      <c r="D1301" t="s">
        <v>14</v>
      </c>
      <c r="E1301">
        <v>81.599999999999994</v>
      </c>
      <c r="F1301">
        <v>-9.7584905660377395</v>
      </c>
      <c r="G1301">
        <v>-443.19609007671198</v>
      </c>
      <c r="H1301">
        <v>139.334434246461</v>
      </c>
      <c r="I1301" s="1">
        <f t="shared" si="41"/>
        <v>146.61692402962561</v>
      </c>
    </row>
    <row r="1302" spans="1:9" x14ac:dyDescent="0.45">
      <c r="A1302" t="s">
        <v>15</v>
      </c>
      <c r="B1302" t="s">
        <v>26</v>
      </c>
      <c r="C1302" t="str">
        <f t="shared" si="40"/>
        <v>BryantGrand Canyon</v>
      </c>
      <c r="D1302" t="s">
        <v>26</v>
      </c>
      <c r="E1302">
        <v>16.7</v>
      </c>
      <c r="F1302">
        <v>10.5245283018868</v>
      </c>
      <c r="G1302">
        <v>498.13175084690403</v>
      </c>
      <c r="H1302">
        <v>138.883431996355</v>
      </c>
      <c r="I1302" s="1">
        <f t="shared" si="41"/>
        <v>140.2663227739346</v>
      </c>
    </row>
    <row r="1303" spans="1:9" x14ac:dyDescent="0.45">
      <c r="A1303" t="s">
        <v>16</v>
      </c>
      <c r="B1303" t="s">
        <v>26</v>
      </c>
      <c r="C1303" t="str">
        <f t="shared" si="40"/>
        <v>BYUGrand Canyon</v>
      </c>
      <c r="D1303" t="s">
        <v>16</v>
      </c>
      <c r="E1303">
        <v>84.4</v>
      </c>
      <c r="F1303">
        <v>-11.0528301886792</v>
      </c>
      <c r="G1303">
        <v>-539.92383940630896</v>
      </c>
      <c r="H1303">
        <v>139.14395247457901</v>
      </c>
      <c r="I1303" s="1">
        <f t="shared" si="41"/>
        <v>143.93473390880979</v>
      </c>
    </row>
    <row r="1304" spans="1:9" x14ac:dyDescent="0.45">
      <c r="A1304" t="s">
        <v>17</v>
      </c>
      <c r="B1304" t="s">
        <v>26</v>
      </c>
      <c r="C1304" t="str">
        <f t="shared" si="40"/>
        <v>ClemsonGrand Canyon</v>
      </c>
      <c r="D1304" t="s">
        <v>17</v>
      </c>
      <c r="E1304">
        <v>87.4</v>
      </c>
      <c r="F1304">
        <v>-12.679245283018901</v>
      </c>
      <c r="G1304">
        <v>-691.80553035674404</v>
      </c>
      <c r="H1304">
        <v>139.36586433087001</v>
      </c>
      <c r="I1304" s="1">
        <f t="shared" si="41"/>
        <v>147.05949373624551</v>
      </c>
    </row>
    <row r="1305" spans="1:9" x14ac:dyDescent="0.45">
      <c r="A1305" t="s">
        <v>18</v>
      </c>
      <c r="B1305" t="s">
        <v>26</v>
      </c>
      <c r="C1305" t="str">
        <f t="shared" si="40"/>
        <v>Colorado St.Grand Canyon</v>
      </c>
      <c r="D1305" t="s">
        <v>18</v>
      </c>
      <c r="E1305">
        <v>53.2</v>
      </c>
      <c r="F1305">
        <v>-0.84150943396226396</v>
      </c>
      <c r="G1305">
        <v>-113.66912043994699</v>
      </c>
      <c r="H1305">
        <v>138.673256178976</v>
      </c>
      <c r="I1305" s="1">
        <f t="shared" si="41"/>
        <v>137.30681911414305</v>
      </c>
    </row>
    <row r="1306" spans="1:9" x14ac:dyDescent="0.45">
      <c r="A1306" t="s">
        <v>19</v>
      </c>
      <c r="B1306" t="s">
        <v>26</v>
      </c>
      <c r="C1306" t="str">
        <f t="shared" si="40"/>
        <v>ConnecticutGrand Canyon</v>
      </c>
      <c r="D1306" t="s">
        <v>19</v>
      </c>
      <c r="E1306">
        <v>92.1</v>
      </c>
      <c r="F1306">
        <v>-16.143396226415099</v>
      </c>
      <c r="G1306">
        <v>-1173.3823207471901</v>
      </c>
      <c r="H1306">
        <v>139.30880808131201</v>
      </c>
      <c r="I1306" s="1">
        <f t="shared" si="41"/>
        <v>146.25607980648596</v>
      </c>
    </row>
    <row r="1307" spans="1:9" x14ac:dyDescent="0.45">
      <c r="A1307" t="s">
        <v>20</v>
      </c>
      <c r="B1307" t="s">
        <v>26</v>
      </c>
      <c r="C1307" t="str">
        <f t="shared" si="40"/>
        <v>CreightonGrand Canyon</v>
      </c>
      <c r="D1307" t="s">
        <v>20</v>
      </c>
      <c r="E1307">
        <v>78.400000000000006</v>
      </c>
      <c r="F1307">
        <v>-8.4490566037735793</v>
      </c>
      <c r="G1307">
        <v>-362.96062433312898</v>
      </c>
      <c r="H1307">
        <v>138.78175044357599</v>
      </c>
      <c r="I1307" s="1">
        <f t="shared" si="41"/>
        <v>138.83453613294282</v>
      </c>
    </row>
    <row r="1308" spans="1:9" x14ac:dyDescent="0.45">
      <c r="A1308" t="s">
        <v>21</v>
      </c>
      <c r="B1308" t="s">
        <v>26</v>
      </c>
      <c r="C1308" t="str">
        <f t="shared" si="40"/>
        <v>DrakeGrand Canyon</v>
      </c>
      <c r="D1308" t="s">
        <v>21</v>
      </c>
      <c r="E1308">
        <v>53</v>
      </c>
      <c r="F1308">
        <v>-0.78867924528301903</v>
      </c>
      <c r="G1308">
        <v>-112.793637348804</v>
      </c>
      <c r="H1308">
        <v>138.83521554773</v>
      </c>
      <c r="I1308" s="1">
        <f t="shared" si="41"/>
        <v>139.58738283713626</v>
      </c>
    </row>
    <row r="1309" spans="1:9" x14ac:dyDescent="0.45">
      <c r="A1309" t="s">
        <v>22</v>
      </c>
      <c r="B1309" t="s">
        <v>26</v>
      </c>
      <c r="C1309" t="str">
        <f t="shared" si="40"/>
        <v>DukeGrand Canyon</v>
      </c>
      <c r="D1309" t="s">
        <v>22</v>
      </c>
      <c r="E1309">
        <v>98.4</v>
      </c>
      <c r="F1309">
        <v>-27</v>
      </c>
      <c r="G1309">
        <v>-6148.8378193363496</v>
      </c>
      <c r="H1309">
        <v>141.12253600918601</v>
      </c>
      <c r="I1309" s="1">
        <f t="shared" si="41"/>
        <v>171.79533787788424</v>
      </c>
    </row>
    <row r="1310" spans="1:9" x14ac:dyDescent="0.45">
      <c r="A1310" t="s">
        <v>23</v>
      </c>
      <c r="B1310" t="s">
        <v>26</v>
      </c>
      <c r="C1310" t="str">
        <f t="shared" si="40"/>
        <v>FloridaGrand Canyon</v>
      </c>
      <c r="D1310" t="s">
        <v>23</v>
      </c>
      <c r="E1310">
        <v>97.1</v>
      </c>
      <c r="F1310">
        <v>-23.101886792452799</v>
      </c>
      <c r="G1310">
        <v>-3391.9263430453402</v>
      </c>
      <c r="H1310">
        <v>140.84629228512799</v>
      </c>
      <c r="I1310" s="1">
        <f t="shared" si="41"/>
        <v>167.90552637369044</v>
      </c>
    </row>
    <row r="1311" spans="1:9" x14ac:dyDescent="0.45">
      <c r="A1311" t="s">
        <v>24</v>
      </c>
      <c r="B1311" t="s">
        <v>26</v>
      </c>
      <c r="C1311" t="str">
        <f t="shared" si="40"/>
        <v>GeorgiaGrand Canyon</v>
      </c>
      <c r="D1311" t="s">
        <v>24</v>
      </c>
      <c r="E1311">
        <v>56</v>
      </c>
      <c r="F1311">
        <v>-1.59245283018868</v>
      </c>
      <c r="G1311">
        <v>-127.529800632074</v>
      </c>
      <c r="H1311">
        <v>137.98810580947301</v>
      </c>
      <c r="I1311" s="1">
        <f t="shared" si="41"/>
        <v>127.65915816371496</v>
      </c>
    </row>
    <row r="1312" spans="1:9" x14ac:dyDescent="0.45">
      <c r="A1312" t="s">
        <v>25</v>
      </c>
      <c r="B1312" t="s">
        <v>26</v>
      </c>
      <c r="C1312" t="str">
        <f t="shared" si="40"/>
        <v>GonzagaGrand Canyon</v>
      </c>
      <c r="D1312" t="s">
        <v>25</v>
      </c>
      <c r="E1312">
        <v>87.8</v>
      </c>
      <c r="F1312">
        <v>-12.920754716981101</v>
      </c>
      <c r="G1312">
        <v>-717.84873258890104</v>
      </c>
      <c r="H1312">
        <v>140.125746929001</v>
      </c>
      <c r="I1312" s="1">
        <f t="shared" si="41"/>
        <v>157.75946558945509</v>
      </c>
    </row>
    <row r="1313" spans="1:9" x14ac:dyDescent="0.45">
      <c r="A1313" t="s">
        <v>26</v>
      </c>
      <c r="B1313" t="s">
        <v>26</v>
      </c>
      <c r="C1313" t="str">
        <f t="shared" si="40"/>
        <v>Grand CanyonGrand Canyon</v>
      </c>
      <c r="D1313" t="s">
        <v>26</v>
      </c>
      <c r="E1313">
        <v>41.2</v>
      </c>
      <c r="F1313">
        <v>2.3283018867924499</v>
      </c>
      <c r="G1313">
        <v>142.64273539779199</v>
      </c>
      <c r="H1313">
        <v>138.77771517530499</v>
      </c>
      <c r="I1313" s="1">
        <f t="shared" si="41"/>
        <v>138.77771517530277</v>
      </c>
    </row>
    <row r="1314" spans="1:9" x14ac:dyDescent="0.45">
      <c r="A1314" t="s">
        <v>27</v>
      </c>
      <c r="B1314" t="s">
        <v>26</v>
      </c>
      <c r="C1314" t="str">
        <f t="shared" si="40"/>
        <v>High PointGrand Canyon</v>
      </c>
      <c r="D1314" t="s">
        <v>26</v>
      </c>
      <c r="E1314">
        <v>31.5</v>
      </c>
      <c r="F1314">
        <v>5.1018867924528299</v>
      </c>
      <c r="G1314">
        <v>217.733737377034</v>
      </c>
      <c r="H1314">
        <v>139.05860692296099</v>
      </c>
      <c r="I1314" s="1">
        <f t="shared" si="41"/>
        <v>142.73297589730177</v>
      </c>
    </row>
    <row r="1315" spans="1:9" x14ac:dyDescent="0.45">
      <c r="A1315" t="s">
        <v>28</v>
      </c>
      <c r="B1315" t="s">
        <v>26</v>
      </c>
      <c r="C1315" t="str">
        <f t="shared" si="40"/>
        <v>HoustonGrand Canyon</v>
      </c>
      <c r="D1315" t="s">
        <v>28</v>
      </c>
      <c r="E1315">
        <v>99.1</v>
      </c>
      <c r="F1315">
        <v>-30.513207547169799</v>
      </c>
      <c r="G1315">
        <v>-10509.457166718101</v>
      </c>
      <c r="H1315">
        <v>141.26620035881501</v>
      </c>
      <c r="I1315" s="1">
        <f t="shared" si="41"/>
        <v>173.81828787189772</v>
      </c>
    </row>
    <row r="1316" spans="1:9" x14ac:dyDescent="0.45">
      <c r="A1316" t="s">
        <v>29</v>
      </c>
      <c r="B1316" t="s">
        <v>26</v>
      </c>
      <c r="C1316" t="str">
        <f t="shared" si="40"/>
        <v>IllinoisGrand Canyon</v>
      </c>
      <c r="D1316" t="s">
        <v>29</v>
      </c>
      <c r="E1316">
        <v>91.3</v>
      </c>
      <c r="F1316">
        <v>-15.4037735849057</v>
      </c>
      <c r="G1316">
        <v>-1048.28081166776</v>
      </c>
      <c r="H1316">
        <v>139.31644551275201</v>
      </c>
      <c r="I1316" s="1">
        <f t="shared" si="41"/>
        <v>146.36362313178364</v>
      </c>
    </row>
    <row r="1317" spans="1:9" x14ac:dyDescent="0.45">
      <c r="A1317" t="s">
        <v>30</v>
      </c>
      <c r="B1317" t="s">
        <v>26</v>
      </c>
      <c r="C1317" t="str">
        <f t="shared" si="40"/>
        <v>Iowa St.Grand Canyon</v>
      </c>
      <c r="D1317" t="s">
        <v>30</v>
      </c>
      <c r="E1317">
        <v>95.7</v>
      </c>
      <c r="F1317">
        <v>-20.286792452830198</v>
      </c>
      <c r="G1317">
        <v>-2208.0963272481799</v>
      </c>
      <c r="H1317">
        <v>140.24271409111</v>
      </c>
      <c r="I1317" s="1">
        <f t="shared" si="41"/>
        <v>159.4064902027236</v>
      </c>
    </row>
    <row r="1318" spans="1:9" x14ac:dyDescent="0.45">
      <c r="A1318" t="s">
        <v>31</v>
      </c>
      <c r="B1318" t="s">
        <v>26</v>
      </c>
      <c r="C1318" t="str">
        <f t="shared" si="40"/>
        <v>KansasGrand Canyon</v>
      </c>
      <c r="D1318" t="s">
        <v>31</v>
      </c>
      <c r="E1318">
        <v>86.5</v>
      </c>
      <c r="F1318">
        <v>-12.1849056603774</v>
      </c>
      <c r="G1318">
        <v>-641.51457627945797</v>
      </c>
      <c r="H1318">
        <v>139.19810437542199</v>
      </c>
      <c r="I1318" s="1">
        <f t="shared" si="41"/>
        <v>144.69725145591886</v>
      </c>
    </row>
    <row r="1319" spans="1:9" x14ac:dyDescent="0.45">
      <c r="A1319" t="s">
        <v>32</v>
      </c>
      <c r="B1319" t="s">
        <v>26</v>
      </c>
      <c r="C1319" t="str">
        <f t="shared" si="40"/>
        <v>KentuckyGrand Canyon</v>
      </c>
      <c r="D1319" t="s">
        <v>32</v>
      </c>
      <c r="E1319">
        <v>91.5</v>
      </c>
      <c r="F1319">
        <v>-15.611320754716999</v>
      </c>
      <c r="G1319">
        <v>-1082.22083998417</v>
      </c>
      <c r="H1319">
        <v>139.145141975814</v>
      </c>
      <c r="I1319" s="1">
        <f t="shared" si="41"/>
        <v>143.95148337743171</v>
      </c>
    </row>
    <row r="1320" spans="1:9" x14ac:dyDescent="0.45">
      <c r="A1320" t="s">
        <v>33</v>
      </c>
      <c r="B1320" t="s">
        <v>26</v>
      </c>
      <c r="C1320" t="str">
        <f t="shared" si="40"/>
        <v>LibertyGrand Canyon</v>
      </c>
      <c r="D1320" t="s">
        <v>26</v>
      </c>
      <c r="E1320">
        <v>23.1</v>
      </c>
      <c r="F1320">
        <v>7.87547169811321</v>
      </c>
      <c r="G1320">
        <v>332.54022438685502</v>
      </c>
      <c r="H1320">
        <v>138.354078224213</v>
      </c>
      <c r="I1320" s="1">
        <f t="shared" si="41"/>
        <v>132.81244703544405</v>
      </c>
    </row>
    <row r="1321" spans="1:9" x14ac:dyDescent="0.45">
      <c r="A1321" t="s">
        <v>34</v>
      </c>
      <c r="B1321" t="s">
        <v>26</v>
      </c>
      <c r="C1321" t="str">
        <f t="shared" si="40"/>
        <v>LipscombGrand Canyon</v>
      </c>
      <c r="D1321" t="s">
        <v>26</v>
      </c>
      <c r="E1321">
        <v>18.7</v>
      </c>
      <c r="F1321">
        <v>9.6188679245283009</v>
      </c>
      <c r="G1321">
        <v>433.78450508214797</v>
      </c>
      <c r="H1321">
        <v>138.785998455471</v>
      </c>
      <c r="I1321" s="1">
        <f t="shared" si="41"/>
        <v>138.89435275174756</v>
      </c>
    </row>
    <row r="1322" spans="1:9" x14ac:dyDescent="0.45">
      <c r="A1322" t="s">
        <v>35</v>
      </c>
      <c r="B1322" t="s">
        <v>26</v>
      </c>
      <c r="C1322" t="str">
        <f t="shared" si="40"/>
        <v>LouisvilleGrand Canyon</v>
      </c>
      <c r="D1322" t="s">
        <v>26</v>
      </c>
      <c r="E1322">
        <v>36.9</v>
      </c>
      <c r="F1322">
        <v>3.5132075471698099</v>
      </c>
      <c r="G1322">
        <v>170.86801072421099</v>
      </c>
      <c r="H1322">
        <v>138.07172176743899</v>
      </c>
      <c r="I1322" s="1">
        <f t="shared" si="41"/>
        <v>128.83656161908513</v>
      </c>
    </row>
    <row r="1323" spans="1:9" x14ac:dyDescent="0.45">
      <c r="A1323" t="s">
        <v>36</v>
      </c>
      <c r="B1323" t="s">
        <v>26</v>
      </c>
      <c r="C1323" t="str">
        <f t="shared" si="40"/>
        <v>MarquetteGrand Canyon</v>
      </c>
      <c r="D1323" t="s">
        <v>36</v>
      </c>
      <c r="E1323">
        <v>89.2</v>
      </c>
      <c r="F1323">
        <v>-13.8339622641509</v>
      </c>
      <c r="G1323">
        <v>-824.98232273514805</v>
      </c>
      <c r="H1323">
        <v>139.40347840234401</v>
      </c>
      <c r="I1323" s="1">
        <f t="shared" si="41"/>
        <v>147.58914069361273</v>
      </c>
    </row>
    <row r="1324" spans="1:9" x14ac:dyDescent="0.45">
      <c r="A1324" t="s">
        <v>37</v>
      </c>
      <c r="B1324" t="s">
        <v>26</v>
      </c>
      <c r="C1324" t="str">
        <f t="shared" si="40"/>
        <v>MarylandGrand Canyon</v>
      </c>
      <c r="D1324" t="s">
        <v>37</v>
      </c>
      <c r="E1324">
        <v>84.8</v>
      </c>
      <c r="F1324">
        <v>-11.2905660377358</v>
      </c>
      <c r="G1324">
        <v>-559.62909425558098</v>
      </c>
      <c r="H1324">
        <v>139.01341771402301</v>
      </c>
      <c r="I1324" s="1">
        <f t="shared" si="41"/>
        <v>142.09666278144081</v>
      </c>
    </row>
    <row r="1325" spans="1:9" x14ac:dyDescent="0.45">
      <c r="A1325" t="s">
        <v>38</v>
      </c>
      <c r="B1325" t="s">
        <v>26</v>
      </c>
      <c r="C1325" t="str">
        <f t="shared" si="40"/>
        <v>McNeese St.Grand Canyon</v>
      </c>
      <c r="D1325" t="s">
        <v>26</v>
      </c>
      <c r="E1325">
        <v>49.9</v>
      </c>
      <c r="F1325">
        <v>1.88679245283019E-2</v>
      </c>
      <c r="G1325">
        <v>100.28797837910901</v>
      </c>
      <c r="H1325">
        <v>138.84882932822401</v>
      </c>
      <c r="I1325" s="1">
        <f t="shared" si="41"/>
        <v>139.77907964459044</v>
      </c>
    </row>
    <row r="1326" spans="1:9" x14ac:dyDescent="0.45">
      <c r="A1326" t="s">
        <v>39</v>
      </c>
      <c r="B1326" t="s">
        <v>26</v>
      </c>
      <c r="C1326" t="str">
        <f t="shared" si="40"/>
        <v>MemphisGrand Canyon</v>
      </c>
      <c r="D1326" t="s">
        <v>39</v>
      </c>
      <c r="E1326">
        <v>74.099999999999994</v>
      </c>
      <c r="F1326">
        <v>-6.9018867924528298</v>
      </c>
      <c r="G1326">
        <v>-286.63801021212299</v>
      </c>
      <c r="H1326">
        <v>137.991052527042</v>
      </c>
      <c r="I1326" s="1">
        <f t="shared" si="41"/>
        <v>127.70065114582179</v>
      </c>
    </row>
    <row r="1327" spans="1:9" x14ac:dyDescent="0.45">
      <c r="A1327" t="s">
        <v>40</v>
      </c>
      <c r="B1327" t="s">
        <v>26</v>
      </c>
      <c r="C1327" t="str">
        <f t="shared" si="40"/>
        <v>MichiganGrand Canyon</v>
      </c>
      <c r="D1327" t="s">
        <v>40</v>
      </c>
      <c r="E1327">
        <v>60.2</v>
      </c>
      <c r="F1327">
        <v>-2.7132075471698101</v>
      </c>
      <c r="G1327">
        <v>-151.30899296413801</v>
      </c>
      <c r="H1327">
        <v>137.64797361172501</v>
      </c>
      <c r="I1327" s="1">
        <f t="shared" si="41"/>
        <v>122.86972759743344</v>
      </c>
    </row>
    <row r="1328" spans="1:9" x14ac:dyDescent="0.45">
      <c r="A1328" t="s">
        <v>41</v>
      </c>
      <c r="B1328" t="s">
        <v>26</v>
      </c>
      <c r="C1328" t="str">
        <f t="shared" si="40"/>
        <v>Michigan St.Grand Canyon</v>
      </c>
      <c r="D1328" t="s">
        <v>41</v>
      </c>
      <c r="E1328">
        <v>93.6</v>
      </c>
      <c r="F1328">
        <v>-17.5396226415094</v>
      </c>
      <c r="G1328">
        <v>-1451.9062542982799</v>
      </c>
      <c r="H1328">
        <v>139.346865572555</v>
      </c>
      <c r="I1328" s="1">
        <f t="shared" si="41"/>
        <v>146.79197059554392</v>
      </c>
    </row>
    <row r="1329" spans="1:9" x14ac:dyDescent="0.45">
      <c r="A1329" t="s">
        <v>42</v>
      </c>
      <c r="B1329" t="s">
        <v>26</v>
      </c>
      <c r="C1329" t="str">
        <f t="shared" si="40"/>
        <v>MississippiGrand Canyon</v>
      </c>
      <c r="D1329" t="s">
        <v>42</v>
      </c>
      <c r="E1329">
        <v>78.900000000000006</v>
      </c>
      <c r="F1329">
        <v>-8.6264150943396203</v>
      </c>
      <c r="G1329">
        <v>-372.92344346794101</v>
      </c>
      <c r="H1329">
        <v>138.47778667764899</v>
      </c>
      <c r="I1329" s="1">
        <f t="shared" si="41"/>
        <v>134.55439634843654</v>
      </c>
    </row>
    <row r="1330" spans="1:9" x14ac:dyDescent="0.45">
      <c r="A1330" t="s">
        <v>43</v>
      </c>
      <c r="B1330" t="s">
        <v>26</v>
      </c>
      <c r="C1330" t="str">
        <f t="shared" si="40"/>
        <v>Mississippi St.Grand Canyon</v>
      </c>
      <c r="D1330" t="s">
        <v>43</v>
      </c>
      <c r="E1330">
        <v>73.8</v>
      </c>
      <c r="F1330">
        <v>-6.7811320754717004</v>
      </c>
      <c r="G1330">
        <v>-281.27323213945698</v>
      </c>
      <c r="H1330">
        <v>138.60215803143799</v>
      </c>
      <c r="I1330" s="1">
        <f t="shared" si="41"/>
        <v>136.30568001799426</v>
      </c>
    </row>
    <row r="1331" spans="1:9" x14ac:dyDescent="0.45">
      <c r="A1331" t="s">
        <v>44</v>
      </c>
      <c r="B1331" t="s">
        <v>26</v>
      </c>
      <c r="C1331" t="str">
        <f t="shared" si="40"/>
        <v>MissouriGrand Canyon</v>
      </c>
      <c r="D1331" t="s">
        <v>44</v>
      </c>
      <c r="E1331">
        <v>55.2</v>
      </c>
      <c r="F1331">
        <v>-1.3660377358490601</v>
      </c>
      <c r="G1331">
        <v>-123.17695467727999</v>
      </c>
      <c r="H1331">
        <v>137.866629967612</v>
      </c>
      <c r="I1331" s="1">
        <f t="shared" si="41"/>
        <v>125.94864644525379</v>
      </c>
    </row>
    <row r="1332" spans="1:9" x14ac:dyDescent="0.45">
      <c r="A1332" t="s">
        <v>45</v>
      </c>
      <c r="B1332" t="s">
        <v>26</v>
      </c>
      <c r="C1332" t="str">
        <f t="shared" si="40"/>
        <v>MontanaGrand Canyon</v>
      </c>
      <c r="D1332" t="s">
        <v>26</v>
      </c>
      <c r="E1332">
        <v>10.7</v>
      </c>
      <c r="F1332">
        <v>13.8905660377358</v>
      </c>
      <c r="G1332">
        <v>832.266874199781</v>
      </c>
      <c r="H1332">
        <v>137.17536469263101</v>
      </c>
      <c r="I1332" s="1">
        <f t="shared" si="41"/>
        <v>116.21488098781296</v>
      </c>
    </row>
    <row r="1333" spans="1:9" x14ac:dyDescent="0.45">
      <c r="A1333" t="s">
        <v>46</v>
      </c>
      <c r="B1333" t="s">
        <v>26</v>
      </c>
      <c r="C1333" t="str">
        <f t="shared" si="40"/>
        <v>Mount St. Mary'sGrand Canyon</v>
      </c>
      <c r="D1333" t="s">
        <v>26</v>
      </c>
      <c r="E1333">
        <v>4.5</v>
      </c>
      <c r="F1333">
        <v>20.0075471698113</v>
      </c>
      <c r="G1333">
        <v>2115.74491194853</v>
      </c>
      <c r="H1333">
        <v>138.523238914578</v>
      </c>
      <c r="I1333" s="1">
        <f t="shared" si="41"/>
        <v>135.19441318393456</v>
      </c>
    </row>
    <row r="1334" spans="1:9" x14ac:dyDescent="0.45">
      <c r="A1334" t="s">
        <v>47</v>
      </c>
      <c r="B1334" t="s">
        <v>26</v>
      </c>
      <c r="C1334" t="str">
        <f t="shared" si="40"/>
        <v>Nebraska OmahaGrand Canyon</v>
      </c>
      <c r="D1334" t="s">
        <v>26</v>
      </c>
      <c r="E1334">
        <v>5.8</v>
      </c>
      <c r="F1334">
        <v>18.2905660377359</v>
      </c>
      <c r="G1334">
        <v>1628.5194188927901</v>
      </c>
      <c r="H1334">
        <v>137.807240094478</v>
      </c>
      <c r="I1334" s="1">
        <f t="shared" si="41"/>
        <v>125.11237256233761</v>
      </c>
    </row>
    <row r="1335" spans="1:9" x14ac:dyDescent="0.45">
      <c r="A1335" t="s">
        <v>48</v>
      </c>
      <c r="B1335" t="s">
        <v>26</v>
      </c>
      <c r="C1335" t="str">
        <f t="shared" si="40"/>
        <v>New MexicoGrand Canyon</v>
      </c>
      <c r="D1335" t="s">
        <v>48</v>
      </c>
      <c r="E1335">
        <v>61.1</v>
      </c>
      <c r="F1335">
        <v>-2.9547169811320799</v>
      </c>
      <c r="G1335">
        <v>-156.97937126477899</v>
      </c>
      <c r="H1335">
        <v>138.68498444175401</v>
      </c>
      <c r="I1335" s="1">
        <f t="shared" si="41"/>
        <v>137.47196578537935</v>
      </c>
    </row>
    <row r="1336" spans="1:9" x14ac:dyDescent="0.45">
      <c r="A1336" t="s">
        <v>49</v>
      </c>
      <c r="B1336" t="s">
        <v>26</v>
      </c>
      <c r="C1336" t="str">
        <f t="shared" si="40"/>
        <v>Norfolk St.Grand Canyon</v>
      </c>
      <c r="D1336" t="s">
        <v>26</v>
      </c>
      <c r="E1336">
        <v>8.3000000000000007</v>
      </c>
      <c r="F1336">
        <v>15.7584905660377</v>
      </c>
      <c r="G1336">
        <v>1106.6500448939701</v>
      </c>
      <c r="H1336">
        <v>137.69734810395499</v>
      </c>
      <c r="I1336" s="1">
        <f t="shared" si="41"/>
        <v>123.56497404527525</v>
      </c>
    </row>
    <row r="1337" spans="1:9" x14ac:dyDescent="0.45">
      <c r="A1337" t="s">
        <v>50</v>
      </c>
      <c r="B1337" t="s">
        <v>26</v>
      </c>
      <c r="C1337" t="str">
        <f t="shared" si="40"/>
        <v>North CarolinaGrand Canyon</v>
      </c>
      <c r="D1337" t="s">
        <v>50</v>
      </c>
      <c r="E1337">
        <v>84.3</v>
      </c>
      <c r="F1337">
        <v>-10.9962264150943</v>
      </c>
      <c r="G1337">
        <v>-535.22404794725003</v>
      </c>
      <c r="H1337">
        <v>139.76927953591101</v>
      </c>
      <c r="I1337" s="1">
        <f t="shared" si="41"/>
        <v>152.74001774049623</v>
      </c>
    </row>
    <row r="1338" spans="1:9" x14ac:dyDescent="0.45">
      <c r="A1338" t="s">
        <v>51</v>
      </c>
      <c r="B1338" t="s">
        <v>26</v>
      </c>
      <c r="C1338" t="str">
        <f t="shared" si="40"/>
        <v>OklahomaGrand Canyon</v>
      </c>
      <c r="D1338" t="s">
        <v>51</v>
      </c>
      <c r="E1338">
        <v>63.7</v>
      </c>
      <c r="F1338">
        <v>-3.69056603773585</v>
      </c>
      <c r="G1338">
        <v>-175.60104511751899</v>
      </c>
      <c r="H1338">
        <v>138.11188283141601</v>
      </c>
      <c r="I1338" s="1">
        <f t="shared" si="41"/>
        <v>129.40207299571892</v>
      </c>
    </row>
    <row r="1339" spans="1:9" x14ac:dyDescent="0.45">
      <c r="A1339" t="s">
        <v>52</v>
      </c>
      <c r="B1339" t="s">
        <v>26</v>
      </c>
      <c r="C1339" t="str">
        <f t="shared" si="40"/>
        <v>OregonGrand Canyon</v>
      </c>
      <c r="D1339" t="s">
        <v>52</v>
      </c>
      <c r="E1339">
        <v>85.3</v>
      </c>
      <c r="F1339">
        <v>-11.5169811320755</v>
      </c>
      <c r="G1339">
        <v>-579.36399609181603</v>
      </c>
      <c r="H1339">
        <v>138.70626061955599</v>
      </c>
      <c r="I1339" s="1">
        <f t="shared" si="41"/>
        <v>137.77155746465323</v>
      </c>
    </row>
    <row r="1340" spans="1:9" x14ac:dyDescent="0.45">
      <c r="A1340" t="s">
        <v>53</v>
      </c>
      <c r="B1340" t="s">
        <v>26</v>
      </c>
      <c r="C1340" t="str">
        <f t="shared" si="40"/>
        <v>PurdueGrand Canyon</v>
      </c>
      <c r="D1340" t="s">
        <v>53</v>
      </c>
      <c r="E1340">
        <v>96.8</v>
      </c>
      <c r="F1340">
        <v>-22.4264150943396</v>
      </c>
      <c r="G1340">
        <v>-3060.26597279322</v>
      </c>
      <c r="H1340">
        <v>140.05424794834499</v>
      </c>
      <c r="I1340" s="1">
        <f t="shared" si="41"/>
        <v>156.7526823278906</v>
      </c>
    </row>
    <row r="1341" spans="1:9" x14ac:dyDescent="0.45">
      <c r="A1341" t="s">
        <v>54</v>
      </c>
      <c r="B1341" t="s">
        <v>26</v>
      </c>
      <c r="C1341" t="str">
        <f t="shared" si="40"/>
        <v>Robert MorrisGrand Canyon</v>
      </c>
      <c r="D1341" t="s">
        <v>26</v>
      </c>
      <c r="E1341">
        <v>3.6</v>
      </c>
      <c r="F1341">
        <v>21.5169811320755</v>
      </c>
      <c r="G1341">
        <v>2663.3105420131301</v>
      </c>
      <c r="H1341">
        <v>137.11288479710799</v>
      </c>
      <c r="I1341" s="1">
        <f t="shared" si="41"/>
        <v>115.335096235363</v>
      </c>
    </row>
    <row r="1342" spans="1:9" x14ac:dyDescent="0.45">
      <c r="A1342" t="s">
        <v>55</v>
      </c>
      <c r="B1342" t="s">
        <v>26</v>
      </c>
      <c r="C1342" t="str">
        <f t="shared" si="40"/>
        <v>Saint FrancisGrand Canyon</v>
      </c>
      <c r="D1342" t="s">
        <v>26</v>
      </c>
      <c r="E1342">
        <v>2.4</v>
      </c>
      <c r="F1342">
        <v>24.2415094339623</v>
      </c>
      <c r="G1342">
        <v>4036.7953097129098</v>
      </c>
      <c r="H1342">
        <v>138.165740330315</v>
      </c>
      <c r="I1342" s="1">
        <f t="shared" si="41"/>
        <v>130.16044504387594</v>
      </c>
    </row>
    <row r="1343" spans="1:9" x14ac:dyDescent="0.45">
      <c r="A1343" t="s">
        <v>56</v>
      </c>
      <c r="B1343" t="s">
        <v>26</v>
      </c>
      <c r="C1343" t="str">
        <f t="shared" si="40"/>
        <v>Saint Mary'sGrand Canyon</v>
      </c>
      <c r="D1343" t="s">
        <v>56</v>
      </c>
      <c r="E1343">
        <v>83.2</v>
      </c>
      <c r="F1343">
        <v>-10.4716981132075</v>
      </c>
      <c r="G1343">
        <v>-494.13651333609602</v>
      </c>
      <c r="H1343">
        <v>139.41699553140501</v>
      </c>
      <c r="I1343" s="1">
        <f t="shared" si="41"/>
        <v>147.77947654397258</v>
      </c>
    </row>
    <row r="1344" spans="1:9" x14ac:dyDescent="0.45">
      <c r="A1344" t="s">
        <v>57</v>
      </c>
      <c r="B1344" t="s">
        <v>26</v>
      </c>
      <c r="C1344" t="str">
        <f t="shared" si="40"/>
        <v>San Diego St.Grand Canyon</v>
      </c>
      <c r="D1344" t="s">
        <v>57</v>
      </c>
      <c r="E1344">
        <v>59</v>
      </c>
      <c r="F1344">
        <v>-2.3811320754717</v>
      </c>
      <c r="G1344">
        <v>-143.782443680466</v>
      </c>
      <c r="H1344">
        <v>138.563250411203</v>
      </c>
      <c r="I1344" s="1">
        <f t="shared" si="41"/>
        <v>135.75781848989274</v>
      </c>
    </row>
    <row r="1345" spans="1:9" x14ac:dyDescent="0.45">
      <c r="A1345" t="s">
        <v>58</v>
      </c>
      <c r="B1345" t="s">
        <v>26</v>
      </c>
      <c r="C1345" t="str">
        <f t="shared" si="40"/>
        <v>SIU EdwardsvilleGrand Canyon</v>
      </c>
      <c r="D1345" t="s">
        <v>26</v>
      </c>
      <c r="E1345">
        <v>6.7</v>
      </c>
      <c r="F1345">
        <v>17.218867924528301</v>
      </c>
      <c r="G1345">
        <v>1382.5189996224101</v>
      </c>
      <c r="H1345">
        <v>138.71093817805101</v>
      </c>
      <c r="I1345" s="1">
        <f t="shared" si="41"/>
        <v>137.83742256586956</v>
      </c>
    </row>
    <row r="1346" spans="1:9" x14ac:dyDescent="0.45">
      <c r="A1346" t="s">
        <v>59</v>
      </c>
      <c r="B1346" t="s">
        <v>26</v>
      </c>
      <c r="C1346" t="str">
        <f t="shared" si="40"/>
        <v>St. John'sGrand Canyon</v>
      </c>
      <c r="D1346" t="s">
        <v>59</v>
      </c>
      <c r="E1346">
        <v>93.9</v>
      </c>
      <c r="F1346">
        <v>-17.939622641509398</v>
      </c>
      <c r="G1346">
        <v>-1543.60579093058</v>
      </c>
      <c r="H1346">
        <v>139.688620950596</v>
      </c>
      <c r="I1346" s="1">
        <f t="shared" si="41"/>
        <v>151.60425730235352</v>
      </c>
    </row>
    <row r="1347" spans="1:9" x14ac:dyDescent="0.45">
      <c r="A1347" t="s">
        <v>60</v>
      </c>
      <c r="B1347" t="s">
        <v>26</v>
      </c>
      <c r="C1347" t="str">
        <f t="shared" ref="C1347:C1410" si="42">A1347&amp;B1347</f>
        <v>TennesseeGrand Canyon</v>
      </c>
      <c r="D1347" t="s">
        <v>60</v>
      </c>
      <c r="E1347">
        <v>96.9</v>
      </c>
      <c r="F1347">
        <v>-22.486792452830201</v>
      </c>
      <c r="G1347">
        <v>-3087.9897310440301</v>
      </c>
      <c r="H1347">
        <v>140.28260382728701</v>
      </c>
      <c r="I1347" s="1">
        <f t="shared" ref="I1347:I1410" si="43">18*(H1347-AVERAGE($H$2:$H$4625))/_xlfn.STDEV.P($H$2:$H$4625)+AVERAGE($H$2:$H$4625)</f>
        <v>159.96818098939997</v>
      </c>
    </row>
    <row r="1348" spans="1:9" x14ac:dyDescent="0.45">
      <c r="A1348" t="s">
        <v>61</v>
      </c>
      <c r="B1348" t="s">
        <v>26</v>
      </c>
      <c r="C1348" t="str">
        <f t="shared" si="42"/>
        <v>TexasGrand Canyon</v>
      </c>
      <c r="D1348" t="s">
        <v>61</v>
      </c>
      <c r="E1348">
        <v>55.8</v>
      </c>
      <c r="F1348">
        <v>-1.53207547169811</v>
      </c>
      <c r="G1348">
        <v>-126.33076689934801</v>
      </c>
      <c r="H1348">
        <v>138.03831835835899</v>
      </c>
      <c r="I1348" s="1">
        <f t="shared" si="43"/>
        <v>128.3662053590046</v>
      </c>
    </row>
    <row r="1349" spans="1:9" x14ac:dyDescent="0.45">
      <c r="A1349" t="s">
        <v>62</v>
      </c>
      <c r="B1349" t="s">
        <v>26</v>
      </c>
      <c r="C1349" t="str">
        <f t="shared" si="42"/>
        <v>Texas A&amp;MGrand Canyon</v>
      </c>
      <c r="D1349" t="s">
        <v>62</v>
      </c>
      <c r="E1349">
        <v>87.9</v>
      </c>
      <c r="F1349">
        <v>-13.026415094339599</v>
      </c>
      <c r="G1349">
        <v>-729.64230342806002</v>
      </c>
      <c r="H1349">
        <v>138.836117385953</v>
      </c>
      <c r="I1349" s="1">
        <f t="shared" si="43"/>
        <v>139.60008169828401</v>
      </c>
    </row>
    <row r="1350" spans="1:9" x14ac:dyDescent="0.45">
      <c r="A1350" t="s">
        <v>63</v>
      </c>
      <c r="B1350" t="s">
        <v>26</v>
      </c>
      <c r="C1350" t="str">
        <f t="shared" si="42"/>
        <v>Texas TechGrand Canyon</v>
      </c>
      <c r="D1350" t="s">
        <v>63</v>
      </c>
      <c r="E1350">
        <v>93.5</v>
      </c>
      <c r="F1350">
        <v>-17.479245283018901</v>
      </c>
      <c r="G1350">
        <v>-1438.88650239354</v>
      </c>
      <c r="H1350">
        <v>139.875901505017</v>
      </c>
      <c r="I1350" s="1">
        <f t="shared" si="43"/>
        <v>154.24137080631706</v>
      </c>
    </row>
    <row r="1351" spans="1:9" x14ac:dyDescent="0.45">
      <c r="A1351" t="s">
        <v>64</v>
      </c>
      <c r="B1351" t="s">
        <v>26</v>
      </c>
      <c r="C1351" t="str">
        <f t="shared" si="42"/>
        <v>TroyGrand Canyon</v>
      </c>
      <c r="D1351" t="s">
        <v>26</v>
      </c>
      <c r="E1351">
        <v>16.8</v>
      </c>
      <c r="F1351">
        <v>10.4679245283019</v>
      </c>
      <c r="G1351">
        <v>493.66730610321201</v>
      </c>
      <c r="H1351">
        <v>138.57946592474599</v>
      </c>
      <c r="I1351" s="1">
        <f t="shared" si="43"/>
        <v>135.98615052292266</v>
      </c>
    </row>
    <row r="1352" spans="1:9" x14ac:dyDescent="0.45">
      <c r="A1352" t="s">
        <v>65</v>
      </c>
      <c r="B1352" t="s">
        <v>26</v>
      </c>
      <c r="C1352" t="str">
        <f t="shared" si="42"/>
        <v>UC San DiegoGrand Canyon</v>
      </c>
      <c r="D1352" t="s">
        <v>26</v>
      </c>
      <c r="E1352">
        <v>34.1</v>
      </c>
      <c r="F1352">
        <v>4.3056603773584898</v>
      </c>
      <c r="G1352">
        <v>192.880439671396</v>
      </c>
      <c r="H1352">
        <v>138.667587668137</v>
      </c>
      <c r="I1352" s="1">
        <f t="shared" si="43"/>
        <v>137.22700032821993</v>
      </c>
    </row>
    <row r="1353" spans="1:9" x14ac:dyDescent="0.45">
      <c r="A1353" t="s">
        <v>66</v>
      </c>
      <c r="B1353" t="s">
        <v>26</v>
      </c>
      <c r="C1353" t="str">
        <f t="shared" si="42"/>
        <v>UCLAGrand Canyon</v>
      </c>
      <c r="D1353" t="s">
        <v>66</v>
      </c>
      <c r="E1353">
        <v>67.3</v>
      </c>
      <c r="F1353">
        <v>-4.7396226415094302</v>
      </c>
      <c r="G1353">
        <v>-206.02246369597901</v>
      </c>
      <c r="H1353">
        <v>138.139042181246</v>
      </c>
      <c r="I1353" s="1">
        <f t="shared" si="43"/>
        <v>129.7845061234772</v>
      </c>
    </row>
    <row r="1354" spans="1:9" x14ac:dyDescent="0.45">
      <c r="A1354" t="s">
        <v>67</v>
      </c>
      <c r="B1354" t="s">
        <v>26</v>
      </c>
      <c r="C1354" t="str">
        <f t="shared" si="42"/>
        <v>UNC WilmingtonGrand Canyon</v>
      </c>
      <c r="D1354" t="s">
        <v>26</v>
      </c>
      <c r="E1354">
        <v>23.7</v>
      </c>
      <c r="F1354">
        <v>7.6679245283018904</v>
      </c>
      <c r="G1354">
        <v>322.05227922215897</v>
      </c>
      <c r="H1354">
        <v>139.254057855166</v>
      </c>
      <c r="I1354" s="1">
        <f t="shared" si="43"/>
        <v>145.48513718961317</v>
      </c>
    </row>
    <row r="1355" spans="1:9" x14ac:dyDescent="0.45">
      <c r="A1355" t="s">
        <v>68</v>
      </c>
      <c r="B1355" t="s">
        <v>26</v>
      </c>
      <c r="C1355" t="str">
        <f t="shared" si="42"/>
        <v>Utah St.Grand Canyon</v>
      </c>
      <c r="D1355" t="s">
        <v>68</v>
      </c>
      <c r="E1355">
        <v>61.2</v>
      </c>
      <c r="F1355">
        <v>-2.97735849056604</v>
      </c>
      <c r="G1355">
        <v>-157.48987154719899</v>
      </c>
      <c r="H1355">
        <v>138.625428258993</v>
      </c>
      <c r="I1355" s="1">
        <f t="shared" si="43"/>
        <v>136.6333500823815</v>
      </c>
    </row>
    <row r="1356" spans="1:9" x14ac:dyDescent="0.45">
      <c r="A1356" t="s">
        <v>69</v>
      </c>
      <c r="B1356" t="s">
        <v>26</v>
      </c>
      <c r="C1356" t="str">
        <f t="shared" si="42"/>
        <v>VanderbiltGrand Canyon</v>
      </c>
      <c r="D1356" t="s">
        <v>26</v>
      </c>
      <c r="E1356">
        <v>25.2</v>
      </c>
      <c r="F1356">
        <v>7.1433962264150903</v>
      </c>
      <c r="G1356">
        <v>297.39753217961697</v>
      </c>
      <c r="H1356">
        <v>137.199998747591</v>
      </c>
      <c r="I1356" s="1">
        <f t="shared" si="43"/>
        <v>116.56175522253108</v>
      </c>
    </row>
    <row r="1357" spans="1:9" x14ac:dyDescent="0.45">
      <c r="A1357" t="s">
        <v>70</v>
      </c>
      <c r="B1357" t="s">
        <v>26</v>
      </c>
      <c r="C1357" t="str">
        <f t="shared" si="42"/>
        <v>VCUGrand Canyon</v>
      </c>
      <c r="D1357" t="s">
        <v>70</v>
      </c>
      <c r="E1357">
        <v>50.8</v>
      </c>
      <c r="F1357">
        <v>-0.20377358490566</v>
      </c>
      <c r="G1357">
        <v>-103.131824761922</v>
      </c>
      <c r="H1357">
        <v>139.04490990946701</v>
      </c>
      <c r="I1357" s="1">
        <f t="shared" si="43"/>
        <v>142.54010707885649</v>
      </c>
    </row>
    <row r="1358" spans="1:9" x14ac:dyDescent="0.45">
      <c r="A1358" t="s">
        <v>71</v>
      </c>
      <c r="B1358" t="s">
        <v>26</v>
      </c>
      <c r="C1358" t="str">
        <f t="shared" si="42"/>
        <v>WisconsinGrand Canyon</v>
      </c>
      <c r="D1358" t="s">
        <v>71</v>
      </c>
      <c r="E1358">
        <v>92.7</v>
      </c>
      <c r="F1358">
        <v>-16.664150943396201</v>
      </c>
      <c r="G1358">
        <v>-1270.67220997508</v>
      </c>
      <c r="H1358">
        <v>139.84558876473301</v>
      </c>
      <c r="I1358" s="1">
        <f t="shared" si="43"/>
        <v>153.81453451788238</v>
      </c>
    </row>
    <row r="1359" spans="1:9" x14ac:dyDescent="0.45">
      <c r="A1359" t="s">
        <v>80</v>
      </c>
      <c r="B1359" t="s">
        <v>26</v>
      </c>
      <c r="C1359" t="str">
        <f t="shared" si="42"/>
        <v>WoffordGrand Canyon</v>
      </c>
      <c r="D1359" t="s">
        <v>26</v>
      </c>
      <c r="E1359">
        <v>9.6</v>
      </c>
      <c r="F1359">
        <v>14.7207547169811</v>
      </c>
      <c r="G1359">
        <v>944.58610020000799</v>
      </c>
      <c r="H1359">
        <v>137.87504450382801</v>
      </c>
      <c r="I1359" s="1">
        <f t="shared" si="43"/>
        <v>126.06713224936426</v>
      </c>
    </row>
    <row r="1360" spans="1:9" x14ac:dyDescent="0.45">
      <c r="A1360" t="s">
        <v>72</v>
      </c>
      <c r="B1360" t="s">
        <v>26</v>
      </c>
      <c r="C1360" t="str">
        <f t="shared" si="42"/>
        <v>XavierGrand Canyon</v>
      </c>
      <c r="D1360" t="s">
        <v>72</v>
      </c>
      <c r="E1360">
        <v>50.5</v>
      </c>
      <c r="F1360">
        <v>-0.12452830188679199</v>
      </c>
      <c r="G1360">
        <v>-101.938442419027</v>
      </c>
      <c r="H1360">
        <v>138.45095807397999</v>
      </c>
      <c r="I1360" s="1">
        <f t="shared" si="43"/>
        <v>134.17662048565813</v>
      </c>
    </row>
    <row r="1361" spans="1:9" x14ac:dyDescent="0.45">
      <c r="A1361" t="s">
        <v>73</v>
      </c>
      <c r="B1361" t="s">
        <v>26</v>
      </c>
      <c r="C1361" t="str">
        <f t="shared" si="42"/>
        <v>YaleGrand Canyon</v>
      </c>
      <c r="D1361" t="s">
        <v>26</v>
      </c>
      <c r="E1361">
        <v>36.299999999999997</v>
      </c>
      <c r="F1361">
        <v>3.6981132075471699</v>
      </c>
      <c r="G1361">
        <v>175.781670223795</v>
      </c>
      <c r="H1361">
        <v>139.25019270804199</v>
      </c>
      <c r="I1361" s="1">
        <f t="shared" si="43"/>
        <v>145.43071172239354</v>
      </c>
    </row>
    <row r="1362" spans="1:9" x14ac:dyDescent="0.45">
      <c r="A1362" t="s">
        <v>7</v>
      </c>
      <c r="B1362" t="s">
        <v>27</v>
      </c>
      <c r="C1362" t="str">
        <f t="shared" si="42"/>
        <v>AkronHigh Point</v>
      </c>
      <c r="D1362" t="s">
        <v>27</v>
      </c>
      <c r="E1362">
        <v>30.8</v>
      </c>
      <c r="F1362">
        <v>5.3207547169811296</v>
      </c>
      <c r="G1362">
        <v>225.146554869559</v>
      </c>
      <c r="H1362">
        <v>137.75176641583201</v>
      </c>
      <c r="I1362" s="1">
        <f t="shared" si="43"/>
        <v>124.33124294893933</v>
      </c>
    </row>
    <row r="1363" spans="1:9" x14ac:dyDescent="0.45">
      <c r="A1363" t="s">
        <v>8</v>
      </c>
      <c r="B1363" t="s">
        <v>27</v>
      </c>
      <c r="C1363" t="str">
        <f t="shared" si="42"/>
        <v>AlabamaHigh Point</v>
      </c>
      <c r="D1363" t="s">
        <v>8</v>
      </c>
      <c r="E1363">
        <v>97</v>
      </c>
      <c r="F1363">
        <v>-22.852830188679199</v>
      </c>
      <c r="G1363">
        <v>-3266.3172689810999</v>
      </c>
      <c r="H1363">
        <v>139.49986242797101</v>
      </c>
      <c r="I1363" s="1">
        <f t="shared" si="43"/>
        <v>148.94633240170629</v>
      </c>
    </row>
    <row r="1364" spans="1:9" x14ac:dyDescent="0.45">
      <c r="A1364" t="s">
        <v>9</v>
      </c>
      <c r="B1364" t="s">
        <v>27</v>
      </c>
      <c r="C1364" t="str">
        <f t="shared" si="42"/>
        <v>Alabama St.High Point</v>
      </c>
      <c r="D1364" t="s">
        <v>27</v>
      </c>
      <c r="E1364">
        <v>6.5</v>
      </c>
      <c r="F1364">
        <v>17.4603773584906</v>
      </c>
      <c r="G1364">
        <v>1434.5940763214101</v>
      </c>
      <c r="H1364">
        <v>137.97860727164499</v>
      </c>
      <c r="I1364" s="1">
        <f t="shared" si="43"/>
        <v>127.52540844019653</v>
      </c>
    </row>
    <row r="1365" spans="1:9" x14ac:dyDescent="0.45">
      <c r="A1365" t="s">
        <v>10</v>
      </c>
      <c r="B1365" t="s">
        <v>27</v>
      </c>
      <c r="C1365" t="str">
        <f t="shared" si="42"/>
        <v>AmericanHigh Point</v>
      </c>
      <c r="D1365" t="s">
        <v>27</v>
      </c>
      <c r="E1365">
        <v>7.8</v>
      </c>
      <c r="F1365">
        <v>16.196226415094301</v>
      </c>
      <c r="G1365">
        <v>1183.12713025725</v>
      </c>
      <c r="H1365">
        <v>138.06969315324901</v>
      </c>
      <c r="I1365" s="1">
        <f t="shared" si="43"/>
        <v>128.80799652917887</v>
      </c>
    </row>
    <row r="1366" spans="1:9" x14ac:dyDescent="0.45">
      <c r="A1366" t="s">
        <v>11</v>
      </c>
      <c r="B1366" t="s">
        <v>27</v>
      </c>
      <c r="C1366" t="str">
        <f t="shared" si="42"/>
        <v>ArizonaHigh Point</v>
      </c>
      <c r="D1366" t="s">
        <v>11</v>
      </c>
      <c r="E1366">
        <v>95.9</v>
      </c>
      <c r="F1366">
        <v>-20.611320754716999</v>
      </c>
      <c r="G1366">
        <v>-2320.7061736853102</v>
      </c>
      <c r="H1366">
        <v>139.26222124696099</v>
      </c>
      <c r="I1366" s="1">
        <f t="shared" si="43"/>
        <v>145.60008660765223</v>
      </c>
    </row>
    <row r="1367" spans="1:9" x14ac:dyDescent="0.45">
      <c r="A1367" t="s">
        <v>12</v>
      </c>
      <c r="B1367" t="s">
        <v>27</v>
      </c>
      <c r="C1367" t="str">
        <f t="shared" si="42"/>
        <v>ArkansasHigh Point</v>
      </c>
      <c r="D1367" t="s">
        <v>12</v>
      </c>
      <c r="E1367">
        <v>58.4</v>
      </c>
      <c r="F1367">
        <v>-2.2226415094339602</v>
      </c>
      <c r="G1367">
        <v>-140.32401970252201</v>
      </c>
      <c r="H1367">
        <v>137.37982508081899</v>
      </c>
      <c r="I1367" s="1">
        <f t="shared" si="43"/>
        <v>119.09390520035402</v>
      </c>
    </row>
    <row r="1368" spans="1:9" x14ac:dyDescent="0.45">
      <c r="A1368" t="s">
        <v>13</v>
      </c>
      <c r="B1368" t="s">
        <v>27</v>
      </c>
      <c r="C1368" t="str">
        <f t="shared" si="42"/>
        <v>AuburnHigh Point</v>
      </c>
      <c r="D1368" t="s">
        <v>13</v>
      </c>
      <c r="E1368">
        <v>98.5</v>
      </c>
      <c r="F1368">
        <v>-27.264150943396199</v>
      </c>
      <c r="G1368">
        <v>-6401.1748150344301</v>
      </c>
      <c r="H1368">
        <v>140.518544486081</v>
      </c>
      <c r="I1368" s="1">
        <f t="shared" si="43"/>
        <v>163.29048158469308</v>
      </c>
    </row>
    <row r="1369" spans="1:9" x14ac:dyDescent="0.45">
      <c r="A1369" t="s">
        <v>14</v>
      </c>
      <c r="B1369" t="s">
        <v>27</v>
      </c>
      <c r="C1369" t="str">
        <f t="shared" si="42"/>
        <v>BaylorHigh Point</v>
      </c>
      <c r="D1369" t="s">
        <v>14</v>
      </c>
      <c r="E1369">
        <v>87.1</v>
      </c>
      <c r="F1369">
        <v>-12.5320754716981</v>
      </c>
      <c r="G1369">
        <v>-676.50652389820402</v>
      </c>
      <c r="H1369">
        <v>139.053542498806</v>
      </c>
      <c r="I1369" s="1">
        <f t="shared" si="43"/>
        <v>142.66166330764062</v>
      </c>
    </row>
    <row r="1370" spans="1:9" x14ac:dyDescent="0.45">
      <c r="A1370" t="s">
        <v>15</v>
      </c>
      <c r="B1370" t="s">
        <v>27</v>
      </c>
      <c r="C1370" t="str">
        <f t="shared" si="42"/>
        <v>BryantHigh Point</v>
      </c>
      <c r="D1370" t="s">
        <v>27</v>
      </c>
      <c r="E1370">
        <v>23.5</v>
      </c>
      <c r="F1370">
        <v>7.7547169811320797</v>
      </c>
      <c r="G1370">
        <v>326.33838184779302</v>
      </c>
      <c r="H1370">
        <v>138.6025402487</v>
      </c>
      <c r="I1370" s="1">
        <f t="shared" si="43"/>
        <v>136.31106205194962</v>
      </c>
    </row>
    <row r="1371" spans="1:9" x14ac:dyDescent="0.45">
      <c r="A1371" t="s">
        <v>16</v>
      </c>
      <c r="B1371" t="s">
        <v>27</v>
      </c>
      <c r="C1371" t="str">
        <f t="shared" si="42"/>
        <v>BYUHigh Point</v>
      </c>
      <c r="D1371" t="s">
        <v>16</v>
      </c>
      <c r="E1371">
        <v>89.2</v>
      </c>
      <c r="F1371">
        <v>-13.8264150943396</v>
      </c>
      <c r="G1371">
        <v>-824.15438210050797</v>
      </c>
      <c r="H1371">
        <v>138.86306072692301</v>
      </c>
      <c r="I1371" s="1">
        <f t="shared" si="43"/>
        <v>139.97947318681079</v>
      </c>
    </row>
    <row r="1372" spans="1:9" x14ac:dyDescent="0.45">
      <c r="A1372" t="s">
        <v>17</v>
      </c>
      <c r="B1372" t="s">
        <v>27</v>
      </c>
      <c r="C1372" t="str">
        <f t="shared" si="42"/>
        <v>ClemsonHigh Point</v>
      </c>
      <c r="D1372" t="s">
        <v>17</v>
      </c>
      <c r="E1372">
        <v>91.3</v>
      </c>
      <c r="F1372">
        <v>-15.452830188679201</v>
      </c>
      <c r="G1372">
        <v>-1055.9907116377899</v>
      </c>
      <c r="H1372">
        <v>139.08497258321501</v>
      </c>
      <c r="I1372" s="1">
        <f t="shared" si="43"/>
        <v>143.10423301426053</v>
      </c>
    </row>
    <row r="1373" spans="1:9" x14ac:dyDescent="0.45">
      <c r="A1373" t="s">
        <v>18</v>
      </c>
      <c r="B1373" t="s">
        <v>27</v>
      </c>
      <c r="C1373" t="str">
        <f t="shared" si="42"/>
        <v>Colorado St.High Point</v>
      </c>
      <c r="D1373" t="s">
        <v>18</v>
      </c>
      <c r="E1373">
        <v>63.4</v>
      </c>
      <c r="F1373">
        <v>-3.6113207547169801</v>
      </c>
      <c r="G1373">
        <v>-173.50762622947499</v>
      </c>
      <c r="H1373">
        <v>138.39236443132</v>
      </c>
      <c r="I1373" s="1">
        <f t="shared" si="43"/>
        <v>133.35155839214406</v>
      </c>
    </row>
    <row r="1374" spans="1:9" x14ac:dyDescent="0.45">
      <c r="A1374" t="s">
        <v>19</v>
      </c>
      <c r="B1374" t="s">
        <v>27</v>
      </c>
      <c r="C1374" t="str">
        <f t="shared" si="42"/>
        <v>ConnecticutHigh Point</v>
      </c>
      <c r="D1374" t="s">
        <v>19</v>
      </c>
      <c r="E1374">
        <v>94.7</v>
      </c>
      <c r="F1374">
        <v>-18.913207547169801</v>
      </c>
      <c r="G1374">
        <v>-1791.0825767323199</v>
      </c>
      <c r="H1374">
        <v>139.02791633365601</v>
      </c>
      <c r="I1374" s="1">
        <f t="shared" si="43"/>
        <v>142.30081908448696</v>
      </c>
    </row>
    <row r="1375" spans="1:9" x14ac:dyDescent="0.45">
      <c r="A1375" t="s">
        <v>20</v>
      </c>
      <c r="B1375" t="s">
        <v>27</v>
      </c>
      <c r="C1375" t="str">
        <f t="shared" si="42"/>
        <v>CreightonHigh Point</v>
      </c>
      <c r="D1375" t="s">
        <v>20</v>
      </c>
      <c r="E1375">
        <v>84.7</v>
      </c>
      <c r="F1375">
        <v>-11.222641509434</v>
      </c>
      <c r="G1375">
        <v>-554.03293435423802</v>
      </c>
      <c r="H1375">
        <v>138.50085869591999</v>
      </c>
      <c r="I1375" s="1">
        <f t="shared" si="43"/>
        <v>134.87927541094382</v>
      </c>
    </row>
    <row r="1376" spans="1:9" x14ac:dyDescent="0.45">
      <c r="A1376" t="s">
        <v>21</v>
      </c>
      <c r="B1376" t="s">
        <v>27</v>
      </c>
      <c r="C1376" t="str">
        <f t="shared" si="42"/>
        <v>DrakeHigh Point</v>
      </c>
      <c r="D1376" t="s">
        <v>21</v>
      </c>
      <c r="E1376">
        <v>63.3</v>
      </c>
      <c r="F1376">
        <v>-3.5622641509433999</v>
      </c>
      <c r="G1376">
        <v>-172.17126511081401</v>
      </c>
      <c r="H1376">
        <v>138.554323800074</v>
      </c>
      <c r="I1376" s="1">
        <f t="shared" si="43"/>
        <v>135.63212211513726</v>
      </c>
    </row>
    <row r="1377" spans="1:9" x14ac:dyDescent="0.45">
      <c r="A1377" t="s">
        <v>22</v>
      </c>
      <c r="B1377" t="s">
        <v>27</v>
      </c>
      <c r="C1377" t="str">
        <f t="shared" si="42"/>
        <v>DukeHigh Point</v>
      </c>
      <c r="D1377" t="s">
        <v>22</v>
      </c>
      <c r="E1377">
        <v>98.9</v>
      </c>
      <c r="F1377">
        <v>-29.7735849056604</v>
      </c>
      <c r="G1377">
        <v>-9385.75270023946</v>
      </c>
      <c r="H1377">
        <v>140.84164426153001</v>
      </c>
      <c r="I1377" s="1">
        <f t="shared" si="43"/>
        <v>167.84007715588524</v>
      </c>
    </row>
    <row r="1378" spans="1:9" x14ac:dyDescent="0.45">
      <c r="A1378" t="s">
        <v>23</v>
      </c>
      <c r="B1378" t="s">
        <v>27</v>
      </c>
      <c r="C1378" t="str">
        <f t="shared" si="42"/>
        <v>FloridaHigh Point</v>
      </c>
      <c r="D1378" t="s">
        <v>23</v>
      </c>
      <c r="E1378">
        <v>98.1</v>
      </c>
      <c r="F1378">
        <v>-25.871698113207501</v>
      </c>
      <c r="G1378">
        <v>-5177.5283018746104</v>
      </c>
      <c r="H1378">
        <v>140.56540053747199</v>
      </c>
      <c r="I1378" s="1">
        <f t="shared" si="43"/>
        <v>163.95026565169141</v>
      </c>
    </row>
    <row r="1379" spans="1:9" x14ac:dyDescent="0.45">
      <c r="A1379" t="s">
        <v>24</v>
      </c>
      <c r="B1379" t="s">
        <v>27</v>
      </c>
      <c r="C1379" t="str">
        <f t="shared" si="42"/>
        <v>GeorgiaHigh Point</v>
      </c>
      <c r="D1379" t="s">
        <v>24</v>
      </c>
      <c r="E1379">
        <v>66.099999999999994</v>
      </c>
      <c r="F1379">
        <v>-4.3660377358490603</v>
      </c>
      <c r="G1379">
        <v>-194.66494414267601</v>
      </c>
      <c r="H1379">
        <v>137.70721406181701</v>
      </c>
      <c r="I1379" s="1">
        <f t="shared" si="43"/>
        <v>123.70389744171597</v>
      </c>
    </row>
    <row r="1380" spans="1:9" x14ac:dyDescent="0.45">
      <c r="A1380" t="s">
        <v>25</v>
      </c>
      <c r="B1380" t="s">
        <v>27</v>
      </c>
      <c r="C1380" t="str">
        <f t="shared" si="42"/>
        <v>GonzagaHigh Point</v>
      </c>
      <c r="D1380" t="s">
        <v>25</v>
      </c>
      <c r="E1380">
        <v>91.6</v>
      </c>
      <c r="F1380">
        <v>-15.6943396226415</v>
      </c>
      <c r="G1380">
        <v>-1095.74376137748</v>
      </c>
      <c r="H1380">
        <v>139.84485518134599</v>
      </c>
      <c r="I1380" s="1">
        <f t="shared" si="43"/>
        <v>153.80420486747008</v>
      </c>
    </row>
    <row r="1381" spans="1:9" x14ac:dyDescent="0.45">
      <c r="A1381" t="s">
        <v>26</v>
      </c>
      <c r="B1381" t="s">
        <v>27</v>
      </c>
      <c r="C1381" t="str">
        <f t="shared" si="42"/>
        <v>Grand CanyonHigh Point</v>
      </c>
      <c r="D1381" t="s">
        <v>26</v>
      </c>
      <c r="E1381">
        <v>51.7</v>
      </c>
      <c r="F1381">
        <v>-0.44528301886792498</v>
      </c>
      <c r="G1381">
        <v>-107.01050417197401</v>
      </c>
      <c r="H1381">
        <v>138.49682342765001</v>
      </c>
      <c r="I1381" s="1">
        <f t="shared" si="43"/>
        <v>134.82245445331816</v>
      </c>
    </row>
    <row r="1382" spans="1:9" x14ac:dyDescent="0.45">
      <c r="A1382" t="s">
        <v>27</v>
      </c>
      <c r="B1382" t="s">
        <v>27</v>
      </c>
      <c r="C1382" t="str">
        <f t="shared" si="42"/>
        <v>High PointHigh Point</v>
      </c>
      <c r="D1382" t="s">
        <v>27</v>
      </c>
      <c r="E1382">
        <v>41.2</v>
      </c>
      <c r="F1382">
        <v>2.3283018867924499</v>
      </c>
      <c r="G1382">
        <v>142.64273539779199</v>
      </c>
      <c r="H1382">
        <v>138.77771517530499</v>
      </c>
      <c r="I1382" s="1">
        <f t="shared" si="43"/>
        <v>138.77771517530277</v>
      </c>
    </row>
    <row r="1383" spans="1:9" x14ac:dyDescent="0.45">
      <c r="A1383" t="s">
        <v>28</v>
      </c>
      <c r="B1383" t="s">
        <v>27</v>
      </c>
      <c r="C1383" t="str">
        <f t="shared" si="42"/>
        <v>HoustonHigh Point</v>
      </c>
      <c r="D1383" t="s">
        <v>28</v>
      </c>
      <c r="E1383">
        <v>99.4</v>
      </c>
      <c r="F1383">
        <v>-33.286792452830198</v>
      </c>
      <c r="G1383">
        <v>-16041.920258554101</v>
      </c>
      <c r="H1383">
        <v>140.98530861116001</v>
      </c>
      <c r="I1383" s="1">
        <f t="shared" si="43"/>
        <v>169.86302714991274</v>
      </c>
    </row>
    <row r="1384" spans="1:9" x14ac:dyDescent="0.45">
      <c r="A1384" t="s">
        <v>29</v>
      </c>
      <c r="B1384" t="s">
        <v>27</v>
      </c>
      <c r="C1384" t="str">
        <f t="shared" si="42"/>
        <v>IllinoisHigh Point</v>
      </c>
      <c r="D1384" t="s">
        <v>29</v>
      </c>
      <c r="E1384">
        <v>94.1</v>
      </c>
      <c r="F1384">
        <v>-18.177358490566</v>
      </c>
      <c r="G1384">
        <v>-1600.12424262993</v>
      </c>
      <c r="H1384">
        <v>139.03555376509601</v>
      </c>
      <c r="I1384" s="1">
        <f t="shared" si="43"/>
        <v>142.40836240978464</v>
      </c>
    </row>
    <row r="1385" spans="1:9" x14ac:dyDescent="0.45">
      <c r="A1385" t="s">
        <v>30</v>
      </c>
      <c r="B1385" t="s">
        <v>27</v>
      </c>
      <c r="C1385" t="str">
        <f t="shared" si="42"/>
        <v>Iowa St.High Point</v>
      </c>
      <c r="D1385" t="s">
        <v>30</v>
      </c>
      <c r="E1385">
        <v>97.1</v>
      </c>
      <c r="F1385">
        <v>-23.060377358490602</v>
      </c>
      <c r="G1385">
        <v>-3370.4980802526902</v>
      </c>
      <c r="H1385">
        <v>139.961822343455</v>
      </c>
      <c r="I1385" s="1">
        <f t="shared" si="43"/>
        <v>155.45122948073862</v>
      </c>
    </row>
    <row r="1386" spans="1:9" x14ac:dyDescent="0.45">
      <c r="A1386" t="s">
        <v>31</v>
      </c>
      <c r="B1386" t="s">
        <v>27</v>
      </c>
      <c r="C1386" t="str">
        <f t="shared" si="42"/>
        <v>KansasHigh Point</v>
      </c>
      <c r="D1386" t="s">
        <v>31</v>
      </c>
      <c r="E1386">
        <v>90.7</v>
      </c>
      <c r="F1386">
        <v>-14.9584905660377</v>
      </c>
      <c r="G1386">
        <v>-979.22523629151704</v>
      </c>
      <c r="H1386">
        <v>138.91721262776599</v>
      </c>
      <c r="I1386" s="1">
        <f t="shared" si="43"/>
        <v>140.74199073391983</v>
      </c>
    </row>
    <row r="1387" spans="1:9" x14ac:dyDescent="0.45">
      <c r="A1387" t="s">
        <v>32</v>
      </c>
      <c r="B1387" t="s">
        <v>27</v>
      </c>
      <c r="C1387" t="str">
        <f t="shared" si="42"/>
        <v>KentuckyHigh Point</v>
      </c>
      <c r="D1387" t="s">
        <v>32</v>
      </c>
      <c r="E1387">
        <v>94.3</v>
      </c>
      <c r="F1387">
        <v>-18.384905660377399</v>
      </c>
      <c r="G1387">
        <v>-1651.93122173339</v>
      </c>
      <c r="H1387">
        <v>138.86425022815899</v>
      </c>
      <c r="I1387" s="1">
        <f t="shared" si="43"/>
        <v>139.99622265544673</v>
      </c>
    </row>
    <row r="1388" spans="1:9" x14ac:dyDescent="0.45">
      <c r="A1388" t="s">
        <v>33</v>
      </c>
      <c r="B1388" t="s">
        <v>27</v>
      </c>
      <c r="C1388" t="str">
        <f t="shared" si="42"/>
        <v>LibertyHigh Point</v>
      </c>
      <c r="D1388" t="s">
        <v>27</v>
      </c>
      <c r="E1388">
        <v>31.5</v>
      </c>
      <c r="F1388">
        <v>5.1056603773584897</v>
      </c>
      <c r="G1388">
        <v>217.85529338614899</v>
      </c>
      <c r="H1388">
        <v>138.073186476557</v>
      </c>
      <c r="I1388" s="1">
        <f t="shared" si="43"/>
        <v>128.85718631344503</v>
      </c>
    </row>
    <row r="1389" spans="1:9" x14ac:dyDescent="0.45">
      <c r="A1389" t="s">
        <v>34</v>
      </c>
      <c r="B1389" t="s">
        <v>27</v>
      </c>
      <c r="C1389" t="str">
        <f t="shared" si="42"/>
        <v>LipscombHigh Point</v>
      </c>
      <c r="D1389" t="s">
        <v>27</v>
      </c>
      <c r="E1389">
        <v>26</v>
      </c>
      <c r="F1389">
        <v>6.8452830188679199</v>
      </c>
      <c r="G1389">
        <v>284.18291590222498</v>
      </c>
      <c r="H1389">
        <v>138.505106707815</v>
      </c>
      <c r="I1389" s="1">
        <f t="shared" si="43"/>
        <v>134.93909202974856</v>
      </c>
    </row>
    <row r="1390" spans="1:9" x14ac:dyDescent="0.45">
      <c r="A1390" t="s">
        <v>35</v>
      </c>
      <c r="B1390" t="s">
        <v>27</v>
      </c>
      <c r="C1390" t="str">
        <f t="shared" si="42"/>
        <v>LouisvilleHigh Point</v>
      </c>
      <c r="D1390" t="s">
        <v>27</v>
      </c>
      <c r="E1390">
        <v>47.2</v>
      </c>
      <c r="F1390">
        <v>0.73962264150943402</v>
      </c>
      <c r="G1390">
        <v>111.939843293442</v>
      </c>
      <c r="H1390">
        <v>137.79083001978299</v>
      </c>
      <c r="I1390" s="1">
        <f t="shared" si="43"/>
        <v>124.88130089708613</v>
      </c>
    </row>
    <row r="1391" spans="1:9" x14ac:dyDescent="0.45">
      <c r="A1391" t="s">
        <v>36</v>
      </c>
      <c r="B1391" t="s">
        <v>27</v>
      </c>
      <c r="C1391" t="str">
        <f t="shared" si="42"/>
        <v>MarquetteHigh Point</v>
      </c>
      <c r="D1391" t="s">
        <v>36</v>
      </c>
      <c r="E1391">
        <v>92.6</v>
      </c>
      <c r="F1391">
        <v>-16.603773584905699</v>
      </c>
      <c r="G1391">
        <v>-1259.2753770332599</v>
      </c>
      <c r="H1391">
        <v>139.12258665468801</v>
      </c>
      <c r="I1391" s="1">
        <f t="shared" si="43"/>
        <v>143.63387997161374</v>
      </c>
    </row>
    <row r="1392" spans="1:9" x14ac:dyDescent="0.45">
      <c r="A1392" t="s">
        <v>37</v>
      </c>
      <c r="B1392" t="s">
        <v>27</v>
      </c>
      <c r="C1392" t="str">
        <f t="shared" si="42"/>
        <v>MarylandHigh Point</v>
      </c>
      <c r="D1392" t="s">
        <v>37</v>
      </c>
      <c r="E1392">
        <v>89.5</v>
      </c>
      <c r="F1392">
        <v>-14.0603773584906</v>
      </c>
      <c r="G1392">
        <v>-854.23301717669301</v>
      </c>
      <c r="H1392">
        <v>138.73252596636701</v>
      </c>
      <c r="I1392" s="1">
        <f t="shared" si="43"/>
        <v>138.14140205944182</v>
      </c>
    </row>
    <row r="1393" spans="1:9" x14ac:dyDescent="0.45">
      <c r="A1393" t="s">
        <v>38</v>
      </c>
      <c r="B1393" t="s">
        <v>27</v>
      </c>
      <c r="C1393" t="str">
        <f t="shared" si="42"/>
        <v>McNeese St.High Point</v>
      </c>
      <c r="D1393" t="s">
        <v>38</v>
      </c>
      <c r="E1393">
        <v>60.3</v>
      </c>
      <c r="F1393">
        <v>-2.7547169811320802</v>
      </c>
      <c r="G1393">
        <v>-152.20439456547001</v>
      </c>
      <c r="H1393">
        <v>138.56793758056801</v>
      </c>
      <c r="I1393" s="1">
        <f t="shared" si="43"/>
        <v>135.82381892259144</v>
      </c>
    </row>
    <row r="1394" spans="1:9" x14ac:dyDescent="0.45">
      <c r="A1394" t="s">
        <v>39</v>
      </c>
      <c r="B1394" t="s">
        <v>27</v>
      </c>
      <c r="C1394" t="str">
        <f t="shared" si="42"/>
        <v>MemphisHigh Point</v>
      </c>
      <c r="D1394" t="s">
        <v>39</v>
      </c>
      <c r="E1394">
        <v>81.400000000000006</v>
      </c>
      <c r="F1394">
        <v>-9.6754716981132098</v>
      </c>
      <c r="G1394">
        <v>-437.53202757753701</v>
      </c>
      <c r="H1394">
        <v>137.710160779386</v>
      </c>
      <c r="I1394" s="1">
        <f t="shared" si="43"/>
        <v>123.7453904238228</v>
      </c>
    </row>
    <row r="1395" spans="1:9" x14ac:dyDescent="0.45">
      <c r="A1395" t="s">
        <v>40</v>
      </c>
      <c r="B1395" t="s">
        <v>27</v>
      </c>
      <c r="C1395" t="str">
        <f t="shared" si="42"/>
        <v>MichiganHigh Point</v>
      </c>
      <c r="D1395" t="s">
        <v>40</v>
      </c>
      <c r="E1395">
        <v>69.8</v>
      </c>
      <c r="F1395">
        <v>-5.4867924528301897</v>
      </c>
      <c r="G1395">
        <v>-230.96214780908701</v>
      </c>
      <c r="H1395">
        <v>137.36708186407</v>
      </c>
      <c r="I1395" s="1">
        <f t="shared" si="43"/>
        <v>118.91446687544845</v>
      </c>
    </row>
    <row r="1396" spans="1:9" x14ac:dyDescent="0.45">
      <c r="A1396" t="s">
        <v>41</v>
      </c>
      <c r="B1396" t="s">
        <v>27</v>
      </c>
      <c r="C1396" t="str">
        <f t="shared" si="42"/>
        <v>Michigan St.High Point</v>
      </c>
      <c r="D1396" t="s">
        <v>41</v>
      </c>
      <c r="E1396">
        <v>95.7</v>
      </c>
      <c r="F1396">
        <v>-20.309433962264201</v>
      </c>
      <c r="G1396">
        <v>-2216.2290577775202</v>
      </c>
      <c r="H1396">
        <v>139.065973824899</v>
      </c>
      <c r="I1396" s="1">
        <f t="shared" si="43"/>
        <v>142.83670987354492</v>
      </c>
    </row>
    <row r="1397" spans="1:9" x14ac:dyDescent="0.45">
      <c r="A1397" t="s">
        <v>42</v>
      </c>
      <c r="B1397" t="s">
        <v>27</v>
      </c>
      <c r="C1397" t="str">
        <f t="shared" si="42"/>
        <v>MississippiHigh Point</v>
      </c>
      <c r="D1397" t="s">
        <v>42</v>
      </c>
      <c r="E1397">
        <v>85.1</v>
      </c>
      <c r="F1397">
        <v>-11.4</v>
      </c>
      <c r="G1397">
        <v>-569.24045150528502</v>
      </c>
      <c r="H1397">
        <v>138.19689492999299</v>
      </c>
      <c r="I1397" s="1">
        <f t="shared" si="43"/>
        <v>130.59913562643754</v>
      </c>
    </row>
    <row r="1398" spans="1:9" x14ac:dyDescent="0.45">
      <c r="A1398" t="s">
        <v>43</v>
      </c>
      <c r="B1398" t="s">
        <v>27</v>
      </c>
      <c r="C1398" t="str">
        <f t="shared" si="42"/>
        <v>Mississippi St.High Point</v>
      </c>
      <c r="D1398" t="s">
        <v>43</v>
      </c>
      <c r="E1398">
        <v>81.099999999999994</v>
      </c>
      <c r="F1398">
        <v>-9.5509433962264207</v>
      </c>
      <c r="G1398">
        <v>-429.34308492509598</v>
      </c>
      <c r="H1398">
        <v>138.32126628378299</v>
      </c>
      <c r="I1398" s="1">
        <f t="shared" si="43"/>
        <v>132.35041929600928</v>
      </c>
    </row>
    <row r="1399" spans="1:9" x14ac:dyDescent="0.45">
      <c r="A1399" t="s">
        <v>44</v>
      </c>
      <c r="B1399" t="s">
        <v>27</v>
      </c>
      <c r="C1399" t="str">
        <f t="shared" si="42"/>
        <v>MissouriHigh Point</v>
      </c>
      <c r="D1399" t="s">
        <v>44</v>
      </c>
      <c r="E1399">
        <v>65.3</v>
      </c>
      <c r="F1399">
        <v>-4.1396226415094297</v>
      </c>
      <c r="G1399">
        <v>-188.02064210149001</v>
      </c>
      <c r="H1399">
        <v>137.585738219956</v>
      </c>
      <c r="I1399" s="1">
        <f t="shared" si="43"/>
        <v>121.99338572325479</v>
      </c>
    </row>
    <row r="1400" spans="1:9" x14ac:dyDescent="0.45">
      <c r="A1400" t="s">
        <v>45</v>
      </c>
      <c r="B1400" t="s">
        <v>27</v>
      </c>
      <c r="C1400" t="str">
        <f t="shared" si="42"/>
        <v>MontanaHigh Point</v>
      </c>
      <c r="D1400" t="s">
        <v>27</v>
      </c>
      <c r="E1400">
        <v>15.5</v>
      </c>
      <c r="F1400">
        <v>11.1169811320755</v>
      </c>
      <c r="G1400">
        <v>545.23853283817505</v>
      </c>
      <c r="H1400">
        <v>136.89447294497501</v>
      </c>
      <c r="I1400" s="1">
        <f t="shared" si="43"/>
        <v>112.25962026581396</v>
      </c>
    </row>
    <row r="1401" spans="1:9" x14ac:dyDescent="0.45">
      <c r="A1401" t="s">
        <v>46</v>
      </c>
      <c r="B1401" t="s">
        <v>27</v>
      </c>
      <c r="C1401" t="str">
        <f t="shared" si="42"/>
        <v>Mount St. Mary'sHigh Point</v>
      </c>
      <c r="D1401" t="s">
        <v>27</v>
      </c>
      <c r="E1401">
        <v>6.7</v>
      </c>
      <c r="F1401">
        <v>17.2339622641509</v>
      </c>
      <c r="G1401">
        <v>1386.0766148596499</v>
      </c>
      <c r="H1401">
        <v>138.242347166922</v>
      </c>
      <c r="I1401" s="1">
        <f t="shared" si="43"/>
        <v>131.23915246193556</v>
      </c>
    </row>
    <row r="1402" spans="1:9" x14ac:dyDescent="0.45">
      <c r="A1402" t="s">
        <v>47</v>
      </c>
      <c r="B1402" t="s">
        <v>27</v>
      </c>
      <c r="C1402" t="str">
        <f t="shared" si="42"/>
        <v>Nebraska OmahaHigh Point</v>
      </c>
      <c r="D1402" t="s">
        <v>27</v>
      </c>
      <c r="E1402">
        <v>8.6</v>
      </c>
      <c r="F1402">
        <v>15.5169811320755</v>
      </c>
      <c r="G1402">
        <v>1066.8831911750899</v>
      </c>
      <c r="H1402">
        <v>137.526348346822</v>
      </c>
      <c r="I1402" s="1">
        <f t="shared" si="43"/>
        <v>121.15711184033862</v>
      </c>
    </row>
    <row r="1403" spans="1:9" x14ac:dyDescent="0.45">
      <c r="A1403" t="s">
        <v>48</v>
      </c>
      <c r="B1403" t="s">
        <v>27</v>
      </c>
      <c r="C1403" t="str">
        <f t="shared" si="42"/>
        <v>New MexicoHigh Point</v>
      </c>
      <c r="D1403" t="s">
        <v>48</v>
      </c>
      <c r="E1403">
        <v>70.599999999999994</v>
      </c>
      <c r="F1403">
        <v>-5.7283018867924502</v>
      </c>
      <c r="G1403">
        <v>-239.61756693223401</v>
      </c>
      <c r="H1403">
        <v>138.40409269409801</v>
      </c>
      <c r="I1403" s="1">
        <f t="shared" si="43"/>
        <v>133.51670506338033</v>
      </c>
    </row>
    <row r="1404" spans="1:9" x14ac:dyDescent="0.45">
      <c r="A1404" t="s">
        <v>49</v>
      </c>
      <c r="B1404" t="s">
        <v>27</v>
      </c>
      <c r="C1404" t="str">
        <f t="shared" si="42"/>
        <v>Norfolk St.High Point</v>
      </c>
      <c r="D1404" t="s">
        <v>27</v>
      </c>
      <c r="E1404">
        <v>12.1</v>
      </c>
      <c r="F1404">
        <v>12.9849056603774</v>
      </c>
      <c r="G1404">
        <v>724.99370760543604</v>
      </c>
      <c r="H1404">
        <v>137.41645635629899</v>
      </c>
      <c r="I1404" s="1">
        <f t="shared" si="43"/>
        <v>119.60971332327625</v>
      </c>
    </row>
    <row r="1405" spans="1:9" x14ac:dyDescent="0.45">
      <c r="A1405" t="s">
        <v>50</v>
      </c>
      <c r="B1405" t="s">
        <v>27</v>
      </c>
      <c r="C1405" t="str">
        <f t="shared" si="42"/>
        <v>North CarolinaHigh Point</v>
      </c>
      <c r="D1405" t="s">
        <v>50</v>
      </c>
      <c r="E1405">
        <v>89.1</v>
      </c>
      <c r="F1405">
        <v>-13.7698113207547</v>
      </c>
      <c r="G1405">
        <v>-816.98049303830101</v>
      </c>
      <c r="H1405">
        <v>139.48838778825501</v>
      </c>
      <c r="I1405" s="1">
        <f t="shared" si="43"/>
        <v>148.78475701849723</v>
      </c>
    </row>
    <row r="1406" spans="1:9" x14ac:dyDescent="0.45">
      <c r="A1406" t="s">
        <v>51</v>
      </c>
      <c r="B1406" t="s">
        <v>27</v>
      </c>
      <c r="C1406" t="str">
        <f t="shared" si="42"/>
        <v>OklahomaHigh Point</v>
      </c>
      <c r="D1406" t="s">
        <v>51</v>
      </c>
      <c r="E1406">
        <v>72.8</v>
      </c>
      <c r="F1406">
        <v>-6.4641509433962296</v>
      </c>
      <c r="G1406">
        <v>-268.04219460686699</v>
      </c>
      <c r="H1406">
        <v>137.83099108376001</v>
      </c>
      <c r="I1406" s="1">
        <f t="shared" si="43"/>
        <v>125.44681227371991</v>
      </c>
    </row>
    <row r="1407" spans="1:9" x14ac:dyDescent="0.45">
      <c r="A1407" t="s">
        <v>52</v>
      </c>
      <c r="B1407" t="s">
        <v>27</v>
      </c>
      <c r="C1407" t="str">
        <f t="shared" si="42"/>
        <v>OregonHigh Point</v>
      </c>
      <c r="D1407" t="s">
        <v>52</v>
      </c>
      <c r="E1407">
        <v>89.8</v>
      </c>
      <c r="F1407">
        <v>-14.2905660377358</v>
      </c>
      <c r="G1407">
        <v>-884.35690621730396</v>
      </c>
      <c r="H1407">
        <v>138.42536887189999</v>
      </c>
      <c r="I1407" s="1">
        <f t="shared" si="43"/>
        <v>133.81629674265423</v>
      </c>
    </row>
    <row r="1408" spans="1:9" x14ac:dyDescent="0.45">
      <c r="A1408" t="s">
        <v>53</v>
      </c>
      <c r="B1408" t="s">
        <v>27</v>
      </c>
      <c r="C1408" t="str">
        <f t="shared" si="42"/>
        <v>PurdueHigh Point</v>
      </c>
      <c r="D1408" t="s">
        <v>53</v>
      </c>
      <c r="E1408">
        <v>97.9</v>
      </c>
      <c r="F1408">
        <v>-25.2</v>
      </c>
      <c r="G1408">
        <v>-4671.2729236847499</v>
      </c>
      <c r="H1408">
        <v>139.77335620068899</v>
      </c>
      <c r="I1408" s="1">
        <f t="shared" si="43"/>
        <v>152.7974216058916</v>
      </c>
    </row>
    <row r="1409" spans="1:9" x14ac:dyDescent="0.45">
      <c r="A1409" t="s">
        <v>54</v>
      </c>
      <c r="B1409" t="s">
        <v>27</v>
      </c>
      <c r="C1409" t="str">
        <f t="shared" si="42"/>
        <v>Robert MorrisHigh Point</v>
      </c>
      <c r="D1409" t="s">
        <v>27</v>
      </c>
      <c r="E1409">
        <v>5.4</v>
      </c>
      <c r="F1409">
        <v>18.743396226415101</v>
      </c>
      <c r="G1409">
        <v>1744.8003488254999</v>
      </c>
      <c r="H1409">
        <v>136.831993049452</v>
      </c>
      <c r="I1409" s="1">
        <f t="shared" si="43"/>
        <v>111.379835513364</v>
      </c>
    </row>
    <row r="1410" spans="1:9" x14ac:dyDescent="0.45">
      <c r="A1410" t="s">
        <v>55</v>
      </c>
      <c r="B1410" t="s">
        <v>27</v>
      </c>
      <c r="C1410" t="str">
        <f t="shared" si="42"/>
        <v>Saint FrancisHigh Point</v>
      </c>
      <c r="D1410" t="s">
        <v>27</v>
      </c>
      <c r="E1410">
        <v>3.6</v>
      </c>
      <c r="F1410">
        <v>21.4679245283019</v>
      </c>
      <c r="G1410">
        <v>2644.60405702456</v>
      </c>
      <c r="H1410">
        <v>137.884848582659</v>
      </c>
      <c r="I1410" s="1">
        <f t="shared" si="43"/>
        <v>126.20518432187694</v>
      </c>
    </row>
    <row r="1411" spans="1:9" x14ac:dyDescent="0.45">
      <c r="A1411" t="s">
        <v>56</v>
      </c>
      <c r="B1411" t="s">
        <v>27</v>
      </c>
      <c r="C1411" t="str">
        <f t="shared" ref="C1411:C1474" si="44">A1411&amp;B1411</f>
        <v>Saint Mary'sHigh Point</v>
      </c>
      <c r="D1411" t="s">
        <v>56</v>
      </c>
      <c r="E1411">
        <v>88.3</v>
      </c>
      <c r="F1411">
        <v>-13.2452830188679</v>
      </c>
      <c r="G1411">
        <v>-754.26336660668403</v>
      </c>
      <c r="H1411">
        <v>139.13610378375</v>
      </c>
      <c r="I1411" s="1">
        <f t="shared" ref="I1411:I1474" si="45">18*(H1411-AVERAGE($H$2:$H$4625))/_xlfn.STDEV.P($H$2:$H$4625)+AVERAGE($H$2:$H$4625)</f>
        <v>143.82421582198759</v>
      </c>
    </row>
    <row r="1412" spans="1:9" x14ac:dyDescent="0.45">
      <c r="A1412" t="s">
        <v>57</v>
      </c>
      <c r="B1412" t="s">
        <v>27</v>
      </c>
      <c r="C1412" t="str">
        <f t="shared" si="44"/>
        <v>San Diego St.High Point</v>
      </c>
      <c r="D1412" t="s">
        <v>57</v>
      </c>
      <c r="E1412">
        <v>68.7</v>
      </c>
      <c r="F1412">
        <v>-5.1547169811320801</v>
      </c>
      <c r="G1412">
        <v>-219.47341898937901</v>
      </c>
      <c r="H1412">
        <v>138.282358663547</v>
      </c>
      <c r="I1412" s="1">
        <f t="shared" si="45"/>
        <v>131.80255776789375</v>
      </c>
    </row>
    <row r="1413" spans="1:9" x14ac:dyDescent="0.45">
      <c r="A1413" t="s">
        <v>58</v>
      </c>
      <c r="B1413" t="s">
        <v>27</v>
      </c>
      <c r="C1413" t="str">
        <f t="shared" si="44"/>
        <v>SIU EdwardsvilleHigh Point</v>
      </c>
      <c r="D1413" t="s">
        <v>27</v>
      </c>
      <c r="E1413">
        <v>9.9</v>
      </c>
      <c r="F1413">
        <v>14.445283018867899</v>
      </c>
      <c r="G1413">
        <v>905.72225609699899</v>
      </c>
      <c r="H1413">
        <v>138.430046430396</v>
      </c>
      <c r="I1413" s="1">
        <f t="shared" si="45"/>
        <v>133.88216184388457</v>
      </c>
    </row>
    <row r="1414" spans="1:9" x14ac:dyDescent="0.45">
      <c r="A1414" t="s">
        <v>59</v>
      </c>
      <c r="B1414" t="s">
        <v>27</v>
      </c>
      <c r="C1414" t="str">
        <f t="shared" si="44"/>
        <v>St. John'sHigh Point</v>
      </c>
      <c r="D1414" t="s">
        <v>59</v>
      </c>
      <c r="E1414">
        <v>95.9</v>
      </c>
      <c r="F1414">
        <v>-20.713207547169802</v>
      </c>
      <c r="G1414">
        <v>-2356.2017158383201</v>
      </c>
      <c r="H1414">
        <v>139.40772920294</v>
      </c>
      <c r="I1414" s="1">
        <f t="shared" si="45"/>
        <v>147.64899658035452</v>
      </c>
    </row>
    <row r="1415" spans="1:9" x14ac:dyDescent="0.45">
      <c r="A1415" t="s">
        <v>60</v>
      </c>
      <c r="B1415" t="s">
        <v>27</v>
      </c>
      <c r="C1415" t="str">
        <f t="shared" si="44"/>
        <v>TennesseeHigh Point</v>
      </c>
      <c r="D1415" t="s">
        <v>60</v>
      </c>
      <c r="E1415">
        <v>97.9</v>
      </c>
      <c r="F1415">
        <v>-25.256603773584899</v>
      </c>
      <c r="G1415">
        <v>-4713.5912196796498</v>
      </c>
      <c r="H1415">
        <v>140.001712079632</v>
      </c>
      <c r="I1415" s="1">
        <f t="shared" si="45"/>
        <v>156.01292026741498</v>
      </c>
    </row>
    <row r="1416" spans="1:9" x14ac:dyDescent="0.45">
      <c r="A1416" t="s">
        <v>61</v>
      </c>
      <c r="B1416" t="s">
        <v>27</v>
      </c>
      <c r="C1416" t="str">
        <f t="shared" si="44"/>
        <v>TexasHigh Point</v>
      </c>
      <c r="D1416" t="s">
        <v>61</v>
      </c>
      <c r="E1416">
        <v>65.900000000000006</v>
      </c>
      <c r="F1416">
        <v>-4.3056603773584898</v>
      </c>
      <c r="G1416">
        <v>-192.83470655546401</v>
      </c>
      <c r="H1416">
        <v>137.75742661070399</v>
      </c>
      <c r="I1416" s="1">
        <f t="shared" si="45"/>
        <v>124.41094463701958</v>
      </c>
    </row>
    <row r="1417" spans="1:9" x14ac:dyDescent="0.45">
      <c r="A1417" t="s">
        <v>62</v>
      </c>
      <c r="B1417" t="s">
        <v>27</v>
      </c>
      <c r="C1417" t="str">
        <f t="shared" si="44"/>
        <v>Texas A&amp;MHigh Point</v>
      </c>
      <c r="D1417" t="s">
        <v>62</v>
      </c>
      <c r="E1417">
        <v>91.8</v>
      </c>
      <c r="F1417">
        <v>-15.8</v>
      </c>
      <c r="G1417">
        <v>-1113.74578754916</v>
      </c>
      <c r="H1417">
        <v>138.555225638297</v>
      </c>
      <c r="I1417" s="1">
        <f t="shared" si="45"/>
        <v>135.64482097628502</v>
      </c>
    </row>
    <row r="1418" spans="1:9" x14ac:dyDescent="0.45">
      <c r="A1418" t="s">
        <v>63</v>
      </c>
      <c r="B1418" t="s">
        <v>27</v>
      </c>
      <c r="C1418" t="str">
        <f t="shared" si="44"/>
        <v>Texas TechHigh Point</v>
      </c>
      <c r="D1418" t="s">
        <v>63</v>
      </c>
      <c r="E1418">
        <v>95.6</v>
      </c>
      <c r="F1418">
        <v>-20.252830188679201</v>
      </c>
      <c r="G1418">
        <v>-2196.3553555939702</v>
      </c>
      <c r="H1418">
        <v>139.595009757361</v>
      </c>
      <c r="I1418" s="1">
        <f t="shared" si="45"/>
        <v>150.28611008431804</v>
      </c>
    </row>
    <row r="1419" spans="1:9" x14ac:dyDescent="0.45">
      <c r="A1419" t="s">
        <v>64</v>
      </c>
      <c r="B1419" t="s">
        <v>27</v>
      </c>
      <c r="C1419" t="str">
        <f t="shared" si="44"/>
        <v>TroyHigh Point</v>
      </c>
      <c r="D1419" t="s">
        <v>27</v>
      </c>
      <c r="E1419">
        <v>23.6</v>
      </c>
      <c r="F1419">
        <v>7.6943396226415102</v>
      </c>
      <c r="G1419">
        <v>323.41361411108801</v>
      </c>
      <c r="H1419">
        <v>138.29857417709101</v>
      </c>
      <c r="I1419" s="1">
        <f t="shared" si="45"/>
        <v>132.03088980093807</v>
      </c>
    </row>
    <row r="1420" spans="1:9" x14ac:dyDescent="0.45">
      <c r="A1420" t="s">
        <v>65</v>
      </c>
      <c r="B1420" t="s">
        <v>27</v>
      </c>
      <c r="C1420" t="str">
        <f t="shared" si="44"/>
        <v>UC San DiegoHigh Point</v>
      </c>
      <c r="D1420" t="s">
        <v>27</v>
      </c>
      <c r="E1420">
        <v>44.2</v>
      </c>
      <c r="F1420">
        <v>1.53207547169811</v>
      </c>
      <c r="G1420">
        <v>126.360727790266</v>
      </c>
      <c r="H1420">
        <v>138.386695920482</v>
      </c>
      <c r="I1420" s="1">
        <f t="shared" si="45"/>
        <v>133.27173960623492</v>
      </c>
    </row>
    <row r="1421" spans="1:9" x14ac:dyDescent="0.45">
      <c r="A1421" t="s">
        <v>66</v>
      </c>
      <c r="B1421" t="s">
        <v>27</v>
      </c>
      <c r="C1421" t="str">
        <f t="shared" si="44"/>
        <v>UCLAHigh Point</v>
      </c>
      <c r="D1421" t="s">
        <v>66</v>
      </c>
      <c r="E1421">
        <v>75.900000000000006</v>
      </c>
      <c r="F1421">
        <v>-7.5094339622641497</v>
      </c>
      <c r="G1421">
        <v>-314.478272440956</v>
      </c>
      <c r="H1421">
        <v>137.85815043359</v>
      </c>
      <c r="I1421" s="1">
        <f t="shared" si="45"/>
        <v>125.8292454014782</v>
      </c>
    </row>
    <row r="1422" spans="1:9" x14ac:dyDescent="0.45">
      <c r="A1422" t="s">
        <v>67</v>
      </c>
      <c r="B1422" t="s">
        <v>27</v>
      </c>
      <c r="C1422" t="str">
        <f t="shared" si="44"/>
        <v>UNC WilmingtonHigh Point</v>
      </c>
      <c r="D1422" t="s">
        <v>27</v>
      </c>
      <c r="E1422">
        <v>32.200000000000003</v>
      </c>
      <c r="F1422">
        <v>4.8943396226415103</v>
      </c>
      <c r="G1422">
        <v>210.984382129967</v>
      </c>
      <c r="H1422">
        <v>138.97316610751</v>
      </c>
      <c r="I1422" s="1">
        <f t="shared" si="45"/>
        <v>141.52987646761417</v>
      </c>
    </row>
    <row r="1423" spans="1:9" x14ac:dyDescent="0.45">
      <c r="A1423" t="s">
        <v>68</v>
      </c>
      <c r="B1423" t="s">
        <v>27</v>
      </c>
      <c r="C1423" t="str">
        <f t="shared" si="44"/>
        <v>Utah St.High Point</v>
      </c>
      <c r="D1423" t="s">
        <v>68</v>
      </c>
      <c r="E1423">
        <v>70.599999999999994</v>
      </c>
      <c r="F1423">
        <v>-5.75094339622642</v>
      </c>
      <c r="G1423">
        <v>-240.39680839947999</v>
      </c>
      <c r="H1423">
        <v>138.344536511337</v>
      </c>
      <c r="I1423" s="1">
        <f t="shared" si="45"/>
        <v>132.67808936038247</v>
      </c>
    </row>
    <row r="1424" spans="1:9" x14ac:dyDescent="0.45">
      <c r="A1424" t="s">
        <v>69</v>
      </c>
      <c r="B1424" t="s">
        <v>27</v>
      </c>
      <c r="C1424" t="str">
        <f t="shared" si="44"/>
        <v>VanderbiltHigh Point</v>
      </c>
      <c r="D1424" t="s">
        <v>27</v>
      </c>
      <c r="E1424">
        <v>33.9</v>
      </c>
      <c r="F1424">
        <v>4.3735849056603797</v>
      </c>
      <c r="G1424">
        <v>194.83244995328801</v>
      </c>
      <c r="H1424">
        <v>136.919106999935</v>
      </c>
      <c r="I1424" s="1">
        <f t="shared" si="45"/>
        <v>112.60649450053208</v>
      </c>
    </row>
    <row r="1425" spans="1:9" x14ac:dyDescent="0.45">
      <c r="A1425" t="s">
        <v>70</v>
      </c>
      <c r="B1425" t="s">
        <v>27</v>
      </c>
      <c r="C1425" t="str">
        <f t="shared" si="44"/>
        <v>VCUHigh Point</v>
      </c>
      <c r="D1425" t="s">
        <v>70</v>
      </c>
      <c r="E1425">
        <v>61.2</v>
      </c>
      <c r="F1425">
        <v>-2.9735849056603798</v>
      </c>
      <c r="G1425">
        <v>-157.42321251275001</v>
      </c>
      <c r="H1425">
        <v>138.76401816181101</v>
      </c>
      <c r="I1425" s="1">
        <f t="shared" si="45"/>
        <v>138.5848463568575</v>
      </c>
    </row>
    <row r="1426" spans="1:9" x14ac:dyDescent="0.45">
      <c r="A1426" t="s">
        <v>71</v>
      </c>
      <c r="B1426" t="s">
        <v>27</v>
      </c>
      <c r="C1426" t="str">
        <f t="shared" si="44"/>
        <v>WisconsinHigh Point</v>
      </c>
      <c r="D1426" t="s">
        <v>71</v>
      </c>
      <c r="E1426">
        <v>95.1</v>
      </c>
      <c r="F1426">
        <v>-19.437735849056601</v>
      </c>
      <c r="G1426">
        <v>-1939.58850051114</v>
      </c>
      <c r="H1426">
        <v>139.564697017078</v>
      </c>
      <c r="I1426" s="1">
        <f t="shared" si="45"/>
        <v>149.85927379589737</v>
      </c>
    </row>
    <row r="1427" spans="1:9" x14ac:dyDescent="0.45">
      <c r="A1427" t="s">
        <v>80</v>
      </c>
      <c r="B1427" t="s">
        <v>27</v>
      </c>
      <c r="C1427" t="str">
        <f t="shared" si="44"/>
        <v>WoffordHigh Point</v>
      </c>
      <c r="D1427" t="s">
        <v>27</v>
      </c>
      <c r="E1427">
        <v>13.9</v>
      </c>
      <c r="F1427">
        <v>11.9471698113208</v>
      </c>
      <c r="G1427">
        <v>618.82162486351297</v>
      </c>
      <c r="H1427">
        <v>137.59415275617201</v>
      </c>
      <c r="I1427" s="1">
        <f t="shared" si="45"/>
        <v>122.11187152736527</v>
      </c>
    </row>
    <row r="1428" spans="1:9" x14ac:dyDescent="0.45">
      <c r="A1428" t="s">
        <v>72</v>
      </c>
      <c r="B1428" t="s">
        <v>27</v>
      </c>
      <c r="C1428" t="str">
        <f t="shared" si="44"/>
        <v>XavierHigh Point</v>
      </c>
      <c r="D1428" t="s">
        <v>72</v>
      </c>
      <c r="E1428">
        <v>60.9</v>
      </c>
      <c r="F1428">
        <v>-2.8981132075471701</v>
      </c>
      <c r="G1428">
        <v>-155.601601360149</v>
      </c>
      <c r="H1428">
        <v>138.17006632632399</v>
      </c>
      <c r="I1428" s="1">
        <f t="shared" si="45"/>
        <v>130.22135976365911</v>
      </c>
    </row>
    <row r="1429" spans="1:9" x14ac:dyDescent="0.45">
      <c r="A1429" t="s">
        <v>73</v>
      </c>
      <c r="B1429" t="s">
        <v>27</v>
      </c>
      <c r="C1429" t="str">
        <f t="shared" si="44"/>
        <v>YaleHigh Point</v>
      </c>
      <c r="D1429" t="s">
        <v>27</v>
      </c>
      <c r="E1429">
        <v>46.5</v>
      </c>
      <c r="F1429">
        <v>0.92452830188679203</v>
      </c>
      <c r="G1429">
        <v>115.15890268349099</v>
      </c>
      <c r="H1429">
        <v>138.96930096038599</v>
      </c>
      <c r="I1429" s="1">
        <f t="shared" si="45"/>
        <v>141.47545100039454</v>
      </c>
    </row>
    <row r="1430" spans="1:9" x14ac:dyDescent="0.45">
      <c r="A1430" t="s">
        <v>7</v>
      </c>
      <c r="B1430" t="s">
        <v>28</v>
      </c>
      <c r="C1430" t="str">
        <f t="shared" si="44"/>
        <v>AkronHouston</v>
      </c>
      <c r="D1430" t="s">
        <v>28</v>
      </c>
      <c r="E1430">
        <v>0.2</v>
      </c>
      <c r="F1430">
        <v>40.9358490566038</v>
      </c>
      <c r="G1430">
        <v>51519.461815267103</v>
      </c>
      <c r="H1430">
        <v>135.54417297997699</v>
      </c>
      <c r="I1430" s="1">
        <f t="shared" si="45"/>
        <v>93.245930974329355</v>
      </c>
    </row>
    <row r="1431" spans="1:9" x14ac:dyDescent="0.45">
      <c r="A1431" t="s">
        <v>8</v>
      </c>
      <c r="B1431" t="s">
        <v>28</v>
      </c>
      <c r="C1431" t="str">
        <f t="shared" si="44"/>
        <v>AlabamaHouston</v>
      </c>
      <c r="D1431" t="s">
        <v>28</v>
      </c>
      <c r="E1431">
        <v>12.5</v>
      </c>
      <c r="F1431">
        <v>12.7622641509434</v>
      </c>
      <c r="G1431">
        <v>700.56372307862102</v>
      </c>
      <c r="H1431">
        <v>137.29226899211699</v>
      </c>
      <c r="I1431" s="1">
        <f t="shared" si="45"/>
        <v>117.86102042711033</v>
      </c>
    </row>
    <row r="1432" spans="1:9" x14ac:dyDescent="0.45">
      <c r="A1432" t="s">
        <v>9</v>
      </c>
      <c r="B1432" t="s">
        <v>28</v>
      </c>
      <c r="C1432" t="str">
        <f t="shared" si="44"/>
        <v>Alabama St.Houston</v>
      </c>
      <c r="D1432" t="s">
        <v>28</v>
      </c>
      <c r="E1432">
        <v>0</v>
      </c>
      <c r="F1432">
        <v>53.075471698113198</v>
      </c>
      <c r="G1432">
        <v>328272.90996422002</v>
      </c>
      <c r="H1432">
        <v>135.771013835791</v>
      </c>
      <c r="I1432" s="1">
        <f t="shared" si="45"/>
        <v>96.440096465600973</v>
      </c>
    </row>
    <row r="1433" spans="1:9" x14ac:dyDescent="0.45">
      <c r="A1433" t="s">
        <v>10</v>
      </c>
      <c r="B1433" t="s">
        <v>28</v>
      </c>
      <c r="C1433" t="str">
        <f t="shared" si="44"/>
        <v>AmericanHouston</v>
      </c>
      <c r="D1433" t="s">
        <v>28</v>
      </c>
      <c r="E1433">
        <v>0</v>
      </c>
      <c r="F1433">
        <v>51.811320754717002</v>
      </c>
      <c r="G1433">
        <v>270730.64939949499</v>
      </c>
      <c r="H1433">
        <v>135.86209971739501</v>
      </c>
      <c r="I1433" s="1">
        <f t="shared" si="45"/>
        <v>97.72268455458331</v>
      </c>
    </row>
    <row r="1434" spans="1:9" x14ac:dyDescent="0.45">
      <c r="A1434" t="s">
        <v>11</v>
      </c>
      <c r="B1434" t="s">
        <v>28</v>
      </c>
      <c r="C1434" t="str">
        <f t="shared" si="44"/>
        <v>ArizonaHouston</v>
      </c>
      <c r="D1434" t="s">
        <v>28</v>
      </c>
      <c r="E1434">
        <v>9.1999999999999993</v>
      </c>
      <c r="F1434">
        <v>15.0037735849057</v>
      </c>
      <c r="G1434">
        <v>986.02029531364701</v>
      </c>
      <c r="H1434">
        <v>137.054627811107</v>
      </c>
      <c r="I1434" s="1">
        <f t="shared" si="45"/>
        <v>114.51477463305667</v>
      </c>
    </row>
    <row r="1435" spans="1:9" x14ac:dyDescent="0.45">
      <c r="A1435" t="s">
        <v>12</v>
      </c>
      <c r="B1435" t="s">
        <v>28</v>
      </c>
      <c r="C1435" t="str">
        <f t="shared" si="44"/>
        <v>ArkansasHouston</v>
      </c>
      <c r="D1435" t="s">
        <v>28</v>
      </c>
      <c r="E1435">
        <v>0.6</v>
      </c>
      <c r="F1435">
        <v>33.392452830188702</v>
      </c>
      <c r="G1435">
        <v>16306.997131099601</v>
      </c>
      <c r="H1435">
        <v>135.172231644965</v>
      </c>
      <c r="I1435" s="1">
        <f t="shared" si="45"/>
        <v>88.00859322575846</v>
      </c>
    </row>
    <row r="1436" spans="1:9" x14ac:dyDescent="0.45">
      <c r="A1436" t="s">
        <v>13</v>
      </c>
      <c r="B1436" t="s">
        <v>28</v>
      </c>
      <c r="C1436" t="str">
        <f t="shared" si="44"/>
        <v>AuburnHouston</v>
      </c>
      <c r="D1436" t="s">
        <v>28</v>
      </c>
      <c r="E1436">
        <v>21.9</v>
      </c>
      <c r="F1436">
        <v>8.3509433962264197</v>
      </c>
      <c r="G1436">
        <v>357.47553423145803</v>
      </c>
      <c r="H1436">
        <v>138.31095105022601</v>
      </c>
      <c r="I1436" s="1">
        <f t="shared" si="45"/>
        <v>132.20516961008352</v>
      </c>
    </row>
    <row r="1437" spans="1:9" x14ac:dyDescent="0.45">
      <c r="A1437" t="s">
        <v>14</v>
      </c>
      <c r="B1437" t="s">
        <v>28</v>
      </c>
      <c r="C1437" t="str">
        <f t="shared" si="44"/>
        <v>BaylorHouston</v>
      </c>
      <c r="D1437" t="s">
        <v>28</v>
      </c>
      <c r="E1437">
        <v>2.9</v>
      </c>
      <c r="F1437">
        <v>23.083018867924501</v>
      </c>
      <c r="G1437">
        <v>3382.47053927556</v>
      </c>
      <c r="H1437">
        <v>136.84594906295101</v>
      </c>
      <c r="I1437" s="1">
        <f t="shared" si="45"/>
        <v>111.57635133303106</v>
      </c>
    </row>
    <row r="1438" spans="1:9" x14ac:dyDescent="0.45">
      <c r="A1438" t="s">
        <v>15</v>
      </c>
      <c r="B1438" t="s">
        <v>28</v>
      </c>
      <c r="C1438" t="str">
        <f t="shared" si="44"/>
        <v>BryantHouston</v>
      </c>
      <c r="D1438" t="s">
        <v>28</v>
      </c>
      <c r="E1438">
        <v>0.1</v>
      </c>
      <c r="F1438">
        <v>43.3698113207547</v>
      </c>
      <c r="G1438">
        <v>74674.817086159994</v>
      </c>
      <c r="H1438">
        <v>136.39494681284501</v>
      </c>
      <c r="I1438" s="1">
        <f t="shared" si="45"/>
        <v>105.22575007734005</v>
      </c>
    </row>
    <row r="1439" spans="1:9" x14ac:dyDescent="0.45">
      <c r="A1439" t="s">
        <v>16</v>
      </c>
      <c r="B1439" t="s">
        <v>28</v>
      </c>
      <c r="C1439" t="str">
        <f t="shared" si="44"/>
        <v>BYUHouston</v>
      </c>
      <c r="D1439" t="s">
        <v>28</v>
      </c>
      <c r="E1439">
        <v>3.5</v>
      </c>
      <c r="F1439">
        <v>21.788679245282999</v>
      </c>
      <c r="G1439">
        <v>2776.4984769981202</v>
      </c>
      <c r="H1439">
        <v>136.65546729106899</v>
      </c>
      <c r="I1439" s="1">
        <f t="shared" si="45"/>
        <v>108.89416121221483</v>
      </c>
    </row>
    <row r="1440" spans="1:9" x14ac:dyDescent="0.45">
      <c r="A1440" t="s">
        <v>17</v>
      </c>
      <c r="B1440" t="s">
        <v>28</v>
      </c>
      <c r="C1440" t="str">
        <f t="shared" si="44"/>
        <v>ClemsonHouston</v>
      </c>
      <c r="D1440" t="s">
        <v>28</v>
      </c>
      <c r="E1440">
        <v>4.4000000000000004</v>
      </c>
      <c r="F1440">
        <v>20.1622641509434</v>
      </c>
      <c r="G1440">
        <v>2166.9351458256701</v>
      </c>
      <c r="H1440">
        <v>136.87737914735999</v>
      </c>
      <c r="I1440" s="1">
        <f t="shared" si="45"/>
        <v>112.01892103965056</v>
      </c>
    </row>
    <row r="1441" spans="1:9" x14ac:dyDescent="0.45">
      <c r="A1441" t="s">
        <v>18</v>
      </c>
      <c r="B1441" t="s">
        <v>28</v>
      </c>
      <c r="C1441" t="str">
        <f t="shared" si="44"/>
        <v>Colorado St.Houston</v>
      </c>
      <c r="D1441" t="s">
        <v>28</v>
      </c>
      <c r="E1441">
        <v>0.8</v>
      </c>
      <c r="F1441">
        <v>32.003773584905701</v>
      </c>
      <c r="G1441">
        <v>13188.2582710631</v>
      </c>
      <c r="H1441">
        <v>136.18477099546601</v>
      </c>
      <c r="I1441" s="1">
        <f t="shared" si="45"/>
        <v>102.26624641754849</v>
      </c>
    </row>
    <row r="1442" spans="1:9" x14ac:dyDescent="0.45">
      <c r="A1442" t="s">
        <v>19</v>
      </c>
      <c r="B1442" t="s">
        <v>28</v>
      </c>
      <c r="C1442" t="str">
        <f t="shared" si="44"/>
        <v>ConnecticutHouston</v>
      </c>
      <c r="D1442" t="s">
        <v>28</v>
      </c>
      <c r="E1442">
        <v>7.3</v>
      </c>
      <c r="F1442">
        <v>16.7018867924528</v>
      </c>
      <c r="G1442">
        <v>1277.5867603425299</v>
      </c>
      <c r="H1442">
        <v>136.82032289780199</v>
      </c>
      <c r="I1442" s="1">
        <f t="shared" si="45"/>
        <v>111.21550710989101</v>
      </c>
    </row>
    <row r="1443" spans="1:9" x14ac:dyDescent="0.45">
      <c r="A1443" t="s">
        <v>20</v>
      </c>
      <c r="B1443" t="s">
        <v>28</v>
      </c>
      <c r="C1443" t="str">
        <f t="shared" si="44"/>
        <v>CreightonHouston</v>
      </c>
      <c r="D1443" t="s">
        <v>28</v>
      </c>
      <c r="E1443">
        <v>2.4</v>
      </c>
      <c r="F1443">
        <v>24.392452830188699</v>
      </c>
      <c r="G1443">
        <v>4130.1937932273104</v>
      </c>
      <c r="H1443">
        <v>136.29326526006599</v>
      </c>
      <c r="I1443" s="1">
        <f t="shared" si="45"/>
        <v>103.79396343634825</v>
      </c>
    </row>
    <row r="1444" spans="1:9" x14ac:dyDescent="0.45">
      <c r="A1444" t="s">
        <v>21</v>
      </c>
      <c r="B1444" t="s">
        <v>28</v>
      </c>
      <c r="C1444" t="str">
        <f t="shared" si="44"/>
        <v>DrakeHouston</v>
      </c>
      <c r="D1444" t="s">
        <v>28</v>
      </c>
      <c r="E1444">
        <v>0.7</v>
      </c>
      <c r="F1444">
        <v>32.052830188679202</v>
      </c>
      <c r="G1444">
        <v>13290.623062103999</v>
      </c>
      <c r="H1444">
        <v>136.34673036422001</v>
      </c>
      <c r="I1444" s="1">
        <f t="shared" si="45"/>
        <v>104.54681014054171</v>
      </c>
    </row>
    <row r="1445" spans="1:9" x14ac:dyDescent="0.45">
      <c r="A1445" t="s">
        <v>22</v>
      </c>
      <c r="B1445" t="s">
        <v>28</v>
      </c>
      <c r="C1445" t="str">
        <f t="shared" si="44"/>
        <v>DukeHouston</v>
      </c>
      <c r="D1445" t="s">
        <v>28</v>
      </c>
      <c r="E1445">
        <v>29.1</v>
      </c>
      <c r="F1445">
        <v>5.8415094339622602</v>
      </c>
      <c r="G1445">
        <v>243.801798299567</v>
      </c>
      <c r="H1445">
        <v>138.63405082567601</v>
      </c>
      <c r="I1445" s="1">
        <f t="shared" si="45"/>
        <v>136.75476518128968</v>
      </c>
    </row>
    <row r="1446" spans="1:9" x14ac:dyDescent="0.45">
      <c r="A1446" t="s">
        <v>23</v>
      </c>
      <c r="B1446" t="s">
        <v>28</v>
      </c>
      <c r="C1446" t="str">
        <f t="shared" si="44"/>
        <v>FloridaHouston</v>
      </c>
      <c r="D1446" t="s">
        <v>28</v>
      </c>
      <c r="E1446">
        <v>18.5</v>
      </c>
      <c r="F1446">
        <v>9.74339622641509</v>
      </c>
      <c r="G1446">
        <v>441.96057525844799</v>
      </c>
      <c r="H1446">
        <v>138.35780710161799</v>
      </c>
      <c r="I1446" s="1">
        <f t="shared" si="45"/>
        <v>132.86495367709585</v>
      </c>
    </row>
    <row r="1447" spans="1:9" x14ac:dyDescent="0.45">
      <c r="A1447" t="s">
        <v>24</v>
      </c>
      <c r="B1447" t="s">
        <v>28</v>
      </c>
      <c r="C1447" t="str">
        <f t="shared" si="44"/>
        <v>GeorgiaHouston</v>
      </c>
      <c r="D1447" t="s">
        <v>28</v>
      </c>
      <c r="E1447">
        <v>0.8</v>
      </c>
      <c r="F1447">
        <v>31.2490566037736</v>
      </c>
      <c r="G1447">
        <v>11754.881685509101</v>
      </c>
      <c r="H1447">
        <v>135.49962062596299</v>
      </c>
      <c r="I1447" s="1">
        <f t="shared" si="45"/>
        <v>92.618585467119999</v>
      </c>
    </row>
    <row r="1448" spans="1:9" x14ac:dyDescent="0.45">
      <c r="A1448" t="s">
        <v>25</v>
      </c>
      <c r="B1448" t="s">
        <v>28</v>
      </c>
      <c r="C1448" t="str">
        <f t="shared" si="44"/>
        <v>GonzagaHouston</v>
      </c>
      <c r="D1448" t="s">
        <v>28</v>
      </c>
      <c r="E1448">
        <v>4.5999999999999996</v>
      </c>
      <c r="F1448">
        <v>19.920754716981101</v>
      </c>
      <c r="G1448">
        <v>2088.3197946176601</v>
      </c>
      <c r="H1448">
        <v>137.637261745491</v>
      </c>
      <c r="I1448" s="1">
        <f t="shared" si="45"/>
        <v>122.71889289286052</v>
      </c>
    </row>
    <row r="1449" spans="1:9" x14ac:dyDescent="0.45">
      <c r="A1449" t="s">
        <v>26</v>
      </c>
      <c r="B1449" t="s">
        <v>28</v>
      </c>
      <c r="C1449" t="str">
        <f t="shared" si="44"/>
        <v>Grand CanyonHouston</v>
      </c>
      <c r="D1449" t="s">
        <v>28</v>
      </c>
      <c r="E1449">
        <v>0.5</v>
      </c>
      <c r="F1449">
        <v>35.169811320754697</v>
      </c>
      <c r="G1449">
        <v>21383.539909652001</v>
      </c>
      <c r="H1449">
        <v>136.289229991795</v>
      </c>
      <c r="I1449" s="1">
        <f t="shared" si="45"/>
        <v>103.73714247870819</v>
      </c>
    </row>
    <row r="1450" spans="1:9" x14ac:dyDescent="0.45">
      <c r="A1450" t="s">
        <v>27</v>
      </c>
      <c r="B1450" t="s">
        <v>28</v>
      </c>
      <c r="C1450" t="str">
        <f t="shared" si="44"/>
        <v>High PointHouston</v>
      </c>
      <c r="D1450" t="s">
        <v>28</v>
      </c>
      <c r="E1450">
        <v>0.3</v>
      </c>
      <c r="F1450">
        <v>37.943396226415103</v>
      </c>
      <c r="G1450">
        <v>32640.414879141299</v>
      </c>
      <c r="H1450">
        <v>136.570121739451</v>
      </c>
      <c r="I1450" s="1">
        <f t="shared" si="45"/>
        <v>107.6924032007072</v>
      </c>
    </row>
    <row r="1451" spans="1:9" x14ac:dyDescent="0.45">
      <c r="A1451" t="s">
        <v>28</v>
      </c>
      <c r="B1451" t="s">
        <v>28</v>
      </c>
      <c r="C1451" t="str">
        <f t="shared" si="44"/>
        <v>HoustonHouston</v>
      </c>
      <c r="D1451" t="s">
        <v>28</v>
      </c>
      <c r="E1451">
        <v>41.2</v>
      </c>
      <c r="F1451">
        <v>2.3283018867924499</v>
      </c>
      <c r="G1451">
        <v>142.64273539779199</v>
      </c>
      <c r="H1451">
        <v>138.77771517530499</v>
      </c>
      <c r="I1451" s="1">
        <f t="shared" si="45"/>
        <v>138.77771517530277</v>
      </c>
    </row>
    <row r="1452" spans="1:9" x14ac:dyDescent="0.45">
      <c r="A1452" t="s">
        <v>29</v>
      </c>
      <c r="B1452" t="s">
        <v>28</v>
      </c>
      <c r="C1452" t="str">
        <f t="shared" si="44"/>
        <v>IllinoisHouston</v>
      </c>
      <c r="D1452" t="s">
        <v>28</v>
      </c>
      <c r="E1452">
        <v>6.5</v>
      </c>
      <c r="F1452">
        <v>17.437735849056601</v>
      </c>
      <c r="G1452">
        <v>1430.0535706855201</v>
      </c>
      <c r="H1452">
        <v>136.82796032924199</v>
      </c>
      <c r="I1452" s="1">
        <f t="shared" si="45"/>
        <v>111.32305043518868</v>
      </c>
    </row>
    <row r="1453" spans="1:9" x14ac:dyDescent="0.45">
      <c r="A1453" t="s">
        <v>30</v>
      </c>
      <c r="B1453" t="s">
        <v>28</v>
      </c>
      <c r="C1453" t="str">
        <f t="shared" si="44"/>
        <v>Iowa St.Houston</v>
      </c>
      <c r="D1453" t="s">
        <v>28</v>
      </c>
      <c r="E1453">
        <v>12.8</v>
      </c>
      <c r="F1453">
        <v>12.554716981132101</v>
      </c>
      <c r="G1453">
        <v>678.90956536068995</v>
      </c>
      <c r="H1453">
        <v>137.75422890760001</v>
      </c>
      <c r="I1453" s="1">
        <f t="shared" si="45"/>
        <v>124.36591750612904</v>
      </c>
    </row>
    <row r="1454" spans="1:9" x14ac:dyDescent="0.45">
      <c r="A1454" t="s">
        <v>31</v>
      </c>
      <c r="B1454" t="s">
        <v>28</v>
      </c>
      <c r="C1454" t="str">
        <f t="shared" si="44"/>
        <v>KansasHouston</v>
      </c>
      <c r="D1454" t="s">
        <v>28</v>
      </c>
      <c r="E1454">
        <v>4.0999999999999996</v>
      </c>
      <c r="F1454">
        <v>20.656603773584902</v>
      </c>
      <c r="G1454">
        <v>2336.81006361663</v>
      </c>
      <c r="H1454">
        <v>136.709619191912</v>
      </c>
      <c r="I1454" s="1">
        <f t="shared" si="45"/>
        <v>109.65667875932428</v>
      </c>
    </row>
    <row r="1455" spans="1:9" x14ac:dyDescent="0.45">
      <c r="A1455" t="s">
        <v>32</v>
      </c>
      <c r="B1455" t="s">
        <v>28</v>
      </c>
      <c r="C1455" t="str">
        <f t="shared" si="44"/>
        <v>KentuckyHouston</v>
      </c>
      <c r="D1455" t="s">
        <v>28</v>
      </c>
      <c r="E1455">
        <v>6.7</v>
      </c>
      <c r="F1455">
        <v>17.230188679245298</v>
      </c>
      <c r="G1455">
        <v>1385.2049992204199</v>
      </c>
      <c r="H1455">
        <v>136.65665679230401</v>
      </c>
      <c r="I1455" s="1">
        <f t="shared" si="45"/>
        <v>108.91091068083716</v>
      </c>
    </row>
    <row r="1456" spans="1:9" x14ac:dyDescent="0.45">
      <c r="A1456" t="s">
        <v>33</v>
      </c>
      <c r="B1456" t="s">
        <v>28</v>
      </c>
      <c r="C1456" t="str">
        <f t="shared" si="44"/>
        <v>LibertyHouston</v>
      </c>
      <c r="D1456" t="s">
        <v>28</v>
      </c>
      <c r="E1456">
        <v>0.2</v>
      </c>
      <c r="F1456">
        <v>40.720754716981098</v>
      </c>
      <c r="G1456">
        <v>49851.029145722801</v>
      </c>
      <c r="H1456">
        <v>135.865593040703</v>
      </c>
      <c r="I1456" s="1">
        <f t="shared" si="45"/>
        <v>97.771874338849472</v>
      </c>
    </row>
    <row r="1457" spans="1:9" x14ac:dyDescent="0.45">
      <c r="A1457" t="s">
        <v>34</v>
      </c>
      <c r="B1457" t="s">
        <v>28</v>
      </c>
      <c r="C1457" t="str">
        <f t="shared" si="44"/>
        <v>LipscombHouston</v>
      </c>
      <c r="D1457" t="s">
        <v>28</v>
      </c>
      <c r="E1457">
        <v>0.2</v>
      </c>
      <c r="F1457">
        <v>42.460377358490597</v>
      </c>
      <c r="G1457">
        <v>65028.536158851202</v>
      </c>
      <c r="H1457">
        <v>136.29751327196101</v>
      </c>
      <c r="I1457" s="1">
        <f t="shared" si="45"/>
        <v>103.853780055153</v>
      </c>
    </row>
    <row r="1458" spans="1:9" x14ac:dyDescent="0.45">
      <c r="A1458" t="s">
        <v>35</v>
      </c>
      <c r="B1458" t="s">
        <v>28</v>
      </c>
      <c r="C1458" t="str">
        <f t="shared" si="44"/>
        <v>LouisvilleHouston</v>
      </c>
      <c r="D1458" t="s">
        <v>28</v>
      </c>
      <c r="E1458">
        <v>0.4</v>
      </c>
      <c r="F1458">
        <v>36.3547169811321</v>
      </c>
      <c r="G1458">
        <v>25614.7844922818</v>
      </c>
      <c r="H1458">
        <v>135.58323658392899</v>
      </c>
      <c r="I1458" s="1">
        <f t="shared" si="45"/>
        <v>93.795988922490579</v>
      </c>
    </row>
    <row r="1459" spans="1:9" x14ac:dyDescent="0.45">
      <c r="A1459" t="s">
        <v>36</v>
      </c>
      <c r="B1459" t="s">
        <v>28</v>
      </c>
      <c r="C1459" t="str">
        <f t="shared" si="44"/>
        <v>MarquetteHouston</v>
      </c>
      <c r="D1459" t="s">
        <v>28</v>
      </c>
      <c r="E1459">
        <v>5.2</v>
      </c>
      <c r="F1459">
        <v>19.011320754717001</v>
      </c>
      <c r="G1459">
        <v>1817.1270783554301</v>
      </c>
      <c r="H1459">
        <v>136.91499321883401</v>
      </c>
      <c r="I1459" s="1">
        <f t="shared" si="45"/>
        <v>112.54856799701818</v>
      </c>
    </row>
    <row r="1460" spans="1:9" x14ac:dyDescent="0.45">
      <c r="A1460" t="s">
        <v>37</v>
      </c>
      <c r="B1460" t="s">
        <v>28</v>
      </c>
      <c r="C1460" t="str">
        <f t="shared" si="44"/>
        <v>MarylandHouston</v>
      </c>
      <c r="D1460" t="s">
        <v>28</v>
      </c>
      <c r="E1460">
        <v>3.6</v>
      </c>
      <c r="F1460">
        <v>21.554716981132099</v>
      </c>
      <c r="G1460">
        <v>2678.7344210556098</v>
      </c>
      <c r="H1460">
        <v>136.52493253051301</v>
      </c>
      <c r="I1460" s="1">
        <f t="shared" si="45"/>
        <v>107.05609008484626</v>
      </c>
    </row>
    <row r="1461" spans="1:9" x14ac:dyDescent="0.45">
      <c r="A1461" t="s">
        <v>38</v>
      </c>
      <c r="B1461" t="s">
        <v>28</v>
      </c>
      <c r="C1461" t="str">
        <f t="shared" si="44"/>
        <v>McNeese St.Houston</v>
      </c>
      <c r="D1461" t="s">
        <v>28</v>
      </c>
      <c r="E1461">
        <v>0.7</v>
      </c>
      <c r="F1461">
        <v>32.860377358490602</v>
      </c>
      <c r="G1461">
        <v>15034.147951155999</v>
      </c>
      <c r="H1461">
        <v>136.36034414471399</v>
      </c>
      <c r="I1461" s="1">
        <f t="shared" si="45"/>
        <v>104.73850694799549</v>
      </c>
    </row>
    <row r="1462" spans="1:9" x14ac:dyDescent="0.45">
      <c r="A1462" t="s">
        <v>39</v>
      </c>
      <c r="B1462" t="s">
        <v>28</v>
      </c>
      <c r="C1462" t="str">
        <f t="shared" si="44"/>
        <v>MemphisHouston</v>
      </c>
      <c r="D1462" t="s">
        <v>28</v>
      </c>
      <c r="E1462">
        <v>1.9</v>
      </c>
      <c r="F1462">
        <v>25.939622641509398</v>
      </c>
      <c r="G1462">
        <v>5229.9334505469496</v>
      </c>
      <c r="H1462">
        <v>135.50256734353201</v>
      </c>
      <c r="I1462" s="1">
        <f t="shared" si="45"/>
        <v>92.660078449227228</v>
      </c>
    </row>
    <row r="1463" spans="1:9" x14ac:dyDescent="0.45">
      <c r="A1463" t="s">
        <v>40</v>
      </c>
      <c r="B1463" t="s">
        <v>28</v>
      </c>
      <c r="C1463" t="str">
        <f t="shared" si="44"/>
        <v>MichiganHouston</v>
      </c>
      <c r="D1463" t="s">
        <v>28</v>
      </c>
      <c r="E1463">
        <v>1</v>
      </c>
      <c r="F1463">
        <v>30.128301886792499</v>
      </c>
      <c r="G1463">
        <v>9907.5255768961397</v>
      </c>
      <c r="H1463">
        <v>135.15948842821501</v>
      </c>
      <c r="I1463" s="1">
        <f t="shared" si="45"/>
        <v>87.829154900838887</v>
      </c>
    </row>
    <row r="1464" spans="1:9" x14ac:dyDescent="0.45">
      <c r="A1464" t="s">
        <v>41</v>
      </c>
      <c r="B1464" t="s">
        <v>28</v>
      </c>
      <c r="C1464" t="str">
        <f t="shared" si="44"/>
        <v>Michigan St.Houston</v>
      </c>
      <c r="D1464" t="s">
        <v>28</v>
      </c>
      <c r="E1464">
        <v>8.8000000000000007</v>
      </c>
      <c r="F1464">
        <v>15.3056603773585</v>
      </c>
      <c r="G1464">
        <v>1032.5031064289501</v>
      </c>
      <c r="H1464">
        <v>136.85838038904501</v>
      </c>
      <c r="I1464" s="1">
        <f t="shared" si="45"/>
        <v>111.75139789894935</v>
      </c>
    </row>
    <row r="1465" spans="1:9" x14ac:dyDescent="0.45">
      <c r="A1465" t="s">
        <v>42</v>
      </c>
      <c r="B1465" t="s">
        <v>28</v>
      </c>
      <c r="C1465" t="str">
        <f t="shared" si="44"/>
        <v>MississippiHouston</v>
      </c>
      <c r="D1465" t="s">
        <v>28</v>
      </c>
      <c r="E1465">
        <v>2.4</v>
      </c>
      <c r="F1465">
        <v>24.215094339622599</v>
      </c>
      <c r="G1465">
        <v>4019.8537905420599</v>
      </c>
      <c r="H1465">
        <v>135.989301494139</v>
      </c>
      <c r="I1465" s="1">
        <f t="shared" si="45"/>
        <v>99.513823651841989</v>
      </c>
    </row>
    <row r="1466" spans="1:9" x14ac:dyDescent="0.45">
      <c r="A1466" t="s">
        <v>43</v>
      </c>
      <c r="B1466" t="s">
        <v>28</v>
      </c>
      <c r="C1466" t="str">
        <f t="shared" si="44"/>
        <v>Mississippi St.Houston</v>
      </c>
      <c r="D1466" t="s">
        <v>28</v>
      </c>
      <c r="E1466">
        <v>1.8</v>
      </c>
      <c r="F1466">
        <v>26.0641509433962</v>
      </c>
      <c r="G1466">
        <v>5329.68497003418</v>
      </c>
      <c r="H1466">
        <v>136.113672847928</v>
      </c>
      <c r="I1466" s="1">
        <f t="shared" si="45"/>
        <v>101.26510732139971</v>
      </c>
    </row>
    <row r="1467" spans="1:9" x14ac:dyDescent="0.45">
      <c r="A1467" t="s">
        <v>44</v>
      </c>
      <c r="B1467" t="s">
        <v>28</v>
      </c>
      <c r="C1467" t="str">
        <f t="shared" si="44"/>
        <v>MissouriHouston</v>
      </c>
      <c r="D1467" t="s">
        <v>28</v>
      </c>
      <c r="E1467">
        <v>0.8</v>
      </c>
      <c r="F1467">
        <v>31.4754716981132</v>
      </c>
      <c r="G1467">
        <v>12170.277481970499</v>
      </c>
      <c r="H1467">
        <v>135.37814478410201</v>
      </c>
      <c r="I1467" s="1">
        <f t="shared" si="45"/>
        <v>90.908073748659234</v>
      </c>
    </row>
    <row r="1468" spans="1:9" x14ac:dyDescent="0.45">
      <c r="A1468" t="s">
        <v>45</v>
      </c>
      <c r="B1468" t="s">
        <v>28</v>
      </c>
      <c r="C1468" t="str">
        <f t="shared" si="44"/>
        <v>MontanaHouston</v>
      </c>
      <c r="D1468" t="s">
        <v>28</v>
      </c>
      <c r="E1468">
        <v>0.1</v>
      </c>
      <c r="F1468">
        <v>46.732075471698103</v>
      </c>
      <c r="G1468">
        <v>124764.937171892</v>
      </c>
      <c r="H1468">
        <v>134.68687950912101</v>
      </c>
      <c r="I1468" s="1">
        <f t="shared" si="45"/>
        <v>81.174308291218409</v>
      </c>
    </row>
    <row r="1469" spans="1:9" x14ac:dyDescent="0.45">
      <c r="A1469" t="s">
        <v>46</v>
      </c>
      <c r="B1469" t="s">
        <v>28</v>
      </c>
      <c r="C1469" t="str">
        <f t="shared" si="44"/>
        <v>Mount St. Mary'sHouston</v>
      </c>
      <c r="D1469" t="s">
        <v>28</v>
      </c>
      <c r="E1469">
        <v>0</v>
      </c>
      <c r="F1469">
        <v>52.849056603773597</v>
      </c>
      <c r="G1469">
        <v>317170.836896297</v>
      </c>
      <c r="H1469">
        <v>136.03475373106801</v>
      </c>
      <c r="I1469" s="1">
        <f t="shared" si="45"/>
        <v>100.15384048734001</v>
      </c>
    </row>
    <row r="1470" spans="1:9" x14ac:dyDescent="0.45">
      <c r="A1470" t="s">
        <v>47</v>
      </c>
      <c r="B1470" t="s">
        <v>28</v>
      </c>
      <c r="C1470" t="str">
        <f t="shared" si="44"/>
        <v>Nebraska OmahaHouston</v>
      </c>
      <c r="D1470" t="s">
        <v>28</v>
      </c>
      <c r="E1470">
        <v>0</v>
      </c>
      <c r="F1470">
        <v>51.132075471698101</v>
      </c>
      <c r="G1470">
        <v>244130.97442659101</v>
      </c>
      <c r="H1470">
        <v>135.31875491096801</v>
      </c>
      <c r="I1470" s="1">
        <f t="shared" si="45"/>
        <v>90.07179986574306</v>
      </c>
    </row>
    <row r="1471" spans="1:9" x14ac:dyDescent="0.45">
      <c r="A1471" t="s">
        <v>48</v>
      </c>
      <c r="B1471" t="s">
        <v>28</v>
      </c>
      <c r="C1471" t="str">
        <f t="shared" si="44"/>
        <v>New MexicoHouston</v>
      </c>
      <c r="D1471" t="s">
        <v>28</v>
      </c>
      <c r="E1471">
        <v>1</v>
      </c>
      <c r="F1471">
        <v>29.8867924528302</v>
      </c>
      <c r="G1471">
        <v>9549.6478660119701</v>
      </c>
      <c r="H1471">
        <v>136.19649925824399</v>
      </c>
      <c r="I1471" s="1">
        <f t="shared" si="45"/>
        <v>102.43139308878438</v>
      </c>
    </row>
    <row r="1472" spans="1:9" x14ac:dyDescent="0.45">
      <c r="A1472" t="s">
        <v>49</v>
      </c>
      <c r="B1472" t="s">
        <v>28</v>
      </c>
      <c r="C1472" t="str">
        <f t="shared" si="44"/>
        <v>Norfolk St.Houston</v>
      </c>
      <c r="D1472" t="s">
        <v>28</v>
      </c>
      <c r="E1472">
        <v>0.1</v>
      </c>
      <c r="F1472">
        <v>48.6</v>
      </c>
      <c r="G1472">
        <v>165897.65567111099</v>
      </c>
      <c r="H1472">
        <v>135.208862920445</v>
      </c>
      <c r="I1472" s="1">
        <f t="shared" si="45"/>
        <v>88.524401348680698</v>
      </c>
    </row>
    <row r="1473" spans="1:9" x14ac:dyDescent="0.45">
      <c r="A1473" t="s">
        <v>50</v>
      </c>
      <c r="B1473" t="s">
        <v>28</v>
      </c>
      <c r="C1473" t="str">
        <f t="shared" si="44"/>
        <v>North CarolinaHouston</v>
      </c>
      <c r="D1473" t="s">
        <v>28</v>
      </c>
      <c r="E1473">
        <v>3.4</v>
      </c>
      <c r="F1473">
        <v>21.845283018867899</v>
      </c>
      <c r="G1473">
        <v>2800.87885354947</v>
      </c>
      <c r="H1473">
        <v>137.28079435240099</v>
      </c>
      <c r="I1473" s="1">
        <f t="shared" si="45"/>
        <v>117.69944504390128</v>
      </c>
    </row>
    <row r="1474" spans="1:9" x14ac:dyDescent="0.45">
      <c r="A1474" t="s">
        <v>51</v>
      </c>
      <c r="B1474" t="s">
        <v>28</v>
      </c>
      <c r="C1474" t="str">
        <f t="shared" si="44"/>
        <v>OklahomaHouston</v>
      </c>
      <c r="D1474" t="s">
        <v>28</v>
      </c>
      <c r="E1474">
        <v>1.2</v>
      </c>
      <c r="F1474">
        <v>29.150943396226399</v>
      </c>
      <c r="G1474">
        <v>8536.9521394553194</v>
      </c>
      <c r="H1474">
        <v>135.62339764790599</v>
      </c>
      <c r="I1474" s="1">
        <f t="shared" si="45"/>
        <v>94.361500299123946</v>
      </c>
    </row>
    <row r="1475" spans="1:9" x14ac:dyDescent="0.45">
      <c r="A1475" t="s">
        <v>52</v>
      </c>
      <c r="B1475" t="s">
        <v>28</v>
      </c>
      <c r="C1475" t="str">
        <f t="shared" ref="C1475:C1538" si="46">A1475&amp;B1475</f>
        <v>OregonHouston</v>
      </c>
      <c r="D1475" t="s">
        <v>28</v>
      </c>
      <c r="E1475">
        <v>3.7</v>
      </c>
      <c r="F1475">
        <v>21.328301886792499</v>
      </c>
      <c r="G1475">
        <v>2587.4885700854302</v>
      </c>
      <c r="H1475">
        <v>136.217775436046</v>
      </c>
      <c r="I1475" s="1">
        <f t="shared" ref="I1475:I1538" si="47">18*(H1475-AVERAGE($H$2:$H$4625))/_xlfn.STDEV.P($H$2:$H$4625)+AVERAGE($H$2:$H$4625)</f>
        <v>102.73098476805868</v>
      </c>
    </row>
    <row r="1476" spans="1:9" x14ac:dyDescent="0.45">
      <c r="A1476" t="s">
        <v>53</v>
      </c>
      <c r="B1476" t="s">
        <v>28</v>
      </c>
      <c r="C1476" t="str">
        <f t="shared" si="46"/>
        <v>PurdueHouston</v>
      </c>
      <c r="D1476" t="s">
        <v>28</v>
      </c>
      <c r="E1476">
        <v>17</v>
      </c>
      <c r="F1476">
        <v>10.4150943396226</v>
      </c>
      <c r="G1476">
        <v>489.85863684204998</v>
      </c>
      <c r="H1476">
        <v>137.565762764835</v>
      </c>
      <c r="I1476" s="1">
        <f t="shared" si="47"/>
        <v>121.71210963129604</v>
      </c>
    </row>
    <row r="1477" spans="1:9" x14ac:dyDescent="0.45">
      <c r="A1477" t="s">
        <v>54</v>
      </c>
      <c r="B1477" t="s">
        <v>28</v>
      </c>
      <c r="C1477" t="str">
        <f t="shared" si="46"/>
        <v>Robert MorrisHouston</v>
      </c>
      <c r="D1477" t="s">
        <v>28</v>
      </c>
      <c r="E1477">
        <v>0</v>
      </c>
      <c r="F1477">
        <v>54.358490566037702</v>
      </c>
      <c r="G1477">
        <v>399256.27553421498</v>
      </c>
      <c r="H1477">
        <v>134.624399613598</v>
      </c>
      <c r="I1477" s="1">
        <f t="shared" si="47"/>
        <v>80.294523538768431</v>
      </c>
    </row>
    <row r="1478" spans="1:9" x14ac:dyDescent="0.45">
      <c r="A1478" t="s">
        <v>55</v>
      </c>
      <c r="B1478" t="s">
        <v>28</v>
      </c>
      <c r="C1478" t="str">
        <f t="shared" si="46"/>
        <v>Saint FrancisHouston</v>
      </c>
      <c r="D1478" t="s">
        <v>28</v>
      </c>
      <c r="E1478">
        <v>0</v>
      </c>
      <c r="F1478">
        <v>57.083018867924501</v>
      </c>
      <c r="G1478">
        <v>605155.06360430096</v>
      </c>
      <c r="H1478">
        <v>135.67725514680501</v>
      </c>
      <c r="I1478" s="1">
        <f t="shared" si="47"/>
        <v>95.119872347281387</v>
      </c>
    </row>
    <row r="1479" spans="1:9" x14ac:dyDescent="0.45">
      <c r="A1479" t="s">
        <v>56</v>
      </c>
      <c r="B1479" t="s">
        <v>28</v>
      </c>
      <c r="C1479" t="str">
        <f t="shared" si="46"/>
        <v>Saint Mary'sHouston</v>
      </c>
      <c r="D1479" t="s">
        <v>28</v>
      </c>
      <c r="E1479">
        <v>3.2</v>
      </c>
      <c r="F1479">
        <v>22.3698113207547</v>
      </c>
      <c r="G1479">
        <v>3033.77240367372</v>
      </c>
      <c r="H1479">
        <v>136.92851034789501</v>
      </c>
      <c r="I1479" s="1">
        <f t="shared" si="47"/>
        <v>112.73890384737801</v>
      </c>
    </row>
    <row r="1480" spans="1:9" x14ac:dyDescent="0.45">
      <c r="A1480" t="s">
        <v>57</v>
      </c>
      <c r="B1480" t="s">
        <v>28</v>
      </c>
      <c r="C1480" t="str">
        <f t="shared" si="46"/>
        <v>San Diego St.Houston</v>
      </c>
      <c r="D1480" t="s">
        <v>28</v>
      </c>
      <c r="E1480">
        <v>1</v>
      </c>
      <c r="F1480">
        <v>30.4603773584906</v>
      </c>
      <c r="G1480">
        <v>10426.1527307055</v>
      </c>
      <c r="H1480">
        <v>136.07476522769301</v>
      </c>
      <c r="I1480" s="1">
        <f t="shared" si="47"/>
        <v>100.71724579329818</v>
      </c>
    </row>
    <row r="1481" spans="1:9" x14ac:dyDescent="0.45">
      <c r="A1481" t="s">
        <v>58</v>
      </c>
      <c r="B1481" t="s">
        <v>28</v>
      </c>
      <c r="C1481" t="str">
        <f t="shared" si="46"/>
        <v>SIU EdwardsvilleHouston</v>
      </c>
      <c r="D1481" t="s">
        <v>28</v>
      </c>
      <c r="E1481">
        <v>0</v>
      </c>
      <c r="F1481">
        <v>50.060377358490598</v>
      </c>
      <c r="G1481">
        <v>207253.10771582101</v>
      </c>
      <c r="H1481">
        <v>136.22245299454099</v>
      </c>
      <c r="I1481" s="1">
        <f t="shared" si="47"/>
        <v>102.79684986927461</v>
      </c>
    </row>
    <row r="1482" spans="1:9" x14ac:dyDescent="0.45">
      <c r="A1482" t="s">
        <v>59</v>
      </c>
      <c r="B1482" t="s">
        <v>28</v>
      </c>
      <c r="C1482" t="str">
        <f t="shared" si="46"/>
        <v>St. John'sHouston</v>
      </c>
      <c r="D1482" t="s">
        <v>28</v>
      </c>
      <c r="E1482">
        <v>9.3000000000000007</v>
      </c>
      <c r="F1482">
        <v>14.9018867924528</v>
      </c>
      <c r="G1482">
        <v>971.16616600851501</v>
      </c>
      <c r="H1482">
        <v>137.20013576708601</v>
      </c>
      <c r="I1482" s="1">
        <f t="shared" si="47"/>
        <v>116.56368460575897</v>
      </c>
    </row>
    <row r="1483" spans="1:9" x14ac:dyDescent="0.45">
      <c r="A1483" t="s">
        <v>60</v>
      </c>
      <c r="B1483" t="s">
        <v>28</v>
      </c>
      <c r="C1483" t="str">
        <f t="shared" si="46"/>
        <v>TennesseeHouston</v>
      </c>
      <c r="D1483" t="s">
        <v>28</v>
      </c>
      <c r="E1483">
        <v>17.100000000000001</v>
      </c>
      <c r="F1483">
        <v>10.3584905660377</v>
      </c>
      <c r="G1483">
        <v>485.46071987738202</v>
      </c>
      <c r="H1483">
        <v>137.79411864377701</v>
      </c>
      <c r="I1483" s="1">
        <f t="shared" si="47"/>
        <v>124.92760829280542</v>
      </c>
    </row>
    <row r="1484" spans="1:9" x14ac:dyDescent="0.45">
      <c r="A1484" t="s">
        <v>61</v>
      </c>
      <c r="B1484" t="s">
        <v>28</v>
      </c>
      <c r="C1484" t="str">
        <f t="shared" si="46"/>
        <v>TexasHouston</v>
      </c>
      <c r="D1484" t="s">
        <v>28</v>
      </c>
      <c r="E1484">
        <v>0.8</v>
      </c>
      <c r="F1484">
        <v>31.309433962264201</v>
      </c>
      <c r="G1484">
        <v>11866.449912403201</v>
      </c>
      <c r="H1484">
        <v>135.549833174849</v>
      </c>
      <c r="I1484" s="1">
        <f t="shared" si="47"/>
        <v>93.325632662410015</v>
      </c>
    </row>
    <row r="1485" spans="1:9" x14ac:dyDescent="0.45">
      <c r="A1485" t="s">
        <v>62</v>
      </c>
      <c r="B1485" t="s">
        <v>28</v>
      </c>
      <c r="C1485" t="str">
        <f t="shared" si="46"/>
        <v>Texas A&amp;MHouston</v>
      </c>
      <c r="D1485" t="s">
        <v>28</v>
      </c>
      <c r="E1485">
        <v>4.5999999999999996</v>
      </c>
      <c r="F1485">
        <v>19.8150943396226</v>
      </c>
      <c r="G1485">
        <v>2054.5652448650899</v>
      </c>
      <c r="H1485">
        <v>136.34763220244301</v>
      </c>
      <c r="I1485" s="1">
        <f t="shared" si="47"/>
        <v>104.55950900168946</v>
      </c>
    </row>
    <row r="1486" spans="1:9" x14ac:dyDescent="0.45">
      <c r="A1486" t="s">
        <v>63</v>
      </c>
      <c r="B1486" t="s">
        <v>28</v>
      </c>
      <c r="C1486" t="str">
        <f t="shared" si="46"/>
        <v>Texas TechHouston</v>
      </c>
      <c r="D1486" t="s">
        <v>28</v>
      </c>
      <c r="E1486">
        <v>8.8000000000000007</v>
      </c>
      <c r="F1486">
        <v>15.3622641509434</v>
      </c>
      <c r="G1486">
        <v>1041.8457017373601</v>
      </c>
      <c r="H1486">
        <v>137.387416321507</v>
      </c>
      <c r="I1486" s="1">
        <f t="shared" si="47"/>
        <v>119.20079810972248</v>
      </c>
    </row>
    <row r="1487" spans="1:9" x14ac:dyDescent="0.45">
      <c r="A1487" t="s">
        <v>64</v>
      </c>
      <c r="B1487" t="s">
        <v>28</v>
      </c>
      <c r="C1487" t="str">
        <f t="shared" si="46"/>
        <v>TroyHouston</v>
      </c>
      <c r="D1487" t="s">
        <v>28</v>
      </c>
      <c r="E1487">
        <v>0.1</v>
      </c>
      <c r="F1487">
        <v>43.309433962264201</v>
      </c>
      <c r="G1487">
        <v>74005.553193505693</v>
      </c>
      <c r="H1487">
        <v>136.090980741236</v>
      </c>
      <c r="I1487" s="1">
        <f t="shared" si="47"/>
        <v>100.9455778263281</v>
      </c>
    </row>
    <row r="1488" spans="1:9" x14ac:dyDescent="0.45">
      <c r="A1488" t="s">
        <v>65</v>
      </c>
      <c r="B1488" t="s">
        <v>28</v>
      </c>
      <c r="C1488" t="str">
        <f t="shared" si="46"/>
        <v>UC San DiegoHouston</v>
      </c>
      <c r="D1488" t="s">
        <v>28</v>
      </c>
      <c r="E1488">
        <v>0.3</v>
      </c>
      <c r="F1488">
        <v>37.147169811320801</v>
      </c>
      <c r="G1488">
        <v>28914.662692092301</v>
      </c>
      <c r="H1488">
        <v>136.17910248462701</v>
      </c>
      <c r="I1488" s="1">
        <f t="shared" si="47"/>
        <v>102.18642763162535</v>
      </c>
    </row>
    <row r="1489" spans="1:9" x14ac:dyDescent="0.45">
      <c r="A1489" t="s">
        <v>66</v>
      </c>
      <c r="B1489" t="s">
        <v>28</v>
      </c>
      <c r="C1489" t="str">
        <f t="shared" si="46"/>
        <v>UCLAHouston</v>
      </c>
      <c r="D1489" t="s">
        <v>28</v>
      </c>
      <c r="E1489">
        <v>1.4</v>
      </c>
      <c r="F1489">
        <v>28.1056603773585</v>
      </c>
      <c r="G1489">
        <v>7276.3799195158099</v>
      </c>
      <c r="H1489">
        <v>135.650556997736</v>
      </c>
      <c r="I1489" s="1">
        <f t="shared" si="47"/>
        <v>94.743933426882649</v>
      </c>
    </row>
    <row r="1490" spans="1:9" x14ac:dyDescent="0.45">
      <c r="A1490" t="s">
        <v>67</v>
      </c>
      <c r="B1490" t="s">
        <v>28</v>
      </c>
      <c r="C1490" t="str">
        <f t="shared" si="46"/>
        <v>UNC WilmingtonHouston</v>
      </c>
      <c r="D1490" t="s">
        <v>28</v>
      </c>
      <c r="E1490">
        <v>0.2</v>
      </c>
      <c r="F1490">
        <v>40.509433962264197</v>
      </c>
      <c r="G1490">
        <v>48278.783679635198</v>
      </c>
      <c r="H1490">
        <v>136.765572671656</v>
      </c>
      <c r="I1490" s="1">
        <f t="shared" si="47"/>
        <v>110.44456449301862</v>
      </c>
    </row>
    <row r="1491" spans="1:9" x14ac:dyDescent="0.45">
      <c r="A1491" t="s">
        <v>68</v>
      </c>
      <c r="B1491" t="s">
        <v>28</v>
      </c>
      <c r="C1491" t="str">
        <f t="shared" si="46"/>
        <v>Utah St.Houston</v>
      </c>
      <c r="D1491" t="s">
        <v>28</v>
      </c>
      <c r="E1491">
        <v>1</v>
      </c>
      <c r="F1491">
        <v>29.864150943396201</v>
      </c>
      <c r="G1491">
        <v>9518.6928726227907</v>
      </c>
      <c r="H1491">
        <v>136.136943075483</v>
      </c>
      <c r="I1491" s="1">
        <f t="shared" si="47"/>
        <v>101.59277738578692</v>
      </c>
    </row>
    <row r="1492" spans="1:9" x14ac:dyDescent="0.45">
      <c r="A1492" t="s">
        <v>69</v>
      </c>
      <c r="B1492" t="s">
        <v>28</v>
      </c>
      <c r="C1492" t="str">
        <f t="shared" si="46"/>
        <v>VanderbiltHouston</v>
      </c>
      <c r="D1492" t="s">
        <v>28</v>
      </c>
      <c r="E1492">
        <v>0.2</v>
      </c>
      <c r="F1492">
        <v>39.988679245283002</v>
      </c>
      <c r="G1492">
        <v>44582.796177177799</v>
      </c>
      <c r="H1492">
        <v>134.711513564081</v>
      </c>
      <c r="I1492" s="1">
        <f t="shared" si="47"/>
        <v>81.521182525936524</v>
      </c>
    </row>
    <row r="1493" spans="1:9" x14ac:dyDescent="0.45">
      <c r="A1493" t="s">
        <v>70</v>
      </c>
      <c r="B1493" t="s">
        <v>28</v>
      </c>
      <c r="C1493" t="str">
        <f t="shared" si="46"/>
        <v>VCUHouston</v>
      </c>
      <c r="D1493" t="s">
        <v>28</v>
      </c>
      <c r="E1493">
        <v>0.7</v>
      </c>
      <c r="F1493">
        <v>32.641509433962298</v>
      </c>
      <c r="G1493">
        <v>14535.7431740129</v>
      </c>
      <c r="H1493">
        <v>136.55642472595699</v>
      </c>
      <c r="I1493" s="1">
        <f t="shared" si="47"/>
        <v>107.49953438226154</v>
      </c>
    </row>
    <row r="1494" spans="1:9" x14ac:dyDescent="0.45">
      <c r="A1494" t="s">
        <v>71</v>
      </c>
      <c r="B1494" t="s">
        <v>28</v>
      </c>
      <c r="C1494" t="str">
        <f t="shared" si="46"/>
        <v>WisconsinHouston</v>
      </c>
      <c r="D1494" t="s">
        <v>28</v>
      </c>
      <c r="E1494">
        <v>7.8</v>
      </c>
      <c r="F1494">
        <v>16.177358490566</v>
      </c>
      <c r="G1494">
        <v>1179.7674538235101</v>
      </c>
      <c r="H1494">
        <v>137.35710358122299</v>
      </c>
      <c r="I1494" s="1">
        <f t="shared" si="47"/>
        <v>118.7739618212874</v>
      </c>
    </row>
    <row r="1495" spans="1:9" x14ac:dyDescent="0.45">
      <c r="A1495" t="s">
        <v>80</v>
      </c>
      <c r="B1495" t="s">
        <v>28</v>
      </c>
      <c r="C1495" t="str">
        <f t="shared" si="46"/>
        <v>WoffordHouston</v>
      </c>
      <c r="D1495" t="s">
        <v>28</v>
      </c>
      <c r="E1495">
        <v>0.1</v>
      </c>
      <c r="F1495">
        <v>47.562264150943399</v>
      </c>
      <c r="G1495">
        <v>141602.68670816699</v>
      </c>
      <c r="H1495">
        <v>135.38655932031801</v>
      </c>
      <c r="I1495" s="1">
        <f t="shared" si="47"/>
        <v>91.026559552769697</v>
      </c>
    </row>
    <row r="1496" spans="1:9" x14ac:dyDescent="0.45">
      <c r="A1496" t="s">
        <v>72</v>
      </c>
      <c r="B1496" t="s">
        <v>28</v>
      </c>
      <c r="C1496" t="str">
        <f t="shared" si="46"/>
        <v>XavierHouston</v>
      </c>
      <c r="D1496" t="s">
        <v>28</v>
      </c>
      <c r="E1496">
        <v>0.7</v>
      </c>
      <c r="F1496">
        <v>32.716981132075503</v>
      </c>
      <c r="G1496">
        <v>14705.911550467101</v>
      </c>
      <c r="H1496">
        <v>135.96247289047</v>
      </c>
      <c r="I1496" s="1">
        <f t="shared" si="47"/>
        <v>99.136047789063554</v>
      </c>
    </row>
    <row r="1497" spans="1:9" x14ac:dyDescent="0.45">
      <c r="A1497" t="s">
        <v>73</v>
      </c>
      <c r="B1497" t="s">
        <v>28</v>
      </c>
      <c r="C1497" t="str">
        <f t="shared" si="46"/>
        <v>YaleHouston</v>
      </c>
      <c r="D1497" t="s">
        <v>28</v>
      </c>
      <c r="E1497">
        <v>0.4</v>
      </c>
      <c r="F1497">
        <v>36.539622641509403</v>
      </c>
      <c r="G1497">
        <v>26351.390066472301</v>
      </c>
      <c r="H1497">
        <v>136.761707524532</v>
      </c>
      <c r="I1497" s="1">
        <f t="shared" si="47"/>
        <v>110.39013902579899</v>
      </c>
    </row>
    <row r="1498" spans="1:9" x14ac:dyDescent="0.45">
      <c r="A1498" t="s">
        <v>7</v>
      </c>
      <c r="B1498" t="s">
        <v>29</v>
      </c>
      <c r="C1498" t="str">
        <f t="shared" si="46"/>
        <v>AkronIllinois</v>
      </c>
      <c r="D1498" t="s">
        <v>29</v>
      </c>
      <c r="E1498">
        <v>1.9</v>
      </c>
      <c r="F1498">
        <v>25.822641509434</v>
      </c>
      <c r="G1498">
        <v>5138.8822839895302</v>
      </c>
      <c r="H1498">
        <v>137.49392782604099</v>
      </c>
      <c r="I1498" s="1">
        <f t="shared" si="47"/>
        <v>120.70059571445745</v>
      </c>
    </row>
    <row r="1499" spans="1:9" x14ac:dyDescent="0.45">
      <c r="A1499" t="s">
        <v>8</v>
      </c>
      <c r="B1499" t="s">
        <v>29</v>
      </c>
      <c r="C1499" t="str">
        <f t="shared" si="46"/>
        <v>AlabamaIllinois</v>
      </c>
      <c r="D1499" t="s">
        <v>8</v>
      </c>
      <c r="E1499">
        <v>58.9</v>
      </c>
      <c r="F1499">
        <v>-2.3509433962264099</v>
      </c>
      <c r="G1499">
        <v>-143.105064405391</v>
      </c>
      <c r="H1499">
        <v>139.24202383817999</v>
      </c>
      <c r="I1499" s="1">
        <f t="shared" si="47"/>
        <v>145.31568516722442</v>
      </c>
    </row>
    <row r="1500" spans="1:9" x14ac:dyDescent="0.45">
      <c r="A1500" t="s">
        <v>9</v>
      </c>
      <c r="B1500" t="s">
        <v>29</v>
      </c>
      <c r="C1500" t="str">
        <f t="shared" si="46"/>
        <v>Alabama St.Illinois</v>
      </c>
      <c r="D1500" t="s">
        <v>29</v>
      </c>
      <c r="E1500">
        <v>0.3</v>
      </c>
      <c r="F1500">
        <v>37.966037735849099</v>
      </c>
      <c r="G1500">
        <v>32744.050149004299</v>
      </c>
      <c r="H1500">
        <v>137.720768681854</v>
      </c>
      <c r="I1500" s="1">
        <f t="shared" si="47"/>
        <v>123.89476120571506</v>
      </c>
    </row>
    <row r="1501" spans="1:9" x14ac:dyDescent="0.45">
      <c r="A1501" t="s">
        <v>10</v>
      </c>
      <c r="B1501" t="s">
        <v>29</v>
      </c>
      <c r="C1501" t="str">
        <f t="shared" si="46"/>
        <v>AmericanIllinois</v>
      </c>
      <c r="D1501" t="s">
        <v>29</v>
      </c>
      <c r="E1501">
        <v>0.4</v>
      </c>
      <c r="F1501">
        <v>36.701886792452797</v>
      </c>
      <c r="G1501">
        <v>27004.4152037272</v>
      </c>
      <c r="H1501">
        <v>137.81185456345801</v>
      </c>
      <c r="I1501" s="1">
        <f t="shared" si="47"/>
        <v>125.17734929469738</v>
      </c>
    </row>
    <row r="1502" spans="1:9" x14ac:dyDescent="0.45">
      <c r="A1502" t="s">
        <v>11</v>
      </c>
      <c r="B1502" t="s">
        <v>29</v>
      </c>
      <c r="C1502" t="str">
        <f t="shared" si="46"/>
        <v>ArizonaIllinois</v>
      </c>
      <c r="D1502" t="s">
        <v>11</v>
      </c>
      <c r="E1502">
        <v>50.4</v>
      </c>
      <c r="F1502">
        <v>-0.109433962264151</v>
      </c>
      <c r="G1502">
        <v>-101.67561173713599</v>
      </c>
      <c r="H1502">
        <v>139.00438265717099</v>
      </c>
      <c r="I1502" s="1">
        <f t="shared" si="47"/>
        <v>141.96943937318477</v>
      </c>
    </row>
    <row r="1503" spans="1:9" x14ac:dyDescent="0.45">
      <c r="A1503" t="s">
        <v>12</v>
      </c>
      <c r="B1503" t="s">
        <v>29</v>
      </c>
      <c r="C1503" t="str">
        <f t="shared" si="46"/>
        <v>ArkansasIllinois</v>
      </c>
      <c r="D1503" t="s">
        <v>29</v>
      </c>
      <c r="E1503">
        <v>5.8</v>
      </c>
      <c r="F1503">
        <v>18.2830188679245</v>
      </c>
      <c r="G1503">
        <v>1626.56471378827</v>
      </c>
      <c r="H1503">
        <v>137.121986491028</v>
      </c>
      <c r="I1503" s="1">
        <f t="shared" si="47"/>
        <v>115.46325796587253</v>
      </c>
    </row>
    <row r="1504" spans="1:9" x14ac:dyDescent="0.45">
      <c r="A1504" t="s">
        <v>13</v>
      </c>
      <c r="B1504" t="s">
        <v>29</v>
      </c>
      <c r="C1504" t="str">
        <f t="shared" si="46"/>
        <v>AuburnIllinois</v>
      </c>
      <c r="D1504" t="s">
        <v>13</v>
      </c>
      <c r="E1504">
        <v>73.7</v>
      </c>
      <c r="F1504">
        <v>-6.7584905660377403</v>
      </c>
      <c r="G1504">
        <v>-280.45056825157099</v>
      </c>
      <c r="H1504">
        <v>140.26070589629001</v>
      </c>
      <c r="I1504" s="1">
        <f t="shared" si="47"/>
        <v>159.65983435021161</v>
      </c>
    </row>
    <row r="1505" spans="1:9" x14ac:dyDescent="0.45">
      <c r="A1505" t="s">
        <v>14</v>
      </c>
      <c r="B1505" t="s">
        <v>29</v>
      </c>
      <c r="C1505" t="str">
        <f t="shared" si="46"/>
        <v>BaylorIllinois</v>
      </c>
      <c r="D1505" t="s">
        <v>29</v>
      </c>
      <c r="E1505">
        <v>22.9</v>
      </c>
      <c r="F1505">
        <v>7.9735849056603803</v>
      </c>
      <c r="G1505">
        <v>337.38935380820999</v>
      </c>
      <c r="H1505">
        <v>138.795703909015</v>
      </c>
      <c r="I1505" s="1">
        <f t="shared" si="47"/>
        <v>139.03101607315915</v>
      </c>
    </row>
    <row r="1506" spans="1:9" x14ac:dyDescent="0.45">
      <c r="A1506" t="s">
        <v>15</v>
      </c>
      <c r="B1506" t="s">
        <v>29</v>
      </c>
      <c r="C1506" t="str">
        <f t="shared" si="46"/>
        <v>BryantIllinois</v>
      </c>
      <c r="D1506" t="s">
        <v>29</v>
      </c>
      <c r="E1506">
        <v>1.3</v>
      </c>
      <c r="F1506">
        <v>28.256603773584899</v>
      </c>
      <c r="G1506">
        <v>7448.5462592799804</v>
      </c>
      <c r="H1506">
        <v>138.344701658909</v>
      </c>
      <c r="I1506" s="1">
        <f t="shared" si="47"/>
        <v>132.68041481746812</v>
      </c>
    </row>
    <row r="1507" spans="1:9" x14ac:dyDescent="0.45">
      <c r="A1507" t="s">
        <v>16</v>
      </c>
      <c r="B1507" t="s">
        <v>29</v>
      </c>
      <c r="C1507" t="str">
        <f t="shared" si="46"/>
        <v>BYUIllinois</v>
      </c>
      <c r="D1507" t="s">
        <v>29</v>
      </c>
      <c r="E1507">
        <v>26.5</v>
      </c>
      <c r="F1507">
        <v>6.6792452830188704</v>
      </c>
      <c r="G1507">
        <v>276.94580518194402</v>
      </c>
      <c r="H1507">
        <v>138.60522213713199</v>
      </c>
      <c r="I1507" s="1">
        <f t="shared" si="47"/>
        <v>136.34882595232889</v>
      </c>
    </row>
    <row r="1508" spans="1:9" x14ac:dyDescent="0.45">
      <c r="A1508" t="s">
        <v>17</v>
      </c>
      <c r="B1508" t="s">
        <v>29</v>
      </c>
      <c r="C1508" t="str">
        <f t="shared" si="46"/>
        <v>ClemsonIllinois</v>
      </c>
      <c r="D1508" t="s">
        <v>29</v>
      </c>
      <c r="E1508">
        <v>31.6</v>
      </c>
      <c r="F1508">
        <v>5.0528301886792502</v>
      </c>
      <c r="G1508">
        <v>216.144040311732</v>
      </c>
      <c r="H1508">
        <v>138.82713399342401</v>
      </c>
      <c r="I1508" s="1">
        <f t="shared" si="47"/>
        <v>139.47358577977906</v>
      </c>
    </row>
    <row r="1509" spans="1:9" x14ac:dyDescent="0.45">
      <c r="A1509" t="s">
        <v>18</v>
      </c>
      <c r="B1509" t="s">
        <v>29</v>
      </c>
      <c r="C1509" t="str">
        <f t="shared" si="46"/>
        <v>Colorado St.Illinois</v>
      </c>
      <c r="D1509" t="s">
        <v>29</v>
      </c>
      <c r="E1509">
        <v>7.1</v>
      </c>
      <c r="F1509">
        <v>16.890566037735901</v>
      </c>
      <c r="G1509">
        <v>1315.48165291123</v>
      </c>
      <c r="H1509">
        <v>138.13452584152901</v>
      </c>
      <c r="I1509" s="1">
        <f t="shared" si="47"/>
        <v>129.72091115766256</v>
      </c>
    </row>
    <row r="1510" spans="1:9" x14ac:dyDescent="0.45">
      <c r="A1510" t="s">
        <v>19</v>
      </c>
      <c r="B1510" t="s">
        <v>29</v>
      </c>
      <c r="C1510" t="str">
        <f t="shared" si="46"/>
        <v>ConnecticutIllinois</v>
      </c>
      <c r="D1510" t="s">
        <v>29</v>
      </c>
      <c r="E1510">
        <v>44</v>
      </c>
      <c r="F1510">
        <v>1.5886792452830201</v>
      </c>
      <c r="G1510">
        <v>127.434715691037</v>
      </c>
      <c r="H1510">
        <v>138.77007774386499</v>
      </c>
      <c r="I1510" s="1">
        <f t="shared" si="47"/>
        <v>138.67017185000509</v>
      </c>
    </row>
    <row r="1511" spans="1:9" x14ac:dyDescent="0.45">
      <c r="A1511" t="s">
        <v>20</v>
      </c>
      <c r="B1511" t="s">
        <v>29</v>
      </c>
      <c r="C1511" t="str">
        <f t="shared" si="46"/>
        <v>CreightonIllinois</v>
      </c>
      <c r="D1511" t="s">
        <v>29</v>
      </c>
      <c r="E1511">
        <v>19.5</v>
      </c>
      <c r="F1511">
        <v>9.2792452830188701</v>
      </c>
      <c r="G1511">
        <v>411.97207745616902</v>
      </c>
      <c r="H1511">
        <v>138.24302010612899</v>
      </c>
      <c r="I1511" s="1">
        <f t="shared" si="47"/>
        <v>131.24862817646232</v>
      </c>
    </row>
    <row r="1512" spans="1:9" x14ac:dyDescent="0.45">
      <c r="A1512" t="s">
        <v>21</v>
      </c>
      <c r="B1512" t="s">
        <v>29</v>
      </c>
      <c r="C1512" t="str">
        <f t="shared" si="46"/>
        <v>DrakeIllinois</v>
      </c>
      <c r="D1512" t="s">
        <v>29</v>
      </c>
      <c r="E1512">
        <v>7</v>
      </c>
      <c r="F1512">
        <v>16.9433962264151</v>
      </c>
      <c r="G1512">
        <v>1325.69217516145</v>
      </c>
      <c r="H1512">
        <v>138.29648521028301</v>
      </c>
      <c r="I1512" s="1">
        <f t="shared" si="47"/>
        <v>132.00147488065579</v>
      </c>
    </row>
    <row r="1513" spans="1:9" x14ac:dyDescent="0.45">
      <c r="A1513" t="s">
        <v>22</v>
      </c>
      <c r="B1513" t="s">
        <v>29</v>
      </c>
      <c r="C1513" t="str">
        <f t="shared" si="46"/>
        <v>DukeIllinois</v>
      </c>
      <c r="D1513" t="s">
        <v>22</v>
      </c>
      <c r="E1513">
        <v>80.400000000000006</v>
      </c>
      <c r="F1513">
        <v>-9.2679245283018901</v>
      </c>
      <c r="G1513">
        <v>-411.21196566425903</v>
      </c>
      <c r="H1513">
        <v>140.58380567173899</v>
      </c>
      <c r="I1513" s="1">
        <f t="shared" si="47"/>
        <v>164.20942992140337</v>
      </c>
    </row>
    <row r="1514" spans="1:9" x14ac:dyDescent="0.45">
      <c r="A1514" t="s">
        <v>23</v>
      </c>
      <c r="B1514" t="s">
        <v>29</v>
      </c>
      <c r="C1514" t="str">
        <f t="shared" si="46"/>
        <v>FloridaIllinois</v>
      </c>
      <c r="D1514" t="s">
        <v>23</v>
      </c>
      <c r="E1514">
        <v>69.400000000000006</v>
      </c>
      <c r="F1514">
        <v>-5.36981132075472</v>
      </c>
      <c r="G1514">
        <v>-226.839728074433</v>
      </c>
      <c r="H1514">
        <v>140.30756194768199</v>
      </c>
      <c r="I1514" s="1">
        <f t="shared" si="47"/>
        <v>160.31961841722395</v>
      </c>
    </row>
    <row r="1515" spans="1:9" x14ac:dyDescent="0.45">
      <c r="A1515" t="s">
        <v>24</v>
      </c>
      <c r="B1515" t="s">
        <v>29</v>
      </c>
      <c r="C1515" t="str">
        <f t="shared" si="46"/>
        <v>GeorgiaIllinois</v>
      </c>
      <c r="D1515" t="s">
        <v>29</v>
      </c>
      <c r="E1515">
        <v>7.9</v>
      </c>
      <c r="F1515">
        <v>16.135849056603799</v>
      </c>
      <c r="G1515">
        <v>1172.5074586504099</v>
      </c>
      <c r="H1515">
        <v>137.44937547202599</v>
      </c>
      <c r="I1515" s="1">
        <f t="shared" si="47"/>
        <v>120.07325020723408</v>
      </c>
    </row>
    <row r="1516" spans="1:9" x14ac:dyDescent="0.45">
      <c r="A1516" t="s">
        <v>25</v>
      </c>
      <c r="B1516" t="s">
        <v>29</v>
      </c>
      <c r="C1516" t="str">
        <f t="shared" si="46"/>
        <v>GonzagaIllinois</v>
      </c>
      <c r="D1516" t="s">
        <v>29</v>
      </c>
      <c r="E1516">
        <v>32.4</v>
      </c>
      <c r="F1516">
        <v>4.8113207547169798</v>
      </c>
      <c r="G1516">
        <v>208.30243984973399</v>
      </c>
      <c r="H1516">
        <v>139.587016591555</v>
      </c>
      <c r="I1516" s="1">
        <f t="shared" si="47"/>
        <v>150.1735576329886</v>
      </c>
    </row>
    <row r="1517" spans="1:9" x14ac:dyDescent="0.45">
      <c r="A1517" t="s">
        <v>26</v>
      </c>
      <c r="B1517" t="s">
        <v>29</v>
      </c>
      <c r="C1517" t="str">
        <f t="shared" si="46"/>
        <v>Grand CanyonIllinois</v>
      </c>
      <c r="D1517" t="s">
        <v>29</v>
      </c>
      <c r="E1517">
        <v>4.5</v>
      </c>
      <c r="F1517">
        <v>20.060377358490602</v>
      </c>
      <c r="G1517">
        <v>2132.9317220881799</v>
      </c>
      <c r="H1517">
        <v>138.23898483785899</v>
      </c>
      <c r="I1517" s="1">
        <f t="shared" si="47"/>
        <v>131.19180721883629</v>
      </c>
    </row>
    <row r="1518" spans="1:9" x14ac:dyDescent="0.45">
      <c r="A1518" t="s">
        <v>27</v>
      </c>
      <c r="B1518" t="s">
        <v>29</v>
      </c>
      <c r="C1518" t="str">
        <f t="shared" si="46"/>
        <v>High PointIllinois</v>
      </c>
      <c r="D1518" t="s">
        <v>29</v>
      </c>
      <c r="E1518">
        <v>3</v>
      </c>
      <c r="F1518">
        <v>22.833962264150902</v>
      </c>
      <c r="G1518">
        <v>3255.7647897397401</v>
      </c>
      <c r="H1518">
        <v>138.51987658551499</v>
      </c>
      <c r="I1518" s="1">
        <f t="shared" si="47"/>
        <v>135.14706794083529</v>
      </c>
    </row>
    <row r="1519" spans="1:9" x14ac:dyDescent="0.45">
      <c r="A1519" t="s">
        <v>28</v>
      </c>
      <c r="B1519" t="s">
        <v>29</v>
      </c>
      <c r="C1519" t="str">
        <f t="shared" si="46"/>
        <v>HoustonIllinois</v>
      </c>
      <c r="D1519" t="s">
        <v>28</v>
      </c>
      <c r="E1519">
        <v>87.5</v>
      </c>
      <c r="F1519">
        <v>-12.781132075471699</v>
      </c>
      <c r="G1519">
        <v>-702.83436749628004</v>
      </c>
      <c r="H1519">
        <v>140.72747002136899</v>
      </c>
      <c r="I1519" s="1">
        <f t="shared" si="47"/>
        <v>166.23237991543084</v>
      </c>
    </row>
    <row r="1520" spans="1:9" x14ac:dyDescent="0.45">
      <c r="A1520" t="s">
        <v>29</v>
      </c>
      <c r="B1520" t="s">
        <v>29</v>
      </c>
      <c r="C1520" t="str">
        <f t="shared" si="46"/>
        <v>IllinoisIllinois</v>
      </c>
      <c r="D1520" t="s">
        <v>29</v>
      </c>
      <c r="E1520">
        <v>41.2</v>
      </c>
      <c r="F1520">
        <v>2.3283018867924499</v>
      </c>
      <c r="G1520">
        <v>142.64273539779199</v>
      </c>
      <c r="H1520">
        <v>138.77771517530499</v>
      </c>
      <c r="I1520" s="1">
        <f t="shared" si="47"/>
        <v>138.77771517530277</v>
      </c>
    </row>
    <row r="1521" spans="1:9" x14ac:dyDescent="0.45">
      <c r="A1521" t="s">
        <v>30</v>
      </c>
      <c r="B1521" t="s">
        <v>29</v>
      </c>
      <c r="C1521" t="str">
        <f t="shared" si="46"/>
        <v>Iowa St.Illinois</v>
      </c>
      <c r="D1521" t="s">
        <v>30</v>
      </c>
      <c r="E1521">
        <v>59.6</v>
      </c>
      <c r="F1521">
        <v>-2.55471698113208</v>
      </c>
      <c r="G1521">
        <v>-147.669471497258</v>
      </c>
      <c r="H1521">
        <v>139.70398375366401</v>
      </c>
      <c r="I1521" s="1">
        <f t="shared" si="47"/>
        <v>151.82058224625712</v>
      </c>
    </row>
    <row r="1522" spans="1:9" x14ac:dyDescent="0.45">
      <c r="A1522" t="s">
        <v>31</v>
      </c>
      <c r="B1522" t="s">
        <v>29</v>
      </c>
      <c r="C1522" t="str">
        <f t="shared" si="46"/>
        <v>KansasIllinois</v>
      </c>
      <c r="D1522" t="s">
        <v>29</v>
      </c>
      <c r="E1522">
        <v>30</v>
      </c>
      <c r="F1522">
        <v>5.5471698113207504</v>
      </c>
      <c r="G1522">
        <v>233.08845655311899</v>
      </c>
      <c r="H1522">
        <v>138.659374037975</v>
      </c>
      <c r="I1522" s="1">
        <f t="shared" si="47"/>
        <v>137.11134349943836</v>
      </c>
    </row>
    <row r="1523" spans="1:9" x14ac:dyDescent="0.45">
      <c r="A1523" t="s">
        <v>32</v>
      </c>
      <c r="B1523" t="s">
        <v>29</v>
      </c>
      <c r="C1523" t="str">
        <f t="shared" si="46"/>
        <v>KentuckyIllinois</v>
      </c>
      <c r="D1523" t="s">
        <v>29</v>
      </c>
      <c r="E1523">
        <v>42</v>
      </c>
      <c r="F1523">
        <v>2.1207547169811298</v>
      </c>
      <c r="G1523">
        <v>138.16925059722001</v>
      </c>
      <c r="H1523">
        <v>138.606411638368</v>
      </c>
      <c r="I1523" s="1">
        <f t="shared" si="47"/>
        <v>136.36557542096526</v>
      </c>
    </row>
    <row r="1524" spans="1:9" x14ac:dyDescent="0.45">
      <c r="A1524" t="s">
        <v>33</v>
      </c>
      <c r="B1524" t="s">
        <v>29</v>
      </c>
      <c r="C1524" t="str">
        <f t="shared" si="46"/>
        <v>LibertyIllinois</v>
      </c>
      <c r="D1524" t="s">
        <v>29</v>
      </c>
      <c r="E1524">
        <v>2</v>
      </c>
      <c r="F1524">
        <v>25.607547169811301</v>
      </c>
      <c r="G1524">
        <v>4972.4620849918501</v>
      </c>
      <c r="H1524">
        <v>137.81534788676601</v>
      </c>
      <c r="I1524" s="1">
        <f t="shared" si="47"/>
        <v>125.22653907896355</v>
      </c>
    </row>
    <row r="1525" spans="1:9" x14ac:dyDescent="0.45">
      <c r="A1525" t="s">
        <v>34</v>
      </c>
      <c r="B1525" t="s">
        <v>29</v>
      </c>
      <c r="C1525" t="str">
        <f t="shared" si="46"/>
        <v>LipscombIllinois</v>
      </c>
      <c r="D1525" t="s">
        <v>29</v>
      </c>
      <c r="E1525">
        <v>1.5</v>
      </c>
      <c r="F1525">
        <v>27.350943396226398</v>
      </c>
      <c r="G1525">
        <v>6486.3641941512897</v>
      </c>
      <c r="H1525">
        <v>138.24726811802401</v>
      </c>
      <c r="I1525" s="1">
        <f t="shared" si="47"/>
        <v>131.30844479526706</v>
      </c>
    </row>
    <row r="1526" spans="1:9" x14ac:dyDescent="0.45">
      <c r="A1526" t="s">
        <v>35</v>
      </c>
      <c r="B1526" t="s">
        <v>29</v>
      </c>
      <c r="C1526" t="str">
        <f t="shared" si="46"/>
        <v>LouisvilleIllinois</v>
      </c>
      <c r="D1526" t="s">
        <v>29</v>
      </c>
      <c r="E1526">
        <v>3.8</v>
      </c>
      <c r="F1526">
        <v>21.245283018867902</v>
      </c>
      <c r="G1526">
        <v>2554.9832548248701</v>
      </c>
      <c r="H1526">
        <v>137.53299142999199</v>
      </c>
      <c r="I1526" s="1">
        <f t="shared" si="47"/>
        <v>121.25065366260466</v>
      </c>
    </row>
    <row r="1527" spans="1:9" x14ac:dyDescent="0.45">
      <c r="A1527" t="s">
        <v>36</v>
      </c>
      <c r="B1527" t="s">
        <v>29</v>
      </c>
      <c r="C1527" t="str">
        <f t="shared" si="46"/>
        <v>MarquetteIllinois</v>
      </c>
      <c r="D1527" t="s">
        <v>29</v>
      </c>
      <c r="E1527">
        <v>35.6</v>
      </c>
      <c r="F1527">
        <v>3.8981132075471701</v>
      </c>
      <c r="G1527">
        <v>181.251935126993</v>
      </c>
      <c r="H1527">
        <v>138.86474806489699</v>
      </c>
      <c r="I1527" s="1">
        <f t="shared" si="47"/>
        <v>140.00323273713187</v>
      </c>
    </row>
    <row r="1528" spans="1:9" x14ac:dyDescent="0.45">
      <c r="A1528" t="s">
        <v>37</v>
      </c>
      <c r="B1528" t="s">
        <v>29</v>
      </c>
      <c r="C1528" t="str">
        <f t="shared" si="46"/>
        <v>MarylandIllinois</v>
      </c>
      <c r="D1528" t="s">
        <v>29</v>
      </c>
      <c r="E1528">
        <v>27.2</v>
      </c>
      <c r="F1528">
        <v>6.4415094339622598</v>
      </c>
      <c r="G1528">
        <v>267.19418982355</v>
      </c>
      <c r="H1528">
        <v>138.47468737657599</v>
      </c>
      <c r="I1528" s="1">
        <f t="shared" si="47"/>
        <v>134.51075482495995</v>
      </c>
    </row>
    <row r="1529" spans="1:9" x14ac:dyDescent="0.45">
      <c r="A1529" t="s">
        <v>38</v>
      </c>
      <c r="B1529" t="s">
        <v>29</v>
      </c>
      <c r="C1529" t="str">
        <f t="shared" si="46"/>
        <v>McNeese St.Illinois</v>
      </c>
      <c r="D1529" t="s">
        <v>29</v>
      </c>
      <c r="E1529">
        <v>6.3</v>
      </c>
      <c r="F1529">
        <v>17.7509433962264</v>
      </c>
      <c r="G1529">
        <v>1499.60255481897</v>
      </c>
      <c r="H1529">
        <v>138.31009899077699</v>
      </c>
      <c r="I1529" s="1">
        <f t="shared" si="47"/>
        <v>132.19317168810957</v>
      </c>
    </row>
    <row r="1530" spans="1:9" x14ac:dyDescent="0.45">
      <c r="A1530" t="s">
        <v>39</v>
      </c>
      <c r="B1530" t="s">
        <v>29</v>
      </c>
      <c r="C1530" t="str">
        <f t="shared" si="46"/>
        <v>MemphisIllinois</v>
      </c>
      <c r="D1530" t="s">
        <v>29</v>
      </c>
      <c r="E1530">
        <v>16.100000000000001</v>
      </c>
      <c r="F1530">
        <v>10.8301886792453</v>
      </c>
      <c r="G1530">
        <v>521.66717990628604</v>
      </c>
      <c r="H1530">
        <v>137.452322189596</v>
      </c>
      <c r="I1530" s="1">
        <f t="shared" si="47"/>
        <v>120.11474318935532</v>
      </c>
    </row>
    <row r="1531" spans="1:9" x14ac:dyDescent="0.45">
      <c r="A1531" t="s">
        <v>40</v>
      </c>
      <c r="B1531" t="s">
        <v>29</v>
      </c>
      <c r="C1531" t="str">
        <f t="shared" si="46"/>
        <v>MichiganIllinois</v>
      </c>
      <c r="D1531" t="s">
        <v>29</v>
      </c>
      <c r="E1531">
        <v>9.1999999999999993</v>
      </c>
      <c r="F1531">
        <v>15.0150943396226</v>
      </c>
      <c r="G1531">
        <v>988.24028573600594</v>
      </c>
      <c r="H1531">
        <v>137.10924327427901</v>
      </c>
      <c r="I1531" s="1">
        <f t="shared" si="47"/>
        <v>115.28381964096697</v>
      </c>
    </row>
    <row r="1532" spans="1:9" x14ac:dyDescent="0.45">
      <c r="A1532" t="s">
        <v>41</v>
      </c>
      <c r="B1532" t="s">
        <v>29</v>
      </c>
      <c r="C1532" t="str">
        <f t="shared" si="46"/>
        <v>Michigan St.Illinois</v>
      </c>
      <c r="D1532" t="s">
        <v>29</v>
      </c>
      <c r="E1532">
        <v>49.3</v>
      </c>
      <c r="F1532">
        <v>0.19245283018867901</v>
      </c>
      <c r="G1532">
        <v>102.988496673689</v>
      </c>
      <c r="H1532">
        <v>138.80813523510801</v>
      </c>
      <c r="I1532" s="1">
        <f t="shared" si="47"/>
        <v>139.20606263906342</v>
      </c>
    </row>
    <row r="1533" spans="1:9" x14ac:dyDescent="0.45">
      <c r="A1533" t="s">
        <v>42</v>
      </c>
      <c r="B1533" t="s">
        <v>29</v>
      </c>
      <c r="C1533" t="str">
        <f t="shared" si="46"/>
        <v>MississippiIllinois</v>
      </c>
      <c r="D1533" t="s">
        <v>29</v>
      </c>
      <c r="E1533">
        <v>20</v>
      </c>
      <c r="F1533">
        <v>9.1018867924528308</v>
      </c>
      <c r="G1533">
        <v>400.96605633258298</v>
      </c>
      <c r="H1533">
        <v>137.939056340203</v>
      </c>
      <c r="I1533" s="1">
        <f t="shared" si="47"/>
        <v>126.96848839197007</v>
      </c>
    </row>
    <row r="1534" spans="1:9" x14ac:dyDescent="0.45">
      <c r="A1534" t="s">
        <v>43</v>
      </c>
      <c r="B1534" t="s">
        <v>29</v>
      </c>
      <c r="C1534" t="str">
        <f t="shared" si="46"/>
        <v>Mississippi St.Illinois</v>
      </c>
      <c r="D1534" t="s">
        <v>29</v>
      </c>
      <c r="E1534">
        <v>15.8</v>
      </c>
      <c r="F1534">
        <v>10.9509433962264</v>
      </c>
      <c r="G1534">
        <v>531.61703765386903</v>
      </c>
      <c r="H1534">
        <v>138.063427693992</v>
      </c>
      <c r="I1534" s="1">
        <f t="shared" si="47"/>
        <v>128.71977206152781</v>
      </c>
    </row>
    <row r="1535" spans="1:9" x14ac:dyDescent="0.45">
      <c r="A1535" t="s">
        <v>44</v>
      </c>
      <c r="B1535" t="s">
        <v>29</v>
      </c>
      <c r="C1535" t="str">
        <f t="shared" si="46"/>
        <v>MissouriIllinois</v>
      </c>
      <c r="D1535" t="s">
        <v>29</v>
      </c>
      <c r="E1535">
        <v>7.6</v>
      </c>
      <c r="F1535">
        <v>16.366037735849101</v>
      </c>
      <c r="G1535">
        <v>1213.9417055168301</v>
      </c>
      <c r="H1535">
        <v>137.327899630166</v>
      </c>
      <c r="I1535" s="1">
        <f t="shared" si="47"/>
        <v>118.36273848878731</v>
      </c>
    </row>
    <row r="1536" spans="1:9" x14ac:dyDescent="0.45">
      <c r="A1536" t="s">
        <v>45</v>
      </c>
      <c r="B1536" t="s">
        <v>29</v>
      </c>
      <c r="C1536" t="str">
        <f t="shared" si="46"/>
        <v>MontanaIllinois</v>
      </c>
      <c r="D1536" t="s">
        <v>29</v>
      </c>
      <c r="E1536">
        <v>0.8</v>
      </c>
      <c r="F1536">
        <v>31.622641509434001</v>
      </c>
      <c r="G1536">
        <v>12444.8568114838</v>
      </c>
      <c r="H1536">
        <v>136.63663435518399</v>
      </c>
      <c r="I1536" s="1">
        <f t="shared" si="47"/>
        <v>108.62897303133208</v>
      </c>
    </row>
    <row r="1537" spans="1:9" x14ac:dyDescent="0.45">
      <c r="A1537" t="s">
        <v>46</v>
      </c>
      <c r="B1537" t="s">
        <v>29</v>
      </c>
      <c r="C1537" t="str">
        <f t="shared" si="46"/>
        <v>Mount St. Mary'sIllinois</v>
      </c>
      <c r="D1537" t="s">
        <v>29</v>
      </c>
      <c r="E1537">
        <v>0.3</v>
      </c>
      <c r="F1537">
        <v>37.739622641509399</v>
      </c>
      <c r="G1537">
        <v>31636.658018067901</v>
      </c>
      <c r="H1537">
        <v>137.984508577132</v>
      </c>
      <c r="I1537" s="1">
        <f t="shared" si="47"/>
        <v>127.6085052274681</v>
      </c>
    </row>
    <row r="1538" spans="1:9" x14ac:dyDescent="0.45">
      <c r="A1538" t="s">
        <v>47</v>
      </c>
      <c r="B1538" t="s">
        <v>29</v>
      </c>
      <c r="C1538" t="str">
        <f t="shared" si="46"/>
        <v>Nebraska OmahaIllinois</v>
      </c>
      <c r="D1538" t="s">
        <v>29</v>
      </c>
      <c r="E1538">
        <v>0.4</v>
      </c>
      <c r="F1538">
        <v>36.022641509434003</v>
      </c>
      <c r="G1538">
        <v>24351.192641576399</v>
      </c>
      <c r="H1538">
        <v>137.26850975703101</v>
      </c>
      <c r="I1538" s="1">
        <f t="shared" si="47"/>
        <v>117.52646460585714</v>
      </c>
    </row>
    <row r="1539" spans="1:9" x14ac:dyDescent="0.45">
      <c r="A1539" t="s">
        <v>48</v>
      </c>
      <c r="B1539" t="s">
        <v>29</v>
      </c>
      <c r="C1539" t="str">
        <f t="shared" ref="C1539:C1602" si="48">A1539&amp;B1539</f>
        <v>New MexicoIllinois</v>
      </c>
      <c r="D1539" t="s">
        <v>29</v>
      </c>
      <c r="E1539">
        <v>9.5</v>
      </c>
      <c r="F1539">
        <v>14.777358490566</v>
      </c>
      <c r="G1539">
        <v>952.54326244620802</v>
      </c>
      <c r="H1539">
        <v>138.14625410430699</v>
      </c>
      <c r="I1539" s="1">
        <f t="shared" ref="I1539:I1602" si="49">18*(H1539-AVERAGE($H$2:$H$4625))/_xlfn.STDEV.P($H$2:$H$4625)+AVERAGE($H$2:$H$4625)</f>
        <v>129.88605782889846</v>
      </c>
    </row>
    <row r="1540" spans="1:9" x14ac:dyDescent="0.45">
      <c r="A1540" t="s">
        <v>49</v>
      </c>
      <c r="B1540" t="s">
        <v>29</v>
      </c>
      <c r="C1540" t="str">
        <f t="shared" si="48"/>
        <v>Norfolk St.Illinois</v>
      </c>
      <c r="D1540" t="s">
        <v>29</v>
      </c>
      <c r="E1540">
        <v>0.6</v>
      </c>
      <c r="F1540">
        <v>33.490566037735803</v>
      </c>
      <c r="G1540">
        <v>16547.6985520651</v>
      </c>
      <c r="H1540">
        <v>137.158617766508</v>
      </c>
      <c r="I1540" s="1">
        <f t="shared" si="49"/>
        <v>115.97906608879478</v>
      </c>
    </row>
    <row r="1541" spans="1:9" x14ac:dyDescent="0.45">
      <c r="A1541" t="s">
        <v>50</v>
      </c>
      <c r="B1541" t="s">
        <v>29</v>
      </c>
      <c r="C1541" t="str">
        <f t="shared" si="48"/>
        <v>North CarolinaIllinois</v>
      </c>
      <c r="D1541" t="s">
        <v>29</v>
      </c>
      <c r="E1541">
        <v>26.4</v>
      </c>
      <c r="F1541">
        <v>6.7358490566037696</v>
      </c>
      <c r="G1541">
        <v>279.37766065407499</v>
      </c>
      <c r="H1541">
        <v>139.23054919846399</v>
      </c>
      <c r="I1541" s="1">
        <f t="shared" si="49"/>
        <v>145.15410978401536</v>
      </c>
    </row>
    <row r="1542" spans="1:9" x14ac:dyDescent="0.45">
      <c r="A1542" t="s">
        <v>51</v>
      </c>
      <c r="B1542" t="s">
        <v>29</v>
      </c>
      <c r="C1542" t="str">
        <f t="shared" si="48"/>
        <v>OklahomaIllinois</v>
      </c>
      <c r="D1542" t="s">
        <v>29</v>
      </c>
      <c r="E1542">
        <v>10.5</v>
      </c>
      <c r="F1542">
        <v>14.0415094339623</v>
      </c>
      <c r="G1542">
        <v>851.53048116106504</v>
      </c>
      <c r="H1542">
        <v>137.57315249396899</v>
      </c>
      <c r="I1542" s="1">
        <f t="shared" si="49"/>
        <v>121.81616503923803</v>
      </c>
    </row>
    <row r="1543" spans="1:9" x14ac:dyDescent="0.45">
      <c r="A1543" t="s">
        <v>52</v>
      </c>
      <c r="B1543" t="s">
        <v>29</v>
      </c>
      <c r="C1543" t="str">
        <f t="shared" si="48"/>
        <v>OregonIllinois</v>
      </c>
      <c r="D1543" t="s">
        <v>29</v>
      </c>
      <c r="E1543">
        <v>27.9</v>
      </c>
      <c r="F1543">
        <v>6.2150943396226399</v>
      </c>
      <c r="G1543">
        <v>258.09274212754099</v>
      </c>
      <c r="H1543">
        <v>138.167530282109</v>
      </c>
      <c r="I1543" s="1">
        <f t="shared" si="49"/>
        <v>130.18564950817276</v>
      </c>
    </row>
    <row r="1544" spans="1:9" x14ac:dyDescent="0.45">
      <c r="A1544" t="s">
        <v>53</v>
      </c>
      <c r="B1544" t="s">
        <v>29</v>
      </c>
      <c r="C1544" t="str">
        <f t="shared" si="48"/>
        <v>PurdueIllinois</v>
      </c>
      <c r="D1544" t="s">
        <v>53</v>
      </c>
      <c r="E1544">
        <v>67.2</v>
      </c>
      <c r="F1544">
        <v>-4.6943396226415102</v>
      </c>
      <c r="G1544">
        <v>-204.659485760118</v>
      </c>
      <c r="H1544">
        <v>139.515517610899</v>
      </c>
      <c r="I1544" s="1">
        <f t="shared" si="49"/>
        <v>149.16677437142414</v>
      </c>
    </row>
    <row r="1545" spans="1:9" x14ac:dyDescent="0.45">
      <c r="A1545" t="s">
        <v>54</v>
      </c>
      <c r="B1545" t="s">
        <v>29</v>
      </c>
      <c r="C1545" t="str">
        <f t="shared" si="48"/>
        <v>Robert MorrisIllinois</v>
      </c>
      <c r="D1545" t="s">
        <v>29</v>
      </c>
      <c r="E1545">
        <v>0.3</v>
      </c>
      <c r="F1545">
        <v>39.249056603773603</v>
      </c>
      <c r="G1545">
        <v>39824.387305738797</v>
      </c>
      <c r="H1545">
        <v>136.574154459661</v>
      </c>
      <c r="I1545" s="1">
        <f t="shared" si="49"/>
        <v>107.74918827888251</v>
      </c>
    </row>
    <row r="1546" spans="1:9" x14ac:dyDescent="0.45">
      <c r="A1546" t="s">
        <v>55</v>
      </c>
      <c r="B1546" t="s">
        <v>29</v>
      </c>
      <c r="C1546" t="str">
        <f t="shared" si="48"/>
        <v>Saint FrancisIllinois</v>
      </c>
      <c r="D1546" t="s">
        <v>29</v>
      </c>
      <c r="E1546">
        <v>0.2</v>
      </c>
      <c r="F1546">
        <v>41.973584905660402</v>
      </c>
      <c r="G1546">
        <v>60362.055927011803</v>
      </c>
      <c r="H1546">
        <v>137.62700999286801</v>
      </c>
      <c r="I1546" s="1">
        <f t="shared" si="49"/>
        <v>122.57453708739547</v>
      </c>
    </row>
    <row r="1547" spans="1:9" x14ac:dyDescent="0.45">
      <c r="A1547" t="s">
        <v>56</v>
      </c>
      <c r="B1547" t="s">
        <v>29</v>
      </c>
      <c r="C1547" t="str">
        <f t="shared" si="48"/>
        <v>Saint Mary'sIllinois</v>
      </c>
      <c r="D1547" t="s">
        <v>29</v>
      </c>
      <c r="E1547">
        <v>24.8</v>
      </c>
      <c r="F1547">
        <v>7.2603773584905698</v>
      </c>
      <c r="G1547">
        <v>302.60796036256897</v>
      </c>
      <c r="H1547">
        <v>138.87826519395901</v>
      </c>
      <c r="I1547" s="1">
        <f t="shared" si="49"/>
        <v>140.19356858750609</v>
      </c>
    </row>
    <row r="1548" spans="1:9" x14ac:dyDescent="0.45">
      <c r="A1548" t="s">
        <v>57</v>
      </c>
      <c r="B1548" t="s">
        <v>29</v>
      </c>
      <c r="C1548" t="str">
        <f t="shared" si="48"/>
        <v>San Diego St.Illinois</v>
      </c>
      <c r="D1548" t="s">
        <v>29</v>
      </c>
      <c r="E1548">
        <v>8.8000000000000007</v>
      </c>
      <c r="F1548">
        <v>15.3509433962264</v>
      </c>
      <c r="G1548">
        <v>1039.97149174634</v>
      </c>
      <c r="H1548">
        <v>138.02452007375601</v>
      </c>
      <c r="I1548" s="1">
        <f t="shared" si="49"/>
        <v>128.17191053341224</v>
      </c>
    </row>
    <row r="1549" spans="1:9" x14ac:dyDescent="0.45">
      <c r="A1549" t="s">
        <v>58</v>
      </c>
      <c r="B1549" t="s">
        <v>29</v>
      </c>
      <c r="C1549" t="str">
        <f t="shared" si="48"/>
        <v>SIU EdwardsvilleIllinois</v>
      </c>
      <c r="D1549" t="s">
        <v>29</v>
      </c>
      <c r="E1549">
        <v>0.5</v>
      </c>
      <c r="F1549">
        <v>34.9509433962264</v>
      </c>
      <c r="G1549">
        <v>20672.757168185301</v>
      </c>
      <c r="H1549">
        <v>138.17220784060501</v>
      </c>
      <c r="I1549" s="1">
        <f t="shared" si="49"/>
        <v>130.2515146094031</v>
      </c>
    </row>
    <row r="1550" spans="1:9" x14ac:dyDescent="0.45">
      <c r="A1550" t="s">
        <v>59</v>
      </c>
      <c r="B1550" t="s">
        <v>29</v>
      </c>
      <c r="C1550" t="str">
        <f t="shared" si="48"/>
        <v>St. John'sIllinois</v>
      </c>
      <c r="D1550" t="s">
        <v>59</v>
      </c>
      <c r="E1550">
        <v>50.8</v>
      </c>
      <c r="F1550">
        <v>-0.20754716981132099</v>
      </c>
      <c r="G1550">
        <v>-103.23075516859301</v>
      </c>
      <c r="H1550">
        <v>139.14989061314901</v>
      </c>
      <c r="I1550" s="1">
        <f t="shared" si="49"/>
        <v>144.01834934587305</v>
      </c>
    </row>
    <row r="1551" spans="1:9" x14ac:dyDescent="0.45">
      <c r="A1551" t="s">
        <v>60</v>
      </c>
      <c r="B1551" t="s">
        <v>29</v>
      </c>
      <c r="C1551" t="str">
        <f t="shared" si="48"/>
        <v>TennesseeIllinois</v>
      </c>
      <c r="D1551" t="s">
        <v>60</v>
      </c>
      <c r="E1551">
        <v>67.400000000000006</v>
      </c>
      <c r="F1551">
        <v>-4.7547169811320797</v>
      </c>
      <c r="G1551">
        <v>-206.513550131447</v>
      </c>
      <c r="H1551">
        <v>139.74387348984101</v>
      </c>
      <c r="I1551" s="1">
        <f t="shared" si="49"/>
        <v>152.38227303293351</v>
      </c>
    </row>
    <row r="1552" spans="1:9" x14ac:dyDescent="0.45">
      <c r="A1552" t="s">
        <v>61</v>
      </c>
      <c r="B1552" t="s">
        <v>29</v>
      </c>
      <c r="C1552" t="str">
        <f t="shared" si="48"/>
        <v>TexasIllinois</v>
      </c>
      <c r="D1552" t="s">
        <v>29</v>
      </c>
      <c r="E1552">
        <v>7.8</v>
      </c>
      <c r="F1552">
        <v>16.2</v>
      </c>
      <c r="G1552">
        <v>1183.63599075151</v>
      </c>
      <c r="H1552">
        <v>137.499588020913</v>
      </c>
      <c r="I1552" s="1">
        <f t="shared" si="49"/>
        <v>120.78029740253811</v>
      </c>
    </row>
    <row r="1553" spans="1:9" x14ac:dyDescent="0.45">
      <c r="A1553" t="s">
        <v>62</v>
      </c>
      <c r="B1553" t="s">
        <v>29</v>
      </c>
      <c r="C1553" t="str">
        <f t="shared" si="48"/>
        <v>Texas A&amp;MIllinois</v>
      </c>
      <c r="D1553" t="s">
        <v>29</v>
      </c>
      <c r="E1553">
        <v>32.799999999999997</v>
      </c>
      <c r="F1553">
        <v>4.7018867924528296</v>
      </c>
      <c r="G1553">
        <v>204.93554408615799</v>
      </c>
      <c r="H1553">
        <v>138.29738704850601</v>
      </c>
      <c r="I1553" s="1">
        <f t="shared" si="49"/>
        <v>132.01417374180355</v>
      </c>
    </row>
    <row r="1554" spans="1:9" x14ac:dyDescent="0.45">
      <c r="A1554" t="s">
        <v>63</v>
      </c>
      <c r="B1554" t="s">
        <v>29</v>
      </c>
      <c r="C1554" t="str">
        <f t="shared" si="48"/>
        <v>Texas TechIllinois</v>
      </c>
      <c r="D1554" t="s">
        <v>29</v>
      </c>
      <c r="E1554">
        <v>49</v>
      </c>
      <c r="F1554">
        <v>0.252830188679245</v>
      </c>
      <c r="G1554">
        <v>103.92038718312401</v>
      </c>
      <c r="H1554">
        <v>139.33717116757001</v>
      </c>
      <c r="I1554" s="1">
        <f t="shared" si="49"/>
        <v>146.65546284983657</v>
      </c>
    </row>
    <row r="1555" spans="1:9" x14ac:dyDescent="0.45">
      <c r="A1555" t="s">
        <v>64</v>
      </c>
      <c r="B1555" t="s">
        <v>29</v>
      </c>
      <c r="C1555" t="str">
        <f t="shared" si="48"/>
        <v>TroyIllinois</v>
      </c>
      <c r="D1555" t="s">
        <v>29</v>
      </c>
      <c r="E1555">
        <v>1.3</v>
      </c>
      <c r="F1555">
        <v>28.2</v>
      </c>
      <c r="G1555">
        <v>7381.7895766576703</v>
      </c>
      <c r="H1555">
        <v>138.04073558729999</v>
      </c>
      <c r="I1555" s="1">
        <f t="shared" si="49"/>
        <v>128.4002425664562</v>
      </c>
    </row>
    <row r="1556" spans="1:9" x14ac:dyDescent="0.45">
      <c r="A1556" t="s">
        <v>65</v>
      </c>
      <c r="B1556" t="s">
        <v>29</v>
      </c>
      <c r="C1556" t="str">
        <f t="shared" si="48"/>
        <v>UC San DiegoIllinois</v>
      </c>
      <c r="D1556" t="s">
        <v>29</v>
      </c>
      <c r="E1556">
        <v>3.4</v>
      </c>
      <c r="F1556">
        <v>22.037735849056599</v>
      </c>
      <c r="G1556">
        <v>2884.13431779859</v>
      </c>
      <c r="H1556">
        <v>138.12885733069101</v>
      </c>
      <c r="I1556" s="1">
        <f t="shared" si="49"/>
        <v>129.64109237175344</v>
      </c>
    </row>
    <row r="1557" spans="1:9" x14ac:dyDescent="0.45">
      <c r="A1557" t="s">
        <v>66</v>
      </c>
      <c r="B1557" t="s">
        <v>29</v>
      </c>
      <c r="C1557" t="str">
        <f t="shared" si="48"/>
        <v>UCLAIllinois</v>
      </c>
      <c r="D1557" t="s">
        <v>29</v>
      </c>
      <c r="E1557">
        <v>12.1</v>
      </c>
      <c r="F1557">
        <v>12.9924528301887</v>
      </c>
      <c r="G1557">
        <v>725.79290509778298</v>
      </c>
      <c r="H1557">
        <v>137.60031184379901</v>
      </c>
      <c r="I1557" s="1">
        <f t="shared" si="49"/>
        <v>122.19859816699673</v>
      </c>
    </row>
    <row r="1558" spans="1:9" x14ac:dyDescent="0.45">
      <c r="A1558" t="s">
        <v>67</v>
      </c>
      <c r="B1558" t="s">
        <v>29</v>
      </c>
      <c r="C1558" t="str">
        <f t="shared" si="48"/>
        <v>UNC WilmingtonIllinois</v>
      </c>
      <c r="D1558" t="s">
        <v>29</v>
      </c>
      <c r="E1558">
        <v>2</v>
      </c>
      <c r="F1558">
        <v>25.4</v>
      </c>
      <c r="G1558">
        <v>4815.6362159497403</v>
      </c>
      <c r="H1558">
        <v>138.715327517719</v>
      </c>
      <c r="I1558" s="1">
        <f t="shared" si="49"/>
        <v>137.8992292331327</v>
      </c>
    </row>
    <row r="1559" spans="1:9" x14ac:dyDescent="0.45">
      <c r="A1559" t="s">
        <v>68</v>
      </c>
      <c r="B1559" t="s">
        <v>29</v>
      </c>
      <c r="C1559" t="str">
        <f t="shared" si="48"/>
        <v>Utah St.Illinois</v>
      </c>
      <c r="D1559" t="s">
        <v>29</v>
      </c>
      <c r="E1559">
        <v>9.5</v>
      </c>
      <c r="F1559">
        <v>14.7547169811321</v>
      </c>
      <c r="G1559">
        <v>949.45561242961696</v>
      </c>
      <c r="H1559">
        <v>138.086697921546</v>
      </c>
      <c r="I1559" s="1">
        <f t="shared" si="49"/>
        <v>129.047442125901</v>
      </c>
    </row>
    <row r="1560" spans="1:9" x14ac:dyDescent="0.45">
      <c r="A1560" t="s">
        <v>69</v>
      </c>
      <c r="B1560" t="s">
        <v>29</v>
      </c>
      <c r="C1560" t="str">
        <f t="shared" si="48"/>
        <v>VanderbiltIllinois</v>
      </c>
      <c r="D1560" t="s">
        <v>29</v>
      </c>
      <c r="E1560">
        <v>2.2000000000000002</v>
      </c>
      <c r="F1560">
        <v>24.875471698113198</v>
      </c>
      <c r="G1560">
        <v>4446.9746649745302</v>
      </c>
      <c r="H1560">
        <v>136.661268410144</v>
      </c>
      <c r="I1560" s="1">
        <f t="shared" si="49"/>
        <v>108.97584726605061</v>
      </c>
    </row>
    <row r="1561" spans="1:9" x14ac:dyDescent="0.45">
      <c r="A1561" t="s">
        <v>70</v>
      </c>
      <c r="B1561" t="s">
        <v>29</v>
      </c>
      <c r="C1561" t="str">
        <f t="shared" si="48"/>
        <v>VCUIllinois</v>
      </c>
      <c r="D1561" t="s">
        <v>29</v>
      </c>
      <c r="E1561">
        <v>6.5</v>
      </c>
      <c r="F1561">
        <v>17.528301886792502</v>
      </c>
      <c r="G1561">
        <v>1449.8884586449799</v>
      </c>
      <c r="H1561">
        <v>138.50617957201999</v>
      </c>
      <c r="I1561" s="1">
        <f t="shared" si="49"/>
        <v>134.95419912237563</v>
      </c>
    </row>
    <row r="1562" spans="1:9" x14ac:dyDescent="0.45">
      <c r="A1562" t="s">
        <v>71</v>
      </c>
      <c r="B1562" t="s">
        <v>29</v>
      </c>
      <c r="C1562" t="str">
        <f t="shared" si="48"/>
        <v>WisconsinIllinois</v>
      </c>
      <c r="D1562" t="s">
        <v>29</v>
      </c>
      <c r="E1562">
        <v>45.9</v>
      </c>
      <c r="F1562">
        <v>1.0679245283018901</v>
      </c>
      <c r="G1562">
        <v>117.677589284997</v>
      </c>
      <c r="H1562">
        <v>139.30685842728701</v>
      </c>
      <c r="I1562" s="1">
        <f t="shared" si="49"/>
        <v>146.22862656141589</v>
      </c>
    </row>
    <row r="1563" spans="1:9" x14ac:dyDescent="0.45">
      <c r="A1563" t="s">
        <v>80</v>
      </c>
      <c r="B1563" t="s">
        <v>29</v>
      </c>
      <c r="C1563" t="str">
        <f t="shared" si="48"/>
        <v>WoffordIllinois</v>
      </c>
      <c r="D1563" t="s">
        <v>29</v>
      </c>
      <c r="E1563">
        <v>0.7</v>
      </c>
      <c r="F1563">
        <v>32.452830188679201</v>
      </c>
      <c r="G1563">
        <v>14124.3621817936</v>
      </c>
      <c r="H1563">
        <v>137.33631416638099</v>
      </c>
      <c r="I1563" s="1">
        <f t="shared" si="49"/>
        <v>118.48122429288338</v>
      </c>
    </row>
    <row r="1564" spans="1:9" x14ac:dyDescent="0.45">
      <c r="A1564" t="s">
        <v>72</v>
      </c>
      <c r="B1564" t="s">
        <v>29</v>
      </c>
      <c r="C1564" t="str">
        <f t="shared" si="48"/>
        <v>XavierIllinois</v>
      </c>
      <c r="D1564" t="s">
        <v>29</v>
      </c>
      <c r="E1564">
        <v>6.4</v>
      </c>
      <c r="F1564">
        <v>17.607547169811301</v>
      </c>
      <c r="G1564">
        <v>1466.8621463397701</v>
      </c>
      <c r="H1564">
        <v>137.912227736533</v>
      </c>
      <c r="I1564" s="1">
        <f t="shared" si="49"/>
        <v>126.59071252917764</v>
      </c>
    </row>
    <row r="1565" spans="1:9" x14ac:dyDescent="0.45">
      <c r="A1565" t="s">
        <v>73</v>
      </c>
      <c r="B1565" t="s">
        <v>29</v>
      </c>
      <c r="C1565" t="str">
        <f t="shared" si="48"/>
        <v>YaleIllinois</v>
      </c>
      <c r="D1565" t="s">
        <v>29</v>
      </c>
      <c r="E1565">
        <v>3.7</v>
      </c>
      <c r="F1565">
        <v>21.430188679245301</v>
      </c>
      <c r="G1565">
        <v>2628.4570296299898</v>
      </c>
      <c r="H1565">
        <v>138.711462370596</v>
      </c>
      <c r="I1565" s="1">
        <f t="shared" si="49"/>
        <v>137.84480376592708</v>
      </c>
    </row>
    <row r="1566" spans="1:9" x14ac:dyDescent="0.45">
      <c r="A1566" t="s">
        <v>7</v>
      </c>
      <c r="B1566" t="s">
        <v>30</v>
      </c>
      <c r="C1566" t="str">
        <f t="shared" si="48"/>
        <v>AkronIowa St.</v>
      </c>
      <c r="D1566" t="s">
        <v>30</v>
      </c>
      <c r="E1566">
        <v>0.9</v>
      </c>
      <c r="F1566">
        <v>30.7094339622641</v>
      </c>
      <c r="G1566">
        <v>10824.5300029725</v>
      </c>
      <c r="H1566">
        <v>136.567659247683</v>
      </c>
      <c r="I1566" s="1">
        <f t="shared" si="49"/>
        <v>107.65772864351749</v>
      </c>
    </row>
    <row r="1567" spans="1:9" x14ac:dyDescent="0.45">
      <c r="A1567" t="s">
        <v>8</v>
      </c>
      <c r="B1567" t="s">
        <v>30</v>
      </c>
      <c r="C1567" t="str">
        <f t="shared" si="48"/>
        <v>AlabamaIowa St.</v>
      </c>
      <c r="D1567" t="s">
        <v>30</v>
      </c>
      <c r="E1567">
        <v>40.5</v>
      </c>
      <c r="F1567">
        <v>2.5358490566037699</v>
      </c>
      <c r="G1567">
        <v>147.19239627638001</v>
      </c>
      <c r="H1567">
        <v>138.315755259822</v>
      </c>
      <c r="I1567" s="1">
        <f t="shared" si="49"/>
        <v>132.27281809628445</v>
      </c>
    </row>
    <row r="1568" spans="1:9" x14ac:dyDescent="0.45">
      <c r="A1568" t="s">
        <v>9</v>
      </c>
      <c r="B1568" t="s">
        <v>30</v>
      </c>
      <c r="C1568" t="str">
        <f t="shared" si="48"/>
        <v>Alabama St.Iowa St.</v>
      </c>
      <c r="D1568" t="s">
        <v>30</v>
      </c>
      <c r="E1568">
        <v>0.1</v>
      </c>
      <c r="F1568">
        <v>42.849056603773597</v>
      </c>
      <c r="G1568">
        <v>68971.993065691597</v>
      </c>
      <c r="H1568">
        <v>136.79450010349601</v>
      </c>
      <c r="I1568" s="1">
        <f t="shared" si="49"/>
        <v>110.85189413477509</v>
      </c>
    </row>
    <row r="1569" spans="1:9" x14ac:dyDescent="0.45">
      <c r="A1569" t="s">
        <v>10</v>
      </c>
      <c r="B1569" t="s">
        <v>30</v>
      </c>
      <c r="C1569" t="str">
        <f t="shared" si="48"/>
        <v>AmericanIowa St.</v>
      </c>
      <c r="D1569" t="s">
        <v>30</v>
      </c>
      <c r="E1569">
        <v>0.2</v>
      </c>
      <c r="F1569">
        <v>41.584905660377402</v>
      </c>
      <c r="G1569">
        <v>56882.039017741197</v>
      </c>
      <c r="H1569">
        <v>136.88558598509999</v>
      </c>
      <c r="I1569" s="1">
        <f t="shared" si="49"/>
        <v>112.13448222375702</v>
      </c>
    </row>
    <row r="1570" spans="1:9" x14ac:dyDescent="0.45">
      <c r="A1570" t="s">
        <v>11</v>
      </c>
      <c r="B1570" t="s">
        <v>30</v>
      </c>
      <c r="C1570" t="str">
        <f t="shared" si="48"/>
        <v>ArizonaIowa St.</v>
      </c>
      <c r="D1570" t="s">
        <v>30</v>
      </c>
      <c r="E1570">
        <v>32.6</v>
      </c>
      <c r="F1570">
        <v>4.7735849056603801</v>
      </c>
      <c r="G1570">
        <v>207.16843488065101</v>
      </c>
      <c r="H1570">
        <v>138.07811407881201</v>
      </c>
      <c r="I1570" s="1">
        <f t="shared" si="49"/>
        <v>128.9265723022308</v>
      </c>
    </row>
    <row r="1571" spans="1:9" x14ac:dyDescent="0.45">
      <c r="A1571" t="s">
        <v>12</v>
      </c>
      <c r="B1571" t="s">
        <v>30</v>
      </c>
      <c r="C1571" t="str">
        <f t="shared" si="48"/>
        <v>ArkansasIowa St.</v>
      </c>
      <c r="D1571" t="s">
        <v>30</v>
      </c>
      <c r="E1571">
        <v>2.8</v>
      </c>
      <c r="F1571">
        <v>23.166037735849098</v>
      </c>
      <c r="G1571">
        <v>3426.1922288106098</v>
      </c>
      <c r="H1571">
        <v>136.19571791267001</v>
      </c>
      <c r="I1571" s="1">
        <f t="shared" si="49"/>
        <v>102.42039089493258</v>
      </c>
    </row>
    <row r="1572" spans="1:9" x14ac:dyDescent="0.45">
      <c r="A1572" t="s">
        <v>13</v>
      </c>
      <c r="B1572" t="s">
        <v>30</v>
      </c>
      <c r="C1572" t="str">
        <f t="shared" si="48"/>
        <v>AuburnIowa St.</v>
      </c>
      <c r="D1572" t="s">
        <v>13</v>
      </c>
      <c r="E1572">
        <v>57.1</v>
      </c>
      <c r="F1572">
        <v>-1.87547169811321</v>
      </c>
      <c r="G1572">
        <v>-133.14226634570099</v>
      </c>
      <c r="H1572">
        <v>139.33443731793099</v>
      </c>
      <c r="I1572" s="1">
        <f t="shared" si="49"/>
        <v>146.61696727925724</v>
      </c>
    </row>
    <row r="1573" spans="1:9" x14ac:dyDescent="0.45">
      <c r="A1573" t="s">
        <v>14</v>
      </c>
      <c r="B1573" t="s">
        <v>30</v>
      </c>
      <c r="C1573" t="str">
        <f t="shared" si="48"/>
        <v>BaylorIowa St.</v>
      </c>
      <c r="D1573" t="s">
        <v>30</v>
      </c>
      <c r="E1573">
        <v>12.3</v>
      </c>
      <c r="F1573">
        <v>12.856603773584901</v>
      </c>
      <c r="G1573">
        <v>710.67617064487297</v>
      </c>
      <c r="H1573">
        <v>137.86943533065599</v>
      </c>
      <c r="I1573" s="1">
        <f t="shared" si="49"/>
        <v>125.98814900220478</v>
      </c>
    </row>
    <row r="1574" spans="1:9" x14ac:dyDescent="0.45">
      <c r="A1574" t="s">
        <v>15</v>
      </c>
      <c r="B1574" t="s">
        <v>30</v>
      </c>
      <c r="C1574" t="str">
        <f t="shared" si="48"/>
        <v>BryantIowa St.</v>
      </c>
      <c r="D1574" t="s">
        <v>30</v>
      </c>
      <c r="E1574">
        <v>0.6</v>
      </c>
      <c r="F1574">
        <v>33.139622641509398</v>
      </c>
      <c r="G1574">
        <v>15689.600968930999</v>
      </c>
      <c r="H1574">
        <v>137.41843308054999</v>
      </c>
      <c r="I1574" s="1">
        <f t="shared" si="49"/>
        <v>119.63754774651376</v>
      </c>
    </row>
    <row r="1575" spans="1:9" x14ac:dyDescent="0.45">
      <c r="A1575" t="s">
        <v>16</v>
      </c>
      <c r="B1575" t="s">
        <v>30</v>
      </c>
      <c r="C1575" t="str">
        <f t="shared" si="48"/>
        <v>BYUIowa St.</v>
      </c>
      <c r="D1575" t="s">
        <v>30</v>
      </c>
      <c r="E1575">
        <v>14.6</v>
      </c>
      <c r="F1575">
        <v>11.562264150943401</v>
      </c>
      <c r="G1575">
        <v>583.358016728493</v>
      </c>
      <c r="H1575">
        <v>137.678953558774</v>
      </c>
      <c r="I1575" s="1">
        <f t="shared" si="49"/>
        <v>123.30595888138895</v>
      </c>
    </row>
    <row r="1576" spans="1:9" x14ac:dyDescent="0.45">
      <c r="A1576" t="s">
        <v>17</v>
      </c>
      <c r="B1576" t="s">
        <v>30</v>
      </c>
      <c r="C1576" t="str">
        <f t="shared" si="48"/>
        <v>ClemsonIowa St.</v>
      </c>
      <c r="D1576" t="s">
        <v>30</v>
      </c>
      <c r="E1576">
        <v>18</v>
      </c>
      <c r="F1576">
        <v>9.9358490566037698</v>
      </c>
      <c r="G1576">
        <v>455.285316927255</v>
      </c>
      <c r="H1576">
        <v>137.900865415065</v>
      </c>
      <c r="I1576" s="1">
        <f t="shared" si="49"/>
        <v>126.43071870882468</v>
      </c>
    </row>
    <row r="1577" spans="1:9" x14ac:dyDescent="0.45">
      <c r="A1577" t="s">
        <v>18</v>
      </c>
      <c r="B1577" t="s">
        <v>30</v>
      </c>
      <c r="C1577" t="str">
        <f t="shared" si="48"/>
        <v>Colorado St.Iowa St.</v>
      </c>
      <c r="D1577" t="s">
        <v>30</v>
      </c>
      <c r="E1577">
        <v>3.5</v>
      </c>
      <c r="F1577">
        <v>21.777358490566002</v>
      </c>
      <c r="G1577">
        <v>2770.9275740098701</v>
      </c>
      <c r="H1577">
        <v>137.20825726317099</v>
      </c>
      <c r="I1577" s="1">
        <f t="shared" si="49"/>
        <v>116.6780440867222</v>
      </c>
    </row>
    <row r="1578" spans="1:9" x14ac:dyDescent="0.45">
      <c r="A1578" t="s">
        <v>19</v>
      </c>
      <c r="B1578" t="s">
        <v>30</v>
      </c>
      <c r="C1578" t="str">
        <f t="shared" si="48"/>
        <v>ConnecticutIowa St.</v>
      </c>
      <c r="D1578" t="s">
        <v>30</v>
      </c>
      <c r="E1578">
        <v>27.1</v>
      </c>
      <c r="F1578">
        <v>6.47169811320755</v>
      </c>
      <c r="G1578">
        <v>268.42819648069298</v>
      </c>
      <c r="H1578">
        <v>137.843809165507</v>
      </c>
      <c r="I1578" s="1">
        <f t="shared" si="49"/>
        <v>125.62730477906511</v>
      </c>
    </row>
    <row r="1579" spans="1:9" x14ac:dyDescent="0.45">
      <c r="A1579" t="s">
        <v>20</v>
      </c>
      <c r="B1579" t="s">
        <v>30</v>
      </c>
      <c r="C1579" t="str">
        <f t="shared" si="48"/>
        <v>CreightonIowa St.</v>
      </c>
      <c r="D1579" t="s">
        <v>30</v>
      </c>
      <c r="E1579">
        <v>10.3</v>
      </c>
      <c r="F1579">
        <v>14.1660377358491</v>
      </c>
      <c r="G1579">
        <v>867.77705080046599</v>
      </c>
      <c r="H1579">
        <v>137.316751527771</v>
      </c>
      <c r="I1579" s="1">
        <f t="shared" si="49"/>
        <v>118.20576110552237</v>
      </c>
    </row>
    <row r="1580" spans="1:9" x14ac:dyDescent="0.45">
      <c r="A1580" t="s">
        <v>21</v>
      </c>
      <c r="B1580" t="s">
        <v>30</v>
      </c>
      <c r="C1580" t="str">
        <f t="shared" si="48"/>
        <v>DrakeIowa St.</v>
      </c>
      <c r="D1580" t="s">
        <v>30</v>
      </c>
      <c r="E1580">
        <v>3.5</v>
      </c>
      <c r="F1580">
        <v>21.826415094339598</v>
      </c>
      <c r="G1580">
        <v>2792.4349949500001</v>
      </c>
      <c r="H1580">
        <v>137.37021663192499</v>
      </c>
      <c r="I1580" s="1">
        <f t="shared" si="49"/>
        <v>118.95860780971542</v>
      </c>
    </row>
    <row r="1581" spans="1:9" x14ac:dyDescent="0.45">
      <c r="A1581" t="s">
        <v>22</v>
      </c>
      <c r="B1581" t="s">
        <v>30</v>
      </c>
      <c r="C1581" t="str">
        <f t="shared" si="48"/>
        <v>DukeIowa St.</v>
      </c>
      <c r="D1581" t="s">
        <v>22</v>
      </c>
      <c r="E1581">
        <v>66.099999999999994</v>
      </c>
      <c r="F1581">
        <v>-4.3849056603773597</v>
      </c>
      <c r="G1581">
        <v>-195.220474675232</v>
      </c>
      <c r="H1581">
        <v>139.65753709338099</v>
      </c>
      <c r="I1581" s="1">
        <f t="shared" si="49"/>
        <v>151.16656285046341</v>
      </c>
    </row>
    <row r="1582" spans="1:9" x14ac:dyDescent="0.45">
      <c r="A1582" t="s">
        <v>23</v>
      </c>
      <c r="B1582" t="s">
        <v>30</v>
      </c>
      <c r="C1582" t="str">
        <f t="shared" si="48"/>
        <v>FloridaIowa St.</v>
      </c>
      <c r="D1582" t="s">
        <v>23</v>
      </c>
      <c r="E1582">
        <v>51.9</v>
      </c>
      <c r="F1582">
        <v>-0.48679245283018902</v>
      </c>
      <c r="G1582">
        <v>-107.690833651586</v>
      </c>
      <c r="H1582">
        <v>139.381293369323</v>
      </c>
      <c r="I1582" s="1">
        <f t="shared" si="49"/>
        <v>147.27675134626998</v>
      </c>
    </row>
    <row r="1583" spans="1:9" x14ac:dyDescent="0.45">
      <c r="A1583" t="s">
        <v>24</v>
      </c>
      <c r="B1583" t="s">
        <v>30</v>
      </c>
      <c r="C1583" t="str">
        <f t="shared" si="48"/>
        <v>GeorgiaIowa St.</v>
      </c>
      <c r="D1583" t="s">
        <v>30</v>
      </c>
      <c r="E1583">
        <v>3.9</v>
      </c>
      <c r="F1583">
        <v>21.022641509433999</v>
      </c>
      <c r="G1583">
        <v>2469.76705506808</v>
      </c>
      <c r="H1583">
        <v>136.523106893668</v>
      </c>
      <c r="I1583" s="1">
        <f t="shared" si="49"/>
        <v>107.03038313629412</v>
      </c>
    </row>
    <row r="1584" spans="1:9" x14ac:dyDescent="0.45">
      <c r="A1584" t="s">
        <v>25</v>
      </c>
      <c r="B1584" t="s">
        <v>30</v>
      </c>
      <c r="C1584" t="str">
        <f t="shared" si="48"/>
        <v>GonzagaIowa St.</v>
      </c>
      <c r="D1584" t="s">
        <v>30</v>
      </c>
      <c r="E1584">
        <v>18.600000000000001</v>
      </c>
      <c r="F1584">
        <v>9.6943396226415093</v>
      </c>
      <c r="G1584">
        <v>438.767787476021</v>
      </c>
      <c r="H1584">
        <v>138.66074801319601</v>
      </c>
      <c r="I1584" s="1">
        <f t="shared" si="49"/>
        <v>137.13069056203463</v>
      </c>
    </row>
    <row r="1585" spans="1:9" x14ac:dyDescent="0.45">
      <c r="A1585" t="s">
        <v>26</v>
      </c>
      <c r="B1585" t="s">
        <v>30</v>
      </c>
      <c r="C1585" t="str">
        <f t="shared" si="48"/>
        <v>Grand CanyonIowa St.</v>
      </c>
      <c r="D1585" t="s">
        <v>30</v>
      </c>
      <c r="E1585">
        <v>2.2000000000000002</v>
      </c>
      <c r="F1585">
        <v>24.9433962264151</v>
      </c>
      <c r="G1585">
        <v>4492.8025481274599</v>
      </c>
      <c r="H1585">
        <v>137.31271625950001</v>
      </c>
      <c r="I1585" s="1">
        <f t="shared" si="49"/>
        <v>118.14894014788231</v>
      </c>
    </row>
    <row r="1586" spans="1:9" x14ac:dyDescent="0.45">
      <c r="A1586" t="s">
        <v>27</v>
      </c>
      <c r="B1586" t="s">
        <v>30</v>
      </c>
      <c r="C1586" t="str">
        <f t="shared" si="48"/>
        <v>High PointIowa St.</v>
      </c>
      <c r="D1586" t="s">
        <v>30</v>
      </c>
      <c r="E1586">
        <v>1.4</v>
      </c>
      <c r="F1586">
        <v>27.7169811320755</v>
      </c>
      <c r="G1586">
        <v>6857.9355785124599</v>
      </c>
      <c r="H1586">
        <v>137.59360800715601</v>
      </c>
      <c r="I1586" s="1">
        <f t="shared" si="49"/>
        <v>122.10420086988131</v>
      </c>
    </row>
    <row r="1587" spans="1:9" x14ac:dyDescent="0.45">
      <c r="A1587" t="s">
        <v>28</v>
      </c>
      <c r="B1587" t="s">
        <v>30</v>
      </c>
      <c r="C1587" t="str">
        <f t="shared" si="48"/>
        <v>HoustonIowa St.</v>
      </c>
      <c r="D1587" t="s">
        <v>28</v>
      </c>
      <c r="E1587">
        <v>76.900000000000006</v>
      </c>
      <c r="F1587">
        <v>-7.8981132075471701</v>
      </c>
      <c r="G1587">
        <v>-333.66650364623803</v>
      </c>
      <c r="H1587">
        <v>139.80120144301</v>
      </c>
      <c r="I1587" s="1">
        <f t="shared" si="49"/>
        <v>153.18951284447687</v>
      </c>
    </row>
    <row r="1588" spans="1:9" x14ac:dyDescent="0.45">
      <c r="A1588" t="s">
        <v>29</v>
      </c>
      <c r="B1588" t="s">
        <v>30</v>
      </c>
      <c r="C1588" t="str">
        <f t="shared" si="48"/>
        <v>IllinoisIowa St.</v>
      </c>
      <c r="D1588" t="s">
        <v>30</v>
      </c>
      <c r="E1588">
        <v>25</v>
      </c>
      <c r="F1588">
        <v>7.2113207547169802</v>
      </c>
      <c r="G1588">
        <v>300.462334743491</v>
      </c>
      <c r="H1588">
        <v>137.851446596947</v>
      </c>
      <c r="I1588" s="1">
        <f t="shared" si="49"/>
        <v>125.7348481043628</v>
      </c>
    </row>
    <row r="1589" spans="1:9" x14ac:dyDescent="0.45">
      <c r="A1589" t="s">
        <v>30</v>
      </c>
      <c r="B1589" t="s">
        <v>30</v>
      </c>
      <c r="C1589" t="str">
        <f t="shared" si="48"/>
        <v>Iowa St.Iowa St.</v>
      </c>
      <c r="D1589" t="s">
        <v>30</v>
      </c>
      <c r="E1589">
        <v>41.2</v>
      </c>
      <c r="F1589">
        <v>2.3283018867924499</v>
      </c>
      <c r="G1589">
        <v>142.64273539779199</v>
      </c>
      <c r="H1589">
        <v>138.77771517530499</v>
      </c>
      <c r="I1589" s="1">
        <f t="shared" si="49"/>
        <v>138.77771517530277</v>
      </c>
    </row>
    <row r="1590" spans="1:9" x14ac:dyDescent="0.45">
      <c r="A1590" t="s">
        <v>31</v>
      </c>
      <c r="B1590" t="s">
        <v>30</v>
      </c>
      <c r="C1590" t="str">
        <f t="shared" si="48"/>
        <v>KansasIowa St.</v>
      </c>
      <c r="D1590" t="s">
        <v>30</v>
      </c>
      <c r="E1590">
        <v>16.899999999999999</v>
      </c>
      <c r="F1590">
        <v>10.430188679245299</v>
      </c>
      <c r="G1590">
        <v>490.976996917512</v>
      </c>
      <c r="H1590">
        <v>137.73310545961701</v>
      </c>
      <c r="I1590" s="1">
        <f t="shared" si="49"/>
        <v>124.0684764284984</v>
      </c>
    </row>
    <row r="1591" spans="1:9" x14ac:dyDescent="0.45">
      <c r="A1591" t="s">
        <v>32</v>
      </c>
      <c r="B1591" t="s">
        <v>30</v>
      </c>
      <c r="C1591" t="str">
        <f t="shared" si="48"/>
        <v>KentuckyIowa St.</v>
      </c>
      <c r="D1591" t="s">
        <v>30</v>
      </c>
      <c r="E1591">
        <v>25.6</v>
      </c>
      <c r="F1591">
        <v>7.0037735849056597</v>
      </c>
      <c r="G1591">
        <v>291.03939649240601</v>
      </c>
      <c r="H1591">
        <v>137.68014306000899</v>
      </c>
      <c r="I1591" s="1">
        <f t="shared" si="49"/>
        <v>123.32270835001088</v>
      </c>
    </row>
    <row r="1592" spans="1:9" x14ac:dyDescent="0.45">
      <c r="A1592" t="s">
        <v>33</v>
      </c>
      <c r="B1592" t="s">
        <v>30</v>
      </c>
      <c r="C1592" t="str">
        <f t="shared" si="48"/>
        <v>LibertyIowa St.</v>
      </c>
      <c r="D1592" t="s">
        <v>30</v>
      </c>
      <c r="E1592">
        <v>0.9</v>
      </c>
      <c r="F1592">
        <v>30.4905660377358</v>
      </c>
      <c r="G1592">
        <v>10473.9828727602</v>
      </c>
      <c r="H1592">
        <v>136.88907930840799</v>
      </c>
      <c r="I1592" s="1">
        <f t="shared" si="49"/>
        <v>112.18367200802319</v>
      </c>
    </row>
    <row r="1593" spans="1:9" x14ac:dyDescent="0.45">
      <c r="A1593" t="s">
        <v>34</v>
      </c>
      <c r="B1593" t="s">
        <v>30</v>
      </c>
      <c r="C1593" t="str">
        <f t="shared" si="48"/>
        <v>LipscombIowa St.</v>
      </c>
      <c r="D1593" t="s">
        <v>30</v>
      </c>
      <c r="E1593">
        <v>0.7</v>
      </c>
      <c r="F1593">
        <v>32.233962264150897</v>
      </c>
      <c r="G1593">
        <v>13662.862846371399</v>
      </c>
      <c r="H1593">
        <v>137.32099953966599</v>
      </c>
      <c r="I1593" s="1">
        <f t="shared" si="49"/>
        <v>118.26557772432672</v>
      </c>
    </row>
    <row r="1594" spans="1:9" x14ac:dyDescent="0.45">
      <c r="A1594" t="s">
        <v>35</v>
      </c>
      <c r="B1594" t="s">
        <v>30</v>
      </c>
      <c r="C1594" t="str">
        <f t="shared" si="48"/>
        <v>LouisvilleIowa St.</v>
      </c>
      <c r="D1594" t="s">
        <v>30</v>
      </c>
      <c r="E1594">
        <v>1.8</v>
      </c>
      <c r="F1594">
        <v>26.128301886792499</v>
      </c>
      <c r="G1594">
        <v>5381.8109406999502</v>
      </c>
      <c r="H1594">
        <v>136.606722851634</v>
      </c>
      <c r="I1594" s="1">
        <f t="shared" si="49"/>
        <v>108.2077865916647</v>
      </c>
    </row>
    <row r="1595" spans="1:9" x14ac:dyDescent="0.45">
      <c r="A1595" t="s">
        <v>36</v>
      </c>
      <c r="B1595" t="s">
        <v>30</v>
      </c>
      <c r="C1595" t="str">
        <f t="shared" si="48"/>
        <v>MarquetteIowa St.</v>
      </c>
      <c r="D1595" t="s">
        <v>30</v>
      </c>
      <c r="E1595">
        <v>20.8</v>
      </c>
      <c r="F1595">
        <v>8.7811320754716995</v>
      </c>
      <c r="G1595">
        <v>381.78866559982799</v>
      </c>
      <c r="H1595">
        <v>137.93847948653899</v>
      </c>
      <c r="I1595" s="1">
        <f t="shared" si="49"/>
        <v>126.96036566619189</v>
      </c>
    </row>
    <row r="1596" spans="1:9" x14ac:dyDescent="0.45">
      <c r="A1596" t="s">
        <v>37</v>
      </c>
      <c r="B1596" t="s">
        <v>30</v>
      </c>
      <c r="C1596" t="str">
        <f t="shared" si="48"/>
        <v>MarylandIowa St.</v>
      </c>
      <c r="D1596" t="s">
        <v>30</v>
      </c>
      <c r="E1596">
        <v>15.1</v>
      </c>
      <c r="F1596">
        <v>11.324528301886801</v>
      </c>
      <c r="G1596">
        <v>562.817236225844</v>
      </c>
      <c r="H1596">
        <v>137.54841879821799</v>
      </c>
      <c r="I1596" s="1">
        <f t="shared" si="49"/>
        <v>121.46788775401998</v>
      </c>
    </row>
    <row r="1597" spans="1:9" x14ac:dyDescent="0.45">
      <c r="A1597" t="s">
        <v>38</v>
      </c>
      <c r="B1597" t="s">
        <v>30</v>
      </c>
      <c r="C1597" t="str">
        <f t="shared" si="48"/>
        <v>McNeese St.Iowa St.</v>
      </c>
      <c r="D1597" t="s">
        <v>30</v>
      </c>
      <c r="E1597">
        <v>3.1</v>
      </c>
      <c r="F1597">
        <v>22.633962264150899</v>
      </c>
      <c r="G1597">
        <v>3158.7594247382099</v>
      </c>
      <c r="H1597">
        <v>137.383830412419</v>
      </c>
      <c r="I1597" s="1">
        <f t="shared" si="49"/>
        <v>119.15030461716961</v>
      </c>
    </row>
    <row r="1598" spans="1:9" x14ac:dyDescent="0.45">
      <c r="A1598" t="s">
        <v>39</v>
      </c>
      <c r="B1598" t="s">
        <v>30</v>
      </c>
      <c r="C1598" t="str">
        <f t="shared" si="48"/>
        <v>MemphisIowa St.</v>
      </c>
      <c r="D1598" t="s">
        <v>30</v>
      </c>
      <c r="E1598">
        <v>8.3000000000000007</v>
      </c>
      <c r="F1598">
        <v>15.7132075471698</v>
      </c>
      <c r="G1598">
        <v>1098.83856613228</v>
      </c>
      <c r="H1598">
        <v>136.52605361123699</v>
      </c>
      <c r="I1598" s="1">
        <f t="shared" si="49"/>
        <v>107.07187611840095</v>
      </c>
    </row>
    <row r="1599" spans="1:9" x14ac:dyDescent="0.45">
      <c r="A1599" t="s">
        <v>40</v>
      </c>
      <c r="B1599" t="s">
        <v>30</v>
      </c>
      <c r="C1599" t="str">
        <f t="shared" si="48"/>
        <v>MichiganIowa St.</v>
      </c>
      <c r="D1599" t="s">
        <v>30</v>
      </c>
      <c r="E1599">
        <v>4.5999999999999996</v>
      </c>
      <c r="F1599">
        <v>19.9018867924528</v>
      </c>
      <c r="G1599">
        <v>2081.6270994226302</v>
      </c>
      <c r="H1599">
        <v>136.18297469592099</v>
      </c>
      <c r="I1599" s="1">
        <f t="shared" si="49"/>
        <v>102.24095257002661</v>
      </c>
    </row>
    <row r="1600" spans="1:9" x14ac:dyDescent="0.45">
      <c r="A1600" t="s">
        <v>41</v>
      </c>
      <c r="B1600" t="s">
        <v>30</v>
      </c>
      <c r="C1600" t="str">
        <f t="shared" si="48"/>
        <v>Michigan St.Iowa St.</v>
      </c>
      <c r="D1600" t="s">
        <v>30</v>
      </c>
      <c r="E1600">
        <v>31.6</v>
      </c>
      <c r="F1600">
        <v>5.0754716981132102</v>
      </c>
      <c r="G1600">
        <v>216.93473611540099</v>
      </c>
      <c r="H1600">
        <v>137.88186665674999</v>
      </c>
      <c r="I1600" s="1">
        <f t="shared" si="49"/>
        <v>126.16319556812306</v>
      </c>
    </row>
    <row r="1601" spans="1:9" x14ac:dyDescent="0.45">
      <c r="A1601" t="s">
        <v>42</v>
      </c>
      <c r="B1601" t="s">
        <v>30</v>
      </c>
      <c r="C1601" t="str">
        <f t="shared" si="48"/>
        <v>MississippiIowa St.</v>
      </c>
      <c r="D1601" t="s">
        <v>30</v>
      </c>
      <c r="E1601">
        <v>10.6</v>
      </c>
      <c r="F1601">
        <v>13.988679245283</v>
      </c>
      <c r="G1601">
        <v>844.59399283535697</v>
      </c>
      <c r="H1601">
        <v>137.01278776184401</v>
      </c>
      <c r="I1601" s="1">
        <f t="shared" si="49"/>
        <v>113.92562132101611</v>
      </c>
    </row>
    <row r="1602" spans="1:9" x14ac:dyDescent="0.45">
      <c r="A1602" t="s">
        <v>43</v>
      </c>
      <c r="B1602" t="s">
        <v>30</v>
      </c>
      <c r="C1602" t="str">
        <f t="shared" si="48"/>
        <v>Mississippi St.Iowa St.</v>
      </c>
      <c r="D1602" t="s">
        <v>30</v>
      </c>
      <c r="E1602">
        <v>8.1999999999999993</v>
      </c>
      <c r="F1602">
        <v>15.8377358490566</v>
      </c>
      <c r="G1602">
        <v>1119.79692395448</v>
      </c>
      <c r="H1602">
        <v>137.13715911563301</v>
      </c>
      <c r="I1602" s="1">
        <f t="shared" si="49"/>
        <v>115.67690499057383</v>
      </c>
    </row>
    <row r="1603" spans="1:9" x14ac:dyDescent="0.45">
      <c r="A1603" t="s">
        <v>44</v>
      </c>
      <c r="B1603" t="s">
        <v>30</v>
      </c>
      <c r="C1603" t="str">
        <f t="shared" ref="C1603:C1666" si="50">A1603&amp;B1603</f>
        <v>MissouriIowa St.</v>
      </c>
      <c r="D1603" t="s">
        <v>30</v>
      </c>
      <c r="E1603">
        <v>3.8</v>
      </c>
      <c r="F1603">
        <v>21.2490566037736</v>
      </c>
      <c r="G1603">
        <v>2557.0440588152801</v>
      </c>
      <c r="H1603">
        <v>136.40163105180699</v>
      </c>
      <c r="I1603" s="1">
        <f t="shared" ref="I1603:I1666" si="51">18*(H1603-AVERAGE($H$2:$H$4625))/_xlfn.STDEV.P($H$2:$H$4625)+AVERAGE($H$2:$H$4625)</f>
        <v>105.31987141783296</v>
      </c>
    </row>
    <row r="1604" spans="1:9" x14ac:dyDescent="0.45">
      <c r="A1604" t="s">
        <v>45</v>
      </c>
      <c r="B1604" t="s">
        <v>30</v>
      </c>
      <c r="C1604" t="str">
        <f t="shared" si="50"/>
        <v>MontanaIowa St.</v>
      </c>
      <c r="D1604" t="s">
        <v>30</v>
      </c>
      <c r="E1604">
        <v>0.4</v>
      </c>
      <c r="F1604">
        <v>36.505660377358502</v>
      </c>
      <c r="G1604">
        <v>26213.818199007499</v>
      </c>
      <c r="H1604">
        <v>135.71036577682599</v>
      </c>
      <c r="I1604" s="1">
        <f t="shared" si="51"/>
        <v>95.586105960392118</v>
      </c>
    </row>
    <row r="1605" spans="1:9" x14ac:dyDescent="0.45">
      <c r="A1605" t="s">
        <v>46</v>
      </c>
      <c r="B1605" t="s">
        <v>30</v>
      </c>
      <c r="C1605" t="str">
        <f t="shared" si="50"/>
        <v>Mount St. Mary'sIowa St.</v>
      </c>
      <c r="D1605" t="s">
        <v>30</v>
      </c>
      <c r="E1605">
        <v>0.1</v>
      </c>
      <c r="F1605">
        <v>42.622641509433997</v>
      </c>
      <c r="G1605">
        <v>66639.384789428397</v>
      </c>
      <c r="H1605">
        <v>137.05823999877299</v>
      </c>
      <c r="I1605" s="1">
        <f t="shared" si="51"/>
        <v>114.56563815651373</v>
      </c>
    </row>
    <row r="1606" spans="1:9" x14ac:dyDescent="0.45">
      <c r="A1606" t="s">
        <v>47</v>
      </c>
      <c r="B1606" t="s">
        <v>30</v>
      </c>
      <c r="C1606" t="str">
        <f t="shared" si="50"/>
        <v>Nebraska OmahaIowa St.</v>
      </c>
      <c r="D1606" t="s">
        <v>30</v>
      </c>
      <c r="E1606">
        <v>0.2</v>
      </c>
      <c r="F1606">
        <v>40.905660377358501</v>
      </c>
      <c r="G1606">
        <v>51293.297022610503</v>
      </c>
      <c r="H1606">
        <v>136.34224117867299</v>
      </c>
      <c r="I1606" s="1">
        <f t="shared" si="51"/>
        <v>104.48359753491678</v>
      </c>
    </row>
    <row r="1607" spans="1:9" x14ac:dyDescent="0.45">
      <c r="A1607" t="s">
        <v>48</v>
      </c>
      <c r="B1607" t="s">
        <v>30</v>
      </c>
      <c r="C1607" t="str">
        <f t="shared" si="50"/>
        <v>New MexicoIowa St.</v>
      </c>
      <c r="D1607" t="s">
        <v>30</v>
      </c>
      <c r="E1607">
        <v>4.7</v>
      </c>
      <c r="F1607">
        <v>19.660377358490599</v>
      </c>
      <c r="G1607">
        <v>2006.4349704219201</v>
      </c>
      <c r="H1607">
        <v>137.219985525949</v>
      </c>
      <c r="I1607" s="1">
        <f t="shared" si="51"/>
        <v>116.8431907579585</v>
      </c>
    </row>
    <row r="1608" spans="1:9" x14ac:dyDescent="0.45">
      <c r="A1608" t="s">
        <v>49</v>
      </c>
      <c r="B1608" t="s">
        <v>30</v>
      </c>
      <c r="C1608" t="str">
        <f t="shared" si="50"/>
        <v>Norfolk St.Iowa St.</v>
      </c>
      <c r="D1608" t="s">
        <v>30</v>
      </c>
      <c r="E1608">
        <v>0.3</v>
      </c>
      <c r="F1608">
        <v>38.373584905660401</v>
      </c>
      <c r="G1608">
        <v>34856.034748068603</v>
      </c>
      <c r="H1608">
        <v>136.23234918815001</v>
      </c>
      <c r="I1608" s="1">
        <f t="shared" si="51"/>
        <v>102.93619901785482</v>
      </c>
    </row>
    <row r="1609" spans="1:9" x14ac:dyDescent="0.45">
      <c r="A1609" t="s">
        <v>50</v>
      </c>
      <c r="B1609" t="s">
        <v>30</v>
      </c>
      <c r="C1609" t="str">
        <f t="shared" si="50"/>
        <v>North CarolinaIowa St.</v>
      </c>
      <c r="D1609" t="s">
        <v>30</v>
      </c>
      <c r="E1609">
        <v>14.5</v>
      </c>
      <c r="F1609">
        <v>11.618867924528301</v>
      </c>
      <c r="G1609">
        <v>588.480471586622</v>
      </c>
      <c r="H1609">
        <v>138.304280620106</v>
      </c>
      <c r="I1609" s="1">
        <f t="shared" si="51"/>
        <v>132.1112427130754</v>
      </c>
    </row>
    <row r="1610" spans="1:9" x14ac:dyDescent="0.45">
      <c r="A1610" t="s">
        <v>51</v>
      </c>
      <c r="B1610" t="s">
        <v>30</v>
      </c>
      <c r="C1610" t="str">
        <f t="shared" si="50"/>
        <v>OklahomaIowa St.</v>
      </c>
      <c r="D1610" t="s">
        <v>30</v>
      </c>
      <c r="E1610">
        <v>5.3</v>
      </c>
      <c r="F1610">
        <v>18.924528301886799</v>
      </c>
      <c r="G1610">
        <v>1793.6618767257801</v>
      </c>
      <c r="H1610">
        <v>136.646883915611</v>
      </c>
      <c r="I1610" s="1">
        <f t="shared" si="51"/>
        <v>108.77329796829807</v>
      </c>
    </row>
    <row r="1611" spans="1:9" x14ac:dyDescent="0.45">
      <c r="A1611" t="s">
        <v>52</v>
      </c>
      <c r="B1611" t="s">
        <v>30</v>
      </c>
      <c r="C1611" t="str">
        <f t="shared" si="50"/>
        <v>OregonIowa St.</v>
      </c>
      <c r="D1611" t="s">
        <v>30</v>
      </c>
      <c r="E1611">
        <v>15.5</v>
      </c>
      <c r="F1611">
        <v>11.0981132075472</v>
      </c>
      <c r="G1611">
        <v>543.645967414555</v>
      </c>
      <c r="H1611">
        <v>137.24126170375101</v>
      </c>
      <c r="I1611" s="1">
        <f t="shared" si="51"/>
        <v>117.14278243723278</v>
      </c>
    </row>
    <row r="1612" spans="1:9" x14ac:dyDescent="0.45">
      <c r="A1612" t="s">
        <v>53</v>
      </c>
      <c r="B1612" t="s">
        <v>30</v>
      </c>
      <c r="C1612" t="str">
        <f t="shared" si="50"/>
        <v>PurdueIowa St.</v>
      </c>
      <c r="D1612" t="s">
        <v>30</v>
      </c>
      <c r="E1612">
        <v>49.3</v>
      </c>
      <c r="F1612">
        <v>0.18867924528301899</v>
      </c>
      <c r="G1612">
        <v>102.922067212679</v>
      </c>
      <c r="H1612">
        <v>138.58924903254001</v>
      </c>
      <c r="I1612" s="1">
        <f t="shared" si="51"/>
        <v>136.12390730047017</v>
      </c>
    </row>
    <row r="1613" spans="1:9" x14ac:dyDescent="0.45">
      <c r="A1613" t="s">
        <v>54</v>
      </c>
      <c r="B1613" t="s">
        <v>30</v>
      </c>
      <c r="C1613" t="str">
        <f t="shared" si="50"/>
        <v>Robert MorrisIowa St.</v>
      </c>
      <c r="D1613" t="s">
        <v>30</v>
      </c>
      <c r="E1613">
        <v>0.1</v>
      </c>
      <c r="F1613">
        <v>44.132075471698101</v>
      </c>
      <c r="G1613">
        <v>83885.999215047006</v>
      </c>
      <c r="H1613">
        <v>135.64788588130301</v>
      </c>
      <c r="I1613" s="1">
        <f t="shared" si="51"/>
        <v>94.706321207942551</v>
      </c>
    </row>
    <row r="1614" spans="1:9" x14ac:dyDescent="0.45">
      <c r="A1614" t="s">
        <v>55</v>
      </c>
      <c r="B1614" t="s">
        <v>30</v>
      </c>
      <c r="C1614" t="str">
        <f t="shared" si="50"/>
        <v>Saint FrancisIowa St.</v>
      </c>
      <c r="D1614" t="s">
        <v>30</v>
      </c>
      <c r="E1614">
        <v>0.1</v>
      </c>
      <c r="F1614">
        <v>46.856603773584901</v>
      </c>
      <c r="G1614">
        <v>127146.49787926</v>
      </c>
      <c r="H1614">
        <v>136.70074141450999</v>
      </c>
      <c r="I1614" s="1">
        <f t="shared" si="51"/>
        <v>109.53167001645511</v>
      </c>
    </row>
    <row r="1615" spans="1:9" x14ac:dyDescent="0.45">
      <c r="A1615" t="s">
        <v>56</v>
      </c>
      <c r="B1615" t="s">
        <v>30</v>
      </c>
      <c r="C1615" t="str">
        <f t="shared" si="50"/>
        <v>Saint Mary'sIowa St.</v>
      </c>
      <c r="D1615" t="s">
        <v>30</v>
      </c>
      <c r="E1615">
        <v>13.6</v>
      </c>
      <c r="F1615">
        <v>12.143396226415099</v>
      </c>
      <c r="G1615">
        <v>637.412722273908</v>
      </c>
      <c r="H1615">
        <v>137.9519966156</v>
      </c>
      <c r="I1615" s="1">
        <f t="shared" si="51"/>
        <v>127.15070151655173</v>
      </c>
    </row>
    <row r="1616" spans="1:9" x14ac:dyDescent="0.45">
      <c r="A1616" t="s">
        <v>57</v>
      </c>
      <c r="B1616" t="s">
        <v>30</v>
      </c>
      <c r="C1616" t="str">
        <f t="shared" si="50"/>
        <v>San Diego St.Iowa St.</v>
      </c>
      <c r="D1616" t="s">
        <v>30</v>
      </c>
      <c r="E1616">
        <v>4.4000000000000004</v>
      </c>
      <c r="F1616">
        <v>20.2339622641509</v>
      </c>
      <c r="G1616">
        <v>2190.5935945870301</v>
      </c>
      <c r="H1616">
        <v>137.09825149539799</v>
      </c>
      <c r="I1616" s="1">
        <f t="shared" si="51"/>
        <v>115.12904346247188</v>
      </c>
    </row>
    <row r="1617" spans="1:9" x14ac:dyDescent="0.45">
      <c r="A1617" t="s">
        <v>58</v>
      </c>
      <c r="B1617" t="s">
        <v>30</v>
      </c>
      <c r="C1617" t="str">
        <f t="shared" si="50"/>
        <v>SIU EdwardsvilleIowa St.</v>
      </c>
      <c r="D1617" t="s">
        <v>30</v>
      </c>
      <c r="E1617">
        <v>0.2</v>
      </c>
      <c r="F1617">
        <v>39.833962264150898</v>
      </c>
      <c r="G1617">
        <v>43545.048873441199</v>
      </c>
      <c r="H1617">
        <v>137.245939262246</v>
      </c>
      <c r="I1617" s="1">
        <f t="shared" si="51"/>
        <v>117.20864753844873</v>
      </c>
    </row>
    <row r="1618" spans="1:9" x14ac:dyDescent="0.45">
      <c r="A1618" t="s">
        <v>59</v>
      </c>
      <c r="B1618" t="s">
        <v>30</v>
      </c>
      <c r="C1618" t="str">
        <f t="shared" si="50"/>
        <v>St. John'sIowa St.</v>
      </c>
      <c r="D1618" t="s">
        <v>30</v>
      </c>
      <c r="E1618">
        <v>32.9</v>
      </c>
      <c r="F1618">
        <v>4.6754716981132098</v>
      </c>
      <c r="G1618">
        <v>204.04749839051499</v>
      </c>
      <c r="H1618">
        <v>138.22362203479099</v>
      </c>
      <c r="I1618" s="1">
        <f t="shared" si="51"/>
        <v>130.97548227493269</v>
      </c>
    </row>
    <row r="1619" spans="1:9" x14ac:dyDescent="0.45">
      <c r="A1619" t="s">
        <v>60</v>
      </c>
      <c r="B1619" t="s">
        <v>30</v>
      </c>
      <c r="C1619" t="str">
        <f t="shared" si="50"/>
        <v>TennesseeIowa St.</v>
      </c>
      <c r="D1619" t="s">
        <v>30</v>
      </c>
      <c r="E1619">
        <v>49.5</v>
      </c>
      <c r="F1619">
        <v>0.128301886792453</v>
      </c>
      <c r="G1619">
        <v>101.99804001097201</v>
      </c>
      <c r="H1619">
        <v>138.81760491148199</v>
      </c>
      <c r="I1619" s="1">
        <f t="shared" si="51"/>
        <v>139.33940596197914</v>
      </c>
    </row>
    <row r="1620" spans="1:9" x14ac:dyDescent="0.45">
      <c r="A1620" t="s">
        <v>61</v>
      </c>
      <c r="B1620" t="s">
        <v>30</v>
      </c>
      <c r="C1620" t="str">
        <f t="shared" si="50"/>
        <v>TexasIowa St.</v>
      </c>
      <c r="D1620" t="s">
        <v>30</v>
      </c>
      <c r="E1620">
        <v>3.9</v>
      </c>
      <c r="F1620">
        <v>21.083018867924501</v>
      </c>
      <c r="G1620">
        <v>2493.2081698787201</v>
      </c>
      <c r="H1620">
        <v>136.57331944255401</v>
      </c>
      <c r="I1620" s="1">
        <f t="shared" si="51"/>
        <v>107.73743033158414</v>
      </c>
    </row>
    <row r="1621" spans="1:9" x14ac:dyDescent="0.45">
      <c r="A1621" t="s">
        <v>62</v>
      </c>
      <c r="B1621" t="s">
        <v>30</v>
      </c>
      <c r="C1621" t="str">
        <f t="shared" si="50"/>
        <v>Texas A&amp;MIowa St.</v>
      </c>
      <c r="D1621" t="s">
        <v>30</v>
      </c>
      <c r="E1621">
        <v>18.8</v>
      </c>
      <c r="F1621">
        <v>9.5886792452830196</v>
      </c>
      <c r="G1621">
        <v>431.67576586594203</v>
      </c>
      <c r="H1621">
        <v>137.37111847014799</v>
      </c>
      <c r="I1621" s="1">
        <f t="shared" si="51"/>
        <v>118.97130667086317</v>
      </c>
    </row>
    <row r="1622" spans="1:9" x14ac:dyDescent="0.45">
      <c r="A1622" t="s">
        <v>63</v>
      </c>
      <c r="B1622" t="s">
        <v>30</v>
      </c>
      <c r="C1622" t="str">
        <f t="shared" si="50"/>
        <v>Texas TechIowa St.</v>
      </c>
      <c r="D1622" t="s">
        <v>30</v>
      </c>
      <c r="E1622">
        <v>31.4</v>
      </c>
      <c r="F1622">
        <v>5.13584905660377</v>
      </c>
      <c r="G1622">
        <v>218.89766817366001</v>
      </c>
      <c r="H1622">
        <v>138.41090258921199</v>
      </c>
      <c r="I1622" s="1">
        <f t="shared" si="51"/>
        <v>133.61259577889621</v>
      </c>
    </row>
    <row r="1623" spans="1:9" x14ac:dyDescent="0.45">
      <c r="A1623" t="s">
        <v>64</v>
      </c>
      <c r="B1623" t="s">
        <v>30</v>
      </c>
      <c r="C1623" t="str">
        <f t="shared" si="50"/>
        <v>TroyIowa St.</v>
      </c>
      <c r="D1623" t="s">
        <v>30</v>
      </c>
      <c r="E1623">
        <v>0.6</v>
      </c>
      <c r="F1623">
        <v>33.083018867924501</v>
      </c>
      <c r="G1623">
        <v>15548.984843865201</v>
      </c>
      <c r="H1623">
        <v>137.11446700894101</v>
      </c>
      <c r="I1623" s="1">
        <f t="shared" si="51"/>
        <v>115.35737549550223</v>
      </c>
    </row>
    <row r="1624" spans="1:9" x14ac:dyDescent="0.45">
      <c r="A1624" t="s">
        <v>65</v>
      </c>
      <c r="B1624" t="s">
        <v>30</v>
      </c>
      <c r="C1624" t="str">
        <f t="shared" si="50"/>
        <v>UC San DiegoIowa St.</v>
      </c>
      <c r="D1624" t="s">
        <v>30</v>
      </c>
      <c r="E1624">
        <v>1.6</v>
      </c>
      <c r="F1624">
        <v>26.920754716981101</v>
      </c>
      <c r="G1624">
        <v>6075.1339941915203</v>
      </c>
      <c r="H1624">
        <v>137.20258875233199</v>
      </c>
      <c r="I1624" s="1">
        <f t="shared" si="51"/>
        <v>116.59822530079907</v>
      </c>
    </row>
    <row r="1625" spans="1:9" x14ac:dyDescent="0.45">
      <c r="A1625" t="s">
        <v>66</v>
      </c>
      <c r="B1625" t="s">
        <v>30</v>
      </c>
      <c r="C1625" t="str">
        <f t="shared" si="50"/>
        <v>UCLAIowa St.</v>
      </c>
      <c r="D1625" t="s">
        <v>30</v>
      </c>
      <c r="E1625">
        <v>6.1</v>
      </c>
      <c r="F1625">
        <v>17.875471698113198</v>
      </c>
      <c r="G1625">
        <v>1528.8085313128199</v>
      </c>
      <c r="H1625">
        <v>136.67404326544099</v>
      </c>
      <c r="I1625" s="1">
        <f t="shared" si="51"/>
        <v>109.15573109605637</v>
      </c>
    </row>
    <row r="1626" spans="1:9" x14ac:dyDescent="0.45">
      <c r="A1626" t="s">
        <v>67</v>
      </c>
      <c r="B1626" t="s">
        <v>30</v>
      </c>
      <c r="C1626" t="str">
        <f t="shared" si="50"/>
        <v>UNC WilmingtonIowa St.</v>
      </c>
      <c r="D1626" t="s">
        <v>30</v>
      </c>
      <c r="E1626">
        <v>1</v>
      </c>
      <c r="F1626">
        <v>30.2830188679245</v>
      </c>
      <c r="G1626">
        <v>10143.645217434399</v>
      </c>
      <c r="H1626">
        <v>137.78905893936101</v>
      </c>
      <c r="I1626" s="1">
        <f t="shared" si="51"/>
        <v>124.85636216219274</v>
      </c>
    </row>
    <row r="1627" spans="1:9" x14ac:dyDescent="0.45">
      <c r="A1627" t="s">
        <v>68</v>
      </c>
      <c r="B1627" t="s">
        <v>30</v>
      </c>
      <c r="C1627" t="str">
        <f t="shared" si="50"/>
        <v>Utah St.Iowa St.</v>
      </c>
      <c r="D1627" t="s">
        <v>30</v>
      </c>
      <c r="E1627">
        <v>4.8</v>
      </c>
      <c r="F1627">
        <v>19.6377358490566</v>
      </c>
      <c r="G1627">
        <v>1999.93115142077</v>
      </c>
      <c r="H1627">
        <v>137.16042934318801</v>
      </c>
      <c r="I1627" s="1">
        <f t="shared" si="51"/>
        <v>116.00457505496104</v>
      </c>
    </row>
    <row r="1628" spans="1:9" x14ac:dyDescent="0.45">
      <c r="A1628" t="s">
        <v>69</v>
      </c>
      <c r="B1628" t="s">
        <v>30</v>
      </c>
      <c r="C1628" t="str">
        <f t="shared" si="50"/>
        <v>VanderbiltIowa St.</v>
      </c>
      <c r="D1628" t="s">
        <v>30</v>
      </c>
      <c r="E1628">
        <v>1.1000000000000001</v>
      </c>
      <c r="F1628">
        <v>29.7584905660377</v>
      </c>
      <c r="G1628">
        <v>9367.0973615112307</v>
      </c>
      <c r="H1628">
        <v>135.73499983178601</v>
      </c>
      <c r="I1628" s="1">
        <f t="shared" si="51"/>
        <v>95.932980195110645</v>
      </c>
    </row>
    <row r="1629" spans="1:9" x14ac:dyDescent="0.45">
      <c r="A1629" t="s">
        <v>70</v>
      </c>
      <c r="B1629" t="s">
        <v>30</v>
      </c>
      <c r="C1629" t="str">
        <f t="shared" si="50"/>
        <v>VCUIowa St.</v>
      </c>
      <c r="D1629" t="s">
        <v>30</v>
      </c>
      <c r="E1629">
        <v>3.2</v>
      </c>
      <c r="F1629">
        <v>22.411320754717</v>
      </c>
      <c r="G1629">
        <v>3054.0417651641401</v>
      </c>
      <c r="H1629">
        <v>137.579910993662</v>
      </c>
      <c r="I1629" s="1">
        <f t="shared" si="51"/>
        <v>121.91133205143566</v>
      </c>
    </row>
    <row r="1630" spans="1:9" x14ac:dyDescent="0.45">
      <c r="A1630" t="s">
        <v>71</v>
      </c>
      <c r="B1630" t="s">
        <v>30</v>
      </c>
      <c r="C1630" t="str">
        <f t="shared" si="50"/>
        <v>WisconsinIowa St.</v>
      </c>
      <c r="D1630" t="s">
        <v>30</v>
      </c>
      <c r="E1630">
        <v>28.7</v>
      </c>
      <c r="F1630">
        <v>5.9509433962264104</v>
      </c>
      <c r="G1630">
        <v>247.875807519766</v>
      </c>
      <c r="H1630">
        <v>138.380589848928</v>
      </c>
      <c r="I1630" s="1">
        <f t="shared" si="51"/>
        <v>133.18575949046152</v>
      </c>
    </row>
    <row r="1631" spans="1:9" x14ac:dyDescent="0.45">
      <c r="A1631" t="s">
        <v>80</v>
      </c>
      <c r="B1631" t="s">
        <v>30</v>
      </c>
      <c r="C1631" t="str">
        <f t="shared" si="50"/>
        <v>WoffordIowa St.</v>
      </c>
      <c r="D1631" t="s">
        <v>30</v>
      </c>
      <c r="E1631">
        <v>0.3</v>
      </c>
      <c r="F1631">
        <v>37.335849056603799</v>
      </c>
      <c r="G1631">
        <v>29751.524506799899</v>
      </c>
      <c r="H1631">
        <v>136.410045588023</v>
      </c>
      <c r="I1631" s="1">
        <f t="shared" si="51"/>
        <v>105.43835722194342</v>
      </c>
    </row>
    <row r="1632" spans="1:9" x14ac:dyDescent="0.45">
      <c r="A1632" t="s">
        <v>72</v>
      </c>
      <c r="B1632" t="s">
        <v>30</v>
      </c>
      <c r="C1632" t="str">
        <f t="shared" si="50"/>
        <v>XavierIowa St.</v>
      </c>
      <c r="D1632" t="s">
        <v>30</v>
      </c>
      <c r="E1632">
        <v>3.1</v>
      </c>
      <c r="F1632">
        <v>22.4905660377358</v>
      </c>
      <c r="G1632">
        <v>3089.7951024775298</v>
      </c>
      <c r="H1632">
        <v>136.98595915817501</v>
      </c>
      <c r="I1632" s="1">
        <f t="shared" si="51"/>
        <v>113.54784545823767</v>
      </c>
    </row>
    <row r="1633" spans="1:9" x14ac:dyDescent="0.45">
      <c r="A1633" t="s">
        <v>73</v>
      </c>
      <c r="B1633" t="s">
        <v>30</v>
      </c>
      <c r="C1633" t="str">
        <f t="shared" si="50"/>
        <v>YaleIowa St.</v>
      </c>
      <c r="D1633" t="s">
        <v>30</v>
      </c>
      <c r="E1633">
        <v>1.8</v>
      </c>
      <c r="F1633">
        <v>26.313207547169799</v>
      </c>
      <c r="G1633">
        <v>5536.5759335248604</v>
      </c>
      <c r="H1633">
        <v>137.78519379223701</v>
      </c>
      <c r="I1633" s="1">
        <f t="shared" si="51"/>
        <v>124.80193669497311</v>
      </c>
    </row>
    <row r="1634" spans="1:9" x14ac:dyDescent="0.45">
      <c r="A1634" t="s">
        <v>7</v>
      </c>
      <c r="B1634" t="s">
        <v>31</v>
      </c>
      <c r="C1634" t="str">
        <f t="shared" si="50"/>
        <v>AkronKansas</v>
      </c>
      <c r="D1634" t="s">
        <v>31</v>
      </c>
      <c r="E1634">
        <v>3.1</v>
      </c>
      <c r="F1634">
        <v>22.603773584905699</v>
      </c>
      <c r="G1634">
        <v>3144.83281032181</v>
      </c>
      <c r="H1634">
        <v>137.61226896337101</v>
      </c>
      <c r="I1634" s="1">
        <f t="shared" si="51"/>
        <v>122.36696739032224</v>
      </c>
    </row>
    <row r="1635" spans="1:9" x14ac:dyDescent="0.45">
      <c r="A1635" t="s">
        <v>8</v>
      </c>
      <c r="B1635" t="s">
        <v>31</v>
      </c>
      <c r="C1635" t="str">
        <f t="shared" si="50"/>
        <v>AlabamaKansas</v>
      </c>
      <c r="D1635" t="s">
        <v>8</v>
      </c>
      <c r="E1635">
        <v>70</v>
      </c>
      <c r="F1635">
        <v>-5.5698113207547202</v>
      </c>
      <c r="G1635">
        <v>-233.84393529867501</v>
      </c>
      <c r="H1635">
        <v>139.36036497551001</v>
      </c>
      <c r="I1635" s="1">
        <f t="shared" si="51"/>
        <v>146.9820568430892</v>
      </c>
    </row>
    <row r="1636" spans="1:9" x14ac:dyDescent="0.45">
      <c r="A1636" t="s">
        <v>9</v>
      </c>
      <c r="B1636" t="s">
        <v>31</v>
      </c>
      <c r="C1636" t="str">
        <f t="shared" si="50"/>
        <v>Alabama St.Kansas</v>
      </c>
      <c r="D1636" t="s">
        <v>31</v>
      </c>
      <c r="E1636">
        <v>0.5</v>
      </c>
      <c r="F1636">
        <v>34.743396226415101</v>
      </c>
      <c r="G1636">
        <v>20038.3191442688</v>
      </c>
      <c r="H1636">
        <v>137.83910981918399</v>
      </c>
      <c r="I1636" s="1">
        <f t="shared" si="51"/>
        <v>125.56113288157945</v>
      </c>
    </row>
    <row r="1637" spans="1:9" x14ac:dyDescent="0.45">
      <c r="A1637" t="s">
        <v>10</v>
      </c>
      <c r="B1637" t="s">
        <v>31</v>
      </c>
      <c r="C1637" t="str">
        <f t="shared" si="50"/>
        <v>AmericanKansas</v>
      </c>
      <c r="D1637" t="s">
        <v>31</v>
      </c>
      <c r="E1637">
        <v>0.6</v>
      </c>
      <c r="F1637">
        <v>33.4830188679245</v>
      </c>
      <c r="G1637">
        <v>16525.844777729399</v>
      </c>
      <c r="H1637">
        <v>137.930195700788</v>
      </c>
      <c r="I1637" s="1">
        <f t="shared" si="51"/>
        <v>126.84372097056178</v>
      </c>
    </row>
    <row r="1638" spans="1:9" x14ac:dyDescent="0.45">
      <c r="A1638" t="s">
        <v>11</v>
      </c>
      <c r="B1638" t="s">
        <v>31</v>
      </c>
      <c r="C1638" t="str">
        <f t="shared" si="50"/>
        <v>ArizonaKansas</v>
      </c>
      <c r="D1638" t="s">
        <v>11</v>
      </c>
      <c r="E1638">
        <v>62.4</v>
      </c>
      <c r="F1638">
        <v>-3.3283018867924499</v>
      </c>
      <c r="G1638">
        <v>-166.14523931283301</v>
      </c>
      <c r="H1638">
        <v>139.12272379450101</v>
      </c>
      <c r="I1638" s="1">
        <f t="shared" si="51"/>
        <v>143.63581104904955</v>
      </c>
    </row>
    <row r="1639" spans="1:9" x14ac:dyDescent="0.45">
      <c r="A1639" t="s">
        <v>12</v>
      </c>
      <c r="B1639" t="s">
        <v>31</v>
      </c>
      <c r="C1639" t="str">
        <f t="shared" si="50"/>
        <v>ArkansasKansas</v>
      </c>
      <c r="D1639" t="s">
        <v>31</v>
      </c>
      <c r="E1639">
        <v>9.1</v>
      </c>
      <c r="F1639">
        <v>15.0641509433962</v>
      </c>
      <c r="G1639">
        <v>995.405965217372</v>
      </c>
      <c r="H1639">
        <v>137.24032762835799</v>
      </c>
      <c r="I1639" s="1">
        <f t="shared" si="51"/>
        <v>117.12962964173693</v>
      </c>
    </row>
    <row r="1640" spans="1:9" x14ac:dyDescent="0.45">
      <c r="A1640" t="s">
        <v>13</v>
      </c>
      <c r="B1640" t="s">
        <v>31</v>
      </c>
      <c r="C1640" t="str">
        <f t="shared" si="50"/>
        <v>AuburnKansas</v>
      </c>
      <c r="D1640" t="s">
        <v>13</v>
      </c>
      <c r="E1640">
        <v>82.1</v>
      </c>
      <c r="F1640">
        <v>-9.9811320754717006</v>
      </c>
      <c r="G1640">
        <v>-458.27633570616302</v>
      </c>
      <c r="H1640">
        <v>140.37904703362</v>
      </c>
      <c r="I1640" s="1">
        <f t="shared" si="51"/>
        <v>161.32620602607599</v>
      </c>
    </row>
    <row r="1641" spans="1:9" x14ac:dyDescent="0.45">
      <c r="A1641" t="s">
        <v>14</v>
      </c>
      <c r="B1641" t="s">
        <v>31</v>
      </c>
      <c r="C1641" t="str">
        <f t="shared" si="50"/>
        <v>BaylorKansas</v>
      </c>
      <c r="D1641" t="s">
        <v>31</v>
      </c>
      <c r="E1641">
        <v>32.6</v>
      </c>
      <c r="F1641">
        <v>4.75094339622642</v>
      </c>
      <c r="G1641">
        <v>206.47157320864099</v>
      </c>
      <c r="H1641">
        <v>138.914045046345</v>
      </c>
      <c r="I1641" s="1">
        <f t="shared" si="51"/>
        <v>140.69738774902353</v>
      </c>
    </row>
    <row r="1642" spans="1:9" x14ac:dyDescent="0.45">
      <c r="A1642" t="s">
        <v>15</v>
      </c>
      <c r="B1642" t="s">
        <v>31</v>
      </c>
      <c r="C1642" t="str">
        <f t="shared" si="50"/>
        <v>BryantKansas</v>
      </c>
      <c r="D1642" t="s">
        <v>31</v>
      </c>
      <c r="E1642">
        <v>2.1</v>
      </c>
      <c r="F1642">
        <v>25.037735849056599</v>
      </c>
      <c r="G1642">
        <v>4558.2738367764496</v>
      </c>
      <c r="H1642">
        <v>138.46304279623899</v>
      </c>
      <c r="I1642" s="1">
        <f t="shared" si="51"/>
        <v>134.34678649333253</v>
      </c>
    </row>
    <row r="1643" spans="1:9" x14ac:dyDescent="0.45">
      <c r="A1643" t="s">
        <v>16</v>
      </c>
      <c r="B1643" t="s">
        <v>31</v>
      </c>
      <c r="C1643" t="str">
        <f t="shared" si="50"/>
        <v>BYUKansas</v>
      </c>
      <c r="D1643" t="s">
        <v>31</v>
      </c>
      <c r="E1643">
        <v>37.1</v>
      </c>
      <c r="F1643">
        <v>3.4566037735849102</v>
      </c>
      <c r="G1643">
        <v>169.482040390506</v>
      </c>
      <c r="H1643">
        <v>138.72356327446201</v>
      </c>
      <c r="I1643" s="1">
        <f t="shared" si="51"/>
        <v>138.0151976281937</v>
      </c>
    </row>
    <row r="1644" spans="1:9" x14ac:dyDescent="0.45">
      <c r="A1644" t="s">
        <v>17</v>
      </c>
      <c r="B1644" t="s">
        <v>31</v>
      </c>
      <c r="C1644" t="str">
        <f t="shared" si="50"/>
        <v>ClemsonKansas</v>
      </c>
      <c r="D1644" t="s">
        <v>31</v>
      </c>
      <c r="E1644">
        <v>43.1</v>
      </c>
      <c r="F1644">
        <v>1.8339622641509401</v>
      </c>
      <c r="G1644">
        <v>132.27329060360299</v>
      </c>
      <c r="H1644">
        <v>138.94547513075401</v>
      </c>
      <c r="I1644" s="1">
        <f t="shared" si="51"/>
        <v>141.13995745564344</v>
      </c>
    </row>
    <row r="1645" spans="1:9" x14ac:dyDescent="0.45">
      <c r="A1645" t="s">
        <v>18</v>
      </c>
      <c r="B1645" t="s">
        <v>31</v>
      </c>
      <c r="C1645" t="str">
        <f t="shared" si="50"/>
        <v>Colorado St.Kansas</v>
      </c>
      <c r="D1645" t="s">
        <v>31</v>
      </c>
      <c r="E1645">
        <v>11</v>
      </c>
      <c r="F1645">
        <v>13.6716981132075</v>
      </c>
      <c r="G1645">
        <v>805.03300811940301</v>
      </c>
      <c r="H1645">
        <v>138.252866978859</v>
      </c>
      <c r="I1645" s="1">
        <f t="shared" si="51"/>
        <v>131.38728283352697</v>
      </c>
    </row>
    <row r="1646" spans="1:9" x14ac:dyDescent="0.45">
      <c r="A1646" t="s">
        <v>19</v>
      </c>
      <c r="B1646" t="s">
        <v>31</v>
      </c>
      <c r="C1646" t="str">
        <f t="shared" si="50"/>
        <v>ConnecticutKansas</v>
      </c>
      <c r="D1646" t="s">
        <v>19</v>
      </c>
      <c r="E1646">
        <v>56.2</v>
      </c>
      <c r="F1646">
        <v>-1.63018867924528</v>
      </c>
      <c r="G1646">
        <v>-128.22814310338799</v>
      </c>
      <c r="H1646">
        <v>138.88841888119501</v>
      </c>
      <c r="I1646" s="1">
        <f t="shared" si="51"/>
        <v>140.33654352586987</v>
      </c>
    </row>
    <row r="1647" spans="1:9" x14ac:dyDescent="0.45">
      <c r="A1647" t="s">
        <v>20</v>
      </c>
      <c r="B1647" t="s">
        <v>31</v>
      </c>
      <c r="C1647" t="str">
        <f t="shared" si="50"/>
        <v>CreightonKansas</v>
      </c>
      <c r="D1647" t="s">
        <v>31</v>
      </c>
      <c r="E1647">
        <v>28.4</v>
      </c>
      <c r="F1647">
        <v>6.0603773584905696</v>
      </c>
      <c r="G1647">
        <v>252.11383225435199</v>
      </c>
      <c r="H1647">
        <v>138.36136124345899</v>
      </c>
      <c r="I1647" s="1">
        <f t="shared" si="51"/>
        <v>132.91499985232673</v>
      </c>
    </row>
    <row r="1648" spans="1:9" x14ac:dyDescent="0.45">
      <c r="A1648" t="s">
        <v>21</v>
      </c>
      <c r="B1648" t="s">
        <v>31</v>
      </c>
      <c r="C1648" t="str">
        <f t="shared" si="50"/>
        <v>DrakeKansas</v>
      </c>
      <c r="D1648" t="s">
        <v>31</v>
      </c>
      <c r="E1648">
        <v>11</v>
      </c>
      <c r="F1648">
        <v>13.724528301886799</v>
      </c>
      <c r="G1648">
        <v>811.28152357636395</v>
      </c>
      <c r="H1648">
        <v>138.414826347613</v>
      </c>
      <c r="I1648" s="1">
        <f t="shared" si="51"/>
        <v>133.66784655652017</v>
      </c>
    </row>
    <row r="1649" spans="1:9" x14ac:dyDescent="0.45">
      <c r="A1649" t="s">
        <v>22</v>
      </c>
      <c r="B1649" t="s">
        <v>31</v>
      </c>
      <c r="C1649" t="str">
        <f t="shared" si="50"/>
        <v>DukeKansas</v>
      </c>
      <c r="D1649" t="s">
        <v>22</v>
      </c>
      <c r="E1649">
        <v>87</v>
      </c>
      <c r="F1649">
        <v>-12.486792452830199</v>
      </c>
      <c r="G1649">
        <v>-671.94983414725198</v>
      </c>
      <c r="H1649">
        <v>140.70214680906901</v>
      </c>
      <c r="I1649" s="1">
        <f t="shared" si="51"/>
        <v>165.87580159726815</v>
      </c>
    </row>
    <row r="1650" spans="1:9" x14ac:dyDescent="0.45">
      <c r="A1650" t="s">
        <v>23</v>
      </c>
      <c r="B1650" t="s">
        <v>31</v>
      </c>
      <c r="C1650" t="str">
        <f t="shared" si="50"/>
        <v>FloridaKansas</v>
      </c>
      <c r="D1650" t="s">
        <v>23</v>
      </c>
      <c r="E1650">
        <v>78.8</v>
      </c>
      <c r="F1650">
        <v>-8.5886792452830196</v>
      </c>
      <c r="G1650">
        <v>-370.67237917408403</v>
      </c>
      <c r="H1650">
        <v>140.42590308501201</v>
      </c>
      <c r="I1650" s="1">
        <f t="shared" si="51"/>
        <v>161.98599009308873</v>
      </c>
    </row>
    <row r="1651" spans="1:9" x14ac:dyDescent="0.45">
      <c r="A1651" t="s">
        <v>24</v>
      </c>
      <c r="B1651" t="s">
        <v>31</v>
      </c>
      <c r="C1651" t="str">
        <f t="shared" si="50"/>
        <v>GeorgiaKansas</v>
      </c>
      <c r="D1651" t="s">
        <v>31</v>
      </c>
      <c r="E1651">
        <v>12.2</v>
      </c>
      <c r="F1651">
        <v>12.916981132075501</v>
      </c>
      <c r="G1651">
        <v>717.53734032767397</v>
      </c>
      <c r="H1651">
        <v>137.56771660935601</v>
      </c>
      <c r="I1651" s="1">
        <f t="shared" si="51"/>
        <v>121.73962188309888</v>
      </c>
    </row>
    <row r="1652" spans="1:9" x14ac:dyDescent="0.45">
      <c r="A1652" t="s">
        <v>25</v>
      </c>
      <c r="B1652" t="s">
        <v>31</v>
      </c>
      <c r="C1652" t="str">
        <f t="shared" si="50"/>
        <v>GonzagaKansas</v>
      </c>
      <c r="D1652" t="s">
        <v>31</v>
      </c>
      <c r="E1652">
        <v>44</v>
      </c>
      <c r="F1652">
        <v>1.59245283018868</v>
      </c>
      <c r="G1652">
        <v>127.474480073314</v>
      </c>
      <c r="H1652">
        <v>139.70535772888499</v>
      </c>
      <c r="I1652" s="1">
        <f t="shared" si="51"/>
        <v>151.83992930885302</v>
      </c>
    </row>
    <row r="1653" spans="1:9" x14ac:dyDescent="0.45">
      <c r="A1653" t="s">
        <v>26</v>
      </c>
      <c r="B1653" t="s">
        <v>31</v>
      </c>
      <c r="C1653" t="str">
        <f t="shared" si="50"/>
        <v>Grand CanyonKansas</v>
      </c>
      <c r="D1653" t="s">
        <v>31</v>
      </c>
      <c r="E1653">
        <v>7.1</v>
      </c>
      <c r="F1653">
        <v>16.841509433962301</v>
      </c>
      <c r="G1653">
        <v>1305.2864983300699</v>
      </c>
      <c r="H1653">
        <v>138.35732597518901</v>
      </c>
      <c r="I1653" s="1">
        <f t="shared" si="51"/>
        <v>132.85817889470107</v>
      </c>
    </row>
    <row r="1654" spans="1:9" x14ac:dyDescent="0.45">
      <c r="A1654" t="s">
        <v>27</v>
      </c>
      <c r="B1654" t="s">
        <v>31</v>
      </c>
      <c r="C1654" t="str">
        <f t="shared" si="50"/>
        <v>High PointKansas</v>
      </c>
      <c r="D1654" t="s">
        <v>31</v>
      </c>
      <c r="E1654">
        <v>4.8</v>
      </c>
      <c r="F1654">
        <v>19.615094339622601</v>
      </c>
      <c r="G1654">
        <v>1992.42468841205</v>
      </c>
      <c r="H1654">
        <v>138.63821772284501</v>
      </c>
      <c r="I1654" s="1">
        <f t="shared" si="51"/>
        <v>136.81343961670009</v>
      </c>
    </row>
    <row r="1655" spans="1:9" x14ac:dyDescent="0.45">
      <c r="A1655" t="s">
        <v>28</v>
      </c>
      <c r="B1655" t="s">
        <v>31</v>
      </c>
      <c r="C1655" t="str">
        <f t="shared" si="50"/>
        <v>HoustonKansas</v>
      </c>
      <c r="D1655" t="s">
        <v>28</v>
      </c>
      <c r="E1655">
        <v>92</v>
      </c>
      <c r="F1655">
        <v>-16</v>
      </c>
      <c r="G1655">
        <v>-1148.48174689962</v>
      </c>
      <c r="H1655">
        <v>140.84581115869901</v>
      </c>
      <c r="I1655" s="1">
        <f t="shared" si="51"/>
        <v>167.89875159129565</v>
      </c>
    </row>
    <row r="1656" spans="1:9" x14ac:dyDescent="0.45">
      <c r="A1656" t="s">
        <v>29</v>
      </c>
      <c r="B1656" t="s">
        <v>31</v>
      </c>
      <c r="C1656" t="str">
        <f t="shared" si="50"/>
        <v>IllinoisKansas</v>
      </c>
      <c r="D1656" t="s">
        <v>29</v>
      </c>
      <c r="E1656">
        <v>53.4</v>
      </c>
      <c r="F1656">
        <v>-0.89056603773584897</v>
      </c>
      <c r="G1656">
        <v>-114.556951774656</v>
      </c>
      <c r="H1656">
        <v>138.89605631263501</v>
      </c>
      <c r="I1656" s="1">
        <f t="shared" si="51"/>
        <v>140.44408685116755</v>
      </c>
    </row>
    <row r="1657" spans="1:9" x14ac:dyDescent="0.45">
      <c r="A1657" t="s">
        <v>30</v>
      </c>
      <c r="B1657" t="s">
        <v>31</v>
      </c>
      <c r="C1657" t="str">
        <f t="shared" si="50"/>
        <v>Iowa St.Kansas</v>
      </c>
      <c r="D1657" t="s">
        <v>30</v>
      </c>
      <c r="E1657">
        <v>70.7</v>
      </c>
      <c r="F1657">
        <v>-5.7735849056603801</v>
      </c>
      <c r="G1657">
        <v>-241.30250373650401</v>
      </c>
      <c r="H1657">
        <v>139.822324890994</v>
      </c>
      <c r="I1657" s="1">
        <f t="shared" si="51"/>
        <v>153.48695392212153</v>
      </c>
    </row>
    <row r="1658" spans="1:9" x14ac:dyDescent="0.45">
      <c r="A1658" t="s">
        <v>31</v>
      </c>
      <c r="B1658" t="s">
        <v>31</v>
      </c>
      <c r="C1658" t="str">
        <f t="shared" si="50"/>
        <v>KansasKansas</v>
      </c>
      <c r="D1658" t="s">
        <v>31</v>
      </c>
      <c r="E1658">
        <v>41.2</v>
      </c>
      <c r="F1658">
        <v>2.3283018867924499</v>
      </c>
      <c r="G1658">
        <v>142.64273539779199</v>
      </c>
      <c r="H1658">
        <v>138.77771517530499</v>
      </c>
      <c r="I1658" s="1">
        <f t="shared" si="51"/>
        <v>138.77771517530277</v>
      </c>
    </row>
    <row r="1659" spans="1:9" x14ac:dyDescent="0.45">
      <c r="A1659" t="s">
        <v>32</v>
      </c>
      <c r="B1659" t="s">
        <v>31</v>
      </c>
      <c r="C1659" t="str">
        <f t="shared" si="50"/>
        <v>KentuckyKansas</v>
      </c>
      <c r="D1659" t="s">
        <v>32</v>
      </c>
      <c r="E1659">
        <v>54.2</v>
      </c>
      <c r="F1659">
        <v>-1.09811320754717</v>
      </c>
      <c r="G1659">
        <v>-118.26594476947</v>
      </c>
      <c r="H1659">
        <v>138.72475277569799</v>
      </c>
      <c r="I1659" s="1">
        <f t="shared" si="51"/>
        <v>138.03194709682964</v>
      </c>
    </row>
    <row r="1660" spans="1:9" x14ac:dyDescent="0.45">
      <c r="A1660" t="s">
        <v>33</v>
      </c>
      <c r="B1660" t="s">
        <v>31</v>
      </c>
      <c r="C1660" t="str">
        <f t="shared" si="50"/>
        <v>LibertyKansas</v>
      </c>
      <c r="D1660" t="s">
        <v>31</v>
      </c>
      <c r="E1660">
        <v>3.2</v>
      </c>
      <c r="F1660">
        <v>22.388679245283001</v>
      </c>
      <c r="G1660">
        <v>3042.9889319868698</v>
      </c>
      <c r="H1660">
        <v>137.933689024096</v>
      </c>
      <c r="I1660" s="1">
        <f t="shared" si="51"/>
        <v>126.89291075482795</v>
      </c>
    </row>
    <row r="1661" spans="1:9" x14ac:dyDescent="0.45">
      <c r="A1661" t="s">
        <v>34</v>
      </c>
      <c r="B1661" t="s">
        <v>31</v>
      </c>
      <c r="C1661" t="str">
        <f t="shared" si="50"/>
        <v>LipscombKansas</v>
      </c>
      <c r="D1661" t="s">
        <v>31</v>
      </c>
      <c r="E1661">
        <v>2.5</v>
      </c>
      <c r="F1661">
        <v>24.132075471698101</v>
      </c>
      <c r="G1661">
        <v>3969.4489599453</v>
      </c>
      <c r="H1661">
        <v>138.365609255354</v>
      </c>
      <c r="I1661" s="1">
        <f t="shared" si="51"/>
        <v>132.97481647113148</v>
      </c>
    </row>
    <row r="1662" spans="1:9" x14ac:dyDescent="0.45">
      <c r="A1662" t="s">
        <v>35</v>
      </c>
      <c r="B1662" t="s">
        <v>31</v>
      </c>
      <c r="C1662" t="str">
        <f t="shared" si="50"/>
        <v>LouisvilleKansas</v>
      </c>
      <c r="D1662" t="s">
        <v>31</v>
      </c>
      <c r="E1662">
        <v>6</v>
      </c>
      <c r="F1662">
        <v>18.022641509433999</v>
      </c>
      <c r="G1662">
        <v>1563.5686372169901</v>
      </c>
      <c r="H1662">
        <v>137.65133256732199</v>
      </c>
      <c r="I1662" s="1">
        <f t="shared" si="51"/>
        <v>122.91702533846905</v>
      </c>
    </row>
    <row r="1663" spans="1:9" x14ac:dyDescent="0.45">
      <c r="A1663" t="s">
        <v>36</v>
      </c>
      <c r="B1663" t="s">
        <v>31</v>
      </c>
      <c r="C1663" t="str">
        <f t="shared" si="50"/>
        <v>MarquetteKansas</v>
      </c>
      <c r="D1663" t="s">
        <v>31</v>
      </c>
      <c r="E1663">
        <v>47.4</v>
      </c>
      <c r="F1663">
        <v>0.679245283018868</v>
      </c>
      <c r="G1663">
        <v>110.920429973182</v>
      </c>
      <c r="H1663">
        <v>138.98308920222701</v>
      </c>
      <c r="I1663" s="1">
        <f t="shared" si="51"/>
        <v>141.66960441299665</v>
      </c>
    </row>
    <row r="1664" spans="1:9" x14ac:dyDescent="0.45">
      <c r="A1664" t="s">
        <v>37</v>
      </c>
      <c r="B1664" t="s">
        <v>31</v>
      </c>
      <c r="C1664" t="str">
        <f t="shared" si="50"/>
        <v>MarylandKansas</v>
      </c>
      <c r="D1664" t="s">
        <v>31</v>
      </c>
      <c r="E1664">
        <v>37.9</v>
      </c>
      <c r="F1664">
        <v>3.2226415094339602</v>
      </c>
      <c r="G1664">
        <v>163.51436138212301</v>
      </c>
      <c r="H1664">
        <v>138.59302851390601</v>
      </c>
      <c r="I1664" s="1">
        <f t="shared" si="51"/>
        <v>136.17712650082473</v>
      </c>
    </row>
    <row r="1665" spans="1:9" x14ac:dyDescent="0.45">
      <c r="A1665" t="s">
        <v>38</v>
      </c>
      <c r="B1665" t="s">
        <v>31</v>
      </c>
      <c r="C1665" t="str">
        <f t="shared" si="50"/>
        <v>McNeese St.Kansas</v>
      </c>
      <c r="D1665" t="s">
        <v>31</v>
      </c>
      <c r="E1665">
        <v>9.8000000000000007</v>
      </c>
      <c r="F1665">
        <v>14.5320754716981</v>
      </c>
      <c r="G1665">
        <v>917.709154679427</v>
      </c>
      <c r="H1665">
        <v>138.42844012810701</v>
      </c>
      <c r="I1665" s="1">
        <f t="shared" si="51"/>
        <v>133.85954336397435</v>
      </c>
    </row>
    <row r="1666" spans="1:9" x14ac:dyDescent="0.45">
      <c r="A1666" t="s">
        <v>39</v>
      </c>
      <c r="B1666" t="s">
        <v>31</v>
      </c>
      <c r="C1666" t="str">
        <f t="shared" si="50"/>
        <v>MemphisKansas</v>
      </c>
      <c r="D1666" t="s">
        <v>31</v>
      </c>
      <c r="E1666">
        <v>23.9</v>
      </c>
      <c r="F1666">
        <v>7.60754716981132</v>
      </c>
      <c r="G1666">
        <v>319.24375239117302</v>
      </c>
      <c r="H1666">
        <v>137.570663326926</v>
      </c>
      <c r="I1666" s="1">
        <f t="shared" si="51"/>
        <v>121.78111486521971</v>
      </c>
    </row>
    <row r="1667" spans="1:9" x14ac:dyDescent="0.45">
      <c r="A1667" t="s">
        <v>40</v>
      </c>
      <c r="B1667" t="s">
        <v>31</v>
      </c>
      <c r="C1667" t="str">
        <f t="shared" ref="C1667:C1730" si="52">A1667&amp;B1667</f>
        <v>MichiganKansas</v>
      </c>
      <c r="D1667" t="s">
        <v>31</v>
      </c>
      <c r="E1667">
        <v>14.2</v>
      </c>
      <c r="F1667">
        <v>11.796226415094299</v>
      </c>
      <c r="G1667">
        <v>604.77168055533502</v>
      </c>
      <c r="H1667">
        <v>137.227584411609</v>
      </c>
      <c r="I1667" s="1">
        <f t="shared" ref="I1667:I1730" si="53">18*(H1667-AVERAGE($H$2:$H$4625))/_xlfn.STDEV.P($H$2:$H$4625)+AVERAGE($H$2:$H$4625)</f>
        <v>116.95019131683136</v>
      </c>
    </row>
    <row r="1668" spans="1:9" x14ac:dyDescent="0.45">
      <c r="A1668" t="s">
        <v>41</v>
      </c>
      <c r="B1668" t="s">
        <v>31</v>
      </c>
      <c r="C1668" t="str">
        <f t="shared" si="52"/>
        <v>Michigan St.Kansas</v>
      </c>
      <c r="D1668" t="s">
        <v>41</v>
      </c>
      <c r="E1668">
        <v>61.3</v>
      </c>
      <c r="F1668">
        <v>-3.0264150943396202</v>
      </c>
      <c r="G1668">
        <v>-158.665457674794</v>
      </c>
      <c r="H1668">
        <v>138.926476372438</v>
      </c>
      <c r="I1668" s="1">
        <f t="shared" si="53"/>
        <v>140.87243431492783</v>
      </c>
    </row>
    <row r="1669" spans="1:9" x14ac:dyDescent="0.45">
      <c r="A1669" t="s">
        <v>42</v>
      </c>
      <c r="B1669" t="s">
        <v>31</v>
      </c>
      <c r="C1669" t="str">
        <f t="shared" si="52"/>
        <v>MississippiKansas</v>
      </c>
      <c r="D1669" t="s">
        <v>31</v>
      </c>
      <c r="E1669">
        <v>29</v>
      </c>
      <c r="F1669">
        <v>5.8830188679245303</v>
      </c>
      <c r="G1669">
        <v>245.37849674211699</v>
      </c>
      <c r="H1669">
        <v>138.05739747753299</v>
      </c>
      <c r="I1669" s="1">
        <f t="shared" si="53"/>
        <v>128.63486006783447</v>
      </c>
    </row>
    <row r="1670" spans="1:9" x14ac:dyDescent="0.45">
      <c r="A1670" t="s">
        <v>43</v>
      </c>
      <c r="B1670" t="s">
        <v>31</v>
      </c>
      <c r="C1670" t="str">
        <f t="shared" si="52"/>
        <v>Mississippi St.Kansas</v>
      </c>
      <c r="D1670" t="s">
        <v>31</v>
      </c>
      <c r="E1670">
        <v>23.5</v>
      </c>
      <c r="F1670">
        <v>7.7320754716981099</v>
      </c>
      <c r="G1670">
        <v>325.33274944800797</v>
      </c>
      <c r="H1670">
        <v>138.18176883132199</v>
      </c>
      <c r="I1670" s="1">
        <f t="shared" si="53"/>
        <v>130.38614373739219</v>
      </c>
    </row>
    <row r="1671" spans="1:9" x14ac:dyDescent="0.45">
      <c r="A1671" t="s">
        <v>44</v>
      </c>
      <c r="B1671" t="s">
        <v>31</v>
      </c>
      <c r="C1671" t="str">
        <f t="shared" si="52"/>
        <v>MissouriKansas</v>
      </c>
      <c r="D1671" t="s">
        <v>31</v>
      </c>
      <c r="E1671">
        <v>11.9</v>
      </c>
      <c r="F1671">
        <v>13.147169811320801</v>
      </c>
      <c r="G1671">
        <v>742.89378396960603</v>
      </c>
      <c r="H1671">
        <v>137.44624076749599</v>
      </c>
      <c r="I1671" s="1">
        <f t="shared" si="53"/>
        <v>120.02911016465171</v>
      </c>
    </row>
    <row r="1672" spans="1:9" x14ac:dyDescent="0.45">
      <c r="A1672" t="s">
        <v>45</v>
      </c>
      <c r="B1672" t="s">
        <v>31</v>
      </c>
      <c r="C1672" t="str">
        <f t="shared" si="52"/>
        <v>MontanaKansas</v>
      </c>
      <c r="D1672" t="s">
        <v>31</v>
      </c>
      <c r="E1672">
        <v>1.3</v>
      </c>
      <c r="F1672">
        <v>28.4037735849057</v>
      </c>
      <c r="G1672">
        <v>7615.85727356403</v>
      </c>
      <c r="H1672">
        <v>136.754975492515</v>
      </c>
      <c r="I1672" s="1">
        <f t="shared" si="53"/>
        <v>110.29534470721089</v>
      </c>
    </row>
    <row r="1673" spans="1:9" x14ac:dyDescent="0.45">
      <c r="A1673" t="s">
        <v>46</v>
      </c>
      <c r="B1673" t="s">
        <v>31</v>
      </c>
      <c r="C1673" t="str">
        <f t="shared" si="52"/>
        <v>Mount St. Mary'sKansas</v>
      </c>
      <c r="D1673" t="s">
        <v>31</v>
      </c>
      <c r="E1673">
        <v>0.5</v>
      </c>
      <c r="F1673">
        <v>34.520754716981102</v>
      </c>
      <c r="G1673">
        <v>19360.630317243002</v>
      </c>
      <c r="H1673">
        <v>138.102849714462</v>
      </c>
      <c r="I1673" s="1">
        <f t="shared" si="53"/>
        <v>129.27487690333248</v>
      </c>
    </row>
    <row r="1674" spans="1:9" x14ac:dyDescent="0.45">
      <c r="A1674" t="s">
        <v>47</v>
      </c>
      <c r="B1674" t="s">
        <v>31</v>
      </c>
      <c r="C1674" t="str">
        <f t="shared" si="52"/>
        <v>Nebraska OmahaKansas</v>
      </c>
      <c r="D1674" t="s">
        <v>31</v>
      </c>
      <c r="E1674">
        <v>0.7</v>
      </c>
      <c r="F1674">
        <v>32.803773584905699</v>
      </c>
      <c r="G1674">
        <v>14902.156803296901</v>
      </c>
      <c r="H1674">
        <v>137.386850894361</v>
      </c>
      <c r="I1674" s="1">
        <f t="shared" si="53"/>
        <v>119.19283628172153</v>
      </c>
    </row>
    <row r="1675" spans="1:9" x14ac:dyDescent="0.45">
      <c r="A1675" t="s">
        <v>48</v>
      </c>
      <c r="B1675" t="s">
        <v>31</v>
      </c>
      <c r="C1675" t="str">
        <f t="shared" si="52"/>
        <v>New MexicoKansas</v>
      </c>
      <c r="D1675" t="s">
        <v>31</v>
      </c>
      <c r="E1675">
        <v>14.6</v>
      </c>
      <c r="F1675">
        <v>11.554716981132101</v>
      </c>
      <c r="G1675">
        <v>582.92623559888398</v>
      </c>
      <c r="H1675">
        <v>138.26459524163701</v>
      </c>
      <c r="I1675" s="1">
        <f t="shared" si="53"/>
        <v>131.55242950476327</v>
      </c>
    </row>
    <row r="1676" spans="1:9" x14ac:dyDescent="0.45">
      <c r="A1676" t="s">
        <v>49</v>
      </c>
      <c r="B1676" t="s">
        <v>31</v>
      </c>
      <c r="C1676" t="str">
        <f t="shared" si="52"/>
        <v>Norfolk St.Kansas</v>
      </c>
      <c r="D1676" t="s">
        <v>31</v>
      </c>
      <c r="E1676">
        <v>1</v>
      </c>
      <c r="F1676">
        <v>30.271698113207499</v>
      </c>
      <c r="G1676">
        <v>10126.6661631814</v>
      </c>
      <c r="H1676">
        <v>137.27695890383799</v>
      </c>
      <c r="I1676" s="1">
        <f t="shared" si="53"/>
        <v>117.64543776465916</v>
      </c>
    </row>
    <row r="1677" spans="1:9" x14ac:dyDescent="0.45">
      <c r="A1677" t="s">
        <v>50</v>
      </c>
      <c r="B1677" t="s">
        <v>31</v>
      </c>
      <c r="C1677" t="str">
        <f t="shared" si="52"/>
        <v>North CarolinaKansas</v>
      </c>
      <c r="D1677" t="s">
        <v>31</v>
      </c>
      <c r="E1677">
        <v>36.9</v>
      </c>
      <c r="F1677">
        <v>3.51698113207547</v>
      </c>
      <c r="G1677">
        <v>170.970258733733</v>
      </c>
      <c r="H1677">
        <v>139.34889033579401</v>
      </c>
      <c r="I1677" s="1">
        <f t="shared" si="53"/>
        <v>146.82048145988014</v>
      </c>
    </row>
    <row r="1678" spans="1:9" x14ac:dyDescent="0.45">
      <c r="A1678" t="s">
        <v>51</v>
      </c>
      <c r="B1678" t="s">
        <v>31</v>
      </c>
      <c r="C1678" t="str">
        <f t="shared" si="52"/>
        <v>OklahomaKansas</v>
      </c>
      <c r="D1678" t="s">
        <v>31</v>
      </c>
      <c r="E1678">
        <v>16.100000000000001</v>
      </c>
      <c r="F1678">
        <v>10.822641509434</v>
      </c>
      <c r="G1678">
        <v>521.10962037165996</v>
      </c>
      <c r="H1678">
        <v>137.69149363129901</v>
      </c>
      <c r="I1678" s="1">
        <f t="shared" si="53"/>
        <v>123.48253671510282</v>
      </c>
    </row>
    <row r="1679" spans="1:9" x14ac:dyDescent="0.45">
      <c r="A1679" t="s">
        <v>52</v>
      </c>
      <c r="B1679" t="s">
        <v>31</v>
      </c>
      <c r="C1679" t="str">
        <f t="shared" si="52"/>
        <v>OregonKansas</v>
      </c>
      <c r="D1679" t="s">
        <v>31</v>
      </c>
      <c r="E1679">
        <v>38.799999999999997</v>
      </c>
      <c r="F1679">
        <v>2.9962264150943398</v>
      </c>
      <c r="G1679">
        <v>157.94456434181899</v>
      </c>
      <c r="H1679">
        <v>138.28587141943899</v>
      </c>
      <c r="I1679" s="1">
        <f t="shared" si="53"/>
        <v>131.85202118403714</v>
      </c>
    </row>
    <row r="1680" spans="1:9" x14ac:dyDescent="0.45">
      <c r="A1680" t="s">
        <v>53</v>
      </c>
      <c r="B1680" t="s">
        <v>31</v>
      </c>
      <c r="C1680" t="str">
        <f t="shared" si="52"/>
        <v>PurdueKansas</v>
      </c>
      <c r="D1680" t="s">
        <v>53</v>
      </c>
      <c r="E1680">
        <v>77</v>
      </c>
      <c r="F1680">
        <v>-7.9132075471698098</v>
      </c>
      <c r="G1680">
        <v>-334.42827299790702</v>
      </c>
      <c r="H1680">
        <v>139.63385874822899</v>
      </c>
      <c r="I1680" s="1">
        <f t="shared" si="53"/>
        <v>150.83314604728852</v>
      </c>
    </row>
    <row r="1681" spans="1:9" x14ac:dyDescent="0.45">
      <c r="A1681" t="s">
        <v>54</v>
      </c>
      <c r="B1681" t="s">
        <v>31</v>
      </c>
      <c r="C1681" t="str">
        <f t="shared" si="52"/>
        <v>Robert MorrisKansas</v>
      </c>
      <c r="D1681" t="s">
        <v>31</v>
      </c>
      <c r="E1681">
        <v>0.4</v>
      </c>
      <c r="F1681">
        <v>36.030188679245299</v>
      </c>
      <c r="G1681">
        <v>24371.2607000643</v>
      </c>
      <c r="H1681">
        <v>136.69249559699099</v>
      </c>
      <c r="I1681" s="1">
        <f t="shared" si="53"/>
        <v>109.41555995474691</v>
      </c>
    </row>
    <row r="1682" spans="1:9" x14ac:dyDescent="0.45">
      <c r="A1682" t="s">
        <v>55</v>
      </c>
      <c r="B1682" t="s">
        <v>31</v>
      </c>
      <c r="C1682" t="str">
        <f t="shared" si="52"/>
        <v>Saint FrancisKansas</v>
      </c>
      <c r="D1682" t="s">
        <v>31</v>
      </c>
      <c r="E1682">
        <v>0.3</v>
      </c>
      <c r="F1682">
        <v>38.754716981132098</v>
      </c>
      <c r="G1682">
        <v>36939.661873393699</v>
      </c>
      <c r="H1682">
        <v>137.745351130199</v>
      </c>
      <c r="I1682" s="1">
        <f t="shared" si="53"/>
        <v>124.24090876327386</v>
      </c>
    </row>
    <row r="1683" spans="1:9" x14ac:dyDescent="0.45">
      <c r="A1683" t="s">
        <v>56</v>
      </c>
      <c r="B1683" t="s">
        <v>31</v>
      </c>
      <c r="C1683" t="str">
        <f t="shared" si="52"/>
        <v>Saint Mary'sKansas</v>
      </c>
      <c r="D1683" t="s">
        <v>31</v>
      </c>
      <c r="E1683">
        <v>35.1</v>
      </c>
      <c r="F1683">
        <v>4.0377358490565998</v>
      </c>
      <c r="G1683">
        <v>185.18646464770899</v>
      </c>
      <c r="H1683">
        <v>138.996606331289</v>
      </c>
      <c r="I1683" s="1">
        <f t="shared" si="53"/>
        <v>141.8599402633705</v>
      </c>
    </row>
    <row r="1684" spans="1:9" x14ac:dyDescent="0.45">
      <c r="A1684" t="s">
        <v>57</v>
      </c>
      <c r="B1684" t="s">
        <v>31</v>
      </c>
      <c r="C1684" t="str">
        <f t="shared" si="52"/>
        <v>San Diego St.Kansas</v>
      </c>
      <c r="D1684" t="s">
        <v>31</v>
      </c>
      <c r="E1684">
        <v>13.6</v>
      </c>
      <c r="F1684">
        <v>12.1320754716981</v>
      </c>
      <c r="G1684">
        <v>636.429536288995</v>
      </c>
      <c r="H1684">
        <v>138.142861211086</v>
      </c>
      <c r="I1684" s="1">
        <f t="shared" si="53"/>
        <v>129.83828220927666</v>
      </c>
    </row>
    <row r="1685" spans="1:9" x14ac:dyDescent="0.45">
      <c r="A1685" t="s">
        <v>58</v>
      </c>
      <c r="B1685" t="s">
        <v>31</v>
      </c>
      <c r="C1685" t="str">
        <f t="shared" si="52"/>
        <v>SIU EdwardsvilleKansas</v>
      </c>
      <c r="D1685" t="s">
        <v>31</v>
      </c>
      <c r="E1685">
        <v>0.8</v>
      </c>
      <c r="F1685">
        <v>31.732075471698099</v>
      </c>
      <c r="G1685">
        <v>12651.0710752947</v>
      </c>
      <c r="H1685">
        <v>138.290548977935</v>
      </c>
      <c r="I1685" s="1">
        <f t="shared" si="53"/>
        <v>131.91788628526749</v>
      </c>
    </row>
    <row r="1686" spans="1:9" x14ac:dyDescent="0.45">
      <c r="A1686" t="s">
        <v>59</v>
      </c>
      <c r="B1686" t="s">
        <v>31</v>
      </c>
      <c r="C1686" t="str">
        <f t="shared" si="52"/>
        <v>St. John'sKansas</v>
      </c>
      <c r="D1686" t="s">
        <v>59</v>
      </c>
      <c r="E1686">
        <v>62.8</v>
      </c>
      <c r="F1686">
        <v>-3.4264150943396201</v>
      </c>
      <c r="G1686">
        <v>-168.68645517739299</v>
      </c>
      <c r="H1686">
        <v>139.26823175048</v>
      </c>
      <c r="I1686" s="1">
        <f t="shared" si="53"/>
        <v>145.68472102175144</v>
      </c>
    </row>
    <row r="1687" spans="1:9" x14ac:dyDescent="0.45">
      <c r="A1687" t="s">
        <v>60</v>
      </c>
      <c r="B1687" t="s">
        <v>31</v>
      </c>
      <c r="C1687" t="str">
        <f t="shared" si="52"/>
        <v>TennesseeKansas</v>
      </c>
      <c r="D1687" t="s">
        <v>60</v>
      </c>
      <c r="E1687">
        <v>77.099999999999994</v>
      </c>
      <c r="F1687">
        <v>-7.9735849056603803</v>
      </c>
      <c r="G1687">
        <v>-337.45794710965299</v>
      </c>
      <c r="H1687">
        <v>139.862214627171</v>
      </c>
      <c r="I1687" s="1">
        <f t="shared" si="53"/>
        <v>154.04864470879789</v>
      </c>
    </row>
    <row r="1688" spans="1:9" x14ac:dyDescent="0.45">
      <c r="A1688" t="s">
        <v>61</v>
      </c>
      <c r="B1688" t="s">
        <v>31</v>
      </c>
      <c r="C1688" t="str">
        <f t="shared" si="52"/>
        <v>TexasKansas</v>
      </c>
      <c r="D1688" t="s">
        <v>31</v>
      </c>
      <c r="E1688">
        <v>12.1</v>
      </c>
      <c r="F1688">
        <v>12.981132075471701</v>
      </c>
      <c r="G1688">
        <v>724.34764866870898</v>
      </c>
      <c r="H1688">
        <v>137.61792915824299</v>
      </c>
      <c r="I1688" s="1">
        <f t="shared" si="53"/>
        <v>122.44666907840251</v>
      </c>
    </row>
    <row r="1689" spans="1:9" x14ac:dyDescent="0.45">
      <c r="A1689" t="s">
        <v>62</v>
      </c>
      <c r="B1689" t="s">
        <v>31</v>
      </c>
      <c r="C1689" t="str">
        <f t="shared" si="52"/>
        <v>Texas A&amp;MKansas</v>
      </c>
      <c r="D1689" t="s">
        <v>31</v>
      </c>
      <c r="E1689">
        <v>44.4</v>
      </c>
      <c r="F1689">
        <v>1.48301886792453</v>
      </c>
      <c r="G1689">
        <v>125.414046757062</v>
      </c>
      <c r="H1689">
        <v>138.415728185837</v>
      </c>
      <c r="I1689" s="1">
        <f t="shared" si="53"/>
        <v>133.68054541768194</v>
      </c>
    </row>
    <row r="1690" spans="1:9" x14ac:dyDescent="0.45">
      <c r="A1690" t="s">
        <v>63</v>
      </c>
      <c r="B1690" t="s">
        <v>31</v>
      </c>
      <c r="C1690" t="str">
        <f t="shared" si="52"/>
        <v>Texas TechKansas</v>
      </c>
      <c r="D1690" t="s">
        <v>63</v>
      </c>
      <c r="E1690">
        <v>61.1</v>
      </c>
      <c r="F1690">
        <v>-2.9660377358490599</v>
      </c>
      <c r="G1690">
        <v>-157.24264894409001</v>
      </c>
      <c r="H1690">
        <v>139.4555123049</v>
      </c>
      <c r="I1690" s="1">
        <f t="shared" si="53"/>
        <v>148.32183452570098</v>
      </c>
    </row>
    <row r="1691" spans="1:9" x14ac:dyDescent="0.45">
      <c r="A1691" t="s">
        <v>64</v>
      </c>
      <c r="B1691" t="s">
        <v>31</v>
      </c>
      <c r="C1691" t="str">
        <f t="shared" si="52"/>
        <v>TroyKansas</v>
      </c>
      <c r="D1691" t="s">
        <v>31</v>
      </c>
      <c r="E1691">
        <v>2.2000000000000002</v>
      </c>
      <c r="F1691">
        <v>24.981132075471699</v>
      </c>
      <c r="G1691">
        <v>4517.42086637995</v>
      </c>
      <c r="H1691">
        <v>138.15907672463001</v>
      </c>
      <c r="I1691" s="1">
        <f t="shared" si="53"/>
        <v>130.06661424232098</v>
      </c>
    </row>
    <row r="1692" spans="1:9" x14ac:dyDescent="0.45">
      <c r="A1692" t="s">
        <v>65</v>
      </c>
      <c r="B1692" t="s">
        <v>31</v>
      </c>
      <c r="C1692" t="str">
        <f t="shared" si="52"/>
        <v>UC San DiegoKansas</v>
      </c>
      <c r="D1692" t="s">
        <v>31</v>
      </c>
      <c r="E1692">
        <v>5.4</v>
      </c>
      <c r="F1692">
        <v>18.818867924528298</v>
      </c>
      <c r="G1692">
        <v>1764.9986379813699</v>
      </c>
      <c r="H1692">
        <v>138.247198468021</v>
      </c>
      <c r="I1692" s="1">
        <f t="shared" si="53"/>
        <v>131.30746404761783</v>
      </c>
    </row>
    <row r="1693" spans="1:9" x14ac:dyDescent="0.45">
      <c r="A1693" t="s">
        <v>66</v>
      </c>
      <c r="B1693" t="s">
        <v>31</v>
      </c>
      <c r="C1693" t="str">
        <f t="shared" si="52"/>
        <v>UCLAKansas</v>
      </c>
      <c r="D1693" t="s">
        <v>31</v>
      </c>
      <c r="E1693">
        <v>18.399999999999999</v>
      </c>
      <c r="F1693">
        <v>9.7735849056603801</v>
      </c>
      <c r="G1693">
        <v>444.16221569455598</v>
      </c>
      <c r="H1693">
        <v>137.718652981129</v>
      </c>
      <c r="I1693" s="1">
        <f t="shared" si="53"/>
        <v>123.86496984286111</v>
      </c>
    </row>
    <row r="1694" spans="1:9" x14ac:dyDescent="0.45">
      <c r="A1694" t="s">
        <v>67</v>
      </c>
      <c r="B1694" t="s">
        <v>31</v>
      </c>
      <c r="C1694" t="str">
        <f t="shared" si="52"/>
        <v>UNC WilmingtonKansas</v>
      </c>
      <c r="D1694" t="s">
        <v>31</v>
      </c>
      <c r="E1694">
        <v>3.3</v>
      </c>
      <c r="F1694">
        <v>22.181132075471702</v>
      </c>
      <c r="G1694">
        <v>2947.0164789872301</v>
      </c>
      <c r="H1694">
        <v>138.833668655049</v>
      </c>
      <c r="I1694" s="1">
        <f t="shared" si="53"/>
        <v>139.56560090899708</v>
      </c>
    </row>
    <row r="1695" spans="1:9" x14ac:dyDescent="0.45">
      <c r="A1695" t="s">
        <v>68</v>
      </c>
      <c r="B1695" t="s">
        <v>31</v>
      </c>
      <c r="C1695" t="str">
        <f t="shared" si="52"/>
        <v>Utah St.Kansas</v>
      </c>
      <c r="D1695" t="s">
        <v>31</v>
      </c>
      <c r="E1695">
        <v>14.7</v>
      </c>
      <c r="F1695">
        <v>11.5358490566038</v>
      </c>
      <c r="G1695">
        <v>581.03669181438795</v>
      </c>
      <c r="H1695">
        <v>138.205039058876</v>
      </c>
      <c r="I1695" s="1">
        <f t="shared" si="53"/>
        <v>130.71381380176541</v>
      </c>
    </row>
    <row r="1696" spans="1:9" x14ac:dyDescent="0.45">
      <c r="A1696" t="s">
        <v>69</v>
      </c>
      <c r="B1696" t="s">
        <v>31</v>
      </c>
      <c r="C1696" t="str">
        <f t="shared" si="52"/>
        <v>VanderbiltKansas</v>
      </c>
      <c r="D1696" t="s">
        <v>31</v>
      </c>
      <c r="E1696">
        <v>3.5</v>
      </c>
      <c r="F1696">
        <v>21.656603773584902</v>
      </c>
      <c r="G1696">
        <v>2721.40731393142</v>
      </c>
      <c r="H1696">
        <v>136.779609547474</v>
      </c>
      <c r="I1696" s="1">
        <f t="shared" si="53"/>
        <v>110.64221894191499</v>
      </c>
    </row>
    <row r="1697" spans="1:9" x14ac:dyDescent="0.45">
      <c r="A1697" t="s">
        <v>70</v>
      </c>
      <c r="B1697" t="s">
        <v>31</v>
      </c>
      <c r="C1697" t="str">
        <f t="shared" si="52"/>
        <v>VCUKansas</v>
      </c>
      <c r="D1697" t="s">
        <v>31</v>
      </c>
      <c r="E1697">
        <v>10.1</v>
      </c>
      <c r="F1697">
        <v>14.309433962264199</v>
      </c>
      <c r="G1697">
        <v>887.28570612709302</v>
      </c>
      <c r="H1697">
        <v>138.62452070935001</v>
      </c>
      <c r="I1697" s="1">
        <f t="shared" si="53"/>
        <v>136.62057079824041</v>
      </c>
    </row>
    <row r="1698" spans="1:9" x14ac:dyDescent="0.45">
      <c r="A1698" t="s">
        <v>71</v>
      </c>
      <c r="B1698" t="s">
        <v>31</v>
      </c>
      <c r="C1698" t="str">
        <f t="shared" si="52"/>
        <v>WisconsinKansas</v>
      </c>
      <c r="D1698" t="s">
        <v>71</v>
      </c>
      <c r="E1698">
        <v>58.1</v>
      </c>
      <c r="F1698">
        <v>-2.1509433962264199</v>
      </c>
      <c r="G1698">
        <v>-138.86005873552699</v>
      </c>
      <c r="H1698">
        <v>139.425199564617</v>
      </c>
      <c r="I1698" s="1">
        <f t="shared" si="53"/>
        <v>147.89499823728028</v>
      </c>
    </row>
    <row r="1699" spans="1:9" x14ac:dyDescent="0.45">
      <c r="A1699" t="s">
        <v>80</v>
      </c>
      <c r="B1699" t="s">
        <v>31</v>
      </c>
      <c r="C1699" t="str">
        <f t="shared" si="52"/>
        <v>WoffordKansas</v>
      </c>
      <c r="D1699" t="s">
        <v>31</v>
      </c>
      <c r="E1699">
        <v>1.1000000000000001</v>
      </c>
      <c r="F1699">
        <v>29.2339622641509</v>
      </c>
      <c r="G1699">
        <v>8643.6612398307097</v>
      </c>
      <c r="H1699">
        <v>137.45465530371101</v>
      </c>
      <c r="I1699" s="1">
        <f t="shared" si="53"/>
        <v>120.14759596874818</v>
      </c>
    </row>
    <row r="1700" spans="1:9" x14ac:dyDescent="0.45">
      <c r="A1700" t="s">
        <v>72</v>
      </c>
      <c r="B1700" t="s">
        <v>31</v>
      </c>
      <c r="C1700" t="str">
        <f t="shared" si="52"/>
        <v>XavierKansas</v>
      </c>
      <c r="D1700" t="s">
        <v>31</v>
      </c>
      <c r="E1700">
        <v>10</v>
      </c>
      <c r="F1700">
        <v>14.384905660377401</v>
      </c>
      <c r="G1700">
        <v>897.67306412146104</v>
      </c>
      <c r="H1700">
        <v>138.03056887386299</v>
      </c>
      <c r="I1700" s="1">
        <f t="shared" si="53"/>
        <v>128.25708420504202</v>
      </c>
    </row>
    <row r="1701" spans="1:9" x14ac:dyDescent="0.45">
      <c r="A1701" t="s">
        <v>73</v>
      </c>
      <c r="B1701" t="s">
        <v>31</v>
      </c>
      <c r="C1701" t="str">
        <f t="shared" si="52"/>
        <v>YaleKansas</v>
      </c>
      <c r="D1701" t="s">
        <v>31</v>
      </c>
      <c r="E1701">
        <v>5.9</v>
      </c>
      <c r="F1701">
        <v>18.211320754717001</v>
      </c>
      <c r="G1701">
        <v>1608.5322547774099</v>
      </c>
      <c r="H1701">
        <v>138.82980350792599</v>
      </c>
      <c r="I1701" s="1">
        <f t="shared" si="53"/>
        <v>139.51117544179147</v>
      </c>
    </row>
    <row r="1702" spans="1:9" x14ac:dyDescent="0.45">
      <c r="A1702" t="s">
        <v>7</v>
      </c>
      <c r="B1702" t="s">
        <v>32</v>
      </c>
      <c r="C1702" t="str">
        <f t="shared" si="52"/>
        <v>AkronKentucky</v>
      </c>
      <c r="D1702" t="s">
        <v>32</v>
      </c>
      <c r="E1702">
        <v>1.9</v>
      </c>
      <c r="F1702">
        <v>26.033962264150901</v>
      </c>
      <c r="G1702">
        <v>5305.2630936848</v>
      </c>
      <c r="H1702">
        <v>137.66523136297801</v>
      </c>
      <c r="I1702" s="1">
        <f t="shared" si="53"/>
        <v>123.11273546879536</v>
      </c>
    </row>
    <row r="1703" spans="1:9" x14ac:dyDescent="0.45">
      <c r="A1703" t="s">
        <v>8</v>
      </c>
      <c r="B1703" t="s">
        <v>32</v>
      </c>
      <c r="C1703" t="str">
        <f t="shared" si="52"/>
        <v>AlabamaKentucky</v>
      </c>
      <c r="D1703" t="s">
        <v>8</v>
      </c>
      <c r="E1703">
        <v>58.1</v>
      </c>
      <c r="F1703">
        <v>-2.1396226415094302</v>
      </c>
      <c r="G1703">
        <v>-138.61708029097301</v>
      </c>
      <c r="H1703">
        <v>139.413327375118</v>
      </c>
      <c r="I1703" s="1">
        <f t="shared" si="53"/>
        <v>147.72782492157634</v>
      </c>
    </row>
    <row r="1704" spans="1:9" x14ac:dyDescent="0.45">
      <c r="A1704" t="s">
        <v>9</v>
      </c>
      <c r="B1704" t="s">
        <v>32</v>
      </c>
      <c r="C1704" t="str">
        <f t="shared" si="52"/>
        <v>Alabama St.Kentucky</v>
      </c>
      <c r="D1704" t="s">
        <v>32</v>
      </c>
      <c r="E1704">
        <v>0.3</v>
      </c>
      <c r="F1704">
        <v>38.173584905660398</v>
      </c>
      <c r="G1704">
        <v>33804.199277827</v>
      </c>
      <c r="H1704">
        <v>137.89207221879201</v>
      </c>
      <c r="I1704" s="1">
        <f t="shared" si="53"/>
        <v>126.30690096006697</v>
      </c>
    </row>
    <row r="1705" spans="1:9" x14ac:dyDescent="0.45">
      <c r="A1705" t="s">
        <v>10</v>
      </c>
      <c r="B1705" t="s">
        <v>32</v>
      </c>
      <c r="C1705" t="str">
        <f t="shared" si="52"/>
        <v>AmericanKentucky</v>
      </c>
      <c r="D1705" t="s">
        <v>32</v>
      </c>
      <c r="E1705">
        <v>0.4</v>
      </c>
      <c r="F1705">
        <v>36.909433962264202</v>
      </c>
      <c r="G1705">
        <v>27878.733045360201</v>
      </c>
      <c r="H1705">
        <v>137.983158100396</v>
      </c>
      <c r="I1705" s="1">
        <f t="shared" si="53"/>
        <v>127.58948904904891</v>
      </c>
    </row>
    <row r="1706" spans="1:9" x14ac:dyDescent="0.45">
      <c r="A1706" t="s">
        <v>11</v>
      </c>
      <c r="B1706" t="s">
        <v>32</v>
      </c>
      <c r="C1706" t="str">
        <f t="shared" si="52"/>
        <v>ArizonaKentucky</v>
      </c>
      <c r="D1706" t="s">
        <v>32</v>
      </c>
      <c r="E1706">
        <v>49.6</v>
      </c>
      <c r="F1706">
        <v>9.8113207547169803E-2</v>
      </c>
      <c r="G1706">
        <v>101.53633011751501</v>
      </c>
      <c r="H1706">
        <v>139.17568619410801</v>
      </c>
      <c r="I1706" s="1">
        <f t="shared" si="53"/>
        <v>144.38157912752268</v>
      </c>
    </row>
    <row r="1707" spans="1:9" x14ac:dyDescent="0.45">
      <c r="A1707" t="s">
        <v>12</v>
      </c>
      <c r="B1707" t="s">
        <v>32</v>
      </c>
      <c r="C1707" t="str">
        <f t="shared" si="52"/>
        <v>ArkansasKentucky</v>
      </c>
      <c r="D1707" t="s">
        <v>32</v>
      </c>
      <c r="E1707">
        <v>5.6</v>
      </c>
      <c r="F1707">
        <v>18.4905660377358</v>
      </c>
      <c r="G1707">
        <v>1679.2277520028299</v>
      </c>
      <c r="H1707">
        <v>137.29329002796601</v>
      </c>
      <c r="I1707" s="1">
        <f t="shared" si="53"/>
        <v>117.87539772022446</v>
      </c>
    </row>
    <row r="1708" spans="1:9" x14ac:dyDescent="0.45">
      <c r="A1708" t="s">
        <v>13</v>
      </c>
      <c r="B1708" t="s">
        <v>32</v>
      </c>
      <c r="C1708" t="str">
        <f t="shared" si="52"/>
        <v>AuburnKentucky</v>
      </c>
      <c r="D1708" t="s">
        <v>13</v>
      </c>
      <c r="E1708">
        <v>73.099999999999994</v>
      </c>
      <c r="F1708">
        <v>-6.5509433962264101</v>
      </c>
      <c r="G1708">
        <v>-271.65522826537102</v>
      </c>
      <c r="H1708">
        <v>140.43200943322699</v>
      </c>
      <c r="I1708" s="1">
        <f t="shared" si="53"/>
        <v>162.07197410454913</v>
      </c>
    </row>
    <row r="1709" spans="1:9" x14ac:dyDescent="0.45">
      <c r="A1709" t="s">
        <v>14</v>
      </c>
      <c r="B1709" t="s">
        <v>32</v>
      </c>
      <c r="C1709" t="str">
        <f t="shared" si="52"/>
        <v>BaylorKentucky</v>
      </c>
      <c r="D1709" t="s">
        <v>32</v>
      </c>
      <c r="E1709">
        <v>22.3</v>
      </c>
      <c r="F1709">
        <v>8.1811320754716998</v>
      </c>
      <c r="G1709">
        <v>348.31295757396703</v>
      </c>
      <c r="H1709">
        <v>138.96700744595199</v>
      </c>
      <c r="I1709" s="1">
        <f t="shared" si="53"/>
        <v>141.44315582749664</v>
      </c>
    </row>
    <row r="1710" spans="1:9" x14ac:dyDescent="0.45">
      <c r="A1710" t="s">
        <v>15</v>
      </c>
      <c r="B1710" t="s">
        <v>32</v>
      </c>
      <c r="C1710" t="str">
        <f t="shared" si="52"/>
        <v>BryantKentucky</v>
      </c>
      <c r="D1710" t="s">
        <v>32</v>
      </c>
      <c r="E1710">
        <v>1.3</v>
      </c>
      <c r="F1710">
        <v>28.4679245283019</v>
      </c>
      <c r="G1710">
        <v>7689.7067080283095</v>
      </c>
      <c r="H1710">
        <v>138.51600519584599</v>
      </c>
      <c r="I1710" s="1">
        <f t="shared" si="53"/>
        <v>135.09255457180564</v>
      </c>
    </row>
    <row r="1711" spans="1:9" x14ac:dyDescent="0.45">
      <c r="A1711" t="s">
        <v>16</v>
      </c>
      <c r="B1711" t="s">
        <v>32</v>
      </c>
      <c r="C1711" t="str">
        <f t="shared" si="52"/>
        <v>BYUKentucky</v>
      </c>
      <c r="D1711" t="s">
        <v>32</v>
      </c>
      <c r="E1711">
        <v>25.9</v>
      </c>
      <c r="F1711">
        <v>6.88679245283019</v>
      </c>
      <c r="G1711">
        <v>285.91243737187398</v>
      </c>
      <c r="H1711">
        <v>138.77652567407</v>
      </c>
      <c r="I1711" s="1">
        <f t="shared" si="53"/>
        <v>138.76096570668082</v>
      </c>
    </row>
    <row r="1712" spans="1:9" x14ac:dyDescent="0.45">
      <c r="A1712" t="s">
        <v>17</v>
      </c>
      <c r="B1712" t="s">
        <v>32</v>
      </c>
      <c r="C1712" t="str">
        <f t="shared" si="52"/>
        <v>ClemsonKentucky</v>
      </c>
      <c r="D1712" t="s">
        <v>32</v>
      </c>
      <c r="E1712">
        <v>30.9</v>
      </c>
      <c r="F1712">
        <v>5.2603773584905698</v>
      </c>
      <c r="G1712">
        <v>223.142103013015</v>
      </c>
      <c r="H1712">
        <v>138.998437530361</v>
      </c>
      <c r="I1712" s="1">
        <f t="shared" si="53"/>
        <v>141.88572553411657</v>
      </c>
    </row>
    <row r="1713" spans="1:9" x14ac:dyDescent="0.45">
      <c r="A1713" t="s">
        <v>18</v>
      </c>
      <c r="B1713" t="s">
        <v>32</v>
      </c>
      <c r="C1713" t="str">
        <f t="shared" si="52"/>
        <v>Colorado St.Kentucky</v>
      </c>
      <c r="D1713" t="s">
        <v>32</v>
      </c>
      <c r="E1713">
        <v>6.9</v>
      </c>
      <c r="F1713">
        <v>17.101886792452799</v>
      </c>
      <c r="G1713">
        <v>1358.0728022030801</v>
      </c>
      <c r="H1713">
        <v>138.305829378467</v>
      </c>
      <c r="I1713" s="1">
        <f t="shared" si="53"/>
        <v>132.13305091201408</v>
      </c>
    </row>
    <row r="1714" spans="1:9" x14ac:dyDescent="0.45">
      <c r="A1714" t="s">
        <v>19</v>
      </c>
      <c r="B1714" t="s">
        <v>32</v>
      </c>
      <c r="C1714" t="str">
        <f t="shared" si="52"/>
        <v>ConnecticutKentucky</v>
      </c>
      <c r="D1714" t="s">
        <v>32</v>
      </c>
      <c r="E1714">
        <v>43.2</v>
      </c>
      <c r="F1714">
        <v>1.8</v>
      </c>
      <c r="G1714">
        <v>131.56065008848799</v>
      </c>
      <c r="H1714">
        <v>138.941381280803</v>
      </c>
      <c r="I1714" s="1">
        <f t="shared" si="53"/>
        <v>141.08231160435699</v>
      </c>
    </row>
    <row r="1715" spans="1:9" x14ac:dyDescent="0.45">
      <c r="A1715" t="s">
        <v>20</v>
      </c>
      <c r="B1715" t="s">
        <v>32</v>
      </c>
      <c r="C1715" t="str">
        <f t="shared" si="52"/>
        <v>CreightonKentucky</v>
      </c>
      <c r="D1715" t="s">
        <v>32</v>
      </c>
      <c r="E1715">
        <v>19</v>
      </c>
      <c r="F1715">
        <v>9.4905660377358494</v>
      </c>
      <c r="G1715">
        <v>425.31043471579198</v>
      </c>
      <c r="H1715">
        <v>138.41432364306601</v>
      </c>
      <c r="I1715" s="1">
        <f t="shared" si="53"/>
        <v>133.66076793080023</v>
      </c>
    </row>
    <row r="1716" spans="1:9" x14ac:dyDescent="0.45">
      <c r="A1716" t="s">
        <v>21</v>
      </c>
      <c r="B1716" t="s">
        <v>32</v>
      </c>
      <c r="C1716" t="str">
        <f t="shared" si="52"/>
        <v>DrakeKentucky</v>
      </c>
      <c r="D1716" t="s">
        <v>32</v>
      </c>
      <c r="E1716">
        <v>6.8</v>
      </c>
      <c r="F1716">
        <v>17.150943396226399</v>
      </c>
      <c r="G1716">
        <v>1368.6139089784001</v>
      </c>
      <c r="H1716">
        <v>138.46778874722099</v>
      </c>
      <c r="I1716" s="1">
        <f t="shared" si="53"/>
        <v>134.41361463500729</v>
      </c>
    </row>
    <row r="1717" spans="1:9" x14ac:dyDescent="0.45">
      <c r="A1717" t="s">
        <v>22</v>
      </c>
      <c r="B1717" t="s">
        <v>32</v>
      </c>
      <c r="C1717" t="str">
        <f t="shared" si="52"/>
        <v>DukeKentucky</v>
      </c>
      <c r="D1717" t="s">
        <v>22</v>
      </c>
      <c r="E1717">
        <v>79.900000000000006</v>
      </c>
      <c r="F1717">
        <v>-9.0603773584905696</v>
      </c>
      <c r="G1717">
        <v>-398.315757013449</v>
      </c>
      <c r="H1717">
        <v>140.755109208677</v>
      </c>
      <c r="I1717" s="1">
        <f t="shared" si="53"/>
        <v>166.6215696757553</v>
      </c>
    </row>
    <row r="1718" spans="1:9" x14ac:dyDescent="0.45">
      <c r="A1718" t="s">
        <v>23</v>
      </c>
      <c r="B1718" t="s">
        <v>32</v>
      </c>
      <c r="C1718" t="str">
        <f t="shared" si="52"/>
        <v>FloridaKentucky</v>
      </c>
      <c r="D1718" t="s">
        <v>23</v>
      </c>
      <c r="E1718">
        <v>68.7</v>
      </c>
      <c r="F1718">
        <v>-5.1622641509434004</v>
      </c>
      <c r="G1718">
        <v>-219.725702443356</v>
      </c>
      <c r="H1718">
        <v>140.47886548461901</v>
      </c>
      <c r="I1718" s="1">
        <f t="shared" si="53"/>
        <v>162.73175817156186</v>
      </c>
    </row>
    <row r="1719" spans="1:9" x14ac:dyDescent="0.45">
      <c r="A1719" t="s">
        <v>24</v>
      </c>
      <c r="B1719" t="s">
        <v>32</v>
      </c>
      <c r="C1719" t="str">
        <f t="shared" si="52"/>
        <v>GeorgiaKentucky</v>
      </c>
      <c r="D1719" t="s">
        <v>32</v>
      </c>
      <c r="E1719">
        <v>7.6</v>
      </c>
      <c r="F1719">
        <v>16.3471698113208</v>
      </c>
      <c r="G1719">
        <v>1210.46955421189</v>
      </c>
      <c r="H1719">
        <v>137.620679008964</v>
      </c>
      <c r="I1719" s="1">
        <f t="shared" si="53"/>
        <v>122.48538996158601</v>
      </c>
    </row>
    <row r="1720" spans="1:9" x14ac:dyDescent="0.45">
      <c r="A1720" t="s">
        <v>25</v>
      </c>
      <c r="B1720" t="s">
        <v>32</v>
      </c>
      <c r="C1720" t="str">
        <f t="shared" si="52"/>
        <v>GonzagaKentucky</v>
      </c>
      <c r="D1720" t="s">
        <v>32</v>
      </c>
      <c r="E1720">
        <v>31.7</v>
      </c>
      <c r="F1720">
        <v>5.0188679245283003</v>
      </c>
      <c r="G1720">
        <v>215.04661624616099</v>
      </c>
      <c r="H1720">
        <v>139.75832012849199</v>
      </c>
      <c r="I1720" s="1">
        <f t="shared" si="53"/>
        <v>152.58569738732612</v>
      </c>
    </row>
    <row r="1721" spans="1:9" x14ac:dyDescent="0.45">
      <c r="A1721" t="s">
        <v>26</v>
      </c>
      <c r="B1721" t="s">
        <v>32</v>
      </c>
      <c r="C1721" t="str">
        <f t="shared" si="52"/>
        <v>Grand CanyonKentucky</v>
      </c>
      <c r="D1721" t="s">
        <v>32</v>
      </c>
      <c r="E1721">
        <v>4.3</v>
      </c>
      <c r="F1721">
        <v>20.267924528301901</v>
      </c>
      <c r="G1721">
        <v>2201.9893278736699</v>
      </c>
      <c r="H1721">
        <v>138.41028837479601</v>
      </c>
      <c r="I1721" s="1">
        <f t="shared" si="53"/>
        <v>133.6039469731742</v>
      </c>
    </row>
    <row r="1722" spans="1:9" x14ac:dyDescent="0.45">
      <c r="A1722" t="s">
        <v>27</v>
      </c>
      <c r="B1722" t="s">
        <v>32</v>
      </c>
      <c r="C1722" t="str">
        <f t="shared" si="52"/>
        <v>High PointKentucky</v>
      </c>
      <c r="D1722" t="s">
        <v>32</v>
      </c>
      <c r="E1722">
        <v>2.9</v>
      </c>
      <c r="F1722">
        <v>23.0415094339623</v>
      </c>
      <c r="G1722">
        <v>3361.1761908885801</v>
      </c>
      <c r="H1722">
        <v>138.69118012245201</v>
      </c>
      <c r="I1722" s="1">
        <f t="shared" si="53"/>
        <v>137.5592076951732</v>
      </c>
    </row>
    <row r="1723" spans="1:9" x14ac:dyDescent="0.45">
      <c r="A1723" t="s">
        <v>28</v>
      </c>
      <c r="B1723" t="s">
        <v>32</v>
      </c>
      <c r="C1723" t="str">
        <f t="shared" si="52"/>
        <v>HoustonKentucky</v>
      </c>
      <c r="D1723" t="s">
        <v>28</v>
      </c>
      <c r="E1723">
        <v>87.2</v>
      </c>
      <c r="F1723">
        <v>-12.5735849056604</v>
      </c>
      <c r="G1723">
        <v>-680.79245381910698</v>
      </c>
      <c r="H1723">
        <v>140.898773558306</v>
      </c>
      <c r="I1723" s="1">
        <f t="shared" si="53"/>
        <v>168.64451966976875</v>
      </c>
    </row>
    <row r="1724" spans="1:9" x14ac:dyDescent="0.45">
      <c r="A1724" t="s">
        <v>29</v>
      </c>
      <c r="B1724" t="s">
        <v>32</v>
      </c>
      <c r="C1724" t="str">
        <f t="shared" si="52"/>
        <v>IllinoisKentucky</v>
      </c>
      <c r="D1724" t="s">
        <v>32</v>
      </c>
      <c r="E1724">
        <v>40.4</v>
      </c>
      <c r="F1724">
        <v>2.5358490566037699</v>
      </c>
      <c r="G1724">
        <v>147.26105753499601</v>
      </c>
      <c r="H1724">
        <v>138.949018712243</v>
      </c>
      <c r="I1724" s="1">
        <f t="shared" si="53"/>
        <v>141.18985492965467</v>
      </c>
    </row>
    <row r="1725" spans="1:9" x14ac:dyDescent="0.45">
      <c r="A1725" t="s">
        <v>30</v>
      </c>
      <c r="B1725" t="s">
        <v>32</v>
      </c>
      <c r="C1725" t="str">
        <f t="shared" si="52"/>
        <v>Iowa St.Kentucky</v>
      </c>
      <c r="D1725" t="s">
        <v>30</v>
      </c>
      <c r="E1725">
        <v>58.9</v>
      </c>
      <c r="F1725">
        <v>-2.3471698113207502</v>
      </c>
      <c r="G1725">
        <v>-143.03834090088199</v>
      </c>
      <c r="H1725">
        <v>139.87528729060099</v>
      </c>
      <c r="I1725" s="1">
        <f t="shared" si="53"/>
        <v>154.23272200059463</v>
      </c>
    </row>
    <row r="1726" spans="1:9" x14ac:dyDescent="0.45">
      <c r="A1726" t="s">
        <v>31</v>
      </c>
      <c r="B1726" t="s">
        <v>32</v>
      </c>
      <c r="C1726" t="str">
        <f t="shared" si="52"/>
        <v>KansasKentucky</v>
      </c>
      <c r="D1726" t="s">
        <v>32</v>
      </c>
      <c r="E1726">
        <v>29.4</v>
      </c>
      <c r="F1726">
        <v>5.7547169811320797</v>
      </c>
      <c r="G1726">
        <v>240.63512604051999</v>
      </c>
      <c r="H1726">
        <v>138.83067757491301</v>
      </c>
      <c r="I1726" s="1">
        <f t="shared" si="53"/>
        <v>139.52348325379029</v>
      </c>
    </row>
    <row r="1727" spans="1:9" x14ac:dyDescent="0.45">
      <c r="A1727" t="s">
        <v>32</v>
      </c>
      <c r="B1727" t="s">
        <v>32</v>
      </c>
      <c r="C1727" t="str">
        <f t="shared" si="52"/>
        <v>KentuckyKentucky</v>
      </c>
      <c r="D1727" t="s">
        <v>32</v>
      </c>
      <c r="E1727">
        <v>41.2</v>
      </c>
      <c r="F1727">
        <v>2.3283018867924499</v>
      </c>
      <c r="G1727">
        <v>142.64273539779199</v>
      </c>
      <c r="H1727">
        <v>138.77771517530499</v>
      </c>
      <c r="I1727" s="1">
        <f t="shared" si="53"/>
        <v>138.77771517530277</v>
      </c>
    </row>
    <row r="1728" spans="1:9" x14ac:dyDescent="0.45">
      <c r="A1728" t="s">
        <v>33</v>
      </c>
      <c r="B1728" t="s">
        <v>32</v>
      </c>
      <c r="C1728" t="str">
        <f t="shared" si="52"/>
        <v>LibertyKentucky</v>
      </c>
      <c r="D1728" t="s">
        <v>32</v>
      </c>
      <c r="E1728">
        <v>1.9</v>
      </c>
      <c r="F1728">
        <v>25.818867924528298</v>
      </c>
      <c r="G1728">
        <v>5133.4547332292896</v>
      </c>
      <c r="H1728">
        <v>137.98665142370399</v>
      </c>
      <c r="I1728" s="1">
        <f t="shared" si="53"/>
        <v>127.63867883331508</v>
      </c>
    </row>
    <row r="1729" spans="1:9" x14ac:dyDescent="0.45">
      <c r="A1729" t="s">
        <v>34</v>
      </c>
      <c r="B1729" t="s">
        <v>32</v>
      </c>
      <c r="C1729" t="str">
        <f t="shared" si="52"/>
        <v>LipscombKentucky</v>
      </c>
      <c r="D1729" t="s">
        <v>32</v>
      </c>
      <c r="E1729">
        <v>1.5</v>
      </c>
      <c r="F1729">
        <v>27.558490566037701</v>
      </c>
      <c r="G1729">
        <v>6696.3722205977501</v>
      </c>
      <c r="H1729">
        <v>138.41857165496199</v>
      </c>
      <c r="I1729" s="1">
        <f t="shared" si="53"/>
        <v>133.72058454961859</v>
      </c>
    </row>
    <row r="1730" spans="1:9" x14ac:dyDescent="0.45">
      <c r="A1730" t="s">
        <v>35</v>
      </c>
      <c r="B1730" t="s">
        <v>32</v>
      </c>
      <c r="C1730" t="str">
        <f t="shared" si="52"/>
        <v>LouisvilleKentucky</v>
      </c>
      <c r="D1730" t="s">
        <v>32</v>
      </c>
      <c r="E1730">
        <v>3.7</v>
      </c>
      <c r="F1730">
        <v>21.452830188679201</v>
      </c>
      <c r="G1730">
        <v>2637.70555885974</v>
      </c>
      <c r="H1730">
        <v>137.70429496693001</v>
      </c>
      <c r="I1730" s="1">
        <f t="shared" si="53"/>
        <v>123.66279341695657</v>
      </c>
    </row>
    <row r="1731" spans="1:9" x14ac:dyDescent="0.45">
      <c r="A1731" t="s">
        <v>36</v>
      </c>
      <c r="B1731" t="s">
        <v>32</v>
      </c>
      <c r="C1731" t="str">
        <f t="shared" ref="C1731:C1794" si="54">A1731&amp;B1731</f>
        <v>MarquetteKentucky</v>
      </c>
      <c r="D1731" t="s">
        <v>32</v>
      </c>
      <c r="E1731">
        <v>34.799999999999997</v>
      </c>
      <c r="F1731">
        <v>4.1056603773584897</v>
      </c>
      <c r="G1731">
        <v>187.120301448444</v>
      </c>
      <c r="H1731">
        <v>139.036051601835</v>
      </c>
      <c r="I1731" s="1">
        <f t="shared" ref="I1731:I1794" si="55">18*(H1731-AVERAGE($H$2:$H$4625))/_xlfn.STDEV.P($H$2:$H$4625)+AVERAGE($H$2:$H$4625)</f>
        <v>142.41537249148377</v>
      </c>
    </row>
    <row r="1732" spans="1:9" x14ac:dyDescent="0.45">
      <c r="A1732" t="s">
        <v>37</v>
      </c>
      <c r="B1732" t="s">
        <v>32</v>
      </c>
      <c r="C1732" t="str">
        <f t="shared" si="54"/>
        <v>MarylandKentucky</v>
      </c>
      <c r="D1732" t="s">
        <v>32</v>
      </c>
      <c r="E1732">
        <v>26.6</v>
      </c>
      <c r="F1732">
        <v>6.6528301886792498</v>
      </c>
      <c r="G1732">
        <v>275.84509544698102</v>
      </c>
      <c r="H1732">
        <v>138.645990913513</v>
      </c>
      <c r="I1732" s="1">
        <f t="shared" si="55"/>
        <v>136.92289457929786</v>
      </c>
    </row>
    <row r="1733" spans="1:9" x14ac:dyDescent="0.45">
      <c r="A1733" t="s">
        <v>38</v>
      </c>
      <c r="B1733" t="s">
        <v>32</v>
      </c>
      <c r="C1733" t="str">
        <f t="shared" si="54"/>
        <v>McNeese St.Kentucky</v>
      </c>
      <c r="D1733" t="s">
        <v>32</v>
      </c>
      <c r="E1733">
        <v>6.1</v>
      </c>
      <c r="F1733">
        <v>17.9584905660377</v>
      </c>
      <c r="G1733">
        <v>1548.15495853315</v>
      </c>
      <c r="H1733">
        <v>138.48140252771501</v>
      </c>
      <c r="I1733" s="1">
        <f t="shared" si="55"/>
        <v>134.6053114424615</v>
      </c>
    </row>
    <row r="1734" spans="1:9" x14ac:dyDescent="0.45">
      <c r="A1734" t="s">
        <v>39</v>
      </c>
      <c r="B1734" t="s">
        <v>32</v>
      </c>
      <c r="C1734" t="str">
        <f t="shared" si="54"/>
        <v>MemphisKentucky</v>
      </c>
      <c r="D1734" t="s">
        <v>32</v>
      </c>
      <c r="E1734">
        <v>15.7</v>
      </c>
      <c r="F1734">
        <v>11.037735849056601</v>
      </c>
      <c r="G1734">
        <v>538.55711880499803</v>
      </c>
      <c r="H1734">
        <v>137.62362572653299</v>
      </c>
      <c r="I1734" s="1">
        <f t="shared" si="55"/>
        <v>122.52688294369284</v>
      </c>
    </row>
    <row r="1735" spans="1:9" x14ac:dyDescent="0.45">
      <c r="A1735" t="s">
        <v>40</v>
      </c>
      <c r="B1735" t="s">
        <v>32</v>
      </c>
      <c r="C1735" t="str">
        <f t="shared" si="54"/>
        <v>MichiganKentucky</v>
      </c>
      <c r="D1735" t="s">
        <v>32</v>
      </c>
      <c r="E1735">
        <v>8.9</v>
      </c>
      <c r="F1735">
        <v>15.2264150943396</v>
      </c>
      <c r="G1735">
        <v>1020.23639108104</v>
      </c>
      <c r="H1735">
        <v>137.280546811216</v>
      </c>
      <c r="I1735" s="1">
        <f t="shared" si="55"/>
        <v>117.69595939530448</v>
      </c>
    </row>
    <row r="1736" spans="1:9" x14ac:dyDescent="0.45">
      <c r="A1736" t="s">
        <v>41</v>
      </c>
      <c r="B1736" t="s">
        <v>32</v>
      </c>
      <c r="C1736" t="str">
        <f t="shared" si="54"/>
        <v>Michigan St.Kentucky</v>
      </c>
      <c r="D1736" t="s">
        <v>32</v>
      </c>
      <c r="E1736">
        <v>48.5</v>
      </c>
      <c r="F1736">
        <v>0.40377358490566001</v>
      </c>
      <c r="G1736">
        <v>106.322939558138</v>
      </c>
      <c r="H1736">
        <v>138.979438772046</v>
      </c>
      <c r="I1736" s="1">
        <f t="shared" si="55"/>
        <v>141.61820239341495</v>
      </c>
    </row>
    <row r="1737" spans="1:9" x14ac:dyDescent="0.45">
      <c r="A1737" t="s">
        <v>42</v>
      </c>
      <c r="B1737" t="s">
        <v>32</v>
      </c>
      <c r="C1737" t="str">
        <f t="shared" si="54"/>
        <v>MississippiKentucky</v>
      </c>
      <c r="D1737" t="s">
        <v>32</v>
      </c>
      <c r="E1737">
        <v>19.5</v>
      </c>
      <c r="F1737">
        <v>9.3132075471698101</v>
      </c>
      <c r="G1737">
        <v>413.948073321138</v>
      </c>
      <c r="H1737">
        <v>138.11035987714001</v>
      </c>
      <c r="I1737" s="1">
        <f t="shared" si="55"/>
        <v>129.380628146308</v>
      </c>
    </row>
    <row r="1738" spans="1:9" x14ac:dyDescent="0.45">
      <c r="A1738" t="s">
        <v>43</v>
      </c>
      <c r="B1738" t="s">
        <v>32</v>
      </c>
      <c r="C1738" t="str">
        <f t="shared" si="54"/>
        <v>Mississippi St.Kentucky</v>
      </c>
      <c r="D1738" t="s">
        <v>32</v>
      </c>
      <c r="E1738">
        <v>15.4</v>
      </c>
      <c r="F1738">
        <v>11.1622641509434</v>
      </c>
      <c r="G1738">
        <v>548.82912158274701</v>
      </c>
      <c r="H1738">
        <v>138.23473123092899</v>
      </c>
      <c r="I1738" s="1">
        <f t="shared" si="55"/>
        <v>131.13191181586529</v>
      </c>
    </row>
    <row r="1739" spans="1:9" x14ac:dyDescent="0.45">
      <c r="A1739" t="s">
        <v>44</v>
      </c>
      <c r="B1739" t="s">
        <v>32</v>
      </c>
      <c r="C1739" t="str">
        <f t="shared" si="54"/>
        <v>MissouriKentucky</v>
      </c>
      <c r="D1739" t="s">
        <v>32</v>
      </c>
      <c r="E1739">
        <v>7.4</v>
      </c>
      <c r="F1739">
        <v>16.5735849056604</v>
      </c>
      <c r="G1739">
        <v>1253.2453113838201</v>
      </c>
      <c r="H1739">
        <v>137.49920316710299</v>
      </c>
      <c r="I1739" s="1">
        <f t="shared" si="55"/>
        <v>120.77487824312483</v>
      </c>
    </row>
    <row r="1740" spans="1:9" x14ac:dyDescent="0.45">
      <c r="A1740" t="s">
        <v>45</v>
      </c>
      <c r="B1740" t="s">
        <v>32</v>
      </c>
      <c r="C1740" t="str">
        <f t="shared" si="54"/>
        <v>MontanaKentucky</v>
      </c>
      <c r="D1740" t="s">
        <v>32</v>
      </c>
      <c r="E1740">
        <v>0.8</v>
      </c>
      <c r="F1740">
        <v>31.8301886792453</v>
      </c>
      <c r="G1740">
        <v>12847.7820466633</v>
      </c>
      <c r="H1740">
        <v>136.807937892122</v>
      </c>
      <c r="I1740" s="1">
        <f t="shared" si="55"/>
        <v>111.04111278568399</v>
      </c>
    </row>
    <row r="1741" spans="1:9" x14ac:dyDescent="0.45">
      <c r="A1741" t="s">
        <v>46</v>
      </c>
      <c r="B1741" t="s">
        <v>32</v>
      </c>
      <c r="C1741" t="str">
        <f t="shared" si="54"/>
        <v>Mount St. Mary'sKentucky</v>
      </c>
      <c r="D1741" t="s">
        <v>32</v>
      </c>
      <c r="E1741">
        <v>0.3</v>
      </c>
      <c r="F1741">
        <v>37.947169811320798</v>
      </c>
      <c r="G1741">
        <v>32660.9532803855</v>
      </c>
      <c r="H1741">
        <v>138.15581211406899</v>
      </c>
      <c r="I1741" s="1">
        <f t="shared" si="55"/>
        <v>130.02064498180562</v>
      </c>
    </row>
    <row r="1742" spans="1:9" x14ac:dyDescent="0.45">
      <c r="A1742" t="s">
        <v>47</v>
      </c>
      <c r="B1742" t="s">
        <v>32</v>
      </c>
      <c r="C1742" t="str">
        <f t="shared" si="54"/>
        <v>Nebraska OmahaKentucky</v>
      </c>
      <c r="D1742" t="s">
        <v>32</v>
      </c>
      <c r="E1742">
        <v>0.4</v>
      </c>
      <c r="F1742">
        <v>36.230188679245302</v>
      </c>
      <c r="G1742">
        <v>25139.607500070801</v>
      </c>
      <c r="H1742">
        <v>137.439813293969</v>
      </c>
      <c r="I1742" s="1">
        <f t="shared" si="55"/>
        <v>119.93860436020866</v>
      </c>
    </row>
    <row r="1743" spans="1:9" x14ac:dyDescent="0.45">
      <c r="A1743" t="s">
        <v>48</v>
      </c>
      <c r="B1743" t="s">
        <v>32</v>
      </c>
      <c r="C1743" t="str">
        <f t="shared" si="54"/>
        <v>New MexicoKentucky</v>
      </c>
      <c r="D1743" t="s">
        <v>32</v>
      </c>
      <c r="E1743">
        <v>9.1999999999999993</v>
      </c>
      <c r="F1743">
        <v>14.9849056603774</v>
      </c>
      <c r="G1743">
        <v>983.38361070040696</v>
      </c>
      <c r="H1743">
        <v>138.317557641245</v>
      </c>
      <c r="I1743" s="1">
        <f t="shared" si="55"/>
        <v>132.29819758325038</v>
      </c>
    </row>
    <row r="1744" spans="1:9" x14ac:dyDescent="0.45">
      <c r="A1744" t="s">
        <v>49</v>
      </c>
      <c r="B1744" t="s">
        <v>32</v>
      </c>
      <c r="C1744" t="str">
        <f t="shared" si="54"/>
        <v>Norfolk St.Kentucky</v>
      </c>
      <c r="D1744" t="s">
        <v>32</v>
      </c>
      <c r="E1744">
        <v>0.6</v>
      </c>
      <c r="F1744">
        <v>33.698113207547202</v>
      </c>
      <c r="G1744">
        <v>17083.460869926301</v>
      </c>
      <c r="H1744">
        <v>137.32992130344601</v>
      </c>
      <c r="I1744" s="1">
        <f t="shared" si="55"/>
        <v>118.39120584314669</v>
      </c>
    </row>
    <row r="1745" spans="1:9" x14ac:dyDescent="0.45">
      <c r="A1745" t="s">
        <v>50</v>
      </c>
      <c r="B1745" t="s">
        <v>32</v>
      </c>
      <c r="C1745" t="str">
        <f t="shared" si="54"/>
        <v>North CarolinaKentucky</v>
      </c>
      <c r="D1745" t="s">
        <v>32</v>
      </c>
      <c r="E1745">
        <v>25.7</v>
      </c>
      <c r="F1745">
        <v>6.9433962264150901</v>
      </c>
      <c r="G1745">
        <v>288.42302865855697</v>
      </c>
      <c r="H1745">
        <v>139.401852735402</v>
      </c>
      <c r="I1745" s="1">
        <f t="shared" si="55"/>
        <v>147.56624953836729</v>
      </c>
    </row>
    <row r="1746" spans="1:9" x14ac:dyDescent="0.45">
      <c r="A1746" t="s">
        <v>51</v>
      </c>
      <c r="B1746" t="s">
        <v>32</v>
      </c>
      <c r="C1746" t="str">
        <f t="shared" si="54"/>
        <v>OklahomaKentucky</v>
      </c>
      <c r="D1746" t="s">
        <v>32</v>
      </c>
      <c r="E1746">
        <v>10.199999999999999</v>
      </c>
      <c r="F1746">
        <v>14.2490566037736</v>
      </c>
      <c r="G1746">
        <v>879.10035396729597</v>
      </c>
      <c r="H1746">
        <v>137.744456030907</v>
      </c>
      <c r="I1746" s="1">
        <f t="shared" si="55"/>
        <v>124.22830479358996</v>
      </c>
    </row>
    <row r="1747" spans="1:9" x14ac:dyDescent="0.45">
      <c r="A1747" t="s">
        <v>52</v>
      </c>
      <c r="B1747" t="s">
        <v>32</v>
      </c>
      <c r="C1747" t="str">
        <f t="shared" si="54"/>
        <v>OregonKentucky</v>
      </c>
      <c r="D1747" t="s">
        <v>32</v>
      </c>
      <c r="E1747">
        <v>27.3</v>
      </c>
      <c r="F1747">
        <v>6.4226415094339604</v>
      </c>
      <c r="G1747">
        <v>266.44897156393802</v>
      </c>
      <c r="H1747">
        <v>138.33883381904701</v>
      </c>
      <c r="I1747" s="1">
        <f t="shared" si="55"/>
        <v>132.59778926252466</v>
      </c>
    </row>
    <row r="1748" spans="1:9" x14ac:dyDescent="0.45">
      <c r="A1748" t="s">
        <v>53</v>
      </c>
      <c r="B1748" t="s">
        <v>32</v>
      </c>
      <c r="C1748" t="str">
        <f t="shared" si="54"/>
        <v>PurdueKentucky</v>
      </c>
      <c r="D1748" t="s">
        <v>53</v>
      </c>
      <c r="E1748">
        <v>66.5</v>
      </c>
      <c r="F1748">
        <v>-4.4867924528301897</v>
      </c>
      <c r="G1748">
        <v>-198.24106496716601</v>
      </c>
      <c r="H1748">
        <v>139.68682114783601</v>
      </c>
      <c r="I1748" s="1">
        <f t="shared" si="55"/>
        <v>151.57891412576205</v>
      </c>
    </row>
    <row r="1749" spans="1:9" x14ac:dyDescent="0.45">
      <c r="A1749" t="s">
        <v>54</v>
      </c>
      <c r="B1749" t="s">
        <v>32</v>
      </c>
      <c r="C1749" t="str">
        <f t="shared" si="54"/>
        <v>Robert MorrisKentucky</v>
      </c>
      <c r="D1749" t="s">
        <v>32</v>
      </c>
      <c r="E1749">
        <v>0.2</v>
      </c>
      <c r="F1749">
        <v>39.456603773584902</v>
      </c>
      <c r="G1749">
        <v>41113.775433229202</v>
      </c>
      <c r="H1749">
        <v>136.74545799659899</v>
      </c>
      <c r="I1749" s="1">
        <f t="shared" si="55"/>
        <v>110.16132803323404</v>
      </c>
    </row>
    <row r="1750" spans="1:9" x14ac:dyDescent="0.45">
      <c r="A1750" t="s">
        <v>55</v>
      </c>
      <c r="B1750" t="s">
        <v>32</v>
      </c>
      <c r="C1750" t="str">
        <f t="shared" si="54"/>
        <v>Saint FrancisKentucky</v>
      </c>
      <c r="D1750" t="s">
        <v>32</v>
      </c>
      <c r="E1750">
        <v>0.2</v>
      </c>
      <c r="F1750">
        <v>42.181132075471702</v>
      </c>
      <c r="G1750">
        <v>62316.389026117198</v>
      </c>
      <c r="H1750">
        <v>137.79831352980599</v>
      </c>
      <c r="I1750" s="1">
        <f t="shared" si="55"/>
        <v>124.98667684174698</v>
      </c>
    </row>
    <row r="1751" spans="1:9" x14ac:dyDescent="0.45">
      <c r="A1751" t="s">
        <v>56</v>
      </c>
      <c r="B1751" t="s">
        <v>32</v>
      </c>
      <c r="C1751" t="str">
        <f t="shared" si="54"/>
        <v>Saint Mary'sKentucky</v>
      </c>
      <c r="D1751" t="s">
        <v>32</v>
      </c>
      <c r="E1751">
        <v>24.2</v>
      </c>
      <c r="F1751">
        <v>7.4679245283018902</v>
      </c>
      <c r="G1751">
        <v>312.405452245623</v>
      </c>
      <c r="H1751">
        <v>139.049568730896</v>
      </c>
      <c r="I1751" s="1">
        <f t="shared" si="55"/>
        <v>142.60570834184361</v>
      </c>
    </row>
    <row r="1752" spans="1:9" x14ac:dyDescent="0.45">
      <c r="A1752" t="s">
        <v>57</v>
      </c>
      <c r="B1752" t="s">
        <v>32</v>
      </c>
      <c r="C1752" t="str">
        <f t="shared" si="54"/>
        <v>San Diego St.Kentucky</v>
      </c>
      <c r="D1752" t="s">
        <v>32</v>
      </c>
      <c r="E1752">
        <v>8.5</v>
      </c>
      <c r="F1752">
        <v>15.558490566037699</v>
      </c>
      <c r="G1752">
        <v>1073.64249047612</v>
      </c>
      <c r="H1752">
        <v>138.19582361069399</v>
      </c>
      <c r="I1752" s="1">
        <f t="shared" si="55"/>
        <v>130.58405028776377</v>
      </c>
    </row>
    <row r="1753" spans="1:9" x14ac:dyDescent="0.45">
      <c r="A1753" t="s">
        <v>58</v>
      </c>
      <c r="B1753" t="s">
        <v>32</v>
      </c>
      <c r="C1753" t="str">
        <f t="shared" si="54"/>
        <v>SIU EdwardsvilleKentucky</v>
      </c>
      <c r="D1753" t="s">
        <v>32</v>
      </c>
      <c r="E1753">
        <v>0.5</v>
      </c>
      <c r="F1753">
        <v>35.158490566037699</v>
      </c>
      <c r="G1753">
        <v>21342.0758811265</v>
      </c>
      <c r="H1753">
        <v>138.343511377542</v>
      </c>
      <c r="I1753" s="1">
        <f t="shared" si="55"/>
        <v>132.66365436374062</v>
      </c>
    </row>
    <row r="1754" spans="1:9" x14ac:dyDescent="0.45">
      <c r="A1754" t="s">
        <v>59</v>
      </c>
      <c r="B1754" t="s">
        <v>32</v>
      </c>
      <c r="C1754" t="str">
        <f t="shared" si="54"/>
        <v>St. John'sKentucky</v>
      </c>
      <c r="D1754" t="s">
        <v>32</v>
      </c>
      <c r="E1754">
        <v>50</v>
      </c>
      <c r="F1754">
        <v>0</v>
      </c>
      <c r="G1754">
        <v>100.006712741583</v>
      </c>
      <c r="H1754">
        <v>139.321194150087</v>
      </c>
      <c r="I1754" s="1">
        <f t="shared" si="55"/>
        <v>146.43048910022455</v>
      </c>
    </row>
    <row r="1755" spans="1:9" x14ac:dyDescent="0.45">
      <c r="A1755" t="s">
        <v>60</v>
      </c>
      <c r="B1755" t="s">
        <v>32</v>
      </c>
      <c r="C1755" t="str">
        <f t="shared" si="54"/>
        <v>TennesseeKentucky</v>
      </c>
      <c r="D1755" t="s">
        <v>60</v>
      </c>
      <c r="E1755">
        <v>66.7</v>
      </c>
      <c r="F1755">
        <v>-4.5433962264150898</v>
      </c>
      <c r="G1755">
        <v>-200.036983168196</v>
      </c>
      <c r="H1755">
        <v>139.915177026778</v>
      </c>
      <c r="I1755" s="1">
        <f t="shared" si="55"/>
        <v>154.79441278727103</v>
      </c>
    </row>
    <row r="1756" spans="1:9" x14ac:dyDescent="0.45">
      <c r="A1756" t="s">
        <v>61</v>
      </c>
      <c r="B1756" t="s">
        <v>32</v>
      </c>
      <c r="C1756" t="str">
        <f t="shared" si="54"/>
        <v>TexasKentucky</v>
      </c>
      <c r="D1756" t="s">
        <v>32</v>
      </c>
      <c r="E1756">
        <v>7.6</v>
      </c>
      <c r="F1756">
        <v>16.407547169811298</v>
      </c>
      <c r="G1756">
        <v>1221.9583931033301</v>
      </c>
      <c r="H1756">
        <v>137.67089155785001</v>
      </c>
      <c r="I1756" s="1">
        <f t="shared" si="55"/>
        <v>123.19243715687603</v>
      </c>
    </row>
    <row r="1757" spans="1:9" x14ac:dyDescent="0.45">
      <c r="A1757" t="s">
        <v>62</v>
      </c>
      <c r="B1757" t="s">
        <v>32</v>
      </c>
      <c r="C1757" t="str">
        <f t="shared" si="54"/>
        <v>Texas A&amp;MKentucky</v>
      </c>
      <c r="D1757" t="s">
        <v>32</v>
      </c>
      <c r="E1757">
        <v>32.1</v>
      </c>
      <c r="F1757">
        <v>4.9132075471698098</v>
      </c>
      <c r="G1757">
        <v>211.570711010808</v>
      </c>
      <c r="H1757">
        <v>138.46869058544399</v>
      </c>
      <c r="I1757" s="1">
        <f t="shared" si="55"/>
        <v>134.42631349615505</v>
      </c>
    </row>
    <row r="1758" spans="1:9" x14ac:dyDescent="0.45">
      <c r="A1758" t="s">
        <v>63</v>
      </c>
      <c r="B1758" t="s">
        <v>32</v>
      </c>
      <c r="C1758" t="str">
        <f t="shared" si="54"/>
        <v>Texas TechKentucky</v>
      </c>
      <c r="D1758" t="s">
        <v>32</v>
      </c>
      <c r="E1758">
        <v>48.2</v>
      </c>
      <c r="F1758">
        <v>0.46037735849056599</v>
      </c>
      <c r="G1758">
        <v>107.28500174478501</v>
      </c>
      <c r="H1758">
        <v>139.50847470450799</v>
      </c>
      <c r="I1758" s="1">
        <f t="shared" si="55"/>
        <v>149.0676026041881</v>
      </c>
    </row>
    <row r="1759" spans="1:9" x14ac:dyDescent="0.45">
      <c r="A1759" t="s">
        <v>64</v>
      </c>
      <c r="B1759" t="s">
        <v>32</v>
      </c>
      <c r="C1759" t="str">
        <f t="shared" si="54"/>
        <v>TroyKentucky</v>
      </c>
      <c r="D1759" t="s">
        <v>32</v>
      </c>
      <c r="E1759">
        <v>1.3</v>
      </c>
      <c r="F1759">
        <v>28.407547169811298</v>
      </c>
      <c r="G1759">
        <v>7620.7886544514804</v>
      </c>
      <c r="H1759">
        <v>138.21203912423701</v>
      </c>
      <c r="I1759" s="1">
        <f t="shared" si="55"/>
        <v>130.81238232079411</v>
      </c>
    </row>
    <row r="1760" spans="1:9" x14ac:dyDescent="0.45">
      <c r="A1760" t="s">
        <v>65</v>
      </c>
      <c r="B1760" t="s">
        <v>32</v>
      </c>
      <c r="C1760" t="str">
        <f t="shared" si="54"/>
        <v>UC San DiegoKentucky</v>
      </c>
      <c r="D1760" t="s">
        <v>32</v>
      </c>
      <c r="E1760">
        <v>3.2</v>
      </c>
      <c r="F1760">
        <v>22.245283018867902</v>
      </c>
      <c r="G1760">
        <v>2977.5134957105402</v>
      </c>
      <c r="H1760">
        <v>138.30016086762799</v>
      </c>
      <c r="I1760" s="1">
        <f t="shared" si="55"/>
        <v>132.05323212609096</v>
      </c>
    </row>
    <row r="1761" spans="1:9" x14ac:dyDescent="0.45">
      <c r="A1761" t="s">
        <v>66</v>
      </c>
      <c r="B1761" t="s">
        <v>32</v>
      </c>
      <c r="C1761" t="str">
        <f t="shared" si="54"/>
        <v>UCLAKentucky</v>
      </c>
      <c r="D1761" t="s">
        <v>32</v>
      </c>
      <c r="E1761">
        <v>11.8</v>
      </c>
      <c r="F1761">
        <v>13.203773584905701</v>
      </c>
      <c r="G1761">
        <v>749.29179153802704</v>
      </c>
      <c r="H1761">
        <v>137.77161538073699</v>
      </c>
      <c r="I1761" s="1">
        <f t="shared" si="55"/>
        <v>124.61073792134825</v>
      </c>
    </row>
    <row r="1762" spans="1:9" x14ac:dyDescent="0.45">
      <c r="A1762" t="s">
        <v>67</v>
      </c>
      <c r="B1762" t="s">
        <v>32</v>
      </c>
      <c r="C1762" t="str">
        <f t="shared" si="54"/>
        <v>UNC WilmingtonKentucky</v>
      </c>
      <c r="D1762" t="s">
        <v>32</v>
      </c>
      <c r="E1762">
        <v>2</v>
      </c>
      <c r="F1762">
        <v>25.607547169811301</v>
      </c>
      <c r="G1762">
        <v>4971.5513368903103</v>
      </c>
      <c r="H1762">
        <v>138.88663105465699</v>
      </c>
      <c r="I1762" s="1">
        <f t="shared" si="55"/>
        <v>140.31136898748423</v>
      </c>
    </row>
    <row r="1763" spans="1:9" x14ac:dyDescent="0.45">
      <c r="A1763" t="s">
        <v>68</v>
      </c>
      <c r="B1763" t="s">
        <v>32</v>
      </c>
      <c r="C1763" t="str">
        <f t="shared" si="54"/>
        <v>Utah St.Kentucky</v>
      </c>
      <c r="D1763" t="s">
        <v>32</v>
      </c>
      <c r="E1763">
        <v>9.3000000000000007</v>
      </c>
      <c r="F1763">
        <v>14.962264150943399</v>
      </c>
      <c r="G1763">
        <v>980.195992309095</v>
      </c>
      <c r="H1763">
        <v>138.25800145848399</v>
      </c>
      <c r="I1763" s="1">
        <f t="shared" si="55"/>
        <v>131.45958188025253</v>
      </c>
    </row>
    <row r="1764" spans="1:9" x14ac:dyDescent="0.45">
      <c r="A1764" t="s">
        <v>69</v>
      </c>
      <c r="B1764" t="s">
        <v>32</v>
      </c>
      <c r="C1764" t="str">
        <f t="shared" si="54"/>
        <v>VanderbiltKentucky</v>
      </c>
      <c r="D1764" t="s">
        <v>32</v>
      </c>
      <c r="E1764">
        <v>2.1</v>
      </c>
      <c r="F1764">
        <v>25.086792452830199</v>
      </c>
      <c r="G1764">
        <v>4590.9536869805297</v>
      </c>
      <c r="H1764">
        <v>136.83257194708199</v>
      </c>
      <c r="I1764" s="1">
        <f t="shared" si="55"/>
        <v>111.38798702040212</v>
      </c>
    </row>
    <row r="1765" spans="1:9" x14ac:dyDescent="0.45">
      <c r="A1765" t="s">
        <v>70</v>
      </c>
      <c r="B1765" t="s">
        <v>32</v>
      </c>
      <c r="C1765" t="str">
        <f t="shared" si="54"/>
        <v>VCUKentucky</v>
      </c>
      <c r="D1765" t="s">
        <v>32</v>
      </c>
      <c r="E1765">
        <v>6.3</v>
      </c>
      <c r="F1765">
        <v>17.739622641509399</v>
      </c>
      <c r="G1765">
        <v>1496.8312766326201</v>
      </c>
      <c r="H1765">
        <v>138.677483108958</v>
      </c>
      <c r="I1765" s="1">
        <f t="shared" si="55"/>
        <v>137.36633887672755</v>
      </c>
    </row>
    <row r="1766" spans="1:9" x14ac:dyDescent="0.45">
      <c r="A1766" t="s">
        <v>71</v>
      </c>
      <c r="B1766" t="s">
        <v>32</v>
      </c>
      <c r="C1766" t="str">
        <f t="shared" si="54"/>
        <v>WisconsinKentucky</v>
      </c>
      <c r="D1766" t="s">
        <v>32</v>
      </c>
      <c r="E1766">
        <v>45.1</v>
      </c>
      <c r="F1766">
        <v>1.2754716981132099</v>
      </c>
      <c r="G1766">
        <v>121.48761868559799</v>
      </c>
      <c r="H1766">
        <v>139.478161964224</v>
      </c>
      <c r="I1766" s="1">
        <f t="shared" si="55"/>
        <v>148.64076631575341</v>
      </c>
    </row>
    <row r="1767" spans="1:9" x14ac:dyDescent="0.45">
      <c r="A1767" t="s">
        <v>80</v>
      </c>
      <c r="B1767" t="s">
        <v>32</v>
      </c>
      <c r="C1767" t="str">
        <f t="shared" si="54"/>
        <v>WoffordKentucky</v>
      </c>
      <c r="D1767" t="s">
        <v>32</v>
      </c>
      <c r="E1767">
        <v>0.7</v>
      </c>
      <c r="F1767">
        <v>32.660377358490599</v>
      </c>
      <c r="G1767">
        <v>14581.6645067676</v>
      </c>
      <c r="H1767">
        <v>137.507617703319</v>
      </c>
      <c r="I1767" s="1">
        <f t="shared" si="55"/>
        <v>120.89336404723531</v>
      </c>
    </row>
    <row r="1768" spans="1:9" x14ac:dyDescent="0.45">
      <c r="A1768" t="s">
        <v>72</v>
      </c>
      <c r="B1768" t="s">
        <v>32</v>
      </c>
      <c r="C1768" t="str">
        <f t="shared" si="54"/>
        <v>XavierKentucky</v>
      </c>
      <c r="D1768" t="s">
        <v>32</v>
      </c>
      <c r="E1768">
        <v>6.2</v>
      </c>
      <c r="F1768">
        <v>17.8150943396226</v>
      </c>
      <c r="G1768">
        <v>1514.3545188309099</v>
      </c>
      <c r="H1768">
        <v>138.08353127347101</v>
      </c>
      <c r="I1768" s="1">
        <f t="shared" si="55"/>
        <v>129.00285228352956</v>
      </c>
    </row>
    <row r="1769" spans="1:9" x14ac:dyDescent="0.45">
      <c r="A1769" t="s">
        <v>73</v>
      </c>
      <c r="B1769" t="s">
        <v>32</v>
      </c>
      <c r="C1769" t="str">
        <f t="shared" si="54"/>
        <v>YaleKentucky</v>
      </c>
      <c r="D1769" t="s">
        <v>32</v>
      </c>
      <c r="E1769">
        <v>3.6</v>
      </c>
      <c r="F1769">
        <v>21.6377358490566</v>
      </c>
      <c r="G1769">
        <v>2713.5581828907998</v>
      </c>
      <c r="H1769">
        <v>138.88276590753301</v>
      </c>
      <c r="I1769" s="1">
        <f t="shared" si="55"/>
        <v>140.256943520265</v>
      </c>
    </row>
    <row r="1770" spans="1:9" x14ac:dyDescent="0.45">
      <c r="A1770" t="s">
        <v>7</v>
      </c>
      <c r="B1770" t="s">
        <v>33</v>
      </c>
      <c r="C1770" t="str">
        <f t="shared" si="54"/>
        <v>AkronLiberty</v>
      </c>
      <c r="D1770" t="s">
        <v>33</v>
      </c>
      <c r="E1770">
        <v>40.4</v>
      </c>
      <c r="F1770">
        <v>2.5433962264150898</v>
      </c>
      <c r="G1770">
        <v>147.41675519014501</v>
      </c>
      <c r="H1770">
        <v>138.45629511458</v>
      </c>
      <c r="I1770" s="1">
        <f t="shared" si="55"/>
        <v>134.25177181079704</v>
      </c>
    </row>
    <row r="1771" spans="1:9" x14ac:dyDescent="0.45">
      <c r="A1771" t="s">
        <v>8</v>
      </c>
      <c r="B1771" t="s">
        <v>33</v>
      </c>
      <c r="C1771" t="str">
        <f t="shared" si="54"/>
        <v>AlabamaLiberty</v>
      </c>
      <c r="D1771" t="s">
        <v>8</v>
      </c>
      <c r="E1771">
        <v>98</v>
      </c>
      <c r="F1771">
        <v>-25.6301886792453</v>
      </c>
      <c r="G1771">
        <v>-4988.5786678284503</v>
      </c>
      <c r="H1771">
        <v>140.204391126719</v>
      </c>
      <c r="I1771" s="1">
        <f t="shared" si="55"/>
        <v>158.86686126356403</v>
      </c>
    </row>
    <row r="1772" spans="1:9" x14ac:dyDescent="0.45">
      <c r="A1772" t="s">
        <v>9</v>
      </c>
      <c r="B1772" t="s">
        <v>33</v>
      </c>
      <c r="C1772" t="str">
        <f t="shared" si="54"/>
        <v>Alabama St.Liberty</v>
      </c>
      <c r="D1772" t="s">
        <v>33</v>
      </c>
      <c r="E1772">
        <v>9.6</v>
      </c>
      <c r="F1772">
        <v>14.683018867924501</v>
      </c>
      <c r="G1772">
        <v>939.31352344622303</v>
      </c>
      <c r="H1772">
        <v>138.68313597039301</v>
      </c>
      <c r="I1772" s="1">
        <f t="shared" si="55"/>
        <v>137.44593730205466</v>
      </c>
    </row>
    <row r="1773" spans="1:9" x14ac:dyDescent="0.45">
      <c r="A1773" t="s">
        <v>10</v>
      </c>
      <c r="B1773" t="s">
        <v>33</v>
      </c>
      <c r="C1773" t="str">
        <f t="shared" si="54"/>
        <v>AmericanLiberty</v>
      </c>
      <c r="D1773" t="s">
        <v>33</v>
      </c>
      <c r="E1773">
        <v>11.4</v>
      </c>
      <c r="F1773">
        <v>13.4188679245283</v>
      </c>
      <c r="G1773">
        <v>774.66325265780097</v>
      </c>
      <c r="H1773">
        <v>138.774221851997</v>
      </c>
      <c r="I1773" s="1">
        <f t="shared" si="55"/>
        <v>138.72852539103658</v>
      </c>
    </row>
    <row r="1774" spans="1:9" x14ac:dyDescent="0.45">
      <c r="A1774" t="s">
        <v>11</v>
      </c>
      <c r="B1774" t="s">
        <v>33</v>
      </c>
      <c r="C1774" t="str">
        <f t="shared" si="54"/>
        <v>ArizonaLiberty</v>
      </c>
      <c r="D1774" t="s">
        <v>11</v>
      </c>
      <c r="E1774">
        <v>97.3</v>
      </c>
      <c r="F1774">
        <v>-23.388679245283001</v>
      </c>
      <c r="G1774">
        <v>-3544.3664405434902</v>
      </c>
      <c r="H1774">
        <v>139.96674994571001</v>
      </c>
      <c r="I1774" s="1">
        <f t="shared" si="55"/>
        <v>155.52061546952436</v>
      </c>
    </row>
    <row r="1775" spans="1:9" x14ac:dyDescent="0.45">
      <c r="A1775" t="s">
        <v>12</v>
      </c>
      <c r="B1775" t="s">
        <v>33</v>
      </c>
      <c r="C1775" t="str">
        <f t="shared" si="54"/>
        <v>ArkansasLiberty</v>
      </c>
      <c r="D1775" t="s">
        <v>12</v>
      </c>
      <c r="E1775">
        <v>68.2</v>
      </c>
      <c r="F1775">
        <v>-4.9962264150943403</v>
      </c>
      <c r="G1775">
        <v>-214.31396696203501</v>
      </c>
      <c r="H1775">
        <v>138.08435377956701</v>
      </c>
      <c r="I1775" s="1">
        <f t="shared" si="55"/>
        <v>129.01443406221213</v>
      </c>
    </row>
    <row r="1776" spans="1:9" x14ac:dyDescent="0.45">
      <c r="A1776" t="s">
        <v>13</v>
      </c>
      <c r="B1776" t="s">
        <v>33</v>
      </c>
      <c r="C1776" t="str">
        <f t="shared" si="54"/>
        <v>AuburnLiberty</v>
      </c>
      <c r="D1776" t="s">
        <v>13</v>
      </c>
      <c r="E1776">
        <v>99</v>
      </c>
      <c r="F1776">
        <v>-30.0415094339623</v>
      </c>
      <c r="G1776">
        <v>-9776.3816254392405</v>
      </c>
      <c r="H1776">
        <v>141.22307318482899</v>
      </c>
      <c r="I1776" s="1">
        <f t="shared" si="55"/>
        <v>173.2110104465508</v>
      </c>
    </row>
    <row r="1777" spans="1:9" x14ac:dyDescent="0.45">
      <c r="A1777" t="s">
        <v>14</v>
      </c>
      <c r="B1777" t="s">
        <v>33</v>
      </c>
      <c r="C1777" t="str">
        <f t="shared" si="54"/>
        <v>BaylorLiberty</v>
      </c>
      <c r="D1777" t="s">
        <v>14</v>
      </c>
      <c r="E1777">
        <v>91.2</v>
      </c>
      <c r="F1777">
        <v>-15.309433962264199</v>
      </c>
      <c r="G1777">
        <v>-1033.21439280089</v>
      </c>
      <c r="H1777">
        <v>139.75807119755399</v>
      </c>
      <c r="I1777" s="1">
        <f t="shared" si="55"/>
        <v>152.58219216949834</v>
      </c>
    </row>
    <row r="1778" spans="1:9" x14ac:dyDescent="0.45">
      <c r="A1778" t="s">
        <v>15</v>
      </c>
      <c r="B1778" t="s">
        <v>33</v>
      </c>
      <c r="C1778" t="str">
        <f t="shared" si="54"/>
        <v>BryantLiberty</v>
      </c>
      <c r="D1778" t="s">
        <v>33</v>
      </c>
      <c r="E1778">
        <v>31.9</v>
      </c>
      <c r="F1778">
        <v>4.97735849056604</v>
      </c>
      <c r="G1778">
        <v>213.67302455005699</v>
      </c>
      <c r="H1778">
        <v>139.30706894744799</v>
      </c>
      <c r="I1778" s="1">
        <f t="shared" si="55"/>
        <v>146.23159091380734</v>
      </c>
    </row>
    <row r="1779" spans="1:9" x14ac:dyDescent="0.45">
      <c r="A1779" t="s">
        <v>16</v>
      </c>
      <c r="B1779" t="s">
        <v>33</v>
      </c>
      <c r="C1779" t="str">
        <f t="shared" si="54"/>
        <v>BYULiberty</v>
      </c>
      <c r="D1779" t="s">
        <v>16</v>
      </c>
      <c r="E1779">
        <v>92.6</v>
      </c>
      <c r="F1779">
        <v>-16.603773584905699</v>
      </c>
      <c r="G1779">
        <v>-1258.7139065111201</v>
      </c>
      <c r="H1779">
        <v>139.567589425671</v>
      </c>
      <c r="I1779" s="1">
        <f t="shared" si="55"/>
        <v>149.90000204866851</v>
      </c>
    </row>
    <row r="1780" spans="1:9" x14ac:dyDescent="0.45">
      <c r="A1780" t="s">
        <v>17</v>
      </c>
      <c r="B1780" t="s">
        <v>33</v>
      </c>
      <c r="C1780" t="str">
        <f t="shared" si="54"/>
        <v>ClemsonLiberty</v>
      </c>
      <c r="D1780" t="s">
        <v>17</v>
      </c>
      <c r="E1780">
        <v>94.2</v>
      </c>
      <c r="F1780">
        <v>-18.2264150943396</v>
      </c>
      <c r="G1780">
        <v>-1612.7927276166099</v>
      </c>
      <c r="H1780">
        <v>139.789501281963</v>
      </c>
      <c r="I1780" s="1">
        <f t="shared" si="55"/>
        <v>153.02476187611825</v>
      </c>
    </row>
    <row r="1781" spans="1:9" x14ac:dyDescent="0.45">
      <c r="A1781" t="s">
        <v>18</v>
      </c>
      <c r="B1781" t="s">
        <v>33</v>
      </c>
      <c r="C1781" t="str">
        <f t="shared" si="54"/>
        <v>Colorado St.Liberty</v>
      </c>
      <c r="D1781" t="s">
        <v>18</v>
      </c>
      <c r="E1781">
        <v>72.599999999999994</v>
      </c>
      <c r="F1781">
        <v>-6.3886792452830203</v>
      </c>
      <c r="G1781">
        <v>-264.99460145337002</v>
      </c>
      <c r="H1781">
        <v>139.096893130068</v>
      </c>
      <c r="I1781" s="1">
        <f t="shared" si="55"/>
        <v>143.27208725400178</v>
      </c>
    </row>
    <row r="1782" spans="1:9" x14ac:dyDescent="0.45">
      <c r="A1782" t="s">
        <v>19</v>
      </c>
      <c r="B1782" t="s">
        <v>33</v>
      </c>
      <c r="C1782" t="str">
        <f t="shared" si="54"/>
        <v>ConnecticutLiberty</v>
      </c>
      <c r="D1782" t="s">
        <v>19</v>
      </c>
      <c r="E1782">
        <v>96.5</v>
      </c>
      <c r="F1782">
        <v>-21.690566037735799</v>
      </c>
      <c r="G1782">
        <v>-2735.4832977977098</v>
      </c>
      <c r="H1782">
        <v>139.732445032404</v>
      </c>
      <c r="I1782" s="1">
        <f t="shared" si="55"/>
        <v>152.22134794634468</v>
      </c>
    </row>
    <row r="1783" spans="1:9" x14ac:dyDescent="0.45">
      <c r="A1783" t="s">
        <v>20</v>
      </c>
      <c r="B1783" t="s">
        <v>33</v>
      </c>
      <c r="C1783" t="str">
        <f t="shared" si="54"/>
        <v>CreightonLiberty</v>
      </c>
      <c r="D1783" t="s">
        <v>20</v>
      </c>
      <c r="E1783">
        <v>89.4</v>
      </c>
      <c r="F1783">
        <v>-14</v>
      </c>
      <c r="G1783">
        <v>-846.16301785530698</v>
      </c>
      <c r="H1783">
        <v>139.20538739466801</v>
      </c>
      <c r="I1783" s="1">
        <f t="shared" si="55"/>
        <v>144.79980427280194</v>
      </c>
    </row>
    <row r="1784" spans="1:9" x14ac:dyDescent="0.45">
      <c r="A1784" t="s">
        <v>21</v>
      </c>
      <c r="B1784" t="s">
        <v>33</v>
      </c>
      <c r="C1784" t="str">
        <f t="shared" si="54"/>
        <v>DrakeLiberty</v>
      </c>
      <c r="D1784" t="s">
        <v>21</v>
      </c>
      <c r="E1784">
        <v>72.400000000000006</v>
      </c>
      <c r="F1784">
        <v>-6.3396226415094299</v>
      </c>
      <c r="G1784">
        <v>-262.95360481401201</v>
      </c>
      <c r="H1784">
        <v>139.25885249882199</v>
      </c>
      <c r="I1784" s="1">
        <f t="shared" si="55"/>
        <v>145.55265097699498</v>
      </c>
    </row>
    <row r="1785" spans="1:9" x14ac:dyDescent="0.45">
      <c r="A1785" t="s">
        <v>22</v>
      </c>
      <c r="B1785" t="s">
        <v>33</v>
      </c>
      <c r="C1785" t="str">
        <f t="shared" si="54"/>
        <v>DukeLiberty</v>
      </c>
      <c r="D1785" t="s">
        <v>22</v>
      </c>
      <c r="E1785">
        <v>99.3</v>
      </c>
      <c r="F1785">
        <v>-32.550943396226401</v>
      </c>
      <c r="G1785">
        <v>-14334.6655717047</v>
      </c>
      <c r="H1785">
        <v>141.546172960278</v>
      </c>
      <c r="I1785" s="1">
        <f t="shared" si="55"/>
        <v>177.76060601774296</v>
      </c>
    </row>
    <row r="1786" spans="1:9" x14ac:dyDescent="0.45">
      <c r="A1786" t="s">
        <v>23</v>
      </c>
      <c r="B1786" t="s">
        <v>33</v>
      </c>
      <c r="C1786" t="str">
        <f t="shared" si="54"/>
        <v>FloridaLiberty</v>
      </c>
      <c r="D1786" t="s">
        <v>23</v>
      </c>
      <c r="E1786">
        <v>98.8</v>
      </c>
      <c r="F1786">
        <v>-28.649056603773602</v>
      </c>
      <c r="G1786">
        <v>-7907.5316669609701</v>
      </c>
      <c r="H1786">
        <v>141.269929236221</v>
      </c>
      <c r="I1786" s="1">
        <f t="shared" si="55"/>
        <v>173.87079451356357</v>
      </c>
    </row>
    <row r="1787" spans="1:9" x14ac:dyDescent="0.45">
      <c r="A1787" t="s">
        <v>24</v>
      </c>
      <c r="B1787" t="s">
        <v>33</v>
      </c>
      <c r="C1787" t="str">
        <f t="shared" si="54"/>
        <v>GeorgiaLiberty</v>
      </c>
      <c r="D1787" t="s">
        <v>24</v>
      </c>
      <c r="E1787">
        <v>74.8</v>
      </c>
      <c r="F1787">
        <v>-7.1433962264150903</v>
      </c>
      <c r="G1787">
        <v>-297.30773459955299</v>
      </c>
      <c r="H1787">
        <v>138.41174276056501</v>
      </c>
      <c r="I1787" s="1">
        <f t="shared" si="55"/>
        <v>133.6244263035737</v>
      </c>
    </row>
    <row r="1788" spans="1:9" x14ac:dyDescent="0.45">
      <c r="A1788" t="s">
        <v>25</v>
      </c>
      <c r="B1788" t="s">
        <v>33</v>
      </c>
      <c r="C1788" t="str">
        <f t="shared" si="54"/>
        <v>GonzagaLiberty</v>
      </c>
      <c r="D1788" t="s">
        <v>25</v>
      </c>
      <c r="E1788">
        <v>94.4</v>
      </c>
      <c r="F1788">
        <v>-18.471698113207498</v>
      </c>
      <c r="G1788">
        <v>-1673.50673656969</v>
      </c>
      <c r="H1788">
        <v>140.54938388009401</v>
      </c>
      <c r="I1788" s="1">
        <f t="shared" si="55"/>
        <v>163.72473372932822</v>
      </c>
    </row>
    <row r="1789" spans="1:9" x14ac:dyDescent="0.45">
      <c r="A1789" t="s">
        <v>26</v>
      </c>
      <c r="B1789" t="s">
        <v>33</v>
      </c>
      <c r="C1789" t="str">
        <f t="shared" si="54"/>
        <v>Grand CanyonLiberty</v>
      </c>
      <c r="D1789" t="s">
        <v>26</v>
      </c>
      <c r="E1789">
        <v>62</v>
      </c>
      <c r="F1789">
        <v>-3.2188679245283001</v>
      </c>
      <c r="G1789">
        <v>-163.434925141978</v>
      </c>
      <c r="H1789">
        <v>139.20135212639801</v>
      </c>
      <c r="I1789" s="1">
        <f t="shared" si="55"/>
        <v>144.74298331517588</v>
      </c>
    </row>
    <row r="1790" spans="1:9" x14ac:dyDescent="0.45">
      <c r="A1790" t="s">
        <v>27</v>
      </c>
      <c r="B1790" t="s">
        <v>33</v>
      </c>
      <c r="C1790" t="str">
        <f t="shared" si="54"/>
        <v>High PointLiberty</v>
      </c>
      <c r="D1790" t="s">
        <v>27</v>
      </c>
      <c r="E1790">
        <v>51.7</v>
      </c>
      <c r="F1790">
        <v>-0.44905660377358497</v>
      </c>
      <c r="G1790">
        <v>-107.070245808604</v>
      </c>
      <c r="H1790">
        <v>139.48224387405401</v>
      </c>
      <c r="I1790" s="1">
        <f t="shared" si="55"/>
        <v>148.6982440371749</v>
      </c>
    </row>
    <row r="1791" spans="1:9" x14ac:dyDescent="0.45">
      <c r="A1791" t="s">
        <v>28</v>
      </c>
      <c r="B1791" t="s">
        <v>33</v>
      </c>
      <c r="C1791" t="str">
        <f t="shared" si="54"/>
        <v>HoustonLiberty</v>
      </c>
      <c r="D1791" t="s">
        <v>28</v>
      </c>
      <c r="E1791">
        <v>99.6</v>
      </c>
      <c r="F1791">
        <v>-36.0641509433962</v>
      </c>
      <c r="G1791">
        <v>-24500.492329023298</v>
      </c>
      <c r="H1791">
        <v>141.689837309908</v>
      </c>
      <c r="I1791" s="1">
        <f t="shared" si="55"/>
        <v>179.78355601177046</v>
      </c>
    </row>
    <row r="1792" spans="1:9" x14ac:dyDescent="0.45">
      <c r="A1792" t="s">
        <v>29</v>
      </c>
      <c r="B1792" t="s">
        <v>33</v>
      </c>
      <c r="C1792" t="str">
        <f t="shared" si="54"/>
        <v>IllinoisLiberty</v>
      </c>
      <c r="D1792" t="s">
        <v>29</v>
      </c>
      <c r="E1792">
        <v>96.1</v>
      </c>
      <c r="F1792">
        <v>-20.9509433962264</v>
      </c>
      <c r="G1792">
        <v>-2443.83659189018</v>
      </c>
      <c r="H1792">
        <v>139.740082463845</v>
      </c>
      <c r="I1792" s="1">
        <f t="shared" si="55"/>
        <v>152.32889127165637</v>
      </c>
    </row>
    <row r="1793" spans="1:9" x14ac:dyDescent="0.45">
      <c r="A1793" t="s">
        <v>30</v>
      </c>
      <c r="B1793" t="s">
        <v>33</v>
      </c>
      <c r="C1793" t="str">
        <f t="shared" si="54"/>
        <v>Iowa St.Liberty</v>
      </c>
      <c r="D1793" t="s">
        <v>30</v>
      </c>
      <c r="E1793">
        <v>98.1</v>
      </c>
      <c r="F1793">
        <v>-25.833962264150902</v>
      </c>
      <c r="G1793">
        <v>-5147.6918616513503</v>
      </c>
      <c r="H1793">
        <v>140.66635104220299</v>
      </c>
      <c r="I1793" s="1">
        <f t="shared" si="55"/>
        <v>165.37175834259634</v>
      </c>
    </row>
    <row r="1794" spans="1:9" x14ac:dyDescent="0.45">
      <c r="A1794" t="s">
        <v>31</v>
      </c>
      <c r="B1794" t="s">
        <v>33</v>
      </c>
      <c r="C1794" t="str">
        <f t="shared" si="54"/>
        <v>KansasLiberty</v>
      </c>
      <c r="D1794" t="s">
        <v>31</v>
      </c>
      <c r="E1794">
        <v>93.7</v>
      </c>
      <c r="F1794">
        <v>-17.732075471698099</v>
      </c>
      <c r="G1794">
        <v>-1495.55040814726</v>
      </c>
      <c r="H1794">
        <v>139.62174132651401</v>
      </c>
      <c r="I1794" s="1">
        <f t="shared" si="55"/>
        <v>150.66251959577798</v>
      </c>
    </row>
    <row r="1795" spans="1:9" x14ac:dyDescent="0.45">
      <c r="A1795" t="s">
        <v>32</v>
      </c>
      <c r="B1795" t="s">
        <v>33</v>
      </c>
      <c r="C1795" t="str">
        <f t="shared" ref="C1795:C1858" si="56">A1795&amp;B1795</f>
        <v>KentuckyLiberty</v>
      </c>
      <c r="D1795" t="s">
        <v>32</v>
      </c>
      <c r="E1795">
        <v>96.2</v>
      </c>
      <c r="F1795">
        <v>-21.1622641509434</v>
      </c>
      <c r="G1795">
        <v>-2522.9603173330502</v>
      </c>
      <c r="H1795">
        <v>139.56877892690699</v>
      </c>
      <c r="I1795" s="1">
        <f t="shared" ref="I1795:I1858" si="57">18*(H1795-AVERAGE($H$2:$H$4625))/_xlfn.STDEV.P($H$2:$H$4625)+AVERAGE($H$2:$H$4625)</f>
        <v>149.91675151730445</v>
      </c>
    </row>
    <row r="1796" spans="1:9" x14ac:dyDescent="0.45">
      <c r="A1796" t="s">
        <v>33</v>
      </c>
      <c r="B1796" t="s">
        <v>33</v>
      </c>
      <c r="C1796" t="str">
        <f t="shared" si="56"/>
        <v>LibertyLiberty</v>
      </c>
      <c r="D1796" t="s">
        <v>33</v>
      </c>
      <c r="E1796">
        <v>41.2</v>
      </c>
      <c r="F1796">
        <v>2.3283018867924499</v>
      </c>
      <c r="G1796">
        <v>142.64273539779199</v>
      </c>
      <c r="H1796">
        <v>138.77771517530499</v>
      </c>
      <c r="I1796" s="1">
        <f t="shared" si="57"/>
        <v>138.77771517530277</v>
      </c>
    </row>
    <row r="1797" spans="1:9" x14ac:dyDescent="0.45">
      <c r="A1797" t="s">
        <v>34</v>
      </c>
      <c r="B1797" t="s">
        <v>33</v>
      </c>
      <c r="C1797" t="str">
        <f t="shared" si="56"/>
        <v>LipscombLiberty</v>
      </c>
      <c r="D1797" t="s">
        <v>33</v>
      </c>
      <c r="E1797">
        <v>35</v>
      </c>
      <c r="F1797">
        <v>4.0716981132075496</v>
      </c>
      <c r="G1797">
        <v>186.07134969065399</v>
      </c>
      <c r="H1797">
        <v>139.209635406563</v>
      </c>
      <c r="I1797" s="1">
        <f t="shared" si="57"/>
        <v>144.85962089160628</v>
      </c>
    </row>
    <row r="1798" spans="1:9" x14ac:dyDescent="0.45">
      <c r="A1798" t="s">
        <v>35</v>
      </c>
      <c r="B1798" t="s">
        <v>33</v>
      </c>
      <c r="C1798" t="str">
        <f t="shared" si="56"/>
        <v>LouisvilleLiberty</v>
      </c>
      <c r="D1798" t="s">
        <v>35</v>
      </c>
      <c r="E1798">
        <v>57.7</v>
      </c>
      <c r="F1798">
        <v>-2.0377358490566002</v>
      </c>
      <c r="G1798">
        <v>-136.43750332771799</v>
      </c>
      <c r="H1798">
        <v>138.49535871853101</v>
      </c>
      <c r="I1798" s="1">
        <f t="shared" si="57"/>
        <v>134.80182975894425</v>
      </c>
    </row>
    <row r="1799" spans="1:9" x14ac:dyDescent="0.45">
      <c r="A1799" t="s">
        <v>36</v>
      </c>
      <c r="B1799" t="s">
        <v>33</v>
      </c>
      <c r="C1799" t="str">
        <f t="shared" si="56"/>
        <v>MarquetteLiberty</v>
      </c>
      <c r="D1799" t="s">
        <v>36</v>
      </c>
      <c r="E1799">
        <v>95.1</v>
      </c>
      <c r="F1799">
        <v>-19.381132075471701</v>
      </c>
      <c r="G1799">
        <v>-1923.2651838348199</v>
      </c>
      <c r="H1799">
        <v>139.827115353436</v>
      </c>
      <c r="I1799" s="1">
        <f t="shared" si="57"/>
        <v>153.55440883347146</v>
      </c>
    </row>
    <row r="1800" spans="1:9" x14ac:dyDescent="0.45">
      <c r="A1800" t="s">
        <v>37</v>
      </c>
      <c r="B1800" t="s">
        <v>33</v>
      </c>
      <c r="C1800" t="str">
        <f t="shared" si="56"/>
        <v>MarylandLiberty</v>
      </c>
      <c r="D1800" t="s">
        <v>37</v>
      </c>
      <c r="E1800">
        <v>92.9</v>
      </c>
      <c r="F1800">
        <v>-16.8377358490566</v>
      </c>
      <c r="G1800">
        <v>-1304.65238245876</v>
      </c>
      <c r="H1800">
        <v>139.437054665115</v>
      </c>
      <c r="I1800" s="1">
        <f t="shared" si="57"/>
        <v>148.06193092129953</v>
      </c>
    </row>
    <row r="1801" spans="1:9" x14ac:dyDescent="0.45">
      <c r="A1801" t="s">
        <v>38</v>
      </c>
      <c r="B1801" t="s">
        <v>33</v>
      </c>
      <c r="C1801" t="str">
        <f t="shared" si="56"/>
        <v>McNeese St.Liberty</v>
      </c>
      <c r="D1801" t="s">
        <v>38</v>
      </c>
      <c r="E1801">
        <v>69.900000000000006</v>
      </c>
      <c r="F1801">
        <v>-5.52830188679245</v>
      </c>
      <c r="G1801">
        <v>-232.45861725976701</v>
      </c>
      <c r="H1801">
        <v>139.27246627931601</v>
      </c>
      <c r="I1801" s="1">
        <f t="shared" si="57"/>
        <v>145.74434778444916</v>
      </c>
    </row>
    <row r="1802" spans="1:9" x14ac:dyDescent="0.45">
      <c r="A1802" t="s">
        <v>39</v>
      </c>
      <c r="B1802" t="s">
        <v>33</v>
      </c>
      <c r="C1802" t="str">
        <f t="shared" si="56"/>
        <v>MemphisLiberty</v>
      </c>
      <c r="D1802" t="s">
        <v>39</v>
      </c>
      <c r="E1802">
        <v>87</v>
      </c>
      <c r="F1802">
        <v>-12.452830188679201</v>
      </c>
      <c r="G1802">
        <v>-668.23359751145404</v>
      </c>
      <c r="H1802">
        <v>138.41468947813499</v>
      </c>
      <c r="I1802" s="1">
        <f t="shared" si="57"/>
        <v>133.66591928569451</v>
      </c>
    </row>
    <row r="1803" spans="1:9" x14ac:dyDescent="0.45">
      <c r="A1803" t="s">
        <v>40</v>
      </c>
      <c r="B1803" t="s">
        <v>33</v>
      </c>
      <c r="C1803" t="str">
        <f t="shared" si="56"/>
        <v>MichiganLiberty</v>
      </c>
      <c r="D1803" t="s">
        <v>40</v>
      </c>
      <c r="E1803">
        <v>77.900000000000006</v>
      </c>
      <c r="F1803">
        <v>-8.2641509433962295</v>
      </c>
      <c r="G1803">
        <v>-352.74370147014503</v>
      </c>
      <c r="H1803">
        <v>138.07161056281799</v>
      </c>
      <c r="I1803" s="1">
        <f t="shared" si="57"/>
        <v>128.83499573730617</v>
      </c>
    </row>
    <row r="1804" spans="1:9" x14ac:dyDescent="0.45">
      <c r="A1804" t="s">
        <v>41</v>
      </c>
      <c r="B1804" t="s">
        <v>33</v>
      </c>
      <c r="C1804" t="str">
        <f t="shared" si="56"/>
        <v>Michigan St.Liberty</v>
      </c>
      <c r="D1804" t="s">
        <v>41</v>
      </c>
      <c r="E1804">
        <v>97.1</v>
      </c>
      <c r="F1804">
        <v>-23.086792452830199</v>
      </c>
      <c r="G1804">
        <v>-3384.8007067908602</v>
      </c>
      <c r="H1804">
        <v>139.770502523647</v>
      </c>
      <c r="I1804" s="1">
        <f t="shared" si="57"/>
        <v>152.75723873540264</v>
      </c>
    </row>
    <row r="1805" spans="1:9" x14ac:dyDescent="0.45">
      <c r="A1805" t="s">
        <v>42</v>
      </c>
      <c r="B1805" t="s">
        <v>33</v>
      </c>
      <c r="C1805" t="str">
        <f t="shared" si="56"/>
        <v>MississippiLiberty</v>
      </c>
      <c r="D1805" t="s">
        <v>42</v>
      </c>
      <c r="E1805">
        <v>89.7</v>
      </c>
      <c r="F1805">
        <v>-14.177358490566</v>
      </c>
      <c r="G1805">
        <v>-869.38914361191598</v>
      </c>
      <c r="H1805">
        <v>138.90142362874201</v>
      </c>
      <c r="I1805" s="1">
        <f t="shared" si="57"/>
        <v>140.51966448830967</v>
      </c>
    </row>
    <row r="1806" spans="1:9" x14ac:dyDescent="0.45">
      <c r="A1806" t="s">
        <v>43</v>
      </c>
      <c r="B1806" t="s">
        <v>33</v>
      </c>
      <c r="C1806" t="str">
        <f t="shared" si="56"/>
        <v>Mississippi St.Liberty</v>
      </c>
      <c r="D1806" t="s">
        <v>43</v>
      </c>
      <c r="E1806">
        <v>86.8</v>
      </c>
      <c r="F1806">
        <v>-12.3283018867925</v>
      </c>
      <c r="G1806">
        <v>-655.72679512088803</v>
      </c>
      <c r="H1806">
        <v>139.02579498253101</v>
      </c>
      <c r="I1806" s="1">
        <f t="shared" si="57"/>
        <v>142.27094815786739</v>
      </c>
    </row>
    <row r="1807" spans="1:9" x14ac:dyDescent="0.45">
      <c r="A1807" t="s">
        <v>44</v>
      </c>
      <c r="B1807" t="s">
        <v>33</v>
      </c>
      <c r="C1807" t="str">
        <f t="shared" si="56"/>
        <v>MissouriLiberty</v>
      </c>
      <c r="D1807" t="s">
        <v>44</v>
      </c>
      <c r="E1807">
        <v>74.2</v>
      </c>
      <c r="F1807">
        <v>-6.9132075471698098</v>
      </c>
      <c r="G1807">
        <v>-287.160029800622</v>
      </c>
      <c r="H1807">
        <v>138.29026691870499</v>
      </c>
      <c r="I1807" s="1">
        <f t="shared" si="57"/>
        <v>131.91391458512652</v>
      </c>
    </row>
    <row r="1808" spans="1:9" x14ac:dyDescent="0.45">
      <c r="A1808" t="s">
        <v>45</v>
      </c>
      <c r="B1808" t="s">
        <v>33</v>
      </c>
      <c r="C1808" t="str">
        <f t="shared" si="56"/>
        <v>MontanaLiberty</v>
      </c>
      <c r="D1808" t="s">
        <v>33</v>
      </c>
      <c r="E1808">
        <v>21.9</v>
      </c>
      <c r="F1808">
        <v>8.3433962264150896</v>
      </c>
      <c r="G1808">
        <v>356.99988997036201</v>
      </c>
      <c r="H1808">
        <v>137.59900164372399</v>
      </c>
      <c r="I1808" s="1">
        <f t="shared" si="57"/>
        <v>122.1801491276857</v>
      </c>
    </row>
    <row r="1809" spans="1:9" x14ac:dyDescent="0.45">
      <c r="A1809" t="s">
        <v>46</v>
      </c>
      <c r="B1809" t="s">
        <v>33</v>
      </c>
      <c r="C1809" t="str">
        <f t="shared" si="56"/>
        <v>Mount St. Mary'sLiberty</v>
      </c>
      <c r="D1809" t="s">
        <v>33</v>
      </c>
      <c r="E1809">
        <v>9.9</v>
      </c>
      <c r="F1809">
        <v>14.4566037735849</v>
      </c>
      <c r="G1809">
        <v>907.54627414099002</v>
      </c>
      <c r="H1809">
        <v>138.94687586567099</v>
      </c>
      <c r="I1809" s="1">
        <f t="shared" si="57"/>
        <v>141.15968132380729</v>
      </c>
    </row>
    <row r="1810" spans="1:9" x14ac:dyDescent="0.45">
      <c r="A1810" t="s">
        <v>47</v>
      </c>
      <c r="B1810" t="s">
        <v>33</v>
      </c>
      <c r="C1810" t="str">
        <f t="shared" si="56"/>
        <v>Nebraska OmahaLiberty</v>
      </c>
      <c r="D1810" t="s">
        <v>33</v>
      </c>
      <c r="E1810">
        <v>12.5</v>
      </c>
      <c r="F1810">
        <v>12.743396226415101</v>
      </c>
      <c r="G1810">
        <v>698.55147595333096</v>
      </c>
      <c r="H1810">
        <v>138.23087704557</v>
      </c>
      <c r="I1810" s="1">
        <f t="shared" si="57"/>
        <v>131.07764070219633</v>
      </c>
    </row>
    <row r="1811" spans="1:9" x14ac:dyDescent="0.45">
      <c r="A1811" t="s">
        <v>48</v>
      </c>
      <c r="B1811" t="s">
        <v>33</v>
      </c>
      <c r="C1811" t="str">
        <f t="shared" si="56"/>
        <v>New MexicoLiberty</v>
      </c>
      <c r="D1811" t="s">
        <v>48</v>
      </c>
      <c r="E1811">
        <v>78.5</v>
      </c>
      <c r="F1811">
        <v>-8.50566037735849</v>
      </c>
      <c r="G1811">
        <v>-365.96294370631603</v>
      </c>
      <c r="H1811">
        <v>139.108621392846</v>
      </c>
      <c r="I1811" s="1">
        <f t="shared" si="57"/>
        <v>143.43723392523808</v>
      </c>
    </row>
    <row r="1812" spans="1:9" x14ac:dyDescent="0.45">
      <c r="A1812" t="s">
        <v>49</v>
      </c>
      <c r="B1812" t="s">
        <v>33</v>
      </c>
      <c r="C1812" t="str">
        <f t="shared" si="56"/>
        <v>Norfolk St.Liberty</v>
      </c>
      <c r="D1812" t="s">
        <v>33</v>
      </c>
      <c r="E1812">
        <v>17.399999999999999</v>
      </c>
      <c r="F1812">
        <v>10.211320754717001</v>
      </c>
      <c r="G1812">
        <v>474.69622606655201</v>
      </c>
      <c r="H1812">
        <v>138.12098505504699</v>
      </c>
      <c r="I1812" s="1">
        <f t="shared" si="57"/>
        <v>129.53024218513397</v>
      </c>
    </row>
    <row r="1813" spans="1:9" x14ac:dyDescent="0.45">
      <c r="A1813" t="s">
        <v>50</v>
      </c>
      <c r="B1813" t="s">
        <v>33</v>
      </c>
      <c r="C1813" t="str">
        <f t="shared" si="56"/>
        <v>North CarolinaLiberty</v>
      </c>
      <c r="D1813" t="s">
        <v>50</v>
      </c>
      <c r="E1813">
        <v>92.6</v>
      </c>
      <c r="F1813">
        <v>-16.547169811320799</v>
      </c>
      <c r="G1813">
        <v>-1247.7573744311001</v>
      </c>
      <c r="H1813">
        <v>140.192916487003</v>
      </c>
      <c r="I1813" s="1">
        <f t="shared" si="57"/>
        <v>158.70528588035495</v>
      </c>
    </row>
    <row r="1814" spans="1:9" x14ac:dyDescent="0.45">
      <c r="A1814" t="s">
        <v>51</v>
      </c>
      <c r="B1814" t="s">
        <v>33</v>
      </c>
      <c r="C1814" t="str">
        <f t="shared" si="56"/>
        <v>OklahomaLiberty</v>
      </c>
      <c r="D1814" t="s">
        <v>51</v>
      </c>
      <c r="E1814">
        <v>80.400000000000006</v>
      </c>
      <c r="F1814">
        <v>-9.2377358490565999</v>
      </c>
      <c r="G1814">
        <v>-409.37528843021602</v>
      </c>
      <c r="H1814">
        <v>138.535519782508</v>
      </c>
      <c r="I1814" s="1">
        <f t="shared" si="57"/>
        <v>135.36734113557765</v>
      </c>
    </row>
    <row r="1815" spans="1:9" x14ac:dyDescent="0.45">
      <c r="A1815" t="s">
        <v>52</v>
      </c>
      <c r="B1815" t="s">
        <v>33</v>
      </c>
      <c r="C1815" t="str">
        <f t="shared" si="56"/>
        <v>OregonLiberty</v>
      </c>
      <c r="D1815" t="s">
        <v>52</v>
      </c>
      <c r="E1815">
        <v>93.1</v>
      </c>
      <c r="F1815">
        <v>-17.0641509433962</v>
      </c>
      <c r="G1815">
        <v>-1350.6599738483401</v>
      </c>
      <c r="H1815">
        <v>139.12989757064801</v>
      </c>
      <c r="I1815" s="1">
        <f t="shared" si="57"/>
        <v>143.73682560451235</v>
      </c>
    </row>
    <row r="1816" spans="1:9" x14ac:dyDescent="0.45">
      <c r="A1816" t="s">
        <v>53</v>
      </c>
      <c r="B1816" t="s">
        <v>33</v>
      </c>
      <c r="C1816" t="str">
        <f t="shared" si="56"/>
        <v>PurdueLiberty</v>
      </c>
      <c r="D1816" t="s">
        <v>53</v>
      </c>
      <c r="E1816">
        <v>98.6</v>
      </c>
      <c r="F1816">
        <v>-27.973584905660399</v>
      </c>
      <c r="G1816">
        <v>-7134.3383204067704</v>
      </c>
      <c r="H1816">
        <v>140.47788489943801</v>
      </c>
      <c r="I1816" s="1">
        <f t="shared" si="57"/>
        <v>162.71795046776373</v>
      </c>
    </row>
    <row r="1817" spans="1:9" x14ac:dyDescent="0.45">
      <c r="A1817" t="s">
        <v>54</v>
      </c>
      <c r="B1817" t="s">
        <v>33</v>
      </c>
      <c r="C1817" t="str">
        <f t="shared" si="56"/>
        <v>Robert MorrisLiberty</v>
      </c>
      <c r="D1817" t="s">
        <v>33</v>
      </c>
      <c r="E1817">
        <v>8</v>
      </c>
      <c r="F1817">
        <v>15.966037735849101</v>
      </c>
      <c r="G1817">
        <v>1142.42390263313</v>
      </c>
      <c r="H1817">
        <v>137.53652174819999</v>
      </c>
      <c r="I1817" s="1">
        <f t="shared" si="57"/>
        <v>121.30036437522172</v>
      </c>
    </row>
    <row r="1818" spans="1:9" x14ac:dyDescent="0.45">
      <c r="A1818" t="s">
        <v>55</v>
      </c>
      <c r="B1818" t="s">
        <v>33</v>
      </c>
      <c r="C1818" t="str">
        <f t="shared" si="56"/>
        <v>Saint FrancisLiberty</v>
      </c>
      <c r="D1818" t="s">
        <v>33</v>
      </c>
      <c r="E1818">
        <v>5.5</v>
      </c>
      <c r="F1818">
        <v>18.6943396226415</v>
      </c>
      <c r="G1818">
        <v>1731.57856701437</v>
      </c>
      <c r="H1818">
        <v>138.58937728140799</v>
      </c>
      <c r="I1818" s="1">
        <f t="shared" si="57"/>
        <v>136.12571318374867</v>
      </c>
    </row>
    <row r="1819" spans="1:9" x14ac:dyDescent="0.45">
      <c r="A1819" t="s">
        <v>56</v>
      </c>
      <c r="B1819" t="s">
        <v>33</v>
      </c>
      <c r="C1819" t="str">
        <f t="shared" si="56"/>
        <v>Saint Mary'sLiberty</v>
      </c>
      <c r="D1819" t="s">
        <v>56</v>
      </c>
      <c r="E1819">
        <v>92</v>
      </c>
      <c r="F1819">
        <v>-16.022641509433999</v>
      </c>
      <c r="G1819">
        <v>-1151.9708070956301</v>
      </c>
      <c r="H1819">
        <v>139.84063248249799</v>
      </c>
      <c r="I1819" s="1">
        <f t="shared" si="57"/>
        <v>153.74474468384531</v>
      </c>
    </row>
    <row r="1820" spans="1:9" x14ac:dyDescent="0.45">
      <c r="A1820" t="s">
        <v>57</v>
      </c>
      <c r="B1820" t="s">
        <v>33</v>
      </c>
      <c r="C1820" t="str">
        <f t="shared" si="56"/>
        <v>San Diego St.Liberty</v>
      </c>
      <c r="D1820" t="s">
        <v>57</v>
      </c>
      <c r="E1820">
        <v>77</v>
      </c>
      <c r="F1820">
        <v>-7.9283018867924504</v>
      </c>
      <c r="G1820">
        <v>-335.19720405707</v>
      </c>
      <c r="H1820">
        <v>138.98688736229499</v>
      </c>
      <c r="I1820" s="1">
        <f t="shared" si="57"/>
        <v>141.72308662975146</v>
      </c>
    </row>
    <row r="1821" spans="1:9" x14ac:dyDescent="0.45">
      <c r="A1821" t="s">
        <v>58</v>
      </c>
      <c r="B1821" t="s">
        <v>33</v>
      </c>
      <c r="C1821" t="str">
        <f t="shared" si="56"/>
        <v>SIU EdwardsvilleLiberty</v>
      </c>
      <c r="D1821" t="s">
        <v>33</v>
      </c>
      <c r="E1821">
        <v>14.4</v>
      </c>
      <c r="F1821">
        <v>11.667924528301899</v>
      </c>
      <c r="G1821">
        <v>593.02988746450899</v>
      </c>
      <c r="H1821">
        <v>139.134575129144</v>
      </c>
      <c r="I1821" s="1">
        <f t="shared" si="57"/>
        <v>143.80269070574229</v>
      </c>
    </row>
    <row r="1822" spans="1:9" x14ac:dyDescent="0.45">
      <c r="A1822" t="s">
        <v>59</v>
      </c>
      <c r="B1822" t="s">
        <v>33</v>
      </c>
      <c r="C1822" t="str">
        <f t="shared" si="56"/>
        <v>St. John'sLiberty</v>
      </c>
      <c r="D1822" t="s">
        <v>59</v>
      </c>
      <c r="E1822">
        <v>97.3</v>
      </c>
      <c r="F1822">
        <v>-23.4905660377358</v>
      </c>
      <c r="G1822">
        <v>-3598.5780463997799</v>
      </c>
      <c r="H1822">
        <v>140.11225790168899</v>
      </c>
      <c r="I1822" s="1">
        <f t="shared" si="57"/>
        <v>157.56952544222625</v>
      </c>
    </row>
    <row r="1823" spans="1:9" x14ac:dyDescent="0.45">
      <c r="A1823" t="s">
        <v>60</v>
      </c>
      <c r="B1823" t="s">
        <v>33</v>
      </c>
      <c r="C1823" t="str">
        <f t="shared" si="56"/>
        <v>TennesseeLiberty</v>
      </c>
      <c r="D1823" t="s">
        <v>60</v>
      </c>
      <c r="E1823">
        <v>98.6</v>
      </c>
      <c r="F1823">
        <v>-28.033962264150901</v>
      </c>
      <c r="G1823">
        <v>-7198.9701767986699</v>
      </c>
      <c r="H1823">
        <v>140.70624077837999</v>
      </c>
      <c r="I1823" s="1">
        <f t="shared" si="57"/>
        <v>165.9334491292727</v>
      </c>
    </row>
    <row r="1824" spans="1:9" x14ac:dyDescent="0.45">
      <c r="A1824" t="s">
        <v>61</v>
      </c>
      <c r="B1824" t="s">
        <v>33</v>
      </c>
      <c r="C1824" t="str">
        <f t="shared" si="56"/>
        <v>TexasLiberty</v>
      </c>
      <c r="D1824" t="s">
        <v>61</v>
      </c>
      <c r="E1824">
        <v>74.7</v>
      </c>
      <c r="F1824">
        <v>-7.0792452830188699</v>
      </c>
      <c r="G1824">
        <v>-294.51245066576899</v>
      </c>
      <c r="H1824">
        <v>138.46195530945201</v>
      </c>
      <c r="I1824" s="1">
        <f t="shared" si="57"/>
        <v>134.3314734988777</v>
      </c>
    </row>
    <row r="1825" spans="1:9" x14ac:dyDescent="0.45">
      <c r="A1825" t="s">
        <v>62</v>
      </c>
      <c r="B1825" t="s">
        <v>33</v>
      </c>
      <c r="C1825" t="str">
        <f t="shared" si="56"/>
        <v>Texas A&amp;MLiberty</v>
      </c>
      <c r="D1825" t="s">
        <v>62</v>
      </c>
      <c r="E1825">
        <v>94.4</v>
      </c>
      <c r="F1825">
        <v>-18.577358490565999</v>
      </c>
      <c r="G1825">
        <v>-1701.00085803504</v>
      </c>
      <c r="H1825">
        <v>139.259754337045</v>
      </c>
      <c r="I1825" s="1">
        <f t="shared" si="57"/>
        <v>145.56534983814274</v>
      </c>
    </row>
    <row r="1826" spans="1:9" x14ac:dyDescent="0.45">
      <c r="A1826" t="s">
        <v>63</v>
      </c>
      <c r="B1826" t="s">
        <v>33</v>
      </c>
      <c r="C1826" t="str">
        <f t="shared" si="56"/>
        <v>Texas TechLiberty</v>
      </c>
      <c r="D1826" t="s">
        <v>63</v>
      </c>
      <c r="E1826">
        <v>97.1</v>
      </c>
      <c r="F1826">
        <v>-23.026415094339601</v>
      </c>
      <c r="G1826">
        <v>-3354.4480133446</v>
      </c>
      <c r="H1826">
        <v>140.29953845610899</v>
      </c>
      <c r="I1826" s="1">
        <f t="shared" si="57"/>
        <v>160.20663894617579</v>
      </c>
    </row>
    <row r="1827" spans="1:9" x14ac:dyDescent="0.45">
      <c r="A1827" t="s">
        <v>64</v>
      </c>
      <c r="B1827" t="s">
        <v>33</v>
      </c>
      <c r="C1827" t="str">
        <f t="shared" si="56"/>
        <v>TroyLiberty</v>
      </c>
      <c r="D1827" t="s">
        <v>33</v>
      </c>
      <c r="E1827">
        <v>32.1</v>
      </c>
      <c r="F1827">
        <v>4.9169811320754704</v>
      </c>
      <c r="G1827">
        <v>211.75800626483499</v>
      </c>
      <c r="H1827">
        <v>139.00310287583901</v>
      </c>
      <c r="I1827" s="1">
        <f t="shared" si="57"/>
        <v>141.95141866279579</v>
      </c>
    </row>
    <row r="1828" spans="1:9" x14ac:dyDescent="0.45">
      <c r="A1828" t="s">
        <v>65</v>
      </c>
      <c r="B1828" t="s">
        <v>33</v>
      </c>
      <c r="C1828" t="str">
        <f t="shared" si="56"/>
        <v>UC San DiegoLiberty</v>
      </c>
      <c r="D1828" t="s">
        <v>65</v>
      </c>
      <c r="E1828">
        <v>54.7</v>
      </c>
      <c r="F1828">
        <v>-1.2415094339622601</v>
      </c>
      <c r="G1828">
        <v>-120.86660949914</v>
      </c>
      <c r="H1828">
        <v>139.09122461922999</v>
      </c>
      <c r="I1828" s="1">
        <f t="shared" si="57"/>
        <v>143.19226846809264</v>
      </c>
    </row>
    <row r="1829" spans="1:9" x14ac:dyDescent="0.45">
      <c r="A1829" t="s">
        <v>66</v>
      </c>
      <c r="B1829" t="s">
        <v>33</v>
      </c>
      <c r="C1829" t="str">
        <f t="shared" si="56"/>
        <v>UCLALiberty</v>
      </c>
      <c r="D1829" t="s">
        <v>66</v>
      </c>
      <c r="E1829">
        <v>82.8</v>
      </c>
      <c r="F1829">
        <v>-10.2867924528302</v>
      </c>
      <c r="G1829">
        <v>-480.296147680677</v>
      </c>
      <c r="H1829">
        <v>138.56267913233799</v>
      </c>
      <c r="I1829" s="1">
        <f t="shared" si="57"/>
        <v>135.74977426333592</v>
      </c>
    </row>
    <row r="1830" spans="1:9" x14ac:dyDescent="0.45">
      <c r="A1830" t="s">
        <v>67</v>
      </c>
      <c r="B1830" t="s">
        <v>33</v>
      </c>
      <c r="C1830" t="str">
        <f t="shared" si="56"/>
        <v>UNC WilmingtonLiberty</v>
      </c>
      <c r="D1830" t="s">
        <v>33</v>
      </c>
      <c r="E1830">
        <v>42</v>
      </c>
      <c r="F1830">
        <v>2.1169811320754701</v>
      </c>
      <c r="G1830">
        <v>138.14394374107499</v>
      </c>
      <c r="H1830">
        <v>139.67769480625799</v>
      </c>
      <c r="I1830" s="1">
        <f t="shared" si="57"/>
        <v>151.45040532947189</v>
      </c>
    </row>
    <row r="1831" spans="1:9" x14ac:dyDescent="0.45">
      <c r="A1831" t="s">
        <v>68</v>
      </c>
      <c r="B1831" t="s">
        <v>33</v>
      </c>
      <c r="C1831" t="str">
        <f t="shared" si="56"/>
        <v>Utah St.Liberty</v>
      </c>
      <c r="D1831" t="s">
        <v>68</v>
      </c>
      <c r="E1831">
        <v>78.599999999999994</v>
      </c>
      <c r="F1831">
        <v>-8.5245283018867894</v>
      </c>
      <c r="G1831">
        <v>-367.153063048825</v>
      </c>
      <c r="H1831">
        <v>139.04906521008499</v>
      </c>
      <c r="I1831" s="1">
        <f t="shared" si="57"/>
        <v>142.59861822224022</v>
      </c>
    </row>
    <row r="1832" spans="1:9" x14ac:dyDescent="0.45">
      <c r="A1832" t="s">
        <v>69</v>
      </c>
      <c r="B1832" t="s">
        <v>33</v>
      </c>
      <c r="C1832" t="str">
        <f t="shared" si="56"/>
        <v>VanderbiltLiberty</v>
      </c>
      <c r="D1832" t="s">
        <v>33</v>
      </c>
      <c r="E1832">
        <v>43.9</v>
      </c>
      <c r="F1832">
        <v>1.5962264150943399</v>
      </c>
      <c r="G1832">
        <v>127.56831919768899</v>
      </c>
      <c r="H1832">
        <v>137.62363569868299</v>
      </c>
      <c r="I1832" s="1">
        <f t="shared" si="57"/>
        <v>122.5270233623898</v>
      </c>
    </row>
    <row r="1833" spans="1:9" x14ac:dyDescent="0.45">
      <c r="A1833" t="s">
        <v>70</v>
      </c>
      <c r="B1833" t="s">
        <v>33</v>
      </c>
      <c r="C1833" t="str">
        <f t="shared" si="56"/>
        <v>VCULiberty</v>
      </c>
      <c r="D1833" t="s">
        <v>70</v>
      </c>
      <c r="E1833">
        <v>70.599999999999994</v>
      </c>
      <c r="F1833">
        <v>-5.75094339622642</v>
      </c>
      <c r="G1833">
        <v>-240.429209746395</v>
      </c>
      <c r="H1833">
        <v>139.468546860559</v>
      </c>
      <c r="I1833" s="1">
        <f t="shared" si="57"/>
        <v>148.50537521871522</v>
      </c>
    </row>
    <row r="1834" spans="1:9" x14ac:dyDescent="0.45">
      <c r="A1834" t="s">
        <v>71</v>
      </c>
      <c r="B1834" t="s">
        <v>33</v>
      </c>
      <c r="C1834" t="str">
        <f t="shared" si="56"/>
        <v>WisconsinLiberty</v>
      </c>
      <c r="D1834" t="s">
        <v>71</v>
      </c>
      <c r="E1834">
        <v>96.7</v>
      </c>
      <c r="F1834">
        <v>-22.215094339622599</v>
      </c>
      <c r="G1834">
        <v>-2962.2933172788498</v>
      </c>
      <c r="H1834">
        <v>140.269225715826</v>
      </c>
      <c r="I1834" s="1">
        <f t="shared" si="57"/>
        <v>159.77980265775508</v>
      </c>
    </row>
    <row r="1835" spans="1:9" x14ac:dyDescent="0.45">
      <c r="A1835" t="s">
        <v>80</v>
      </c>
      <c r="B1835" t="s">
        <v>33</v>
      </c>
      <c r="C1835" t="str">
        <f t="shared" si="56"/>
        <v>WoffordLiberty</v>
      </c>
      <c r="D1835" t="s">
        <v>33</v>
      </c>
      <c r="E1835">
        <v>19.8</v>
      </c>
      <c r="F1835">
        <v>9.1735849056603804</v>
      </c>
      <c r="G1835">
        <v>405.17908893486702</v>
      </c>
      <c r="H1835">
        <v>138.29868145492</v>
      </c>
      <c r="I1835" s="1">
        <f t="shared" si="57"/>
        <v>132.032400389223</v>
      </c>
    </row>
    <row r="1836" spans="1:9" x14ac:dyDescent="0.45">
      <c r="A1836" t="s">
        <v>72</v>
      </c>
      <c r="B1836" t="s">
        <v>33</v>
      </c>
      <c r="C1836" t="str">
        <f t="shared" si="56"/>
        <v>XavierLiberty</v>
      </c>
      <c r="D1836" t="s">
        <v>72</v>
      </c>
      <c r="E1836">
        <v>70.400000000000006</v>
      </c>
      <c r="F1836">
        <v>-5.6754716981132098</v>
      </c>
      <c r="G1836">
        <v>-237.647100787402</v>
      </c>
      <c r="H1836">
        <v>138.87459502507201</v>
      </c>
      <c r="I1836" s="1">
        <f t="shared" si="57"/>
        <v>140.14188862551725</v>
      </c>
    </row>
    <row r="1837" spans="1:9" x14ac:dyDescent="0.45">
      <c r="A1837" t="s">
        <v>73</v>
      </c>
      <c r="B1837" t="s">
        <v>33</v>
      </c>
      <c r="C1837" t="str">
        <f t="shared" si="56"/>
        <v>YaleLiberty</v>
      </c>
      <c r="D1837" t="s">
        <v>73</v>
      </c>
      <c r="E1837">
        <v>57</v>
      </c>
      <c r="F1837">
        <v>-1.8490566037735801</v>
      </c>
      <c r="G1837">
        <v>-132.62363904100201</v>
      </c>
      <c r="H1837">
        <v>139.67382965913501</v>
      </c>
      <c r="I1837" s="1">
        <f t="shared" si="57"/>
        <v>151.39597986226667</v>
      </c>
    </row>
    <row r="1838" spans="1:9" x14ac:dyDescent="0.45">
      <c r="A1838" t="s">
        <v>7</v>
      </c>
      <c r="B1838" t="s">
        <v>34</v>
      </c>
      <c r="C1838" t="str">
        <f t="shared" si="56"/>
        <v>AkronLipscomb</v>
      </c>
      <c r="D1838" t="s">
        <v>34</v>
      </c>
      <c r="E1838">
        <v>46.9</v>
      </c>
      <c r="F1838">
        <v>0.8</v>
      </c>
      <c r="G1838">
        <v>113.010032112671</v>
      </c>
      <c r="H1838">
        <v>138.024374883322</v>
      </c>
      <c r="I1838" s="1">
        <f t="shared" si="57"/>
        <v>128.16986609449353</v>
      </c>
    </row>
    <row r="1839" spans="1:9" x14ac:dyDescent="0.45">
      <c r="A1839" t="s">
        <v>8</v>
      </c>
      <c r="B1839" t="s">
        <v>34</v>
      </c>
      <c r="C1839" t="str">
        <f t="shared" si="56"/>
        <v>AlabamaLipscomb</v>
      </c>
      <c r="D1839" t="s">
        <v>8</v>
      </c>
      <c r="E1839">
        <v>98.5</v>
      </c>
      <c r="F1839">
        <v>-27.373584905660401</v>
      </c>
      <c r="G1839">
        <v>-6507.3875874032901</v>
      </c>
      <c r="H1839">
        <v>139.77247089546199</v>
      </c>
      <c r="I1839" s="1">
        <f t="shared" si="57"/>
        <v>152.78495554727451</v>
      </c>
    </row>
    <row r="1840" spans="1:9" x14ac:dyDescent="0.45">
      <c r="A1840" t="s">
        <v>9</v>
      </c>
      <c r="B1840" t="s">
        <v>34</v>
      </c>
      <c r="C1840" t="str">
        <f t="shared" si="56"/>
        <v>Alabama St.Lipscomb</v>
      </c>
      <c r="D1840" t="s">
        <v>34</v>
      </c>
      <c r="E1840">
        <v>12.2</v>
      </c>
      <c r="F1840">
        <v>12.9433962264151</v>
      </c>
      <c r="G1840">
        <v>720.07996181712701</v>
      </c>
      <c r="H1840">
        <v>138.25121573913501</v>
      </c>
      <c r="I1840" s="1">
        <f t="shared" si="57"/>
        <v>131.36403158575115</v>
      </c>
    </row>
    <row r="1841" spans="1:9" x14ac:dyDescent="0.45">
      <c r="A1841" t="s">
        <v>10</v>
      </c>
      <c r="B1841" t="s">
        <v>34</v>
      </c>
      <c r="C1841" t="str">
        <f t="shared" si="56"/>
        <v>AmericanLipscomb</v>
      </c>
      <c r="D1841" t="s">
        <v>34</v>
      </c>
      <c r="E1841">
        <v>14.4</v>
      </c>
      <c r="F1841">
        <v>11.679245283018901</v>
      </c>
      <c r="G1841">
        <v>593.85867601308598</v>
      </c>
      <c r="H1841">
        <v>138.34230162073999</v>
      </c>
      <c r="I1841" s="1">
        <f t="shared" si="57"/>
        <v>132.64661967474709</v>
      </c>
    </row>
    <row r="1842" spans="1:9" x14ac:dyDescent="0.45">
      <c r="A1842" t="s">
        <v>11</v>
      </c>
      <c r="B1842" t="s">
        <v>34</v>
      </c>
      <c r="C1842" t="str">
        <f t="shared" si="56"/>
        <v>ArizonaLipscomb</v>
      </c>
      <c r="D1842" t="s">
        <v>11</v>
      </c>
      <c r="E1842">
        <v>97.9</v>
      </c>
      <c r="F1842">
        <v>-25.132075471698101</v>
      </c>
      <c r="G1842">
        <v>-4623.47448365322</v>
      </c>
      <c r="H1842">
        <v>139.534829714452</v>
      </c>
      <c r="I1842" s="1">
        <f t="shared" si="57"/>
        <v>149.43870975322085</v>
      </c>
    </row>
    <row r="1843" spans="1:9" x14ac:dyDescent="0.45">
      <c r="A1843" t="s">
        <v>12</v>
      </c>
      <c r="B1843" t="s">
        <v>34</v>
      </c>
      <c r="C1843" t="str">
        <f t="shared" si="56"/>
        <v>ArkansasLipscomb</v>
      </c>
      <c r="D1843" t="s">
        <v>12</v>
      </c>
      <c r="E1843">
        <v>73.7</v>
      </c>
      <c r="F1843">
        <v>-6.7396226415094302</v>
      </c>
      <c r="G1843">
        <v>-279.56340699002999</v>
      </c>
      <c r="H1843">
        <v>137.65243354831</v>
      </c>
      <c r="I1843" s="1">
        <f t="shared" si="57"/>
        <v>122.93252834592262</v>
      </c>
    </row>
    <row r="1844" spans="1:9" x14ac:dyDescent="0.45">
      <c r="A1844" t="s">
        <v>13</v>
      </c>
      <c r="B1844" t="s">
        <v>34</v>
      </c>
      <c r="C1844" t="str">
        <f t="shared" si="56"/>
        <v>AuburnLipscomb</v>
      </c>
      <c r="D1844" t="s">
        <v>13</v>
      </c>
      <c r="E1844">
        <v>99.2</v>
      </c>
      <c r="F1844">
        <v>-31.781132075471699</v>
      </c>
      <c r="G1844">
        <v>-12752.871844916401</v>
      </c>
      <c r="H1844">
        <v>140.79115295357099</v>
      </c>
      <c r="I1844" s="1">
        <f t="shared" si="57"/>
        <v>167.12910473024729</v>
      </c>
    </row>
    <row r="1845" spans="1:9" x14ac:dyDescent="0.45">
      <c r="A1845" t="s">
        <v>14</v>
      </c>
      <c r="B1845" t="s">
        <v>34</v>
      </c>
      <c r="C1845" t="str">
        <f t="shared" si="56"/>
        <v>BaylorLipscomb</v>
      </c>
      <c r="D1845" t="s">
        <v>14</v>
      </c>
      <c r="E1845">
        <v>93.1</v>
      </c>
      <c r="F1845">
        <v>-17.0490566037736</v>
      </c>
      <c r="G1845">
        <v>-1347.7840007213299</v>
      </c>
      <c r="H1845">
        <v>139.32615096629601</v>
      </c>
      <c r="I1845" s="1">
        <f t="shared" si="57"/>
        <v>146.50028645319523</v>
      </c>
    </row>
    <row r="1846" spans="1:9" x14ac:dyDescent="0.45">
      <c r="A1846" t="s">
        <v>15</v>
      </c>
      <c r="B1846" t="s">
        <v>34</v>
      </c>
      <c r="C1846" t="str">
        <f t="shared" si="56"/>
        <v>BryantLipscomb</v>
      </c>
      <c r="D1846" t="s">
        <v>34</v>
      </c>
      <c r="E1846">
        <v>37.9</v>
      </c>
      <c r="F1846">
        <v>3.2339622641509398</v>
      </c>
      <c r="G1846">
        <v>163.80224442511599</v>
      </c>
      <c r="H1846">
        <v>138.87514871619001</v>
      </c>
      <c r="I1846" s="1">
        <f t="shared" si="57"/>
        <v>140.14968519750423</v>
      </c>
    </row>
    <row r="1847" spans="1:9" x14ac:dyDescent="0.45">
      <c r="A1847" t="s">
        <v>16</v>
      </c>
      <c r="B1847" t="s">
        <v>34</v>
      </c>
      <c r="C1847" t="str">
        <f t="shared" si="56"/>
        <v>BYULipscomb</v>
      </c>
      <c r="D1847" t="s">
        <v>16</v>
      </c>
      <c r="E1847">
        <v>94.3</v>
      </c>
      <c r="F1847">
        <v>-18.343396226415098</v>
      </c>
      <c r="G1847">
        <v>-1641.9384752106</v>
      </c>
      <c r="H1847">
        <v>139.13566919441399</v>
      </c>
      <c r="I1847" s="1">
        <f t="shared" si="57"/>
        <v>143.81809633237899</v>
      </c>
    </row>
    <row r="1848" spans="1:9" x14ac:dyDescent="0.45">
      <c r="A1848" t="s">
        <v>17</v>
      </c>
      <c r="B1848" t="s">
        <v>34</v>
      </c>
      <c r="C1848" t="str">
        <f t="shared" si="56"/>
        <v>ClemsonLipscomb</v>
      </c>
      <c r="D1848" t="s">
        <v>17</v>
      </c>
      <c r="E1848">
        <v>95.5</v>
      </c>
      <c r="F1848">
        <v>-19.969811320754701</v>
      </c>
      <c r="G1848">
        <v>-2103.8191588377099</v>
      </c>
      <c r="H1848">
        <v>139.35758105070499</v>
      </c>
      <c r="I1848" s="1">
        <f t="shared" si="57"/>
        <v>146.94285615981474</v>
      </c>
    </row>
    <row r="1849" spans="1:9" x14ac:dyDescent="0.45">
      <c r="A1849" t="s">
        <v>18</v>
      </c>
      <c r="B1849" t="s">
        <v>34</v>
      </c>
      <c r="C1849" t="str">
        <f t="shared" si="56"/>
        <v>Colorado St.Lipscomb</v>
      </c>
      <c r="D1849" t="s">
        <v>18</v>
      </c>
      <c r="E1849">
        <v>77.599999999999994</v>
      </c>
      <c r="F1849">
        <v>-8.1320754716981103</v>
      </c>
      <c r="G1849">
        <v>-345.67412785277202</v>
      </c>
      <c r="H1849">
        <v>138.66497289881099</v>
      </c>
      <c r="I1849" s="1">
        <f t="shared" si="57"/>
        <v>137.19018153771225</v>
      </c>
    </row>
    <row r="1850" spans="1:9" x14ac:dyDescent="0.45">
      <c r="A1850" t="s">
        <v>19</v>
      </c>
      <c r="B1850" t="s">
        <v>34</v>
      </c>
      <c r="C1850" t="str">
        <f t="shared" si="56"/>
        <v>ConnecticutLipscomb</v>
      </c>
      <c r="D1850" t="s">
        <v>19</v>
      </c>
      <c r="E1850">
        <v>97.3</v>
      </c>
      <c r="F1850">
        <v>-23.4339622641509</v>
      </c>
      <c r="G1850">
        <v>-3568.3210074316999</v>
      </c>
      <c r="H1850">
        <v>139.30052480114699</v>
      </c>
      <c r="I1850" s="1">
        <f t="shared" si="57"/>
        <v>146.13944223005518</v>
      </c>
    </row>
    <row r="1851" spans="1:9" x14ac:dyDescent="0.45">
      <c r="A1851" t="s">
        <v>20</v>
      </c>
      <c r="B1851" t="s">
        <v>34</v>
      </c>
      <c r="C1851" t="str">
        <f t="shared" si="56"/>
        <v>CreightonLipscomb</v>
      </c>
      <c r="D1851" t="s">
        <v>20</v>
      </c>
      <c r="E1851">
        <v>91.7</v>
      </c>
      <c r="F1851">
        <v>-15.743396226415101</v>
      </c>
      <c r="G1851">
        <v>-1103.7834794150399</v>
      </c>
      <c r="H1851">
        <v>138.77346716341</v>
      </c>
      <c r="I1851" s="1">
        <f t="shared" si="57"/>
        <v>138.71789855649843</v>
      </c>
    </row>
    <row r="1852" spans="1:9" x14ac:dyDescent="0.45">
      <c r="A1852" t="s">
        <v>21</v>
      </c>
      <c r="B1852" t="s">
        <v>34</v>
      </c>
      <c r="C1852" t="str">
        <f t="shared" si="56"/>
        <v>DrakeLipscomb</v>
      </c>
      <c r="D1852" t="s">
        <v>21</v>
      </c>
      <c r="E1852">
        <v>77.400000000000006</v>
      </c>
      <c r="F1852">
        <v>-8.0792452830188708</v>
      </c>
      <c r="G1852">
        <v>-343.01173499876302</v>
      </c>
      <c r="H1852">
        <v>138.82693226756399</v>
      </c>
      <c r="I1852" s="1">
        <f t="shared" si="57"/>
        <v>139.47074526069147</v>
      </c>
    </row>
    <row r="1853" spans="1:9" x14ac:dyDescent="0.45">
      <c r="A1853" t="s">
        <v>22</v>
      </c>
      <c r="B1853" t="s">
        <v>34</v>
      </c>
      <c r="C1853" t="str">
        <f t="shared" si="56"/>
        <v>DukeLipscomb</v>
      </c>
      <c r="D1853" t="s">
        <v>22</v>
      </c>
      <c r="E1853">
        <v>99.5</v>
      </c>
      <c r="F1853">
        <v>-34.2905660377359</v>
      </c>
      <c r="G1853">
        <v>-18698.958365127601</v>
      </c>
      <c r="H1853">
        <v>141.11425272902099</v>
      </c>
      <c r="I1853" s="1">
        <f t="shared" si="57"/>
        <v>171.67870030145346</v>
      </c>
    </row>
    <row r="1854" spans="1:9" x14ac:dyDescent="0.45">
      <c r="A1854" t="s">
        <v>23</v>
      </c>
      <c r="B1854" t="s">
        <v>34</v>
      </c>
      <c r="C1854" t="str">
        <f t="shared" si="56"/>
        <v>FloridaLipscomb</v>
      </c>
      <c r="D1854" t="s">
        <v>23</v>
      </c>
      <c r="E1854">
        <v>99</v>
      </c>
      <c r="F1854">
        <v>-30.392452830188699</v>
      </c>
      <c r="G1854">
        <v>-10315.036976049199</v>
      </c>
      <c r="H1854">
        <v>140.838009004963</v>
      </c>
      <c r="I1854" s="1">
        <f t="shared" si="57"/>
        <v>167.78888879726003</v>
      </c>
    </row>
    <row r="1855" spans="1:9" x14ac:dyDescent="0.45">
      <c r="A1855" t="s">
        <v>24</v>
      </c>
      <c r="B1855" t="s">
        <v>34</v>
      </c>
      <c r="C1855" t="str">
        <f t="shared" si="56"/>
        <v>GeorgiaLipscomb</v>
      </c>
      <c r="D1855" t="s">
        <v>24</v>
      </c>
      <c r="E1855">
        <v>79.5</v>
      </c>
      <c r="F1855">
        <v>-8.8867924528301891</v>
      </c>
      <c r="G1855">
        <v>-387.82522850627998</v>
      </c>
      <c r="H1855">
        <v>137.979822529307</v>
      </c>
      <c r="I1855" s="1">
        <f t="shared" si="57"/>
        <v>127.54252058727018</v>
      </c>
    </row>
    <row r="1856" spans="1:9" x14ac:dyDescent="0.45">
      <c r="A1856" t="s">
        <v>25</v>
      </c>
      <c r="B1856" t="s">
        <v>34</v>
      </c>
      <c r="C1856" t="str">
        <f t="shared" si="56"/>
        <v>GonzagaLipscomb</v>
      </c>
      <c r="D1856" t="s">
        <v>25</v>
      </c>
      <c r="E1856">
        <v>95.6</v>
      </c>
      <c r="F1856">
        <v>-20.211320754717001</v>
      </c>
      <c r="G1856">
        <v>-2183.0179877127098</v>
      </c>
      <c r="H1856">
        <v>140.11746364883601</v>
      </c>
      <c r="I1856" s="1">
        <f t="shared" si="57"/>
        <v>157.64282801302468</v>
      </c>
    </row>
    <row r="1857" spans="1:9" x14ac:dyDescent="0.45">
      <c r="A1857" t="s">
        <v>26</v>
      </c>
      <c r="B1857" t="s">
        <v>34</v>
      </c>
      <c r="C1857" t="str">
        <f t="shared" si="56"/>
        <v>Grand CanyonLipscomb</v>
      </c>
      <c r="D1857" t="s">
        <v>26</v>
      </c>
      <c r="E1857">
        <v>68.099999999999994</v>
      </c>
      <c r="F1857">
        <v>-4.9622641509434002</v>
      </c>
      <c r="G1857">
        <v>-213.19387224979999</v>
      </c>
      <c r="H1857">
        <v>138.76943189514</v>
      </c>
      <c r="I1857" s="1">
        <f t="shared" si="57"/>
        <v>138.66107759887237</v>
      </c>
    </row>
    <row r="1858" spans="1:9" x14ac:dyDescent="0.45">
      <c r="A1858" t="s">
        <v>27</v>
      </c>
      <c r="B1858" t="s">
        <v>34</v>
      </c>
      <c r="C1858" t="str">
        <f t="shared" si="56"/>
        <v>High PointLipscomb</v>
      </c>
      <c r="D1858" t="s">
        <v>27</v>
      </c>
      <c r="E1858">
        <v>58.3</v>
      </c>
      <c r="F1858">
        <v>-2.1886792452830202</v>
      </c>
      <c r="G1858">
        <v>-139.66855790978801</v>
      </c>
      <c r="H1858">
        <v>139.050323642796</v>
      </c>
      <c r="I1858" s="1">
        <f t="shared" si="57"/>
        <v>142.61633832087136</v>
      </c>
    </row>
    <row r="1859" spans="1:9" x14ac:dyDescent="0.45">
      <c r="A1859" t="s">
        <v>28</v>
      </c>
      <c r="B1859" t="s">
        <v>34</v>
      </c>
      <c r="C1859" t="str">
        <f t="shared" ref="C1859:C1922" si="58">A1859&amp;B1859</f>
        <v>HoustonLipscomb</v>
      </c>
      <c r="D1859" t="s">
        <v>28</v>
      </c>
      <c r="E1859">
        <v>99.7</v>
      </c>
      <c r="F1859">
        <v>-37.803773584905699</v>
      </c>
      <c r="G1859">
        <v>-31959.844734002199</v>
      </c>
      <c r="H1859">
        <v>141.25791707865</v>
      </c>
      <c r="I1859" s="1">
        <f t="shared" ref="I1859:I1922" si="59">18*(H1859-AVERAGE($H$2:$H$4625))/_xlfn.STDEV.P($H$2:$H$4625)+AVERAGE($H$2:$H$4625)</f>
        <v>173.70165029546692</v>
      </c>
    </row>
    <row r="1860" spans="1:9" x14ac:dyDescent="0.45">
      <c r="A1860" t="s">
        <v>29</v>
      </c>
      <c r="B1860" t="s">
        <v>34</v>
      </c>
      <c r="C1860" t="str">
        <f t="shared" si="58"/>
        <v>IllinoisLipscomb</v>
      </c>
      <c r="D1860" t="s">
        <v>29</v>
      </c>
      <c r="E1860">
        <v>97</v>
      </c>
      <c r="F1860">
        <v>-22.6943396226415</v>
      </c>
      <c r="G1860">
        <v>-3187.8803488190001</v>
      </c>
      <c r="H1860">
        <v>139.30816223258699</v>
      </c>
      <c r="I1860" s="1">
        <f t="shared" si="59"/>
        <v>146.24698555535286</v>
      </c>
    </row>
    <row r="1861" spans="1:9" x14ac:dyDescent="0.45">
      <c r="A1861" t="s">
        <v>30</v>
      </c>
      <c r="B1861" t="s">
        <v>34</v>
      </c>
      <c r="C1861" t="str">
        <f t="shared" si="58"/>
        <v>Iowa St.Lipscomb</v>
      </c>
      <c r="D1861" t="s">
        <v>30</v>
      </c>
      <c r="E1861">
        <v>98.5</v>
      </c>
      <c r="F1861">
        <v>-27.577358490565999</v>
      </c>
      <c r="G1861">
        <v>-6714.9439459213099</v>
      </c>
      <c r="H1861">
        <v>140.23443081094501</v>
      </c>
      <c r="I1861" s="1">
        <f t="shared" si="59"/>
        <v>159.28985262629323</v>
      </c>
    </row>
    <row r="1862" spans="1:9" x14ac:dyDescent="0.45">
      <c r="A1862" t="s">
        <v>31</v>
      </c>
      <c r="B1862" t="s">
        <v>34</v>
      </c>
      <c r="C1862" t="str">
        <f t="shared" si="58"/>
        <v>KansasLipscomb</v>
      </c>
      <c r="D1862" t="s">
        <v>31</v>
      </c>
      <c r="E1862">
        <v>95.1</v>
      </c>
      <c r="F1862">
        <v>-19.4754716981132</v>
      </c>
      <c r="G1862">
        <v>-1950.8815657406101</v>
      </c>
      <c r="H1862">
        <v>139.189821095257</v>
      </c>
      <c r="I1862" s="1">
        <f t="shared" si="59"/>
        <v>144.58061387948845</v>
      </c>
    </row>
    <row r="1863" spans="1:9" x14ac:dyDescent="0.45">
      <c r="A1863" t="s">
        <v>32</v>
      </c>
      <c r="B1863" t="s">
        <v>34</v>
      </c>
      <c r="C1863" t="str">
        <f t="shared" si="58"/>
        <v>KentuckyLipscomb</v>
      </c>
      <c r="D1863" t="s">
        <v>32</v>
      </c>
      <c r="E1863">
        <v>97.1</v>
      </c>
      <c r="F1863">
        <v>-22.9018867924528</v>
      </c>
      <c r="G1863">
        <v>-3291.0938657545398</v>
      </c>
      <c r="H1863">
        <v>139.13685869564901</v>
      </c>
      <c r="I1863" s="1">
        <f t="shared" si="59"/>
        <v>143.83484580100134</v>
      </c>
    </row>
    <row r="1864" spans="1:9" x14ac:dyDescent="0.45">
      <c r="A1864" t="s">
        <v>33</v>
      </c>
      <c r="B1864" t="s">
        <v>34</v>
      </c>
      <c r="C1864" t="str">
        <f t="shared" si="58"/>
        <v>LibertyLipscomb</v>
      </c>
      <c r="D1864" t="s">
        <v>34</v>
      </c>
      <c r="E1864">
        <v>47.8</v>
      </c>
      <c r="F1864">
        <v>0.58490566037735803</v>
      </c>
      <c r="G1864">
        <v>109.350257283518</v>
      </c>
      <c r="H1864">
        <v>138.34579494404801</v>
      </c>
      <c r="I1864" s="1">
        <f t="shared" si="59"/>
        <v>132.69580945901365</v>
      </c>
    </row>
    <row r="1865" spans="1:9" x14ac:dyDescent="0.45">
      <c r="A1865" t="s">
        <v>34</v>
      </c>
      <c r="B1865" t="s">
        <v>34</v>
      </c>
      <c r="C1865" t="str">
        <f t="shared" si="58"/>
        <v>LipscombLipscomb</v>
      </c>
      <c r="D1865" t="s">
        <v>34</v>
      </c>
      <c r="E1865">
        <v>41.2</v>
      </c>
      <c r="F1865">
        <v>2.3283018867924499</v>
      </c>
      <c r="G1865">
        <v>142.64273539779199</v>
      </c>
      <c r="H1865">
        <v>138.77771517530499</v>
      </c>
      <c r="I1865" s="1">
        <f t="shared" si="59"/>
        <v>138.77771517530277</v>
      </c>
    </row>
    <row r="1866" spans="1:9" x14ac:dyDescent="0.45">
      <c r="A1866" t="s">
        <v>35</v>
      </c>
      <c r="B1866" t="s">
        <v>34</v>
      </c>
      <c r="C1866" t="str">
        <f t="shared" si="58"/>
        <v>LouisvilleLipscomb</v>
      </c>
      <c r="D1866" t="s">
        <v>35</v>
      </c>
      <c r="E1866">
        <v>64</v>
      </c>
      <c r="F1866">
        <v>-3.7773584905660398</v>
      </c>
      <c r="G1866">
        <v>-177.97688975757401</v>
      </c>
      <c r="H1866">
        <v>138.063438487273</v>
      </c>
      <c r="I1866" s="1">
        <f t="shared" si="59"/>
        <v>128.71992404264074</v>
      </c>
    </row>
    <row r="1867" spans="1:9" x14ac:dyDescent="0.45">
      <c r="A1867" t="s">
        <v>36</v>
      </c>
      <c r="B1867" t="s">
        <v>34</v>
      </c>
      <c r="C1867" t="str">
        <f t="shared" si="58"/>
        <v>MarquetteLipscomb</v>
      </c>
      <c r="D1867" t="s">
        <v>36</v>
      </c>
      <c r="E1867">
        <v>96.2</v>
      </c>
      <c r="F1867">
        <v>-21.124528301886802</v>
      </c>
      <c r="G1867">
        <v>-2508.8172038428702</v>
      </c>
      <c r="H1867">
        <v>139.39519512217899</v>
      </c>
      <c r="I1867" s="1">
        <f t="shared" si="59"/>
        <v>147.47250311718196</v>
      </c>
    </row>
    <row r="1868" spans="1:9" x14ac:dyDescent="0.45">
      <c r="A1868" t="s">
        <v>37</v>
      </c>
      <c r="B1868" t="s">
        <v>34</v>
      </c>
      <c r="C1868" t="str">
        <f t="shared" si="58"/>
        <v>MarylandLipscomb</v>
      </c>
      <c r="D1868" t="s">
        <v>37</v>
      </c>
      <c r="E1868">
        <v>94.5</v>
      </c>
      <c r="F1868">
        <v>-18.5811320754717</v>
      </c>
      <c r="G1868">
        <v>-1701.8632530022701</v>
      </c>
      <c r="H1868">
        <v>139.00513443385699</v>
      </c>
      <c r="I1868" s="1">
        <f t="shared" si="59"/>
        <v>141.98002520499602</v>
      </c>
    </row>
    <row r="1869" spans="1:9" x14ac:dyDescent="0.45">
      <c r="A1869" t="s">
        <v>38</v>
      </c>
      <c r="B1869" t="s">
        <v>34</v>
      </c>
      <c r="C1869" t="str">
        <f t="shared" si="58"/>
        <v>McNeese St.Lipscomb</v>
      </c>
      <c r="D1869" t="s">
        <v>38</v>
      </c>
      <c r="E1869">
        <v>75.2</v>
      </c>
      <c r="F1869">
        <v>-7.2716981132075498</v>
      </c>
      <c r="G1869">
        <v>-303.23232753581601</v>
      </c>
      <c r="H1869">
        <v>138.840546048058</v>
      </c>
      <c r="I1869" s="1">
        <f t="shared" si="59"/>
        <v>139.66244206814565</v>
      </c>
    </row>
    <row r="1870" spans="1:9" x14ac:dyDescent="0.45">
      <c r="A1870" t="s">
        <v>39</v>
      </c>
      <c r="B1870" t="s">
        <v>34</v>
      </c>
      <c r="C1870" t="str">
        <f t="shared" si="58"/>
        <v>MemphisLipscomb</v>
      </c>
      <c r="D1870" t="s">
        <v>39</v>
      </c>
      <c r="E1870">
        <v>89.7</v>
      </c>
      <c r="F1870">
        <v>-14.192452830188699</v>
      </c>
      <c r="G1870">
        <v>-871.68215788100895</v>
      </c>
      <c r="H1870">
        <v>137.98276924687701</v>
      </c>
      <c r="I1870" s="1">
        <f t="shared" si="59"/>
        <v>127.5840135693914</v>
      </c>
    </row>
    <row r="1871" spans="1:9" x14ac:dyDescent="0.45">
      <c r="A1871" t="s">
        <v>40</v>
      </c>
      <c r="B1871" t="s">
        <v>34</v>
      </c>
      <c r="C1871" t="str">
        <f t="shared" si="58"/>
        <v>MichiganLipscomb</v>
      </c>
      <c r="D1871" t="s">
        <v>40</v>
      </c>
      <c r="E1871">
        <v>82.1</v>
      </c>
      <c r="F1871">
        <v>-10.0075471698113</v>
      </c>
      <c r="G1871">
        <v>-460.13907714534002</v>
      </c>
      <c r="H1871">
        <v>137.63969033155999</v>
      </c>
      <c r="I1871" s="1">
        <f t="shared" si="59"/>
        <v>122.75309002100265</v>
      </c>
    </row>
    <row r="1872" spans="1:9" x14ac:dyDescent="0.45">
      <c r="A1872" t="s">
        <v>41</v>
      </c>
      <c r="B1872" t="s">
        <v>34</v>
      </c>
      <c r="C1872" t="str">
        <f t="shared" si="58"/>
        <v>Michigan St.Lipscomb</v>
      </c>
      <c r="D1872" t="s">
        <v>41</v>
      </c>
      <c r="E1872">
        <v>97.8</v>
      </c>
      <c r="F1872">
        <v>-24.8301886792453</v>
      </c>
      <c r="G1872">
        <v>-4415.3278061450001</v>
      </c>
      <c r="H1872">
        <v>139.33858229238899</v>
      </c>
      <c r="I1872" s="1">
        <f t="shared" si="59"/>
        <v>146.6753330190991</v>
      </c>
    </row>
    <row r="1873" spans="1:9" x14ac:dyDescent="0.45">
      <c r="A1873" t="s">
        <v>42</v>
      </c>
      <c r="B1873" t="s">
        <v>34</v>
      </c>
      <c r="C1873" t="str">
        <f t="shared" si="58"/>
        <v>MississippiLipscomb</v>
      </c>
      <c r="D1873" t="s">
        <v>42</v>
      </c>
      <c r="E1873">
        <v>91.9</v>
      </c>
      <c r="F1873">
        <v>-15.920754716981101</v>
      </c>
      <c r="G1873">
        <v>-1134.0809674403899</v>
      </c>
      <c r="H1873">
        <v>138.469503397484</v>
      </c>
      <c r="I1873" s="1">
        <f t="shared" si="59"/>
        <v>134.43775877200616</v>
      </c>
    </row>
    <row r="1874" spans="1:9" x14ac:dyDescent="0.45">
      <c r="A1874" t="s">
        <v>43</v>
      </c>
      <c r="B1874" t="s">
        <v>34</v>
      </c>
      <c r="C1874" t="str">
        <f t="shared" si="58"/>
        <v>Mississippi St.Lipscomb</v>
      </c>
      <c r="D1874" t="s">
        <v>43</v>
      </c>
      <c r="E1874">
        <v>89.5</v>
      </c>
      <c r="F1874">
        <v>-14.0716981132075</v>
      </c>
      <c r="G1874">
        <v>-855.36756888608602</v>
      </c>
      <c r="H1874">
        <v>138.59387475127301</v>
      </c>
      <c r="I1874" s="1">
        <f t="shared" si="59"/>
        <v>136.18904244156388</v>
      </c>
    </row>
    <row r="1875" spans="1:9" x14ac:dyDescent="0.45">
      <c r="A1875" t="s">
        <v>44</v>
      </c>
      <c r="B1875" t="s">
        <v>34</v>
      </c>
      <c r="C1875" t="str">
        <f t="shared" si="58"/>
        <v>MissouriLipscomb</v>
      </c>
      <c r="D1875" t="s">
        <v>44</v>
      </c>
      <c r="E1875">
        <v>78.900000000000006</v>
      </c>
      <c r="F1875">
        <v>-8.6566037735849104</v>
      </c>
      <c r="G1875">
        <v>-374.58798145732402</v>
      </c>
      <c r="H1875">
        <v>137.85834668744701</v>
      </c>
      <c r="I1875" s="1">
        <f t="shared" si="59"/>
        <v>125.83200886882341</v>
      </c>
    </row>
    <row r="1876" spans="1:9" x14ac:dyDescent="0.45">
      <c r="A1876" t="s">
        <v>45</v>
      </c>
      <c r="B1876" t="s">
        <v>34</v>
      </c>
      <c r="C1876" t="str">
        <f t="shared" si="58"/>
        <v>MontanaLipscomb</v>
      </c>
      <c r="D1876" t="s">
        <v>34</v>
      </c>
      <c r="E1876">
        <v>26.8</v>
      </c>
      <c r="F1876">
        <v>6.6</v>
      </c>
      <c r="G1876">
        <v>273.67695739695603</v>
      </c>
      <c r="H1876">
        <v>137.16708141246599</v>
      </c>
      <c r="I1876" s="1">
        <f t="shared" si="59"/>
        <v>116.09824341138217</v>
      </c>
    </row>
    <row r="1877" spans="1:9" x14ac:dyDescent="0.45">
      <c r="A1877" t="s">
        <v>46</v>
      </c>
      <c r="B1877" t="s">
        <v>34</v>
      </c>
      <c r="C1877" t="str">
        <f t="shared" si="58"/>
        <v>Mount St. Mary'sLipscomb</v>
      </c>
      <c r="D1877" t="s">
        <v>34</v>
      </c>
      <c r="E1877">
        <v>12.6</v>
      </c>
      <c r="F1877">
        <v>12.7169811320755</v>
      </c>
      <c r="G1877">
        <v>695.72711359790605</v>
      </c>
      <c r="H1877">
        <v>138.51495563441301</v>
      </c>
      <c r="I1877" s="1">
        <f t="shared" si="59"/>
        <v>135.07777560750418</v>
      </c>
    </row>
    <row r="1878" spans="1:9" x14ac:dyDescent="0.45">
      <c r="A1878" t="s">
        <v>47</v>
      </c>
      <c r="B1878" t="s">
        <v>34</v>
      </c>
      <c r="C1878" t="str">
        <f t="shared" si="58"/>
        <v>Nebraska OmahaLipscomb</v>
      </c>
      <c r="D1878" t="s">
        <v>34</v>
      </c>
      <c r="E1878">
        <v>15.7</v>
      </c>
      <c r="F1878">
        <v>11</v>
      </c>
      <c r="G1878">
        <v>535.51120853267605</v>
      </c>
      <c r="H1878">
        <v>137.79895681431299</v>
      </c>
      <c r="I1878" s="1">
        <f t="shared" si="59"/>
        <v>124.99573498590682</v>
      </c>
    </row>
    <row r="1879" spans="1:9" x14ac:dyDescent="0.45">
      <c r="A1879" t="s">
        <v>48</v>
      </c>
      <c r="B1879" t="s">
        <v>34</v>
      </c>
      <c r="C1879" t="str">
        <f t="shared" si="58"/>
        <v>New MexicoLipscomb</v>
      </c>
      <c r="D1879" t="s">
        <v>48</v>
      </c>
      <c r="E1879">
        <v>82.7</v>
      </c>
      <c r="F1879">
        <v>-10.2452830188679</v>
      </c>
      <c r="G1879">
        <v>-477.38301345876403</v>
      </c>
      <c r="H1879">
        <v>138.676701161588</v>
      </c>
      <c r="I1879" s="1">
        <f t="shared" si="59"/>
        <v>137.35532820893454</v>
      </c>
    </row>
    <row r="1880" spans="1:9" x14ac:dyDescent="0.45">
      <c r="A1880" t="s">
        <v>49</v>
      </c>
      <c r="B1880" t="s">
        <v>34</v>
      </c>
      <c r="C1880" t="str">
        <f t="shared" si="58"/>
        <v>Norfolk St.Lipscomb</v>
      </c>
      <c r="D1880" t="s">
        <v>34</v>
      </c>
      <c r="E1880">
        <v>21.6</v>
      </c>
      <c r="F1880">
        <v>8.4679245283018894</v>
      </c>
      <c r="G1880">
        <v>363.90324615645397</v>
      </c>
      <c r="H1880">
        <v>137.68906482379001</v>
      </c>
      <c r="I1880" s="1">
        <f t="shared" si="59"/>
        <v>123.44833646884486</v>
      </c>
    </row>
    <row r="1881" spans="1:9" x14ac:dyDescent="0.45">
      <c r="A1881" t="s">
        <v>50</v>
      </c>
      <c r="B1881" t="s">
        <v>34</v>
      </c>
      <c r="C1881" t="str">
        <f t="shared" si="58"/>
        <v>North CarolinaLipscomb</v>
      </c>
      <c r="D1881" t="s">
        <v>50</v>
      </c>
      <c r="E1881">
        <v>94.2</v>
      </c>
      <c r="F1881">
        <v>-18.286792452830198</v>
      </c>
      <c r="G1881">
        <v>-1627.64614755457</v>
      </c>
      <c r="H1881">
        <v>139.76099625574599</v>
      </c>
      <c r="I1881" s="1">
        <f t="shared" si="59"/>
        <v>152.62338016406545</v>
      </c>
    </row>
    <row r="1882" spans="1:9" x14ac:dyDescent="0.45">
      <c r="A1882" t="s">
        <v>51</v>
      </c>
      <c r="B1882" t="s">
        <v>34</v>
      </c>
      <c r="C1882" t="str">
        <f t="shared" si="58"/>
        <v>OklahomaLipscomb</v>
      </c>
      <c r="D1882" t="s">
        <v>51</v>
      </c>
      <c r="E1882">
        <v>84.2</v>
      </c>
      <c r="F1882">
        <v>-10.981132075471701</v>
      </c>
      <c r="G1882">
        <v>-534.01256107284496</v>
      </c>
      <c r="H1882">
        <v>138.10359955125</v>
      </c>
      <c r="I1882" s="1">
        <f t="shared" si="59"/>
        <v>129.28543541927411</v>
      </c>
    </row>
    <row r="1883" spans="1:9" x14ac:dyDescent="0.45">
      <c r="A1883" t="s">
        <v>52</v>
      </c>
      <c r="B1883" t="s">
        <v>34</v>
      </c>
      <c r="C1883" t="str">
        <f t="shared" si="58"/>
        <v>OregonLipscomb</v>
      </c>
      <c r="D1883" t="s">
        <v>52</v>
      </c>
      <c r="E1883">
        <v>94.6</v>
      </c>
      <c r="F1883">
        <v>-18.807547169811301</v>
      </c>
      <c r="G1883">
        <v>-1761.87818893296</v>
      </c>
      <c r="H1883">
        <v>138.697977339391</v>
      </c>
      <c r="I1883" s="1">
        <f t="shared" si="59"/>
        <v>137.65491988822285</v>
      </c>
    </row>
    <row r="1884" spans="1:9" x14ac:dyDescent="0.45">
      <c r="A1884" t="s">
        <v>53</v>
      </c>
      <c r="B1884" t="s">
        <v>34</v>
      </c>
      <c r="C1884" t="str">
        <f t="shared" si="58"/>
        <v>PurdueLipscomb</v>
      </c>
      <c r="D1884" t="s">
        <v>53</v>
      </c>
      <c r="E1884">
        <v>98.9</v>
      </c>
      <c r="F1884">
        <v>-29.7169811320755</v>
      </c>
      <c r="G1884">
        <v>-9306.4393130558601</v>
      </c>
      <c r="H1884">
        <v>140.04596466818001</v>
      </c>
      <c r="I1884" s="1">
        <f t="shared" si="59"/>
        <v>156.63604475146022</v>
      </c>
    </row>
    <row r="1885" spans="1:9" x14ac:dyDescent="0.45">
      <c r="A1885" t="s">
        <v>54</v>
      </c>
      <c r="B1885" t="s">
        <v>34</v>
      </c>
      <c r="C1885" t="str">
        <f t="shared" si="58"/>
        <v>Robert MorrisLipscomb</v>
      </c>
      <c r="D1885" t="s">
        <v>34</v>
      </c>
      <c r="E1885">
        <v>10.199999999999999</v>
      </c>
      <c r="F1885">
        <v>14.2264150943396</v>
      </c>
      <c r="G1885">
        <v>875.78485740191502</v>
      </c>
      <c r="H1885">
        <v>137.10460151694301</v>
      </c>
      <c r="I1885" s="1">
        <f t="shared" si="59"/>
        <v>115.2184586589326</v>
      </c>
    </row>
    <row r="1886" spans="1:9" x14ac:dyDescent="0.45">
      <c r="A1886" t="s">
        <v>55</v>
      </c>
      <c r="B1886" t="s">
        <v>34</v>
      </c>
      <c r="C1886" t="str">
        <f t="shared" si="58"/>
        <v>Saint FrancisLipscomb</v>
      </c>
      <c r="D1886" t="s">
        <v>34</v>
      </c>
      <c r="E1886">
        <v>7</v>
      </c>
      <c r="F1886">
        <v>16.9509433962264</v>
      </c>
      <c r="G1886">
        <v>1327.4322122441399</v>
      </c>
      <c r="H1886">
        <v>138.15745705014999</v>
      </c>
      <c r="I1886" s="1">
        <f t="shared" si="59"/>
        <v>130.04380746744516</v>
      </c>
    </row>
    <row r="1887" spans="1:9" x14ac:dyDescent="0.45">
      <c r="A1887" t="s">
        <v>56</v>
      </c>
      <c r="B1887" t="s">
        <v>34</v>
      </c>
      <c r="C1887" t="str">
        <f t="shared" si="58"/>
        <v>Saint Mary'sLipscomb</v>
      </c>
      <c r="D1887" t="s">
        <v>56</v>
      </c>
      <c r="E1887">
        <v>93.8</v>
      </c>
      <c r="F1887">
        <v>-17.762264150943398</v>
      </c>
      <c r="G1887">
        <v>-1502.6966657836099</v>
      </c>
      <c r="H1887">
        <v>139.40871225123999</v>
      </c>
      <c r="I1887" s="1">
        <f t="shared" si="59"/>
        <v>147.66283896754177</v>
      </c>
    </row>
    <row r="1888" spans="1:9" x14ac:dyDescent="0.45">
      <c r="A1888" t="s">
        <v>57</v>
      </c>
      <c r="B1888" t="s">
        <v>34</v>
      </c>
      <c r="C1888" t="str">
        <f t="shared" si="58"/>
        <v>San Diego St.Lipscomb</v>
      </c>
      <c r="D1888" t="s">
        <v>57</v>
      </c>
      <c r="E1888">
        <v>81.400000000000006</v>
      </c>
      <c r="F1888">
        <v>-9.6716981132075492</v>
      </c>
      <c r="G1888">
        <v>-437.25042146379099</v>
      </c>
      <c r="H1888">
        <v>138.55496713103801</v>
      </c>
      <c r="I1888" s="1">
        <f t="shared" si="59"/>
        <v>135.64118091346234</v>
      </c>
    </row>
    <row r="1889" spans="1:9" x14ac:dyDescent="0.45">
      <c r="A1889" t="s">
        <v>58</v>
      </c>
      <c r="B1889" t="s">
        <v>34</v>
      </c>
      <c r="C1889" t="str">
        <f t="shared" si="58"/>
        <v>SIU EdwardsvilleLipscomb</v>
      </c>
      <c r="D1889" t="s">
        <v>34</v>
      </c>
      <c r="E1889">
        <v>18</v>
      </c>
      <c r="F1889">
        <v>9.9283018867924504</v>
      </c>
      <c r="G1889">
        <v>454.61810999499198</v>
      </c>
      <c r="H1889">
        <v>138.70265489788599</v>
      </c>
      <c r="I1889" s="1">
        <f t="shared" si="59"/>
        <v>137.72078498943878</v>
      </c>
    </row>
    <row r="1890" spans="1:9" x14ac:dyDescent="0.45">
      <c r="A1890" t="s">
        <v>59</v>
      </c>
      <c r="B1890" t="s">
        <v>34</v>
      </c>
      <c r="C1890" t="str">
        <f t="shared" si="58"/>
        <v>St. John'sLipscomb</v>
      </c>
      <c r="D1890" t="s">
        <v>59</v>
      </c>
      <c r="E1890">
        <v>97.9</v>
      </c>
      <c r="F1890">
        <v>-25.230188679245298</v>
      </c>
      <c r="G1890">
        <v>-4694.1912056961801</v>
      </c>
      <c r="H1890">
        <v>139.68033767043099</v>
      </c>
      <c r="I1890" s="1">
        <f t="shared" si="59"/>
        <v>151.48761972592274</v>
      </c>
    </row>
    <row r="1891" spans="1:9" x14ac:dyDescent="0.45">
      <c r="A1891" t="s">
        <v>60</v>
      </c>
      <c r="B1891" t="s">
        <v>34</v>
      </c>
      <c r="C1891" t="str">
        <f t="shared" si="58"/>
        <v>TennesseeLipscomb</v>
      </c>
      <c r="D1891" t="s">
        <v>60</v>
      </c>
      <c r="E1891">
        <v>98.9</v>
      </c>
      <c r="F1891">
        <v>-29.777358490566002</v>
      </c>
      <c r="G1891">
        <v>-9390.7488064087502</v>
      </c>
      <c r="H1891">
        <v>140.27432054712199</v>
      </c>
      <c r="I1891" s="1">
        <f t="shared" si="59"/>
        <v>159.85154341296919</v>
      </c>
    </row>
    <row r="1892" spans="1:9" x14ac:dyDescent="0.45">
      <c r="A1892" t="s">
        <v>61</v>
      </c>
      <c r="B1892" t="s">
        <v>34</v>
      </c>
      <c r="C1892" t="str">
        <f t="shared" si="58"/>
        <v>TexasLipscomb</v>
      </c>
      <c r="D1892" t="s">
        <v>61</v>
      </c>
      <c r="E1892">
        <v>79.3</v>
      </c>
      <c r="F1892">
        <v>-8.8226415094339607</v>
      </c>
      <c r="G1892">
        <v>-384.17890012595802</v>
      </c>
      <c r="H1892">
        <v>138.030035078194</v>
      </c>
      <c r="I1892" s="1">
        <f t="shared" si="59"/>
        <v>128.24956778257419</v>
      </c>
    </row>
    <row r="1893" spans="1:9" x14ac:dyDescent="0.45">
      <c r="A1893" t="s">
        <v>62</v>
      </c>
      <c r="B1893" t="s">
        <v>34</v>
      </c>
      <c r="C1893" t="str">
        <f t="shared" si="58"/>
        <v>Texas A&amp;MLipscomb</v>
      </c>
      <c r="D1893" t="s">
        <v>62</v>
      </c>
      <c r="E1893">
        <v>95.7</v>
      </c>
      <c r="F1893">
        <v>-20.320754716981099</v>
      </c>
      <c r="G1893">
        <v>-2218.88289366357</v>
      </c>
      <c r="H1893">
        <v>138.82783410578801</v>
      </c>
      <c r="I1893" s="1">
        <f t="shared" si="59"/>
        <v>139.48344412185364</v>
      </c>
    </row>
    <row r="1894" spans="1:9" x14ac:dyDescent="0.45">
      <c r="A1894" t="s">
        <v>63</v>
      </c>
      <c r="B1894" t="s">
        <v>34</v>
      </c>
      <c r="C1894" t="str">
        <f t="shared" si="58"/>
        <v>Texas TechLipscomb</v>
      </c>
      <c r="D1894" t="s">
        <v>63</v>
      </c>
      <c r="E1894">
        <v>97.8</v>
      </c>
      <c r="F1894">
        <v>-24.769811320754702</v>
      </c>
      <c r="G1894">
        <v>-4375.73401526216</v>
      </c>
      <c r="H1894">
        <v>139.86761822485201</v>
      </c>
      <c r="I1894" s="1">
        <f t="shared" si="59"/>
        <v>154.12473322988666</v>
      </c>
    </row>
    <row r="1895" spans="1:9" x14ac:dyDescent="0.45">
      <c r="A1895" t="s">
        <v>64</v>
      </c>
      <c r="B1895" t="s">
        <v>34</v>
      </c>
      <c r="C1895" t="str">
        <f t="shared" si="58"/>
        <v>TroyLipscomb</v>
      </c>
      <c r="D1895" t="s">
        <v>34</v>
      </c>
      <c r="E1895">
        <v>38.1</v>
      </c>
      <c r="F1895">
        <v>3.1773584905660401</v>
      </c>
      <c r="G1895">
        <v>162.33418689237399</v>
      </c>
      <c r="H1895">
        <v>138.571182644581</v>
      </c>
      <c r="I1895" s="1">
        <f t="shared" si="59"/>
        <v>135.86951294649228</v>
      </c>
    </row>
    <row r="1896" spans="1:9" x14ac:dyDescent="0.45">
      <c r="A1896" t="s">
        <v>65</v>
      </c>
      <c r="B1896" t="s">
        <v>34</v>
      </c>
      <c r="C1896" t="str">
        <f t="shared" si="58"/>
        <v>UC San DiegoLipscomb</v>
      </c>
      <c r="D1896" t="s">
        <v>65</v>
      </c>
      <c r="E1896">
        <v>61.2</v>
      </c>
      <c r="F1896">
        <v>-2.9849056603773598</v>
      </c>
      <c r="G1896">
        <v>-157.66532448582299</v>
      </c>
      <c r="H1896">
        <v>138.65930438797201</v>
      </c>
      <c r="I1896" s="1">
        <f t="shared" si="59"/>
        <v>137.11036275178952</v>
      </c>
    </row>
    <row r="1897" spans="1:9" x14ac:dyDescent="0.45">
      <c r="A1897" t="s">
        <v>66</v>
      </c>
      <c r="B1897" t="s">
        <v>34</v>
      </c>
      <c r="C1897" t="str">
        <f t="shared" si="58"/>
        <v>UCLALipscomb</v>
      </c>
      <c r="D1897" t="s">
        <v>66</v>
      </c>
      <c r="E1897">
        <v>86.2</v>
      </c>
      <c r="F1897">
        <v>-12.030188679245301</v>
      </c>
      <c r="G1897">
        <v>-626.52578977077303</v>
      </c>
      <c r="H1897">
        <v>138.13075890108101</v>
      </c>
      <c r="I1897" s="1">
        <f t="shared" si="59"/>
        <v>129.66786854704682</v>
      </c>
    </row>
    <row r="1898" spans="1:9" x14ac:dyDescent="0.45">
      <c r="A1898" t="s">
        <v>67</v>
      </c>
      <c r="B1898" t="s">
        <v>34</v>
      </c>
      <c r="C1898" t="str">
        <f t="shared" si="58"/>
        <v>UNC WilmingtonLipscomb</v>
      </c>
      <c r="D1898" t="s">
        <v>34</v>
      </c>
      <c r="E1898">
        <v>48.6</v>
      </c>
      <c r="F1898">
        <v>0.37735849056603799</v>
      </c>
      <c r="G1898">
        <v>105.901472992085</v>
      </c>
      <c r="H1898">
        <v>139.24577457500101</v>
      </c>
      <c r="I1898" s="1">
        <f t="shared" si="59"/>
        <v>145.36849961318279</v>
      </c>
    </row>
    <row r="1899" spans="1:9" x14ac:dyDescent="0.45">
      <c r="A1899" t="s">
        <v>68</v>
      </c>
      <c r="B1899" t="s">
        <v>34</v>
      </c>
      <c r="C1899" t="str">
        <f t="shared" si="58"/>
        <v>Utah St.Lipscomb</v>
      </c>
      <c r="D1899" t="s">
        <v>68</v>
      </c>
      <c r="E1899">
        <v>82.7</v>
      </c>
      <c r="F1899">
        <v>-10.267924528301901</v>
      </c>
      <c r="G1899">
        <v>-478.935473257968</v>
      </c>
      <c r="H1899">
        <v>138.61714497882701</v>
      </c>
      <c r="I1899" s="1">
        <f t="shared" si="59"/>
        <v>136.51671250593708</v>
      </c>
    </row>
    <row r="1900" spans="1:9" x14ac:dyDescent="0.45">
      <c r="A1900" t="s">
        <v>69</v>
      </c>
      <c r="B1900" t="s">
        <v>34</v>
      </c>
      <c r="C1900" t="str">
        <f t="shared" si="58"/>
        <v>VanderbiltLipscomb</v>
      </c>
      <c r="D1900" t="s">
        <v>69</v>
      </c>
      <c r="E1900">
        <v>50.6</v>
      </c>
      <c r="F1900">
        <v>-0.14716981132075499</v>
      </c>
      <c r="G1900">
        <v>-102.255579879499</v>
      </c>
      <c r="H1900">
        <v>137.19171546742601</v>
      </c>
      <c r="I1900" s="1">
        <f t="shared" si="59"/>
        <v>116.4451176461007</v>
      </c>
    </row>
    <row r="1901" spans="1:9" x14ac:dyDescent="0.45">
      <c r="A1901" t="s">
        <v>70</v>
      </c>
      <c r="B1901" t="s">
        <v>34</v>
      </c>
      <c r="C1901" t="str">
        <f t="shared" si="58"/>
        <v>VCULipscomb</v>
      </c>
      <c r="D1901" t="s">
        <v>70</v>
      </c>
      <c r="E1901">
        <v>75.8</v>
      </c>
      <c r="F1901">
        <v>-7.49433962264151</v>
      </c>
      <c r="G1901">
        <v>-313.62962465497901</v>
      </c>
      <c r="H1901">
        <v>139.036626629301</v>
      </c>
      <c r="I1901" s="1">
        <f t="shared" si="59"/>
        <v>142.42346950241171</v>
      </c>
    </row>
    <row r="1902" spans="1:9" x14ac:dyDescent="0.45">
      <c r="A1902" t="s">
        <v>71</v>
      </c>
      <c r="B1902" t="s">
        <v>34</v>
      </c>
      <c r="C1902" t="str">
        <f t="shared" si="58"/>
        <v>WisconsinLipscomb</v>
      </c>
      <c r="D1902" t="s">
        <v>71</v>
      </c>
      <c r="E1902">
        <v>97.5</v>
      </c>
      <c r="F1902">
        <v>-23.954716981132101</v>
      </c>
      <c r="G1902">
        <v>-3864.1849806689202</v>
      </c>
      <c r="H1902">
        <v>139.83730548456799</v>
      </c>
      <c r="I1902" s="1">
        <f t="shared" si="59"/>
        <v>153.69789694145157</v>
      </c>
    </row>
    <row r="1903" spans="1:9" x14ac:dyDescent="0.45">
      <c r="A1903" t="s">
        <v>80</v>
      </c>
      <c r="B1903" t="s">
        <v>34</v>
      </c>
      <c r="C1903" t="str">
        <f t="shared" si="58"/>
        <v>WoffordLipscomb</v>
      </c>
      <c r="D1903" t="s">
        <v>34</v>
      </c>
      <c r="E1903">
        <v>24.4</v>
      </c>
      <c r="F1903">
        <v>7.4301886792452798</v>
      </c>
      <c r="G1903">
        <v>310.61124492159001</v>
      </c>
      <c r="H1903">
        <v>137.86676122366299</v>
      </c>
      <c r="I1903" s="1">
        <f t="shared" si="59"/>
        <v>125.95049467293347</v>
      </c>
    </row>
    <row r="1904" spans="1:9" x14ac:dyDescent="0.45">
      <c r="A1904" t="s">
        <v>72</v>
      </c>
      <c r="B1904" t="s">
        <v>34</v>
      </c>
      <c r="C1904" t="str">
        <f t="shared" si="58"/>
        <v>XavierLipscomb</v>
      </c>
      <c r="D1904" t="s">
        <v>72</v>
      </c>
      <c r="E1904">
        <v>75.599999999999994</v>
      </c>
      <c r="F1904">
        <v>-7.4150943396226401</v>
      </c>
      <c r="G1904">
        <v>-310.00048246598101</v>
      </c>
      <c r="H1904">
        <v>138.44267479381401</v>
      </c>
      <c r="I1904" s="1">
        <f t="shared" si="59"/>
        <v>134.05998290921372</v>
      </c>
    </row>
    <row r="1905" spans="1:9" x14ac:dyDescent="0.45">
      <c r="A1905" t="s">
        <v>73</v>
      </c>
      <c r="B1905" t="s">
        <v>34</v>
      </c>
      <c r="C1905" t="str">
        <f t="shared" si="58"/>
        <v>YaleLipscomb</v>
      </c>
      <c r="D1905" t="s">
        <v>73</v>
      </c>
      <c r="E1905">
        <v>63.4</v>
      </c>
      <c r="F1905">
        <v>-3.5924528301886798</v>
      </c>
      <c r="G1905">
        <v>-173.00186685586601</v>
      </c>
      <c r="H1905">
        <v>139.241909427877</v>
      </c>
      <c r="I1905" s="1">
        <f t="shared" si="59"/>
        <v>145.31407414596316</v>
      </c>
    </row>
    <row r="1906" spans="1:9" x14ac:dyDescent="0.45">
      <c r="A1906" t="s">
        <v>7</v>
      </c>
      <c r="B1906" t="s">
        <v>35</v>
      </c>
      <c r="C1906" t="str">
        <f t="shared" si="58"/>
        <v>AkronLouisville</v>
      </c>
      <c r="D1906" t="s">
        <v>35</v>
      </c>
      <c r="E1906">
        <v>25.8</v>
      </c>
      <c r="F1906">
        <v>6.9094339622641501</v>
      </c>
      <c r="G1906">
        <v>286.89981607169602</v>
      </c>
      <c r="H1906">
        <v>138.73865157135401</v>
      </c>
      <c r="I1906" s="1">
        <f t="shared" si="59"/>
        <v>138.22765722715596</v>
      </c>
    </row>
    <row r="1907" spans="1:9" x14ac:dyDescent="0.45">
      <c r="A1907" t="s">
        <v>8</v>
      </c>
      <c r="B1907" t="s">
        <v>35</v>
      </c>
      <c r="C1907" t="str">
        <f t="shared" si="58"/>
        <v>AlabamaLouisville</v>
      </c>
      <c r="D1907" t="s">
        <v>8</v>
      </c>
      <c r="E1907">
        <v>96.2</v>
      </c>
      <c r="F1907">
        <v>-21.264150943396199</v>
      </c>
      <c r="G1907">
        <v>-2563.2643836839002</v>
      </c>
      <c r="H1907">
        <v>140.48674758349401</v>
      </c>
      <c r="I1907" s="1">
        <f t="shared" si="59"/>
        <v>162.84274667993694</v>
      </c>
    </row>
    <row r="1908" spans="1:9" x14ac:dyDescent="0.45">
      <c r="A1908" t="s">
        <v>9</v>
      </c>
      <c r="B1908" t="s">
        <v>35</v>
      </c>
      <c r="C1908" t="str">
        <f t="shared" si="58"/>
        <v>Alabama St.Louisville</v>
      </c>
      <c r="D1908" t="s">
        <v>35</v>
      </c>
      <c r="E1908">
        <v>5.2</v>
      </c>
      <c r="F1908">
        <v>19.0490566037736</v>
      </c>
      <c r="G1908">
        <v>1828.0749482158899</v>
      </c>
      <c r="H1908">
        <v>138.96549242716699</v>
      </c>
      <c r="I1908" s="1">
        <f t="shared" si="59"/>
        <v>141.42182271841315</v>
      </c>
    </row>
    <row r="1909" spans="1:9" x14ac:dyDescent="0.45">
      <c r="A1909" t="s">
        <v>10</v>
      </c>
      <c r="B1909" t="s">
        <v>35</v>
      </c>
      <c r="C1909" t="str">
        <f t="shared" si="58"/>
        <v>AmericanLouisville</v>
      </c>
      <c r="D1909" t="s">
        <v>35</v>
      </c>
      <c r="E1909">
        <v>6.2</v>
      </c>
      <c r="F1909">
        <v>17.784905660377401</v>
      </c>
      <c r="G1909">
        <v>1507.6355765554399</v>
      </c>
      <c r="H1909">
        <v>139.056578308772</v>
      </c>
      <c r="I1909" s="1">
        <f t="shared" si="59"/>
        <v>142.70441080740949</v>
      </c>
    </row>
    <row r="1910" spans="1:9" x14ac:dyDescent="0.45">
      <c r="A1910" t="s">
        <v>11</v>
      </c>
      <c r="B1910" t="s">
        <v>35</v>
      </c>
      <c r="C1910" t="str">
        <f t="shared" si="58"/>
        <v>ArizonaLouisville</v>
      </c>
      <c r="D1910" t="s">
        <v>11</v>
      </c>
      <c r="E1910">
        <v>94.8</v>
      </c>
      <c r="F1910">
        <v>-19.022641509433999</v>
      </c>
      <c r="G1910">
        <v>-1821.1897345350401</v>
      </c>
      <c r="H1910">
        <v>140.24910640248399</v>
      </c>
      <c r="I1910" s="1">
        <f t="shared" si="59"/>
        <v>159.49650088588285</v>
      </c>
    </row>
    <row r="1911" spans="1:9" x14ac:dyDescent="0.45">
      <c r="A1911" t="s">
        <v>12</v>
      </c>
      <c r="B1911" t="s">
        <v>35</v>
      </c>
      <c r="C1911" t="str">
        <f t="shared" si="58"/>
        <v>ArkansasLouisville</v>
      </c>
      <c r="D1911" t="s">
        <v>12</v>
      </c>
      <c r="E1911">
        <v>52.4</v>
      </c>
      <c r="F1911">
        <v>-0.63018867924528299</v>
      </c>
      <c r="G1911">
        <v>-110.120215600194</v>
      </c>
      <c r="H1911">
        <v>138.36671023634199</v>
      </c>
      <c r="I1911" s="1">
        <f t="shared" si="59"/>
        <v>132.99031947858464</v>
      </c>
    </row>
    <row r="1912" spans="1:9" x14ac:dyDescent="0.45">
      <c r="A1912" t="s">
        <v>13</v>
      </c>
      <c r="B1912" t="s">
        <v>35</v>
      </c>
      <c r="C1912" t="str">
        <f t="shared" si="58"/>
        <v>AuburnLouisville</v>
      </c>
      <c r="D1912" t="s">
        <v>13</v>
      </c>
      <c r="E1912">
        <v>98</v>
      </c>
      <c r="F1912">
        <v>-25.675471698113199</v>
      </c>
      <c r="G1912">
        <v>-5023.3648681135401</v>
      </c>
      <c r="H1912">
        <v>141.505429641603</v>
      </c>
      <c r="I1912" s="1">
        <f t="shared" si="59"/>
        <v>177.18689586290969</v>
      </c>
    </row>
    <row r="1913" spans="1:9" x14ac:dyDescent="0.45">
      <c r="A1913" t="s">
        <v>14</v>
      </c>
      <c r="B1913" t="s">
        <v>35</v>
      </c>
      <c r="C1913" t="str">
        <f t="shared" si="58"/>
        <v>BaylorLouisville</v>
      </c>
      <c r="D1913" t="s">
        <v>14</v>
      </c>
      <c r="E1913">
        <v>84.1</v>
      </c>
      <c r="F1913">
        <v>-10.9433962264151</v>
      </c>
      <c r="G1913">
        <v>-530.89303188817303</v>
      </c>
      <c r="H1913">
        <v>140.040427654328</v>
      </c>
      <c r="I1913" s="1">
        <f t="shared" si="59"/>
        <v>156.55807758585723</v>
      </c>
    </row>
    <row r="1914" spans="1:9" x14ac:dyDescent="0.45">
      <c r="A1914" t="s">
        <v>15</v>
      </c>
      <c r="B1914" t="s">
        <v>35</v>
      </c>
      <c r="C1914" t="str">
        <f t="shared" si="58"/>
        <v>BryantLouisville</v>
      </c>
      <c r="D1914" t="s">
        <v>35</v>
      </c>
      <c r="E1914">
        <v>19.399999999999999</v>
      </c>
      <c r="F1914">
        <v>9.3433962264150896</v>
      </c>
      <c r="G1914">
        <v>415.84656617779501</v>
      </c>
      <c r="H1914">
        <v>139.589425404222</v>
      </c>
      <c r="I1914" s="1">
        <f t="shared" si="59"/>
        <v>150.20747633016623</v>
      </c>
    </row>
    <row r="1915" spans="1:9" x14ac:dyDescent="0.45">
      <c r="A1915" t="s">
        <v>16</v>
      </c>
      <c r="B1915" t="s">
        <v>35</v>
      </c>
      <c r="C1915" t="str">
        <f t="shared" si="58"/>
        <v>BYULouisville</v>
      </c>
      <c r="D1915" t="s">
        <v>16</v>
      </c>
      <c r="E1915">
        <v>86.6</v>
      </c>
      <c r="F1915">
        <v>-12.2377358490566</v>
      </c>
      <c r="G1915">
        <v>-646.76067887129602</v>
      </c>
      <c r="H1915">
        <v>139.84994588244601</v>
      </c>
      <c r="I1915" s="1">
        <f t="shared" si="59"/>
        <v>153.87588746504142</v>
      </c>
    </row>
    <row r="1916" spans="1:9" x14ac:dyDescent="0.45">
      <c r="A1916" t="s">
        <v>17</v>
      </c>
      <c r="B1916" t="s">
        <v>35</v>
      </c>
      <c r="C1916" t="str">
        <f t="shared" si="58"/>
        <v>ClemsonLouisville</v>
      </c>
      <c r="D1916" t="s">
        <v>17</v>
      </c>
      <c r="E1916">
        <v>89.2</v>
      </c>
      <c r="F1916">
        <v>-13.864150943396201</v>
      </c>
      <c r="G1916">
        <v>-828.695793377884</v>
      </c>
      <c r="H1916">
        <v>140.07185773873701</v>
      </c>
      <c r="I1916" s="1">
        <f t="shared" si="59"/>
        <v>157.00064729247714</v>
      </c>
    </row>
    <row r="1917" spans="1:9" x14ac:dyDescent="0.45">
      <c r="A1917" t="s">
        <v>18</v>
      </c>
      <c r="B1917" t="s">
        <v>35</v>
      </c>
      <c r="C1917" t="str">
        <f t="shared" si="58"/>
        <v>Colorado St.Louisville</v>
      </c>
      <c r="D1917" t="s">
        <v>18</v>
      </c>
      <c r="E1917">
        <v>57.7</v>
      </c>
      <c r="F1917">
        <v>-2.02264150943396</v>
      </c>
      <c r="G1917">
        <v>-136.16127338122499</v>
      </c>
      <c r="H1917">
        <v>139.379249586843</v>
      </c>
      <c r="I1917" s="1">
        <f t="shared" si="59"/>
        <v>147.24797267037468</v>
      </c>
    </row>
    <row r="1918" spans="1:9" x14ac:dyDescent="0.45">
      <c r="A1918" t="s">
        <v>19</v>
      </c>
      <c r="B1918" t="s">
        <v>35</v>
      </c>
      <c r="C1918" t="str">
        <f t="shared" si="58"/>
        <v>ConnecticutLouisville</v>
      </c>
      <c r="D1918" t="s">
        <v>19</v>
      </c>
      <c r="E1918">
        <v>93.4</v>
      </c>
      <c r="F1918">
        <v>-17.324528301886801</v>
      </c>
      <c r="G1918">
        <v>-1405.5640646956799</v>
      </c>
      <c r="H1918">
        <v>140.01480148917901</v>
      </c>
      <c r="I1918" s="1">
        <f t="shared" si="59"/>
        <v>156.19723336271758</v>
      </c>
    </row>
    <row r="1919" spans="1:9" x14ac:dyDescent="0.45">
      <c r="A1919" t="s">
        <v>20</v>
      </c>
      <c r="B1919" t="s">
        <v>35</v>
      </c>
      <c r="C1919" t="str">
        <f t="shared" si="58"/>
        <v>CreightonLouisville</v>
      </c>
      <c r="D1919" t="s">
        <v>20</v>
      </c>
      <c r="E1919">
        <v>81.3</v>
      </c>
      <c r="F1919">
        <v>-9.6339622641509397</v>
      </c>
      <c r="G1919">
        <v>-434.781061075889</v>
      </c>
      <c r="H1919">
        <v>139.48774385144199</v>
      </c>
      <c r="I1919" s="1">
        <f t="shared" si="59"/>
        <v>148.77568968916043</v>
      </c>
    </row>
    <row r="1920" spans="1:9" x14ac:dyDescent="0.45">
      <c r="A1920" t="s">
        <v>21</v>
      </c>
      <c r="B1920" t="s">
        <v>35</v>
      </c>
      <c r="C1920" t="str">
        <f t="shared" si="58"/>
        <v>DrakeLouisville</v>
      </c>
      <c r="D1920" t="s">
        <v>21</v>
      </c>
      <c r="E1920">
        <v>57.5</v>
      </c>
      <c r="F1920">
        <v>-1.97358490566038</v>
      </c>
      <c r="G1920">
        <v>-135.11255503052001</v>
      </c>
      <c r="H1920">
        <v>139.54120895559601</v>
      </c>
      <c r="I1920" s="1">
        <f t="shared" si="59"/>
        <v>149.52853639335387</v>
      </c>
    </row>
    <row r="1921" spans="1:9" x14ac:dyDescent="0.45">
      <c r="A1921" t="s">
        <v>22</v>
      </c>
      <c r="B1921" t="s">
        <v>35</v>
      </c>
      <c r="C1921" t="str">
        <f t="shared" si="58"/>
        <v>DukeLouisville</v>
      </c>
      <c r="D1921" t="s">
        <v>22</v>
      </c>
      <c r="E1921">
        <v>98.7</v>
      </c>
      <c r="F1921">
        <v>-28.1849056603774</v>
      </c>
      <c r="G1921">
        <v>-7365.5323807823097</v>
      </c>
      <c r="H1921">
        <v>141.82852941705301</v>
      </c>
      <c r="I1921" s="1">
        <f t="shared" si="59"/>
        <v>181.73649143411586</v>
      </c>
    </row>
    <row r="1922" spans="1:9" x14ac:dyDescent="0.45">
      <c r="A1922" t="s">
        <v>23</v>
      </c>
      <c r="B1922" t="s">
        <v>35</v>
      </c>
      <c r="C1922" t="str">
        <f t="shared" si="58"/>
        <v>FloridaLouisville</v>
      </c>
      <c r="D1922" t="s">
        <v>23</v>
      </c>
      <c r="E1922">
        <v>97.6</v>
      </c>
      <c r="F1922">
        <v>-24.2830188679245</v>
      </c>
      <c r="G1922">
        <v>-4063.1000600411398</v>
      </c>
      <c r="H1922">
        <v>141.55228569299501</v>
      </c>
      <c r="I1922" s="1">
        <f t="shared" si="59"/>
        <v>177.84667992992246</v>
      </c>
    </row>
    <row r="1923" spans="1:9" x14ac:dyDescent="0.45">
      <c r="A1923" t="s">
        <v>24</v>
      </c>
      <c r="B1923" t="s">
        <v>35</v>
      </c>
      <c r="C1923" t="str">
        <f t="shared" ref="C1923:C1986" si="60">A1923&amp;B1923</f>
        <v>GeorgiaLouisville</v>
      </c>
      <c r="D1923" t="s">
        <v>24</v>
      </c>
      <c r="E1923">
        <v>60.4</v>
      </c>
      <c r="F1923">
        <v>-2.7773584905660398</v>
      </c>
      <c r="G1923">
        <v>-152.76462051354599</v>
      </c>
      <c r="H1923">
        <v>138.69409921733899</v>
      </c>
      <c r="I1923" s="1">
        <f t="shared" ref="I1923:I1986" si="61">18*(H1923-AVERAGE($H$2:$H$4625))/_xlfn.STDEV.P($H$2:$H$4625)+AVERAGE($H$2:$H$4625)</f>
        <v>137.60031171993219</v>
      </c>
    </row>
    <row r="1924" spans="1:9" x14ac:dyDescent="0.45">
      <c r="A1924" t="s">
        <v>25</v>
      </c>
      <c r="B1924" t="s">
        <v>35</v>
      </c>
      <c r="C1924" t="str">
        <f t="shared" si="60"/>
        <v>GonzagaLouisville</v>
      </c>
      <c r="D1924" t="s">
        <v>25</v>
      </c>
      <c r="E1924">
        <v>89.6</v>
      </c>
      <c r="F1924">
        <v>-14.1056603773585</v>
      </c>
      <c r="G1924">
        <v>-859.89226578068201</v>
      </c>
      <c r="H1924">
        <v>140.83174033686799</v>
      </c>
      <c r="I1924" s="1">
        <f t="shared" si="61"/>
        <v>167.70061914568672</v>
      </c>
    </row>
    <row r="1925" spans="1:9" x14ac:dyDescent="0.45">
      <c r="A1925" t="s">
        <v>26</v>
      </c>
      <c r="B1925" t="s">
        <v>35</v>
      </c>
      <c r="C1925" t="str">
        <f t="shared" si="60"/>
        <v>Grand CanyonLouisville</v>
      </c>
      <c r="D1925" t="s">
        <v>35</v>
      </c>
      <c r="E1925">
        <v>45.6</v>
      </c>
      <c r="F1925">
        <v>1.1433962264150901</v>
      </c>
      <c r="G1925">
        <v>119.07992535013101</v>
      </c>
      <c r="H1925">
        <v>139.48370858317199</v>
      </c>
      <c r="I1925" s="1">
        <f t="shared" si="61"/>
        <v>148.7188687315344</v>
      </c>
    </row>
    <row r="1926" spans="1:9" x14ac:dyDescent="0.45">
      <c r="A1926" t="s">
        <v>27</v>
      </c>
      <c r="B1926" t="s">
        <v>35</v>
      </c>
      <c r="C1926" t="str">
        <f t="shared" si="60"/>
        <v>High PointLouisville</v>
      </c>
      <c r="D1926" t="s">
        <v>35</v>
      </c>
      <c r="E1926">
        <v>35.5</v>
      </c>
      <c r="F1926">
        <v>3.9169811320754699</v>
      </c>
      <c r="G1926">
        <v>181.766825494176</v>
      </c>
      <c r="H1926">
        <v>139.76460033082799</v>
      </c>
      <c r="I1926" s="1">
        <f t="shared" si="61"/>
        <v>152.6741294535334</v>
      </c>
    </row>
    <row r="1927" spans="1:9" x14ac:dyDescent="0.45">
      <c r="A1927" t="s">
        <v>28</v>
      </c>
      <c r="B1927" t="s">
        <v>35</v>
      </c>
      <c r="C1927" t="str">
        <f t="shared" si="60"/>
        <v>HoustonLouisville</v>
      </c>
      <c r="D1927" t="s">
        <v>28</v>
      </c>
      <c r="E1927">
        <v>99.2</v>
      </c>
      <c r="F1927">
        <v>-31.698113207547198</v>
      </c>
      <c r="G1927">
        <v>-12589.004514394701</v>
      </c>
      <c r="H1927">
        <v>141.97219376668201</v>
      </c>
      <c r="I1927" s="1">
        <f t="shared" si="61"/>
        <v>183.75944142812935</v>
      </c>
    </row>
    <row r="1928" spans="1:9" x14ac:dyDescent="0.45">
      <c r="A1928" t="s">
        <v>29</v>
      </c>
      <c r="B1928" t="s">
        <v>35</v>
      </c>
      <c r="C1928" t="str">
        <f t="shared" si="60"/>
        <v>IllinoisLouisville</v>
      </c>
      <c r="D1928" t="s">
        <v>29</v>
      </c>
      <c r="E1928">
        <v>92.6</v>
      </c>
      <c r="F1928">
        <v>-16.588679245283</v>
      </c>
      <c r="G1928">
        <v>-1255.70823127109</v>
      </c>
      <c r="H1928">
        <v>140.02243892061901</v>
      </c>
      <c r="I1928" s="1">
        <f t="shared" si="61"/>
        <v>156.30477668801527</v>
      </c>
    </row>
    <row r="1929" spans="1:9" x14ac:dyDescent="0.45">
      <c r="A1929" t="s">
        <v>30</v>
      </c>
      <c r="B1929" t="s">
        <v>35</v>
      </c>
      <c r="C1929" t="str">
        <f t="shared" si="60"/>
        <v>Iowa St.Louisville</v>
      </c>
      <c r="D1929" t="s">
        <v>30</v>
      </c>
      <c r="E1929">
        <v>96.4</v>
      </c>
      <c r="F1929">
        <v>-21.471698113207498</v>
      </c>
      <c r="G1929">
        <v>-2645.0209740591799</v>
      </c>
      <c r="H1929">
        <v>140.948707498977</v>
      </c>
      <c r="I1929" s="1">
        <f t="shared" si="61"/>
        <v>169.34764375895523</v>
      </c>
    </row>
    <row r="1930" spans="1:9" x14ac:dyDescent="0.45">
      <c r="A1930" t="s">
        <v>31</v>
      </c>
      <c r="B1930" t="s">
        <v>35</v>
      </c>
      <c r="C1930" t="str">
        <f t="shared" si="60"/>
        <v>KansasLouisville</v>
      </c>
      <c r="D1930" t="s">
        <v>31</v>
      </c>
      <c r="E1930">
        <v>88.5</v>
      </c>
      <c r="F1930">
        <v>-13.366037735849099</v>
      </c>
      <c r="G1930">
        <v>-768.45357174181595</v>
      </c>
      <c r="H1930">
        <v>139.90409778328899</v>
      </c>
      <c r="I1930" s="1">
        <f t="shared" si="61"/>
        <v>154.63840501215049</v>
      </c>
    </row>
    <row r="1931" spans="1:9" x14ac:dyDescent="0.45">
      <c r="A1931" t="s">
        <v>32</v>
      </c>
      <c r="B1931" t="s">
        <v>35</v>
      </c>
      <c r="C1931" t="str">
        <f t="shared" si="60"/>
        <v>KentuckyLouisville</v>
      </c>
      <c r="D1931" t="s">
        <v>32</v>
      </c>
      <c r="E1931">
        <v>92.8</v>
      </c>
      <c r="F1931">
        <v>-16.796226415094299</v>
      </c>
      <c r="G1931">
        <v>-1296.3641055865701</v>
      </c>
      <c r="H1931">
        <v>139.851135383681</v>
      </c>
      <c r="I1931" s="1">
        <f t="shared" si="61"/>
        <v>153.89263693366334</v>
      </c>
    </row>
    <row r="1932" spans="1:9" x14ac:dyDescent="0.45">
      <c r="A1932" t="s">
        <v>33</v>
      </c>
      <c r="B1932" t="s">
        <v>35</v>
      </c>
      <c r="C1932" t="str">
        <f t="shared" si="60"/>
        <v>LibertyLouisville</v>
      </c>
      <c r="D1932" t="s">
        <v>35</v>
      </c>
      <c r="E1932">
        <v>26.5</v>
      </c>
      <c r="F1932">
        <v>6.6943396226415102</v>
      </c>
      <c r="G1932">
        <v>277.60870531171503</v>
      </c>
      <c r="H1932">
        <v>139.06007163208</v>
      </c>
      <c r="I1932" s="1">
        <f t="shared" si="61"/>
        <v>142.75360059167568</v>
      </c>
    </row>
    <row r="1933" spans="1:9" x14ac:dyDescent="0.45">
      <c r="A1933" t="s">
        <v>34</v>
      </c>
      <c r="B1933" t="s">
        <v>35</v>
      </c>
      <c r="C1933" t="str">
        <f t="shared" si="60"/>
        <v>LipscombLouisville</v>
      </c>
      <c r="D1933" t="s">
        <v>35</v>
      </c>
      <c r="E1933">
        <v>21.6</v>
      </c>
      <c r="F1933">
        <v>8.4339622641509404</v>
      </c>
      <c r="G1933">
        <v>362.12868702478198</v>
      </c>
      <c r="H1933">
        <v>139.49199186333701</v>
      </c>
      <c r="I1933" s="1">
        <f t="shared" si="61"/>
        <v>148.83550630796518</v>
      </c>
    </row>
    <row r="1934" spans="1:9" x14ac:dyDescent="0.45">
      <c r="A1934" t="s">
        <v>35</v>
      </c>
      <c r="B1934" t="s">
        <v>35</v>
      </c>
      <c r="C1934" t="str">
        <f t="shared" si="60"/>
        <v>LouisvilleLouisville</v>
      </c>
      <c r="D1934" t="s">
        <v>35</v>
      </c>
      <c r="E1934">
        <v>41.2</v>
      </c>
      <c r="F1934">
        <v>2.3283018867924499</v>
      </c>
      <c r="G1934">
        <v>142.64273539779199</v>
      </c>
      <c r="H1934">
        <v>138.77771517530499</v>
      </c>
      <c r="I1934" s="1">
        <f t="shared" si="61"/>
        <v>138.77771517530277</v>
      </c>
    </row>
    <row r="1935" spans="1:9" x14ac:dyDescent="0.45">
      <c r="A1935" t="s">
        <v>36</v>
      </c>
      <c r="B1935" t="s">
        <v>35</v>
      </c>
      <c r="C1935" t="str">
        <f t="shared" si="60"/>
        <v>MarquetteLouisville</v>
      </c>
      <c r="D1935" t="s">
        <v>36</v>
      </c>
      <c r="E1935">
        <v>90.8</v>
      </c>
      <c r="F1935">
        <v>-15.0150943396226</v>
      </c>
      <c r="G1935">
        <v>-988.22479795613594</v>
      </c>
      <c r="H1935">
        <v>140.10947181021101</v>
      </c>
      <c r="I1935" s="1">
        <f t="shared" si="61"/>
        <v>157.53029424984436</v>
      </c>
    </row>
    <row r="1936" spans="1:9" x14ac:dyDescent="0.45">
      <c r="A1936" t="s">
        <v>37</v>
      </c>
      <c r="B1936" t="s">
        <v>35</v>
      </c>
      <c r="C1936" t="str">
        <f t="shared" si="60"/>
        <v>MarylandLouisville</v>
      </c>
      <c r="D1936" t="s">
        <v>37</v>
      </c>
      <c r="E1936">
        <v>87</v>
      </c>
      <c r="F1936">
        <v>-12.4716981132075</v>
      </c>
      <c r="G1936">
        <v>-670.36508948161395</v>
      </c>
      <c r="H1936">
        <v>139.71941112188901</v>
      </c>
      <c r="I1936" s="1">
        <f t="shared" si="61"/>
        <v>152.03781633765846</v>
      </c>
    </row>
    <row r="1937" spans="1:9" x14ac:dyDescent="0.45">
      <c r="A1937" t="s">
        <v>38</v>
      </c>
      <c r="B1937" t="s">
        <v>35</v>
      </c>
      <c r="C1937" t="str">
        <f t="shared" si="60"/>
        <v>McNeese St.Louisville</v>
      </c>
      <c r="D1937" t="s">
        <v>38</v>
      </c>
      <c r="E1937">
        <v>54.4</v>
      </c>
      <c r="F1937">
        <v>-1.1660377358490599</v>
      </c>
      <c r="G1937">
        <v>-119.443419454333</v>
      </c>
      <c r="H1937">
        <v>139.55482273608999</v>
      </c>
      <c r="I1937" s="1">
        <f t="shared" si="61"/>
        <v>149.72023320080768</v>
      </c>
    </row>
    <row r="1938" spans="1:9" x14ac:dyDescent="0.45">
      <c r="A1938" t="s">
        <v>39</v>
      </c>
      <c r="B1938" t="s">
        <v>35</v>
      </c>
      <c r="C1938" t="str">
        <f t="shared" si="60"/>
        <v>MemphisLouisville</v>
      </c>
      <c r="D1938" t="s">
        <v>39</v>
      </c>
      <c r="E1938">
        <v>77.400000000000006</v>
      </c>
      <c r="F1938">
        <v>-8.0867924528301902</v>
      </c>
      <c r="G1938">
        <v>-343.35619312338002</v>
      </c>
      <c r="H1938">
        <v>138.697045934909</v>
      </c>
      <c r="I1938" s="1">
        <f t="shared" si="61"/>
        <v>137.64180470205343</v>
      </c>
    </row>
    <row r="1939" spans="1:9" x14ac:dyDescent="0.45">
      <c r="A1939" t="s">
        <v>40</v>
      </c>
      <c r="B1939" t="s">
        <v>35</v>
      </c>
      <c r="C1939" t="str">
        <f t="shared" si="60"/>
        <v>MichiganLouisville</v>
      </c>
      <c r="D1939" t="s">
        <v>40</v>
      </c>
      <c r="E1939">
        <v>64.400000000000006</v>
      </c>
      <c r="F1939">
        <v>-3.8981132075471701</v>
      </c>
      <c r="G1939">
        <v>-181.24909453234</v>
      </c>
      <c r="H1939">
        <v>138.35396701959201</v>
      </c>
      <c r="I1939" s="1">
        <f t="shared" si="61"/>
        <v>132.81088115366506</v>
      </c>
    </row>
    <row r="1940" spans="1:9" x14ac:dyDescent="0.45">
      <c r="A1940" t="s">
        <v>41</v>
      </c>
      <c r="B1940" t="s">
        <v>35</v>
      </c>
      <c r="C1940" t="str">
        <f t="shared" si="60"/>
        <v>Michigan St.Louisville</v>
      </c>
      <c r="D1940" t="s">
        <v>41</v>
      </c>
      <c r="E1940">
        <v>94.6</v>
      </c>
      <c r="F1940">
        <v>-18.720754716981101</v>
      </c>
      <c r="G1940">
        <v>-1739.2006171092301</v>
      </c>
      <c r="H1940">
        <v>140.05285898042101</v>
      </c>
      <c r="I1940" s="1">
        <f t="shared" si="61"/>
        <v>156.73312415176153</v>
      </c>
    </row>
    <row r="1941" spans="1:9" x14ac:dyDescent="0.45">
      <c r="A1941" t="s">
        <v>42</v>
      </c>
      <c r="B1941" t="s">
        <v>35</v>
      </c>
      <c r="C1941" t="str">
        <f t="shared" si="60"/>
        <v>MississippiLouisville</v>
      </c>
      <c r="D1941" t="s">
        <v>42</v>
      </c>
      <c r="E1941">
        <v>81.7</v>
      </c>
      <c r="F1941">
        <v>-9.8113207547169807</v>
      </c>
      <c r="G1941">
        <v>-446.71526215541201</v>
      </c>
      <c r="H1941">
        <v>139.18378008551599</v>
      </c>
      <c r="I1941" s="1">
        <f t="shared" si="61"/>
        <v>144.49554990466817</v>
      </c>
    </row>
    <row r="1942" spans="1:9" x14ac:dyDescent="0.45">
      <c r="A1942" t="s">
        <v>43</v>
      </c>
      <c r="B1942" t="s">
        <v>35</v>
      </c>
      <c r="C1942" t="str">
        <f t="shared" si="60"/>
        <v>Mississippi St.Louisville</v>
      </c>
      <c r="D1942" t="s">
        <v>43</v>
      </c>
      <c r="E1942">
        <v>77.099999999999994</v>
      </c>
      <c r="F1942">
        <v>-7.9622641509434002</v>
      </c>
      <c r="G1942">
        <v>-336.929865454489</v>
      </c>
      <c r="H1942">
        <v>139.30815143930499</v>
      </c>
      <c r="I1942" s="1">
        <f t="shared" si="61"/>
        <v>146.24683357422589</v>
      </c>
    </row>
    <row r="1943" spans="1:9" x14ac:dyDescent="0.45">
      <c r="A1943" t="s">
        <v>44</v>
      </c>
      <c r="B1943" t="s">
        <v>35</v>
      </c>
      <c r="C1943" t="str">
        <f t="shared" si="60"/>
        <v>MissouriLouisville</v>
      </c>
      <c r="D1943" t="s">
        <v>44</v>
      </c>
      <c r="E1943">
        <v>59.6</v>
      </c>
      <c r="F1943">
        <v>-2.5509433962264101</v>
      </c>
      <c r="G1943">
        <v>-147.550459924081</v>
      </c>
      <c r="H1943">
        <v>138.572623375479</v>
      </c>
      <c r="I1943" s="1">
        <f t="shared" si="61"/>
        <v>135.88980000148541</v>
      </c>
    </row>
    <row r="1944" spans="1:9" x14ac:dyDescent="0.45">
      <c r="A1944" t="s">
        <v>45</v>
      </c>
      <c r="B1944" t="s">
        <v>35</v>
      </c>
      <c r="C1944" t="str">
        <f t="shared" si="60"/>
        <v>MontanaLouisville</v>
      </c>
      <c r="D1944" t="s">
        <v>35</v>
      </c>
      <c r="E1944">
        <v>12.6</v>
      </c>
      <c r="F1944">
        <v>12.7056603773585</v>
      </c>
      <c r="G1944">
        <v>694.78671293505795</v>
      </c>
      <c r="H1944">
        <v>137.88135810049801</v>
      </c>
      <c r="I1944" s="1">
        <f t="shared" si="61"/>
        <v>126.15603454404459</v>
      </c>
    </row>
    <row r="1945" spans="1:9" x14ac:dyDescent="0.45">
      <c r="A1945" t="s">
        <v>46</v>
      </c>
      <c r="B1945" t="s">
        <v>35</v>
      </c>
      <c r="C1945" t="str">
        <f t="shared" si="60"/>
        <v>Mount St. Mary'sLouisville</v>
      </c>
      <c r="D1945" t="s">
        <v>35</v>
      </c>
      <c r="E1945">
        <v>5.4</v>
      </c>
      <c r="F1945">
        <v>18.822641509434</v>
      </c>
      <c r="G1945">
        <v>1766.25010360431</v>
      </c>
      <c r="H1945">
        <v>139.229232322445</v>
      </c>
      <c r="I1945" s="1">
        <f t="shared" si="61"/>
        <v>145.13556674016618</v>
      </c>
    </row>
    <row r="1946" spans="1:9" x14ac:dyDescent="0.45">
      <c r="A1946" t="s">
        <v>47</v>
      </c>
      <c r="B1946" t="s">
        <v>35</v>
      </c>
      <c r="C1946" t="str">
        <f t="shared" si="60"/>
        <v>Nebraska OmahaLouisville</v>
      </c>
      <c r="D1946" t="s">
        <v>35</v>
      </c>
      <c r="E1946">
        <v>6.9</v>
      </c>
      <c r="F1946">
        <v>17.109433962264099</v>
      </c>
      <c r="G1946">
        <v>1359.50821674999</v>
      </c>
      <c r="H1946">
        <v>138.513233502345</v>
      </c>
      <c r="I1946" s="1">
        <f t="shared" si="61"/>
        <v>135.05352611856924</v>
      </c>
    </row>
    <row r="1947" spans="1:9" x14ac:dyDescent="0.45">
      <c r="A1947" t="s">
        <v>48</v>
      </c>
      <c r="B1947" t="s">
        <v>35</v>
      </c>
      <c r="C1947" t="str">
        <f t="shared" si="60"/>
        <v>New MexicoLouisville</v>
      </c>
      <c r="D1947" t="s">
        <v>48</v>
      </c>
      <c r="E1947">
        <v>65.3</v>
      </c>
      <c r="F1947">
        <v>-4.1396226415094297</v>
      </c>
      <c r="G1947">
        <v>-188.04149274022799</v>
      </c>
      <c r="H1947">
        <v>139.39097784961999</v>
      </c>
      <c r="I1947" s="1">
        <f t="shared" si="61"/>
        <v>147.41311934159657</v>
      </c>
    </row>
    <row r="1948" spans="1:9" x14ac:dyDescent="0.45">
      <c r="A1948" t="s">
        <v>49</v>
      </c>
      <c r="B1948" t="s">
        <v>35</v>
      </c>
      <c r="C1948" t="str">
        <f t="shared" si="60"/>
        <v>Norfolk St.Louisville</v>
      </c>
      <c r="D1948" t="s">
        <v>35</v>
      </c>
      <c r="E1948">
        <v>9.8000000000000007</v>
      </c>
      <c r="F1948">
        <v>14.5735849056604</v>
      </c>
      <c r="G1948">
        <v>923.84518824036104</v>
      </c>
      <c r="H1948">
        <v>138.40334151182199</v>
      </c>
      <c r="I1948" s="1">
        <f t="shared" si="61"/>
        <v>133.50612760150688</v>
      </c>
    </row>
    <row r="1949" spans="1:9" x14ac:dyDescent="0.45">
      <c r="A1949" t="s">
        <v>50</v>
      </c>
      <c r="B1949" t="s">
        <v>35</v>
      </c>
      <c r="C1949" t="str">
        <f t="shared" si="60"/>
        <v>North CarolinaLouisville</v>
      </c>
      <c r="D1949" t="s">
        <v>50</v>
      </c>
      <c r="E1949">
        <v>86.5</v>
      </c>
      <c r="F1949">
        <v>-12.1811320754717</v>
      </c>
      <c r="G1949">
        <v>-641.13092131519704</v>
      </c>
      <c r="H1949">
        <v>140.47527294377801</v>
      </c>
      <c r="I1949" s="1">
        <f t="shared" si="61"/>
        <v>162.68117129672785</v>
      </c>
    </row>
    <row r="1950" spans="1:9" x14ac:dyDescent="0.45">
      <c r="A1950" t="s">
        <v>51</v>
      </c>
      <c r="B1950" t="s">
        <v>35</v>
      </c>
      <c r="C1950" t="str">
        <f t="shared" si="60"/>
        <v>OklahomaLouisville</v>
      </c>
      <c r="D1950" t="s">
        <v>51</v>
      </c>
      <c r="E1950">
        <v>67.8</v>
      </c>
      <c r="F1950">
        <v>-4.87547169811321</v>
      </c>
      <c r="G1950">
        <v>-210.34790994892401</v>
      </c>
      <c r="H1950">
        <v>138.81787623928199</v>
      </c>
      <c r="I1950" s="1">
        <f t="shared" si="61"/>
        <v>139.34322655193614</v>
      </c>
    </row>
    <row r="1951" spans="1:9" x14ac:dyDescent="0.45">
      <c r="A1951" t="s">
        <v>52</v>
      </c>
      <c r="B1951" t="s">
        <v>35</v>
      </c>
      <c r="C1951" t="str">
        <f t="shared" si="60"/>
        <v>OregonLouisville</v>
      </c>
      <c r="D1951" t="s">
        <v>52</v>
      </c>
      <c r="E1951">
        <v>87.4</v>
      </c>
      <c r="F1951">
        <v>-12.6981132075472</v>
      </c>
      <c r="G1951">
        <v>-694.00501344403301</v>
      </c>
      <c r="H1951">
        <v>139.41225402742299</v>
      </c>
      <c r="I1951" s="1">
        <f t="shared" si="61"/>
        <v>147.71271102088485</v>
      </c>
    </row>
    <row r="1952" spans="1:9" x14ac:dyDescent="0.45">
      <c r="A1952" t="s">
        <v>53</v>
      </c>
      <c r="B1952" t="s">
        <v>35</v>
      </c>
      <c r="C1952" t="str">
        <f t="shared" si="60"/>
        <v>PurdueLouisville</v>
      </c>
      <c r="D1952" t="s">
        <v>53</v>
      </c>
      <c r="E1952">
        <v>97.3</v>
      </c>
      <c r="F1952">
        <v>-23.611320754716999</v>
      </c>
      <c r="G1952">
        <v>-3665.81275660439</v>
      </c>
      <c r="H1952">
        <v>140.76024135621199</v>
      </c>
      <c r="I1952" s="1">
        <f t="shared" si="61"/>
        <v>166.69383588412222</v>
      </c>
    </row>
    <row r="1953" spans="1:9" x14ac:dyDescent="0.45">
      <c r="A1953" t="s">
        <v>54</v>
      </c>
      <c r="B1953" t="s">
        <v>35</v>
      </c>
      <c r="C1953" t="str">
        <f t="shared" si="60"/>
        <v>Robert MorrisLouisville</v>
      </c>
      <c r="D1953" t="s">
        <v>35</v>
      </c>
      <c r="E1953">
        <v>4.3</v>
      </c>
      <c r="F1953">
        <v>20.332075471698101</v>
      </c>
      <c r="G1953">
        <v>2223.3646855040001</v>
      </c>
      <c r="H1953">
        <v>137.81887820497499</v>
      </c>
      <c r="I1953" s="1">
        <f t="shared" si="61"/>
        <v>125.27624979159462</v>
      </c>
    </row>
    <row r="1954" spans="1:9" x14ac:dyDescent="0.45">
      <c r="A1954" t="s">
        <v>55</v>
      </c>
      <c r="B1954" t="s">
        <v>35</v>
      </c>
      <c r="C1954" t="str">
        <f t="shared" si="60"/>
        <v>Saint FrancisLouisville</v>
      </c>
      <c r="D1954" t="s">
        <v>35</v>
      </c>
      <c r="E1954">
        <v>2.9</v>
      </c>
      <c r="F1954">
        <v>23.060377358490602</v>
      </c>
      <c r="G1954">
        <v>3369.9668110950602</v>
      </c>
      <c r="H1954">
        <v>138.871733738182</v>
      </c>
      <c r="I1954" s="1">
        <f t="shared" si="61"/>
        <v>140.10159860010756</v>
      </c>
    </row>
    <row r="1955" spans="1:9" x14ac:dyDescent="0.45">
      <c r="A1955" t="s">
        <v>56</v>
      </c>
      <c r="B1955" t="s">
        <v>35</v>
      </c>
      <c r="C1955" t="str">
        <f t="shared" si="60"/>
        <v>Saint Mary'sLouisville</v>
      </c>
      <c r="D1955" t="s">
        <v>56</v>
      </c>
      <c r="E1955">
        <v>85.5</v>
      </c>
      <c r="F1955">
        <v>-11.6566037735849</v>
      </c>
      <c r="G1955">
        <v>-591.91323571072803</v>
      </c>
      <c r="H1955">
        <v>140.12298893927201</v>
      </c>
      <c r="I1955" s="1">
        <f t="shared" si="61"/>
        <v>157.7206301002042</v>
      </c>
    </row>
    <row r="1956" spans="1:9" x14ac:dyDescent="0.45">
      <c r="A1956" t="s">
        <v>57</v>
      </c>
      <c r="B1956" t="s">
        <v>35</v>
      </c>
      <c r="C1956" t="str">
        <f t="shared" si="60"/>
        <v>San Diego St.Louisville</v>
      </c>
      <c r="D1956" t="s">
        <v>57</v>
      </c>
      <c r="E1956">
        <v>63.3</v>
      </c>
      <c r="F1956">
        <v>-3.5622641509433999</v>
      </c>
      <c r="G1956">
        <v>-172.23323753736301</v>
      </c>
      <c r="H1956">
        <v>139.26924381907</v>
      </c>
      <c r="I1956" s="1">
        <f t="shared" si="61"/>
        <v>145.69897204612437</v>
      </c>
    </row>
    <row r="1957" spans="1:9" x14ac:dyDescent="0.45">
      <c r="A1957" t="s">
        <v>58</v>
      </c>
      <c r="B1957" t="s">
        <v>35</v>
      </c>
      <c r="C1957" t="str">
        <f t="shared" si="60"/>
        <v>SIU EdwardsvilleLouisville</v>
      </c>
      <c r="D1957" t="s">
        <v>35</v>
      </c>
      <c r="E1957">
        <v>8</v>
      </c>
      <c r="F1957">
        <v>16.033962264150901</v>
      </c>
      <c r="G1957">
        <v>1154.1440144923299</v>
      </c>
      <c r="H1957">
        <v>139.41693158591801</v>
      </c>
      <c r="I1957" s="1">
        <f t="shared" si="61"/>
        <v>147.77857612210119</v>
      </c>
    </row>
    <row r="1958" spans="1:9" x14ac:dyDescent="0.45">
      <c r="A1958" t="s">
        <v>59</v>
      </c>
      <c r="B1958" t="s">
        <v>35</v>
      </c>
      <c r="C1958" t="str">
        <f t="shared" si="60"/>
        <v>St. John'sLouisville</v>
      </c>
      <c r="D1958" t="s">
        <v>59</v>
      </c>
      <c r="E1958">
        <v>94.9</v>
      </c>
      <c r="F1958">
        <v>-19.124528301886802</v>
      </c>
      <c r="G1958">
        <v>-1849.0450993045399</v>
      </c>
      <c r="H1958">
        <v>140.394614358463</v>
      </c>
      <c r="I1958" s="1">
        <f t="shared" si="61"/>
        <v>161.54541085858514</v>
      </c>
    </row>
    <row r="1959" spans="1:9" x14ac:dyDescent="0.45">
      <c r="A1959" t="s">
        <v>60</v>
      </c>
      <c r="B1959" t="s">
        <v>35</v>
      </c>
      <c r="C1959" t="str">
        <f t="shared" si="60"/>
        <v>TennesseeLouisville</v>
      </c>
      <c r="D1959" t="s">
        <v>60</v>
      </c>
      <c r="E1959">
        <v>97.4</v>
      </c>
      <c r="F1959">
        <v>-23.667924528301899</v>
      </c>
      <c r="G1959">
        <v>-3699.0223232108201</v>
      </c>
      <c r="H1959">
        <v>140.988597235154</v>
      </c>
      <c r="I1959" s="1">
        <f t="shared" si="61"/>
        <v>169.90933454563159</v>
      </c>
    </row>
    <row r="1960" spans="1:9" x14ac:dyDescent="0.45">
      <c r="A1960" t="s">
        <v>61</v>
      </c>
      <c r="B1960" t="s">
        <v>35</v>
      </c>
      <c r="C1960" t="str">
        <f t="shared" si="60"/>
        <v>TexasLouisville</v>
      </c>
      <c r="D1960" t="s">
        <v>61</v>
      </c>
      <c r="E1960">
        <v>60.2</v>
      </c>
      <c r="F1960">
        <v>-2.7169811320754702</v>
      </c>
      <c r="G1960">
        <v>-151.328329291768</v>
      </c>
      <c r="H1960">
        <v>138.74431176622599</v>
      </c>
      <c r="I1960" s="1">
        <f t="shared" si="61"/>
        <v>138.30735891523622</v>
      </c>
    </row>
    <row r="1961" spans="1:9" x14ac:dyDescent="0.45">
      <c r="A1961" t="s">
        <v>62</v>
      </c>
      <c r="B1961" t="s">
        <v>35</v>
      </c>
      <c r="C1961" t="str">
        <f t="shared" si="60"/>
        <v>Texas A&amp;MLouisville</v>
      </c>
      <c r="D1961" t="s">
        <v>62</v>
      </c>
      <c r="E1961">
        <v>89.7</v>
      </c>
      <c r="F1961">
        <v>-14.211320754717001</v>
      </c>
      <c r="G1961">
        <v>-874.019476556629</v>
      </c>
      <c r="H1961">
        <v>139.54211079382</v>
      </c>
      <c r="I1961" s="1">
        <f t="shared" si="61"/>
        <v>149.54123525451564</v>
      </c>
    </row>
    <row r="1962" spans="1:9" x14ac:dyDescent="0.45">
      <c r="A1962" t="s">
        <v>63</v>
      </c>
      <c r="B1962" t="s">
        <v>35</v>
      </c>
      <c r="C1962" t="str">
        <f t="shared" si="60"/>
        <v>Texas TechLouisville</v>
      </c>
      <c r="D1962" t="s">
        <v>63</v>
      </c>
      <c r="E1962">
        <v>94.5</v>
      </c>
      <c r="F1962">
        <v>-18.664150943396201</v>
      </c>
      <c r="G1962">
        <v>-1723.60459602982</v>
      </c>
      <c r="H1962">
        <v>140.581894912884</v>
      </c>
      <c r="I1962" s="1">
        <f t="shared" si="61"/>
        <v>164.18252436254869</v>
      </c>
    </row>
    <row r="1963" spans="1:9" x14ac:dyDescent="0.45">
      <c r="A1963" t="s">
        <v>64</v>
      </c>
      <c r="B1963" t="s">
        <v>35</v>
      </c>
      <c r="C1963" t="str">
        <f t="shared" si="60"/>
        <v>TroyLouisville</v>
      </c>
      <c r="D1963" t="s">
        <v>35</v>
      </c>
      <c r="E1963">
        <v>19.5</v>
      </c>
      <c r="F1963">
        <v>9.2830188679245307</v>
      </c>
      <c r="G1963">
        <v>412.11959231315302</v>
      </c>
      <c r="H1963">
        <v>139.28545933261299</v>
      </c>
      <c r="I1963" s="1">
        <f t="shared" si="61"/>
        <v>145.92730407915428</v>
      </c>
    </row>
    <row r="1964" spans="1:9" x14ac:dyDescent="0.45">
      <c r="A1964" t="s">
        <v>65</v>
      </c>
      <c r="B1964" t="s">
        <v>35</v>
      </c>
      <c r="C1964" t="str">
        <f t="shared" si="60"/>
        <v>UC San DiegoLouisville</v>
      </c>
      <c r="D1964" t="s">
        <v>35</v>
      </c>
      <c r="E1964">
        <v>38.299999999999997</v>
      </c>
      <c r="F1964">
        <v>3.12452830188679</v>
      </c>
      <c r="G1964">
        <v>161.01898420216301</v>
      </c>
      <c r="H1964">
        <v>139.373581076004</v>
      </c>
      <c r="I1964" s="1">
        <f t="shared" si="61"/>
        <v>147.16815388445156</v>
      </c>
    </row>
    <row r="1965" spans="1:9" x14ac:dyDescent="0.45">
      <c r="A1965" t="s">
        <v>66</v>
      </c>
      <c r="B1965" t="s">
        <v>35</v>
      </c>
      <c r="C1965" t="str">
        <f t="shared" si="60"/>
        <v>UCLALouisville</v>
      </c>
      <c r="D1965" t="s">
        <v>66</v>
      </c>
      <c r="E1965">
        <v>71.2</v>
      </c>
      <c r="F1965">
        <v>-5.9207547169811301</v>
      </c>
      <c r="G1965">
        <v>-246.788933471181</v>
      </c>
      <c r="H1965">
        <v>138.845035589113</v>
      </c>
      <c r="I1965" s="1">
        <f t="shared" si="61"/>
        <v>139.72565967970883</v>
      </c>
    </row>
    <row r="1966" spans="1:9" x14ac:dyDescent="0.45">
      <c r="A1966" t="s">
        <v>67</v>
      </c>
      <c r="B1966" t="s">
        <v>35</v>
      </c>
      <c r="C1966" t="str">
        <f t="shared" si="60"/>
        <v>UNC WilmingtonLouisville</v>
      </c>
      <c r="D1966" t="s">
        <v>35</v>
      </c>
      <c r="E1966">
        <v>27.1</v>
      </c>
      <c r="F1966">
        <v>6.48301886792453</v>
      </c>
      <c r="G1966">
        <v>268.85323855902402</v>
      </c>
      <c r="H1966">
        <v>139.96005126303299</v>
      </c>
      <c r="I1966" s="1">
        <f t="shared" si="61"/>
        <v>155.4262907458448</v>
      </c>
    </row>
    <row r="1967" spans="1:9" x14ac:dyDescent="0.45">
      <c r="A1967" t="s">
        <v>68</v>
      </c>
      <c r="B1967" t="s">
        <v>35</v>
      </c>
      <c r="C1967" t="str">
        <f t="shared" si="60"/>
        <v>Utah St.Louisville</v>
      </c>
      <c r="D1967" t="s">
        <v>68</v>
      </c>
      <c r="E1967">
        <v>65.400000000000006</v>
      </c>
      <c r="F1967">
        <v>-4.1622641509434004</v>
      </c>
      <c r="G1967">
        <v>-188.65300770793999</v>
      </c>
      <c r="H1967">
        <v>139.331421666859</v>
      </c>
      <c r="I1967" s="1">
        <f t="shared" si="61"/>
        <v>146.57450363859911</v>
      </c>
    </row>
    <row r="1968" spans="1:9" x14ac:dyDescent="0.45">
      <c r="A1968" t="s">
        <v>69</v>
      </c>
      <c r="B1968" t="s">
        <v>35</v>
      </c>
      <c r="C1968" t="str">
        <f t="shared" si="60"/>
        <v>VanderbiltLouisville</v>
      </c>
      <c r="D1968" t="s">
        <v>35</v>
      </c>
      <c r="E1968">
        <v>28.7</v>
      </c>
      <c r="F1968">
        <v>5.9622641509434002</v>
      </c>
      <c r="G1968">
        <v>248.27114982408199</v>
      </c>
      <c r="H1968">
        <v>137.90599215545799</v>
      </c>
      <c r="I1968" s="1">
        <f t="shared" si="61"/>
        <v>126.5029087787627</v>
      </c>
    </row>
    <row r="1969" spans="1:9" x14ac:dyDescent="0.45">
      <c r="A1969" t="s">
        <v>70</v>
      </c>
      <c r="B1969" t="s">
        <v>35</v>
      </c>
      <c r="C1969" t="str">
        <f t="shared" si="60"/>
        <v>VCULouisville</v>
      </c>
      <c r="D1969" t="s">
        <v>70</v>
      </c>
      <c r="E1969">
        <v>55.3</v>
      </c>
      <c r="F1969">
        <v>-1.38490566037736</v>
      </c>
      <c r="G1969">
        <v>-123.538921840532</v>
      </c>
      <c r="H1969">
        <v>139.75090331733301</v>
      </c>
      <c r="I1969" s="1">
        <f t="shared" si="61"/>
        <v>152.48126063507414</v>
      </c>
    </row>
    <row r="1970" spans="1:9" x14ac:dyDescent="0.45">
      <c r="A1970" t="s">
        <v>71</v>
      </c>
      <c r="B1970" t="s">
        <v>35</v>
      </c>
      <c r="C1970" t="str">
        <f t="shared" si="60"/>
        <v>WisconsinLouisville</v>
      </c>
      <c r="D1970" t="s">
        <v>71</v>
      </c>
      <c r="E1970">
        <v>93.8</v>
      </c>
      <c r="F1970">
        <v>-17.849056603773601</v>
      </c>
      <c r="G1970">
        <v>-1522.1050843949199</v>
      </c>
      <c r="H1970">
        <v>140.55158217260001</v>
      </c>
      <c r="I1970" s="1">
        <f t="shared" si="61"/>
        <v>163.755688074114</v>
      </c>
    </row>
    <row r="1971" spans="1:9" x14ac:dyDescent="0.45">
      <c r="A1971" t="s">
        <v>80</v>
      </c>
      <c r="B1971" t="s">
        <v>35</v>
      </c>
      <c r="C1971" t="str">
        <f t="shared" si="60"/>
        <v>WoffordLouisville</v>
      </c>
      <c r="D1971" t="s">
        <v>35</v>
      </c>
      <c r="E1971">
        <v>11.3</v>
      </c>
      <c r="F1971">
        <v>13.5358490566038</v>
      </c>
      <c r="G1971">
        <v>788.55219640109203</v>
      </c>
      <c r="H1971">
        <v>138.58103791169501</v>
      </c>
      <c r="I1971" s="1">
        <f t="shared" si="61"/>
        <v>136.0082858055959</v>
      </c>
    </row>
    <row r="1972" spans="1:9" x14ac:dyDescent="0.45">
      <c r="A1972" t="s">
        <v>72</v>
      </c>
      <c r="B1972" t="s">
        <v>35</v>
      </c>
      <c r="C1972" t="str">
        <f t="shared" si="60"/>
        <v>XavierLouisville</v>
      </c>
      <c r="D1972" t="s">
        <v>72</v>
      </c>
      <c r="E1972">
        <v>55</v>
      </c>
      <c r="F1972">
        <v>-1.30943396226415</v>
      </c>
      <c r="G1972">
        <v>-122.109400271171</v>
      </c>
      <c r="H1972">
        <v>139.15695148184599</v>
      </c>
      <c r="I1972" s="1">
        <f t="shared" si="61"/>
        <v>144.11777404187575</v>
      </c>
    </row>
    <row r="1973" spans="1:9" x14ac:dyDescent="0.45">
      <c r="A1973" t="s">
        <v>73</v>
      </c>
      <c r="B1973" t="s">
        <v>35</v>
      </c>
      <c r="C1973" t="str">
        <f t="shared" si="60"/>
        <v>YaleLouisville</v>
      </c>
      <c r="D1973" t="s">
        <v>35</v>
      </c>
      <c r="E1973">
        <v>40.5</v>
      </c>
      <c r="F1973">
        <v>2.5132075471698099</v>
      </c>
      <c r="G1973">
        <v>146.74471931428599</v>
      </c>
      <c r="H1973">
        <v>139.95618611590899</v>
      </c>
      <c r="I1973" s="1">
        <f t="shared" si="61"/>
        <v>155.37186527862517</v>
      </c>
    </row>
    <row r="1974" spans="1:9" x14ac:dyDescent="0.45">
      <c r="A1974" t="s">
        <v>7</v>
      </c>
      <c r="B1974" t="s">
        <v>36</v>
      </c>
      <c r="C1974" t="str">
        <f t="shared" si="60"/>
        <v>AkronMarquette</v>
      </c>
      <c r="D1974" t="s">
        <v>36</v>
      </c>
      <c r="E1974">
        <v>2.4</v>
      </c>
      <c r="F1974">
        <v>24.252830188679201</v>
      </c>
      <c r="G1974">
        <v>4044.2284125790302</v>
      </c>
      <c r="H1974">
        <v>137.40689493644899</v>
      </c>
      <c r="I1974" s="1">
        <f t="shared" si="61"/>
        <v>119.47507815262836</v>
      </c>
    </row>
    <row r="1975" spans="1:9" x14ac:dyDescent="0.45">
      <c r="A1975" t="s">
        <v>8</v>
      </c>
      <c r="B1975" t="s">
        <v>36</v>
      </c>
      <c r="C1975" t="str">
        <f t="shared" si="60"/>
        <v>AlabamaMarquette</v>
      </c>
      <c r="D1975" t="s">
        <v>8</v>
      </c>
      <c r="E1975">
        <v>64.5</v>
      </c>
      <c r="F1975">
        <v>-3.9207547169811301</v>
      </c>
      <c r="G1975">
        <v>-181.83940302053099</v>
      </c>
      <c r="H1975">
        <v>139.15499094858899</v>
      </c>
      <c r="I1975" s="1">
        <f t="shared" si="61"/>
        <v>144.09016760540933</v>
      </c>
    </row>
    <row r="1976" spans="1:9" x14ac:dyDescent="0.45">
      <c r="A1976" t="s">
        <v>9</v>
      </c>
      <c r="B1976" t="s">
        <v>36</v>
      </c>
      <c r="C1976" t="str">
        <f t="shared" si="60"/>
        <v>Alabama St.Marquette</v>
      </c>
      <c r="D1976" t="s">
        <v>36</v>
      </c>
      <c r="E1976">
        <v>0.4</v>
      </c>
      <c r="F1976">
        <v>36.392452830188702</v>
      </c>
      <c r="G1976">
        <v>25769.109046940299</v>
      </c>
      <c r="H1976">
        <v>137.633735792262</v>
      </c>
      <c r="I1976" s="1">
        <f t="shared" si="61"/>
        <v>122.66924364388595</v>
      </c>
    </row>
    <row r="1977" spans="1:9" x14ac:dyDescent="0.45">
      <c r="A1977" t="s">
        <v>10</v>
      </c>
      <c r="B1977" t="s">
        <v>36</v>
      </c>
      <c r="C1977" t="str">
        <f t="shared" si="60"/>
        <v>AmericanMarquette</v>
      </c>
      <c r="D1977" t="s">
        <v>36</v>
      </c>
      <c r="E1977">
        <v>0.5</v>
      </c>
      <c r="F1977">
        <v>35.132075471698101</v>
      </c>
      <c r="G1977">
        <v>21252.096700531802</v>
      </c>
      <c r="H1977">
        <v>137.72482167386599</v>
      </c>
      <c r="I1977" s="1">
        <f t="shared" si="61"/>
        <v>123.95183173286789</v>
      </c>
    </row>
    <row r="1978" spans="1:9" x14ac:dyDescent="0.45">
      <c r="A1978" t="s">
        <v>11</v>
      </c>
      <c r="B1978" t="s">
        <v>36</v>
      </c>
      <c r="C1978" t="str">
        <f t="shared" si="60"/>
        <v>ArizonaMarquette</v>
      </c>
      <c r="D1978" t="s">
        <v>11</v>
      </c>
      <c r="E1978">
        <v>56.4</v>
      </c>
      <c r="F1978">
        <v>-1.67924528301887</v>
      </c>
      <c r="G1978">
        <v>-129.196214102201</v>
      </c>
      <c r="H1978">
        <v>138.917349767579</v>
      </c>
      <c r="I1978" s="1">
        <f t="shared" si="61"/>
        <v>140.74392181135568</v>
      </c>
    </row>
    <row r="1979" spans="1:9" x14ac:dyDescent="0.45">
      <c r="A1979" t="s">
        <v>12</v>
      </c>
      <c r="B1979" t="s">
        <v>36</v>
      </c>
      <c r="C1979" t="str">
        <f t="shared" si="60"/>
        <v>ArkansasMarquette</v>
      </c>
      <c r="D1979" t="s">
        <v>36</v>
      </c>
      <c r="E1979">
        <v>7.2</v>
      </c>
      <c r="F1979">
        <v>16.713207547169802</v>
      </c>
      <c r="G1979">
        <v>1280.0836576653501</v>
      </c>
      <c r="H1979">
        <v>137.034953601437</v>
      </c>
      <c r="I1979" s="1">
        <f t="shared" si="61"/>
        <v>114.23774040405745</v>
      </c>
    </row>
    <row r="1980" spans="1:9" x14ac:dyDescent="0.45">
      <c r="A1980" t="s">
        <v>13</v>
      </c>
      <c r="B1980" t="s">
        <v>36</v>
      </c>
      <c r="C1980" t="str">
        <f t="shared" si="60"/>
        <v>AuburnMarquette</v>
      </c>
      <c r="D1980" t="s">
        <v>13</v>
      </c>
      <c r="E1980">
        <v>78.099999999999994</v>
      </c>
      <c r="F1980">
        <v>-8.3320754716981096</v>
      </c>
      <c r="G1980">
        <v>-356.36030156954598</v>
      </c>
      <c r="H1980">
        <v>140.17367300669801</v>
      </c>
      <c r="I1980" s="1">
        <f t="shared" si="61"/>
        <v>158.43431678838252</v>
      </c>
    </row>
    <row r="1981" spans="1:9" x14ac:dyDescent="0.45">
      <c r="A1981" t="s">
        <v>14</v>
      </c>
      <c r="B1981" t="s">
        <v>36</v>
      </c>
      <c r="C1981" t="str">
        <f t="shared" si="60"/>
        <v>BaylorMarquette</v>
      </c>
      <c r="D1981" t="s">
        <v>36</v>
      </c>
      <c r="E1981">
        <v>27.4</v>
      </c>
      <c r="F1981">
        <v>6.4</v>
      </c>
      <c r="G1981">
        <v>265.52069795876702</v>
      </c>
      <c r="H1981">
        <v>138.70867101942301</v>
      </c>
      <c r="I1981" s="1">
        <f t="shared" si="61"/>
        <v>137.80549851133003</v>
      </c>
    </row>
    <row r="1982" spans="1:9" x14ac:dyDescent="0.45">
      <c r="A1982" t="s">
        <v>15</v>
      </c>
      <c r="B1982" t="s">
        <v>36</v>
      </c>
      <c r="C1982" t="str">
        <f t="shared" si="60"/>
        <v>BryantMarquette</v>
      </c>
      <c r="D1982" t="s">
        <v>36</v>
      </c>
      <c r="E1982">
        <v>1.7</v>
      </c>
      <c r="F1982">
        <v>26.686792452830201</v>
      </c>
      <c r="G1982">
        <v>5861.9016255813503</v>
      </c>
      <c r="H1982">
        <v>138.25766876931701</v>
      </c>
      <c r="I1982" s="1">
        <f t="shared" si="61"/>
        <v>131.45489725563903</v>
      </c>
    </row>
    <row r="1983" spans="1:9" x14ac:dyDescent="0.45">
      <c r="A1983" t="s">
        <v>16</v>
      </c>
      <c r="B1983" t="s">
        <v>36</v>
      </c>
      <c r="C1983" t="str">
        <f t="shared" si="60"/>
        <v>BYUMarquette</v>
      </c>
      <c r="D1983" t="s">
        <v>36</v>
      </c>
      <c r="E1983">
        <v>31.5</v>
      </c>
      <c r="F1983">
        <v>5.1056603773584897</v>
      </c>
      <c r="G1983">
        <v>217.952471406266</v>
      </c>
      <c r="H1983">
        <v>138.51818924754099</v>
      </c>
      <c r="I1983" s="1">
        <f t="shared" si="61"/>
        <v>135.12330839051381</v>
      </c>
    </row>
    <row r="1984" spans="1:9" x14ac:dyDescent="0.45">
      <c r="A1984" t="s">
        <v>17</v>
      </c>
      <c r="B1984" t="s">
        <v>36</v>
      </c>
      <c r="C1984" t="str">
        <f t="shared" si="60"/>
        <v>ClemsonMarquette</v>
      </c>
      <c r="D1984" t="s">
        <v>36</v>
      </c>
      <c r="E1984">
        <v>37</v>
      </c>
      <c r="F1984">
        <v>3.48301886792453</v>
      </c>
      <c r="G1984">
        <v>170.102333684847</v>
      </c>
      <c r="H1984">
        <v>138.74010110383199</v>
      </c>
      <c r="I1984" s="1">
        <f t="shared" si="61"/>
        <v>138.24806821794957</v>
      </c>
    </row>
    <row r="1985" spans="1:9" x14ac:dyDescent="0.45">
      <c r="A1985" t="s">
        <v>18</v>
      </c>
      <c r="B1985" t="s">
        <v>36</v>
      </c>
      <c r="C1985" t="str">
        <f t="shared" si="60"/>
        <v>Colorado St.Marquette</v>
      </c>
      <c r="D1985" t="s">
        <v>36</v>
      </c>
      <c r="E1985">
        <v>8.8000000000000007</v>
      </c>
      <c r="F1985">
        <v>15.320754716981099</v>
      </c>
      <c r="G1985">
        <v>1035.2656439524101</v>
      </c>
      <c r="H1985">
        <v>138.04749295193801</v>
      </c>
      <c r="I1985" s="1">
        <f t="shared" si="61"/>
        <v>128.49539359584747</v>
      </c>
    </row>
    <row r="1986" spans="1:9" x14ac:dyDescent="0.45">
      <c r="A1986" t="s">
        <v>19</v>
      </c>
      <c r="B1986" t="s">
        <v>36</v>
      </c>
      <c r="C1986" t="str">
        <f t="shared" si="60"/>
        <v>ConnecticutMarquette</v>
      </c>
      <c r="D1986" t="s">
        <v>36</v>
      </c>
      <c r="E1986">
        <v>49.9</v>
      </c>
      <c r="F1986">
        <v>1.88679245283019E-2</v>
      </c>
      <c r="G1986">
        <v>100.28933714872301</v>
      </c>
      <c r="H1986">
        <v>138.68304485427299</v>
      </c>
      <c r="I1986" s="1">
        <f t="shared" si="61"/>
        <v>137.44465428817597</v>
      </c>
    </row>
    <row r="1987" spans="1:9" x14ac:dyDescent="0.45">
      <c r="A1987" t="s">
        <v>20</v>
      </c>
      <c r="B1987" t="s">
        <v>36</v>
      </c>
      <c r="C1987" t="str">
        <f t="shared" ref="C1987:C2050" si="62">A1987&amp;B1987</f>
        <v>CreightonMarquette</v>
      </c>
      <c r="D1987" t="s">
        <v>36</v>
      </c>
      <c r="E1987">
        <v>23.6</v>
      </c>
      <c r="F1987">
        <v>7.7094339622641499</v>
      </c>
      <c r="G1987">
        <v>324.21625730332602</v>
      </c>
      <c r="H1987">
        <v>138.155987216537</v>
      </c>
      <c r="I1987" s="1">
        <f t="shared" ref="I1987:I2050" si="63">18*(H1987-AVERAGE($H$2:$H$4625))/_xlfn.STDEV.P($H$2:$H$4625)+AVERAGE($H$2:$H$4625)</f>
        <v>130.02311061463323</v>
      </c>
    </row>
    <row r="1988" spans="1:9" x14ac:dyDescent="0.45">
      <c r="A1988" t="s">
        <v>21</v>
      </c>
      <c r="B1988" t="s">
        <v>36</v>
      </c>
      <c r="C1988" t="str">
        <f t="shared" si="62"/>
        <v>DrakeMarquette</v>
      </c>
      <c r="D1988" t="s">
        <v>36</v>
      </c>
      <c r="E1988">
        <v>8.6999999999999993</v>
      </c>
      <c r="F1988">
        <v>15.373584905660399</v>
      </c>
      <c r="G1988">
        <v>1043.3011820148899</v>
      </c>
      <c r="H1988">
        <v>138.20945232069101</v>
      </c>
      <c r="I1988" s="1">
        <f t="shared" si="63"/>
        <v>130.7759573188267</v>
      </c>
    </row>
    <row r="1989" spans="1:9" x14ac:dyDescent="0.45">
      <c r="A1989" t="s">
        <v>22</v>
      </c>
      <c r="B1989" t="s">
        <v>36</v>
      </c>
      <c r="C1989" t="str">
        <f t="shared" si="62"/>
        <v>DukeMarquette</v>
      </c>
      <c r="D1989" t="s">
        <v>22</v>
      </c>
      <c r="E1989">
        <v>83.9</v>
      </c>
      <c r="F1989">
        <v>-10.8377358490566</v>
      </c>
      <c r="G1989">
        <v>-522.51496941761195</v>
      </c>
      <c r="H1989">
        <v>140.49677278214699</v>
      </c>
      <c r="I1989" s="1">
        <f t="shared" si="63"/>
        <v>162.98391235957428</v>
      </c>
    </row>
    <row r="1990" spans="1:9" x14ac:dyDescent="0.45">
      <c r="A1990" t="s">
        <v>23</v>
      </c>
      <c r="B1990" t="s">
        <v>36</v>
      </c>
      <c r="C1990" t="str">
        <f t="shared" si="62"/>
        <v>FloridaMarquette</v>
      </c>
      <c r="D1990" t="s">
        <v>23</v>
      </c>
      <c r="E1990">
        <v>74.2</v>
      </c>
      <c r="F1990">
        <v>-6.9396226415094304</v>
      </c>
      <c r="G1990">
        <v>-288.23858125345799</v>
      </c>
      <c r="H1990">
        <v>140.22052905808999</v>
      </c>
      <c r="I1990" s="1">
        <f t="shared" si="63"/>
        <v>159.09410085539486</v>
      </c>
    </row>
    <row r="1991" spans="1:9" x14ac:dyDescent="0.45">
      <c r="A1991" t="s">
        <v>24</v>
      </c>
      <c r="B1991" t="s">
        <v>36</v>
      </c>
      <c r="C1991" t="str">
        <f t="shared" si="62"/>
        <v>GeorgiaMarquette</v>
      </c>
      <c r="D1991" t="s">
        <v>36</v>
      </c>
      <c r="E1991">
        <v>9.8000000000000007</v>
      </c>
      <c r="F1991">
        <v>14.5660377358491</v>
      </c>
      <c r="G1991">
        <v>922.74695472368398</v>
      </c>
      <c r="H1991">
        <v>137.362342582434</v>
      </c>
      <c r="I1991" s="1">
        <f t="shared" si="63"/>
        <v>118.84773264540499</v>
      </c>
    </row>
    <row r="1992" spans="1:9" x14ac:dyDescent="0.45">
      <c r="A1992" t="s">
        <v>25</v>
      </c>
      <c r="B1992" t="s">
        <v>36</v>
      </c>
      <c r="C1992" t="str">
        <f t="shared" si="62"/>
        <v>GonzagaMarquette</v>
      </c>
      <c r="D1992" t="s">
        <v>36</v>
      </c>
      <c r="E1992">
        <v>37.9</v>
      </c>
      <c r="F1992">
        <v>3.2415094339622601</v>
      </c>
      <c r="G1992">
        <v>163.93110390452901</v>
      </c>
      <c r="H1992">
        <v>139.499983701963</v>
      </c>
      <c r="I1992" s="1">
        <f t="shared" si="63"/>
        <v>148.94804007115951</v>
      </c>
    </row>
    <row r="1993" spans="1:9" x14ac:dyDescent="0.45">
      <c r="A1993" t="s">
        <v>26</v>
      </c>
      <c r="B1993" t="s">
        <v>36</v>
      </c>
      <c r="C1993" t="str">
        <f t="shared" si="62"/>
        <v>Grand CanyonMarquette</v>
      </c>
      <c r="D1993" t="s">
        <v>36</v>
      </c>
      <c r="E1993">
        <v>5.6</v>
      </c>
      <c r="F1993">
        <v>18.4905660377358</v>
      </c>
      <c r="G1993">
        <v>1678.5874040032199</v>
      </c>
      <c r="H1993">
        <v>138.151951948267</v>
      </c>
      <c r="I1993" s="1">
        <f t="shared" si="63"/>
        <v>129.9662896570072</v>
      </c>
    </row>
    <row r="1994" spans="1:9" x14ac:dyDescent="0.45">
      <c r="A1994" t="s">
        <v>27</v>
      </c>
      <c r="B1994" t="s">
        <v>36</v>
      </c>
      <c r="C1994" t="str">
        <f t="shared" si="62"/>
        <v>High PointMarquette</v>
      </c>
      <c r="D1994" t="s">
        <v>36</v>
      </c>
      <c r="E1994">
        <v>3.8</v>
      </c>
      <c r="F1994">
        <v>21.260377358490601</v>
      </c>
      <c r="G1994">
        <v>2562.2413084577902</v>
      </c>
      <c r="H1994">
        <v>138.432843695923</v>
      </c>
      <c r="I1994" s="1">
        <f t="shared" si="63"/>
        <v>133.92155037900619</v>
      </c>
    </row>
    <row r="1995" spans="1:9" x14ac:dyDescent="0.45">
      <c r="A1995" t="s">
        <v>28</v>
      </c>
      <c r="B1995" t="s">
        <v>36</v>
      </c>
      <c r="C1995" t="str">
        <f t="shared" si="62"/>
        <v>HoustonMarquette</v>
      </c>
      <c r="D1995" t="s">
        <v>28</v>
      </c>
      <c r="E1995">
        <v>89.9</v>
      </c>
      <c r="F1995">
        <v>-14.3547169811321</v>
      </c>
      <c r="G1995">
        <v>-893.07099185388404</v>
      </c>
      <c r="H1995">
        <v>140.64043713177699</v>
      </c>
      <c r="I1995" s="1">
        <f t="shared" si="63"/>
        <v>165.00686235360175</v>
      </c>
    </row>
    <row r="1996" spans="1:9" x14ac:dyDescent="0.45">
      <c r="A1996" t="s">
        <v>29</v>
      </c>
      <c r="B1996" t="s">
        <v>36</v>
      </c>
      <c r="C1996" t="str">
        <f t="shared" si="62"/>
        <v>IllinoisMarquette</v>
      </c>
      <c r="D1996" t="s">
        <v>36</v>
      </c>
      <c r="E1996">
        <v>47.1</v>
      </c>
      <c r="F1996">
        <v>0.75849056603773601</v>
      </c>
      <c r="G1996">
        <v>112.257835743979</v>
      </c>
      <c r="H1996">
        <v>138.69068228571399</v>
      </c>
      <c r="I1996" s="1">
        <f t="shared" si="63"/>
        <v>137.55219761348766</v>
      </c>
    </row>
    <row r="1997" spans="1:9" x14ac:dyDescent="0.45">
      <c r="A1997" t="s">
        <v>30</v>
      </c>
      <c r="B1997" t="s">
        <v>36</v>
      </c>
      <c r="C1997" t="str">
        <f t="shared" si="62"/>
        <v>Iowa St.Marquette</v>
      </c>
      <c r="D1997" t="s">
        <v>30</v>
      </c>
      <c r="E1997">
        <v>65.2</v>
      </c>
      <c r="F1997">
        <v>-4.12452830188679</v>
      </c>
      <c r="G1997">
        <v>-187.63926107710299</v>
      </c>
      <c r="H1997">
        <v>139.61695086407201</v>
      </c>
      <c r="I1997" s="1">
        <f t="shared" si="63"/>
        <v>150.59506468442802</v>
      </c>
    </row>
    <row r="1998" spans="1:9" x14ac:dyDescent="0.45">
      <c r="A1998" t="s">
        <v>31</v>
      </c>
      <c r="B1998" t="s">
        <v>36</v>
      </c>
      <c r="C1998" t="str">
        <f t="shared" si="62"/>
        <v>KansasMarquette</v>
      </c>
      <c r="D1998" t="s">
        <v>36</v>
      </c>
      <c r="E1998">
        <v>35.299999999999997</v>
      </c>
      <c r="F1998">
        <v>3.97735849056604</v>
      </c>
      <c r="G1998">
        <v>183.43735204311599</v>
      </c>
      <c r="H1998">
        <v>138.572341148384</v>
      </c>
      <c r="I1998" s="1">
        <f t="shared" si="63"/>
        <v>135.88582593762328</v>
      </c>
    </row>
    <row r="1999" spans="1:9" x14ac:dyDescent="0.45">
      <c r="A1999" t="s">
        <v>32</v>
      </c>
      <c r="B1999" t="s">
        <v>36</v>
      </c>
      <c r="C1999" t="str">
        <f t="shared" si="62"/>
        <v>KentuckyMarquette</v>
      </c>
      <c r="D1999" t="s">
        <v>36</v>
      </c>
      <c r="E1999">
        <v>47.9</v>
      </c>
      <c r="F1999">
        <v>0.55094339622641497</v>
      </c>
      <c r="G1999">
        <v>108.737265835212</v>
      </c>
      <c r="H1999">
        <v>138.51937874877601</v>
      </c>
      <c r="I1999" s="1">
        <f t="shared" si="63"/>
        <v>135.14005785913614</v>
      </c>
    </row>
    <row r="2000" spans="1:9" x14ac:dyDescent="0.45">
      <c r="A2000" t="s">
        <v>33</v>
      </c>
      <c r="B2000" t="s">
        <v>36</v>
      </c>
      <c r="C2000" t="str">
        <f t="shared" si="62"/>
        <v>LibertyMarquette</v>
      </c>
      <c r="D2000" t="s">
        <v>36</v>
      </c>
      <c r="E2000">
        <v>2.5</v>
      </c>
      <c r="F2000">
        <v>24.037735849056599</v>
      </c>
      <c r="G2000">
        <v>3913.25804586906</v>
      </c>
      <c r="H2000">
        <v>137.728314997175</v>
      </c>
      <c r="I2000" s="1">
        <f t="shared" si="63"/>
        <v>124.00102151714847</v>
      </c>
    </row>
    <row r="2001" spans="1:9" x14ac:dyDescent="0.45">
      <c r="A2001" t="s">
        <v>34</v>
      </c>
      <c r="B2001" t="s">
        <v>36</v>
      </c>
      <c r="C2001" t="str">
        <f t="shared" si="62"/>
        <v>LipscombMarquette</v>
      </c>
      <c r="D2001" t="s">
        <v>36</v>
      </c>
      <c r="E2001">
        <v>1.9</v>
      </c>
      <c r="F2001">
        <v>25.781132075471699</v>
      </c>
      <c r="G2001">
        <v>5104.67781098047</v>
      </c>
      <c r="H2001">
        <v>138.16023522843199</v>
      </c>
      <c r="I2001" s="1">
        <f t="shared" si="63"/>
        <v>130.08292723343757</v>
      </c>
    </row>
    <row r="2002" spans="1:9" x14ac:dyDescent="0.45">
      <c r="A2002" t="s">
        <v>35</v>
      </c>
      <c r="B2002" t="s">
        <v>36</v>
      </c>
      <c r="C2002" t="str">
        <f t="shared" si="62"/>
        <v>LouisvilleMarquette</v>
      </c>
      <c r="D2002" t="s">
        <v>36</v>
      </c>
      <c r="E2002">
        <v>4.7</v>
      </c>
      <c r="F2002">
        <v>19.671698113207501</v>
      </c>
      <c r="G2002">
        <v>2010.73605149883</v>
      </c>
      <c r="H2002">
        <v>137.4459585404</v>
      </c>
      <c r="I2002" s="1">
        <f t="shared" si="63"/>
        <v>120.02513610077557</v>
      </c>
    </row>
    <row r="2003" spans="1:9" x14ac:dyDescent="0.45">
      <c r="A2003" t="s">
        <v>36</v>
      </c>
      <c r="B2003" t="s">
        <v>36</v>
      </c>
      <c r="C2003" t="str">
        <f t="shared" si="62"/>
        <v>MarquetteMarquette</v>
      </c>
      <c r="D2003" t="s">
        <v>36</v>
      </c>
      <c r="E2003">
        <v>41.2</v>
      </c>
      <c r="F2003">
        <v>2.3283018867924499</v>
      </c>
      <c r="G2003">
        <v>142.64273539779199</v>
      </c>
      <c r="H2003">
        <v>138.77771517530499</v>
      </c>
      <c r="I2003" s="1">
        <f t="shared" si="63"/>
        <v>138.77771517530277</v>
      </c>
    </row>
    <row r="2004" spans="1:9" x14ac:dyDescent="0.45">
      <c r="A2004" t="s">
        <v>37</v>
      </c>
      <c r="B2004" t="s">
        <v>36</v>
      </c>
      <c r="C2004" t="str">
        <f t="shared" si="62"/>
        <v>MarylandMarquette</v>
      </c>
      <c r="D2004" t="s">
        <v>36</v>
      </c>
      <c r="E2004">
        <v>32.200000000000003</v>
      </c>
      <c r="F2004">
        <v>4.8716981132075503</v>
      </c>
      <c r="G2004">
        <v>210.27808664290399</v>
      </c>
      <c r="H2004">
        <v>138.38765448698399</v>
      </c>
      <c r="I2004" s="1">
        <f t="shared" si="63"/>
        <v>133.28523726313085</v>
      </c>
    </row>
    <row r="2005" spans="1:9" x14ac:dyDescent="0.45">
      <c r="A2005" t="s">
        <v>38</v>
      </c>
      <c r="B2005" t="s">
        <v>36</v>
      </c>
      <c r="C2005" t="str">
        <f t="shared" si="62"/>
        <v>McNeese St.Marquette</v>
      </c>
      <c r="D2005" t="s">
        <v>36</v>
      </c>
      <c r="E2005">
        <v>7.8</v>
      </c>
      <c r="F2005">
        <v>16.181132075471702</v>
      </c>
      <c r="G2005">
        <v>1180.16621604079</v>
      </c>
      <c r="H2005">
        <v>138.223066101185</v>
      </c>
      <c r="I2005" s="1">
        <f t="shared" si="63"/>
        <v>130.96765412628048</v>
      </c>
    </row>
    <row r="2006" spans="1:9" x14ac:dyDescent="0.45">
      <c r="A2006" t="s">
        <v>39</v>
      </c>
      <c r="B2006" t="s">
        <v>36</v>
      </c>
      <c r="C2006" t="str">
        <f t="shared" si="62"/>
        <v>MemphisMarquette</v>
      </c>
      <c r="D2006" t="s">
        <v>36</v>
      </c>
      <c r="E2006">
        <v>19.600000000000001</v>
      </c>
      <c r="F2006">
        <v>9.25660377358491</v>
      </c>
      <c r="G2006">
        <v>410.54476718799299</v>
      </c>
      <c r="H2006">
        <v>137.36528930000401</v>
      </c>
      <c r="I2006" s="1">
        <f t="shared" si="63"/>
        <v>118.88922562752623</v>
      </c>
    </row>
    <row r="2007" spans="1:9" x14ac:dyDescent="0.45">
      <c r="A2007" t="s">
        <v>40</v>
      </c>
      <c r="B2007" t="s">
        <v>36</v>
      </c>
      <c r="C2007" t="str">
        <f t="shared" si="62"/>
        <v>MichiganMarquette</v>
      </c>
      <c r="D2007" t="s">
        <v>36</v>
      </c>
      <c r="E2007">
        <v>11.4</v>
      </c>
      <c r="F2007">
        <v>13.445283018867899</v>
      </c>
      <c r="G2007">
        <v>777.73126940086195</v>
      </c>
      <c r="H2007">
        <v>137.02221038468701</v>
      </c>
      <c r="I2007" s="1">
        <f t="shared" si="63"/>
        <v>114.05830207913787</v>
      </c>
    </row>
    <row r="2008" spans="1:9" x14ac:dyDescent="0.45">
      <c r="A2008" t="s">
        <v>41</v>
      </c>
      <c r="B2008" t="s">
        <v>36</v>
      </c>
      <c r="C2008" t="str">
        <f t="shared" si="62"/>
        <v>Michigan St.Marquette</v>
      </c>
      <c r="D2008" t="s">
        <v>41</v>
      </c>
      <c r="E2008">
        <v>55.2</v>
      </c>
      <c r="F2008">
        <v>-1.3773584905660401</v>
      </c>
      <c r="G2008">
        <v>-123.379860447154</v>
      </c>
      <c r="H2008">
        <v>138.72110234551599</v>
      </c>
      <c r="I2008" s="1">
        <f t="shared" si="63"/>
        <v>137.98054507723393</v>
      </c>
    </row>
    <row r="2009" spans="1:9" x14ac:dyDescent="0.45">
      <c r="A2009" t="s">
        <v>42</v>
      </c>
      <c r="B2009" t="s">
        <v>36</v>
      </c>
      <c r="C2009" t="str">
        <f t="shared" si="62"/>
        <v>MississippiMarquette</v>
      </c>
      <c r="D2009" t="s">
        <v>36</v>
      </c>
      <c r="E2009">
        <v>24.1</v>
      </c>
      <c r="F2009">
        <v>7.5320754716981098</v>
      </c>
      <c r="G2009">
        <v>315.55467276457699</v>
      </c>
      <c r="H2009">
        <v>137.852023450611</v>
      </c>
      <c r="I2009" s="1">
        <f t="shared" si="63"/>
        <v>125.74297083014098</v>
      </c>
    </row>
    <row r="2010" spans="1:9" x14ac:dyDescent="0.45">
      <c r="A2010" t="s">
        <v>43</v>
      </c>
      <c r="B2010" t="s">
        <v>36</v>
      </c>
      <c r="C2010" t="str">
        <f t="shared" si="62"/>
        <v>Mississippi St.Marquette</v>
      </c>
      <c r="D2010" t="s">
        <v>36</v>
      </c>
      <c r="E2010">
        <v>19.3</v>
      </c>
      <c r="F2010">
        <v>9.3811320754716991</v>
      </c>
      <c r="G2010">
        <v>418.37516593623099</v>
      </c>
      <c r="H2010">
        <v>137.9763948044</v>
      </c>
      <c r="I2010" s="1">
        <f t="shared" si="63"/>
        <v>127.4942544996987</v>
      </c>
    </row>
    <row r="2011" spans="1:9" x14ac:dyDescent="0.45">
      <c r="A2011" t="s">
        <v>44</v>
      </c>
      <c r="B2011" t="s">
        <v>36</v>
      </c>
      <c r="C2011" t="str">
        <f t="shared" si="62"/>
        <v>MissouriMarquette</v>
      </c>
      <c r="D2011" t="s">
        <v>36</v>
      </c>
      <c r="E2011">
        <v>9.5</v>
      </c>
      <c r="F2011">
        <v>14.796226415094299</v>
      </c>
      <c r="G2011">
        <v>955.35512692351801</v>
      </c>
      <c r="H2011">
        <v>137.24086674057401</v>
      </c>
      <c r="I2011" s="1">
        <f t="shared" si="63"/>
        <v>117.13722092695822</v>
      </c>
    </row>
    <row r="2012" spans="1:9" x14ac:dyDescent="0.45">
      <c r="A2012" t="s">
        <v>45</v>
      </c>
      <c r="B2012" t="s">
        <v>36</v>
      </c>
      <c r="C2012" t="str">
        <f t="shared" si="62"/>
        <v>MontanaMarquette</v>
      </c>
      <c r="D2012" t="s">
        <v>36</v>
      </c>
      <c r="E2012">
        <v>1</v>
      </c>
      <c r="F2012">
        <v>30.052830188679199</v>
      </c>
      <c r="G2012">
        <v>9793.9280812650104</v>
      </c>
      <c r="H2012">
        <v>136.54960146559301</v>
      </c>
      <c r="I2012" s="1">
        <f t="shared" si="63"/>
        <v>107.40345546951738</v>
      </c>
    </row>
    <row r="2013" spans="1:9" x14ac:dyDescent="0.45">
      <c r="A2013" t="s">
        <v>46</v>
      </c>
      <c r="B2013" t="s">
        <v>36</v>
      </c>
      <c r="C2013" t="str">
        <f t="shared" si="62"/>
        <v>Mount St. Mary'sMarquette</v>
      </c>
      <c r="D2013" t="s">
        <v>36</v>
      </c>
      <c r="E2013">
        <v>0.4</v>
      </c>
      <c r="F2013">
        <v>36.169811320754697</v>
      </c>
      <c r="G2013">
        <v>24897.606943505802</v>
      </c>
      <c r="H2013">
        <v>137.89747568754001</v>
      </c>
      <c r="I2013" s="1">
        <f t="shared" si="63"/>
        <v>126.38298766563899</v>
      </c>
    </row>
    <row r="2014" spans="1:9" x14ac:dyDescent="0.45">
      <c r="A2014" t="s">
        <v>47</v>
      </c>
      <c r="B2014" t="s">
        <v>36</v>
      </c>
      <c r="C2014" t="str">
        <f t="shared" si="62"/>
        <v>Nebraska OmahaMarquette</v>
      </c>
      <c r="D2014" t="s">
        <v>36</v>
      </c>
      <c r="E2014">
        <v>0.5</v>
      </c>
      <c r="F2014">
        <v>34.452830188679201</v>
      </c>
      <c r="G2014">
        <v>19164.047689528499</v>
      </c>
      <c r="H2014">
        <v>137.18147686743899</v>
      </c>
      <c r="I2014" s="1">
        <f t="shared" si="63"/>
        <v>116.30094704402764</v>
      </c>
    </row>
    <row r="2015" spans="1:9" x14ac:dyDescent="0.45">
      <c r="A2015" t="s">
        <v>48</v>
      </c>
      <c r="B2015" t="s">
        <v>36</v>
      </c>
      <c r="C2015" t="str">
        <f t="shared" si="62"/>
        <v>New MexicoMarquette</v>
      </c>
      <c r="D2015" t="s">
        <v>36</v>
      </c>
      <c r="E2015">
        <v>11.8</v>
      </c>
      <c r="F2015">
        <v>13.203773584905701</v>
      </c>
      <c r="G2015">
        <v>749.63821183406799</v>
      </c>
      <c r="H2015">
        <v>138.059221214715</v>
      </c>
      <c r="I2015" s="1">
        <f t="shared" si="63"/>
        <v>128.66054026706936</v>
      </c>
    </row>
    <row r="2016" spans="1:9" x14ac:dyDescent="0.45">
      <c r="A2016" t="s">
        <v>49</v>
      </c>
      <c r="B2016" t="s">
        <v>36</v>
      </c>
      <c r="C2016" t="str">
        <f t="shared" si="62"/>
        <v>Norfolk St.Marquette</v>
      </c>
      <c r="D2016" t="s">
        <v>36</v>
      </c>
      <c r="E2016">
        <v>0.8</v>
      </c>
      <c r="F2016">
        <v>31.920754716981101</v>
      </c>
      <c r="G2016">
        <v>13022.8070908641</v>
      </c>
      <c r="H2016">
        <v>137.071584876917</v>
      </c>
      <c r="I2016" s="1">
        <f t="shared" si="63"/>
        <v>114.75354852697969</v>
      </c>
    </row>
    <row r="2017" spans="1:9" x14ac:dyDescent="0.45">
      <c r="A2017" t="s">
        <v>50</v>
      </c>
      <c r="B2017" t="s">
        <v>36</v>
      </c>
      <c r="C2017" t="str">
        <f t="shared" si="62"/>
        <v>North CarolinaMarquette</v>
      </c>
      <c r="D2017" t="s">
        <v>36</v>
      </c>
      <c r="E2017">
        <v>31.3</v>
      </c>
      <c r="F2017">
        <v>5.1660377358490601</v>
      </c>
      <c r="G2017">
        <v>219.86630761658799</v>
      </c>
      <c r="H2017">
        <v>139.14351630887199</v>
      </c>
      <c r="I2017" s="1">
        <f t="shared" si="63"/>
        <v>143.92859222218627</v>
      </c>
    </row>
    <row r="2018" spans="1:9" x14ac:dyDescent="0.45">
      <c r="A2018" t="s">
        <v>51</v>
      </c>
      <c r="B2018" t="s">
        <v>36</v>
      </c>
      <c r="C2018" t="str">
        <f t="shared" si="62"/>
        <v>OklahomaMarquette</v>
      </c>
      <c r="D2018" t="s">
        <v>36</v>
      </c>
      <c r="E2018">
        <v>13</v>
      </c>
      <c r="F2018">
        <v>12.4716981132075</v>
      </c>
      <c r="G2018">
        <v>670.14256715277804</v>
      </c>
      <c r="H2018">
        <v>137.486119604377</v>
      </c>
      <c r="I2018" s="1">
        <f t="shared" si="63"/>
        <v>120.59064747740894</v>
      </c>
    </row>
    <row r="2019" spans="1:9" x14ac:dyDescent="0.45">
      <c r="A2019" t="s">
        <v>52</v>
      </c>
      <c r="B2019" t="s">
        <v>36</v>
      </c>
      <c r="C2019" t="str">
        <f t="shared" si="62"/>
        <v>OregonMarquette</v>
      </c>
      <c r="D2019" t="s">
        <v>36</v>
      </c>
      <c r="E2019">
        <v>33</v>
      </c>
      <c r="F2019">
        <v>4.6452830188679197</v>
      </c>
      <c r="G2019">
        <v>203.115374727421</v>
      </c>
      <c r="H2019">
        <v>138.080497392518</v>
      </c>
      <c r="I2019" s="1">
        <f t="shared" si="63"/>
        <v>128.96013194635765</v>
      </c>
    </row>
    <row r="2020" spans="1:9" x14ac:dyDescent="0.45">
      <c r="A2020" t="s">
        <v>53</v>
      </c>
      <c r="B2020" t="s">
        <v>36</v>
      </c>
      <c r="C2020" t="str">
        <f t="shared" si="62"/>
        <v>PurdueMarquette</v>
      </c>
      <c r="D2020" t="s">
        <v>53</v>
      </c>
      <c r="E2020">
        <v>72.2</v>
      </c>
      <c r="F2020">
        <v>-6.2641509433962304</v>
      </c>
      <c r="G2020">
        <v>-260.05479867354597</v>
      </c>
      <c r="H2020">
        <v>139.428484721307</v>
      </c>
      <c r="I2020" s="1">
        <f t="shared" si="63"/>
        <v>147.94125680959505</v>
      </c>
    </row>
    <row r="2021" spans="1:9" x14ac:dyDescent="0.45">
      <c r="A2021" t="s">
        <v>54</v>
      </c>
      <c r="B2021" t="s">
        <v>36</v>
      </c>
      <c r="C2021" t="str">
        <f t="shared" si="62"/>
        <v>Robert MorrisMarquette</v>
      </c>
      <c r="D2021" t="s">
        <v>36</v>
      </c>
      <c r="E2021">
        <v>0.3</v>
      </c>
      <c r="F2021">
        <v>37.675471698113199</v>
      </c>
      <c r="G2021">
        <v>31341.235263786501</v>
      </c>
      <c r="H2021">
        <v>136.48712157006901</v>
      </c>
      <c r="I2021" s="1">
        <f t="shared" si="63"/>
        <v>106.52367071705342</v>
      </c>
    </row>
    <row r="2022" spans="1:9" x14ac:dyDescent="0.45">
      <c r="A2022" t="s">
        <v>55</v>
      </c>
      <c r="B2022" t="s">
        <v>36</v>
      </c>
      <c r="C2022" t="str">
        <f t="shared" si="62"/>
        <v>Saint FrancisMarquette</v>
      </c>
      <c r="D2022" t="s">
        <v>36</v>
      </c>
      <c r="E2022">
        <v>0.2</v>
      </c>
      <c r="F2022">
        <v>40.4037735849057</v>
      </c>
      <c r="G2022">
        <v>47504.092939094597</v>
      </c>
      <c r="H2022">
        <v>137.53997710327701</v>
      </c>
      <c r="I2022" s="1">
        <f t="shared" si="63"/>
        <v>121.34901952558037</v>
      </c>
    </row>
    <row r="2023" spans="1:9" x14ac:dyDescent="0.45">
      <c r="A2023" t="s">
        <v>56</v>
      </c>
      <c r="B2023" t="s">
        <v>36</v>
      </c>
      <c r="C2023" t="str">
        <f t="shared" si="62"/>
        <v>Saint Mary'sMarquette</v>
      </c>
      <c r="D2023" t="s">
        <v>36</v>
      </c>
      <c r="E2023">
        <v>29.6</v>
      </c>
      <c r="F2023">
        <v>5.6867924528301899</v>
      </c>
      <c r="G2023">
        <v>238.14822826040501</v>
      </c>
      <c r="H2023">
        <v>138.79123230436701</v>
      </c>
      <c r="I2023" s="1">
        <f t="shared" si="63"/>
        <v>138.968051025677</v>
      </c>
    </row>
    <row r="2024" spans="1:9" x14ac:dyDescent="0.45">
      <c r="A2024" t="s">
        <v>57</v>
      </c>
      <c r="B2024" t="s">
        <v>36</v>
      </c>
      <c r="C2024" t="str">
        <f t="shared" si="62"/>
        <v>San Diego St.Marquette</v>
      </c>
      <c r="D2024" t="s">
        <v>36</v>
      </c>
      <c r="E2024">
        <v>10.9</v>
      </c>
      <c r="F2024">
        <v>13.781132075471699</v>
      </c>
      <c r="G2024">
        <v>818.44300428838199</v>
      </c>
      <c r="H2024">
        <v>137.93748718416501</v>
      </c>
      <c r="I2024" s="1">
        <f t="shared" si="63"/>
        <v>126.94639297159716</v>
      </c>
    </row>
    <row r="2025" spans="1:9" x14ac:dyDescent="0.45">
      <c r="A2025" t="s">
        <v>58</v>
      </c>
      <c r="B2025" t="s">
        <v>36</v>
      </c>
      <c r="C2025" t="str">
        <f t="shared" si="62"/>
        <v>SIU EdwardsvilleMarquette</v>
      </c>
      <c r="D2025" t="s">
        <v>36</v>
      </c>
      <c r="E2025">
        <v>0.6</v>
      </c>
      <c r="F2025">
        <v>33.377358490566003</v>
      </c>
      <c r="G2025">
        <v>16269.1704704735</v>
      </c>
      <c r="H2025">
        <v>138.08517495101299</v>
      </c>
      <c r="I2025" s="1">
        <f t="shared" si="63"/>
        <v>129.02599704757361</v>
      </c>
    </row>
    <row r="2026" spans="1:9" x14ac:dyDescent="0.45">
      <c r="A2026" t="s">
        <v>59</v>
      </c>
      <c r="B2026" t="s">
        <v>36</v>
      </c>
      <c r="C2026" t="str">
        <f t="shared" si="62"/>
        <v>St. John'sMarquette</v>
      </c>
      <c r="D2026" t="s">
        <v>59</v>
      </c>
      <c r="E2026">
        <v>56.7</v>
      </c>
      <c r="F2026">
        <v>-1.77735849056604</v>
      </c>
      <c r="G2026">
        <v>-131.17228919334099</v>
      </c>
      <c r="H2026">
        <v>139.06285772355801</v>
      </c>
      <c r="I2026" s="1">
        <f t="shared" si="63"/>
        <v>142.79283178405794</v>
      </c>
    </row>
    <row r="2027" spans="1:9" x14ac:dyDescent="0.45">
      <c r="A2027" t="s">
        <v>60</v>
      </c>
      <c r="B2027" t="s">
        <v>36</v>
      </c>
      <c r="C2027" t="str">
        <f t="shared" si="62"/>
        <v>TennesseeMarquette</v>
      </c>
      <c r="D2027" t="s">
        <v>60</v>
      </c>
      <c r="E2027">
        <v>72.400000000000006</v>
      </c>
      <c r="F2027">
        <v>-6.3245283018867902</v>
      </c>
      <c r="G2027">
        <v>-262.41070382508701</v>
      </c>
      <c r="H2027">
        <v>139.65684060024901</v>
      </c>
      <c r="I2027" s="1">
        <f t="shared" si="63"/>
        <v>151.15675547110442</v>
      </c>
    </row>
    <row r="2028" spans="1:9" x14ac:dyDescent="0.45">
      <c r="A2028" t="s">
        <v>61</v>
      </c>
      <c r="B2028" t="s">
        <v>36</v>
      </c>
      <c r="C2028" t="str">
        <f t="shared" si="62"/>
        <v>TexasMarquette</v>
      </c>
      <c r="D2028" t="s">
        <v>36</v>
      </c>
      <c r="E2028">
        <v>9.6999999999999993</v>
      </c>
      <c r="F2028">
        <v>14.6301886792453</v>
      </c>
      <c r="G2028">
        <v>931.50495368656595</v>
      </c>
      <c r="H2028">
        <v>137.412555131321</v>
      </c>
      <c r="I2028" s="1">
        <f t="shared" si="63"/>
        <v>119.55477984070902</v>
      </c>
    </row>
    <row r="2029" spans="1:9" x14ac:dyDescent="0.45">
      <c r="A2029" t="s">
        <v>62</v>
      </c>
      <c r="B2029" t="s">
        <v>36</v>
      </c>
      <c r="C2029" t="str">
        <f t="shared" si="62"/>
        <v>Texas A&amp;MMarquette</v>
      </c>
      <c r="D2029" t="s">
        <v>36</v>
      </c>
      <c r="E2029">
        <v>38.299999999999997</v>
      </c>
      <c r="F2029">
        <v>3.1320754716981098</v>
      </c>
      <c r="G2029">
        <v>161.28140407550799</v>
      </c>
      <c r="H2029">
        <v>138.21035415891501</v>
      </c>
      <c r="I2029" s="1">
        <f t="shared" si="63"/>
        <v>130.78865617998844</v>
      </c>
    </row>
    <row r="2030" spans="1:9" x14ac:dyDescent="0.45">
      <c r="A2030" t="s">
        <v>63</v>
      </c>
      <c r="B2030" t="s">
        <v>36</v>
      </c>
      <c r="C2030" t="str">
        <f t="shared" si="62"/>
        <v>Texas TechMarquette</v>
      </c>
      <c r="D2030" t="s">
        <v>63</v>
      </c>
      <c r="E2030">
        <v>55</v>
      </c>
      <c r="F2030">
        <v>-1.3169811320754701</v>
      </c>
      <c r="G2030">
        <v>-122.273470025384</v>
      </c>
      <c r="H2030">
        <v>139.25013827797801</v>
      </c>
      <c r="I2030" s="1">
        <f t="shared" si="63"/>
        <v>145.42994528800747</v>
      </c>
    </row>
    <row r="2031" spans="1:9" x14ac:dyDescent="0.45">
      <c r="A2031" t="s">
        <v>64</v>
      </c>
      <c r="B2031" t="s">
        <v>36</v>
      </c>
      <c r="C2031" t="str">
        <f t="shared" si="62"/>
        <v>TroyMarquette</v>
      </c>
      <c r="D2031" t="s">
        <v>36</v>
      </c>
      <c r="E2031">
        <v>1.7</v>
      </c>
      <c r="F2031">
        <v>26.6301886792453</v>
      </c>
      <c r="G2031">
        <v>5809.3650509585304</v>
      </c>
      <c r="H2031">
        <v>137.953702697708</v>
      </c>
      <c r="I2031" s="1">
        <f t="shared" si="63"/>
        <v>127.17472500462709</v>
      </c>
    </row>
    <row r="2032" spans="1:9" x14ac:dyDescent="0.45">
      <c r="A2032" t="s">
        <v>65</v>
      </c>
      <c r="B2032" t="s">
        <v>36</v>
      </c>
      <c r="C2032" t="str">
        <f t="shared" si="62"/>
        <v>UC San DiegoMarquette</v>
      </c>
      <c r="D2032" t="s">
        <v>36</v>
      </c>
      <c r="E2032">
        <v>4.2</v>
      </c>
      <c r="F2032">
        <v>20.4679245283019</v>
      </c>
      <c r="G2032">
        <v>2269.77332990784</v>
      </c>
      <c r="H2032">
        <v>138.04182444109901</v>
      </c>
      <c r="I2032" s="1">
        <f t="shared" si="63"/>
        <v>128.41557480992435</v>
      </c>
    </row>
    <row r="2033" spans="1:9" x14ac:dyDescent="0.45">
      <c r="A2033" t="s">
        <v>66</v>
      </c>
      <c r="B2033" t="s">
        <v>36</v>
      </c>
      <c r="C2033" t="str">
        <f t="shared" si="62"/>
        <v>UCLAMarquette</v>
      </c>
      <c r="D2033" t="s">
        <v>36</v>
      </c>
      <c r="E2033">
        <v>14.9</v>
      </c>
      <c r="F2033">
        <v>11.422641509433999</v>
      </c>
      <c r="G2033">
        <v>571.18885513095597</v>
      </c>
      <c r="H2033">
        <v>137.51327895420701</v>
      </c>
      <c r="I2033" s="1">
        <f t="shared" si="63"/>
        <v>120.97308060516762</v>
      </c>
    </row>
    <row r="2034" spans="1:9" x14ac:dyDescent="0.45">
      <c r="A2034" t="s">
        <v>67</v>
      </c>
      <c r="B2034" t="s">
        <v>36</v>
      </c>
      <c r="C2034" t="str">
        <f t="shared" si="62"/>
        <v>UNC WilmingtonMarquette</v>
      </c>
      <c r="D2034" t="s">
        <v>36</v>
      </c>
      <c r="E2034">
        <v>2.6</v>
      </c>
      <c r="F2034">
        <v>23.826415094339598</v>
      </c>
      <c r="G2034">
        <v>3789.83828251245</v>
      </c>
      <c r="H2034">
        <v>138.62829462812701</v>
      </c>
      <c r="I2034" s="1">
        <f t="shared" si="63"/>
        <v>136.67371167130361</v>
      </c>
    </row>
    <row r="2035" spans="1:9" x14ac:dyDescent="0.45">
      <c r="A2035" t="s">
        <v>68</v>
      </c>
      <c r="B2035" t="s">
        <v>36</v>
      </c>
      <c r="C2035" t="str">
        <f t="shared" si="62"/>
        <v>Utah St.Marquette</v>
      </c>
      <c r="D2035" t="s">
        <v>36</v>
      </c>
      <c r="E2035">
        <v>11.8</v>
      </c>
      <c r="F2035">
        <v>13.1849056603774</v>
      </c>
      <c r="G2035">
        <v>747.20827449845297</v>
      </c>
      <c r="H2035">
        <v>137.99966503195401</v>
      </c>
      <c r="I2035" s="1">
        <f t="shared" si="63"/>
        <v>127.82192456407191</v>
      </c>
    </row>
    <row r="2036" spans="1:9" x14ac:dyDescent="0.45">
      <c r="A2036" t="s">
        <v>69</v>
      </c>
      <c r="B2036" t="s">
        <v>36</v>
      </c>
      <c r="C2036" t="str">
        <f t="shared" si="62"/>
        <v>VanderbiltMarquette</v>
      </c>
      <c r="D2036" t="s">
        <v>36</v>
      </c>
      <c r="E2036">
        <v>2.8</v>
      </c>
      <c r="F2036">
        <v>23.3056603773585</v>
      </c>
      <c r="G2036">
        <v>3499.70680319747</v>
      </c>
      <c r="H2036">
        <v>136.57423552055201</v>
      </c>
      <c r="I2036" s="1">
        <f t="shared" si="63"/>
        <v>107.7503297042215</v>
      </c>
    </row>
    <row r="2037" spans="1:9" x14ac:dyDescent="0.45">
      <c r="A2037" t="s">
        <v>70</v>
      </c>
      <c r="B2037" t="s">
        <v>36</v>
      </c>
      <c r="C2037" t="str">
        <f t="shared" si="62"/>
        <v>VCUMarquette</v>
      </c>
      <c r="D2037" t="s">
        <v>36</v>
      </c>
      <c r="E2037">
        <v>8.1</v>
      </c>
      <c r="F2037">
        <v>15.9584905660377</v>
      </c>
      <c r="G2037">
        <v>1141.0419183547101</v>
      </c>
      <c r="H2037">
        <v>138.41914668242799</v>
      </c>
      <c r="I2037" s="1">
        <f t="shared" si="63"/>
        <v>133.72868156054653</v>
      </c>
    </row>
    <row r="2038" spans="1:9" x14ac:dyDescent="0.45">
      <c r="A2038" t="s">
        <v>71</v>
      </c>
      <c r="B2038" t="s">
        <v>36</v>
      </c>
      <c r="C2038" t="str">
        <f t="shared" si="62"/>
        <v>WisconsinMarquette</v>
      </c>
      <c r="D2038" t="s">
        <v>71</v>
      </c>
      <c r="E2038">
        <v>51.9</v>
      </c>
      <c r="F2038">
        <v>-0.50188679245282997</v>
      </c>
      <c r="G2038">
        <v>-107.978982442343</v>
      </c>
      <c r="H2038">
        <v>139.21982553769499</v>
      </c>
      <c r="I2038" s="1">
        <f t="shared" si="63"/>
        <v>145.0031089995864</v>
      </c>
    </row>
    <row r="2039" spans="1:9" x14ac:dyDescent="0.45">
      <c r="A2039" t="s">
        <v>80</v>
      </c>
      <c r="B2039" t="s">
        <v>36</v>
      </c>
      <c r="C2039" t="str">
        <f t="shared" si="62"/>
        <v>WoffordMarquette</v>
      </c>
      <c r="D2039" t="s">
        <v>36</v>
      </c>
      <c r="E2039">
        <v>0.9</v>
      </c>
      <c r="F2039">
        <v>30.883018867924498</v>
      </c>
      <c r="G2039">
        <v>11115.6752944378</v>
      </c>
      <c r="H2039">
        <v>137.24928127678999</v>
      </c>
      <c r="I2039" s="1">
        <f t="shared" si="63"/>
        <v>117.2557067310683</v>
      </c>
    </row>
    <row r="2040" spans="1:9" x14ac:dyDescent="0.45">
      <c r="A2040" t="s">
        <v>72</v>
      </c>
      <c r="B2040" t="s">
        <v>36</v>
      </c>
      <c r="C2040" t="str">
        <f t="shared" si="62"/>
        <v>XavierMarquette</v>
      </c>
      <c r="D2040" t="s">
        <v>36</v>
      </c>
      <c r="E2040">
        <v>8</v>
      </c>
      <c r="F2040">
        <v>16.033962264150901</v>
      </c>
      <c r="G2040">
        <v>1154.399972937</v>
      </c>
      <c r="H2040">
        <v>137.825194846941</v>
      </c>
      <c r="I2040" s="1">
        <f t="shared" si="63"/>
        <v>125.36519496734854</v>
      </c>
    </row>
    <row r="2041" spans="1:9" x14ac:dyDescent="0.45">
      <c r="A2041" t="s">
        <v>73</v>
      </c>
      <c r="B2041" t="s">
        <v>36</v>
      </c>
      <c r="C2041" t="str">
        <f t="shared" si="62"/>
        <v>YaleMarquette</v>
      </c>
      <c r="D2041" t="s">
        <v>36</v>
      </c>
      <c r="E2041">
        <v>4.5999999999999996</v>
      </c>
      <c r="F2041">
        <v>19.860377358490599</v>
      </c>
      <c r="G2041">
        <v>2068.5588836294801</v>
      </c>
      <c r="H2041">
        <v>138.624429481004</v>
      </c>
      <c r="I2041" s="1">
        <f t="shared" si="63"/>
        <v>136.61928620409799</v>
      </c>
    </row>
    <row r="2042" spans="1:9" x14ac:dyDescent="0.45">
      <c r="A2042" t="s">
        <v>7</v>
      </c>
      <c r="B2042" t="s">
        <v>37</v>
      </c>
      <c r="C2042" t="str">
        <f t="shared" si="62"/>
        <v>AkronMaryland</v>
      </c>
      <c r="D2042" t="s">
        <v>37</v>
      </c>
      <c r="E2042">
        <v>3.5</v>
      </c>
      <c r="F2042">
        <v>21.7094339622641</v>
      </c>
      <c r="G2042">
        <v>2743.41379338972</v>
      </c>
      <c r="H2042">
        <v>137.79695562476999</v>
      </c>
      <c r="I2042" s="1">
        <f t="shared" si="63"/>
        <v>124.96755606480026</v>
      </c>
    </row>
    <row r="2043" spans="1:9" x14ac:dyDescent="0.45">
      <c r="A2043" t="s">
        <v>8</v>
      </c>
      <c r="B2043" t="s">
        <v>37</v>
      </c>
      <c r="C2043" t="str">
        <f t="shared" si="62"/>
        <v>AlabamaMaryland</v>
      </c>
      <c r="D2043" t="s">
        <v>8</v>
      </c>
      <c r="E2043">
        <v>72.8</v>
      </c>
      <c r="F2043">
        <v>-6.4641509433962296</v>
      </c>
      <c r="G2043">
        <v>-268.06021096562102</v>
      </c>
      <c r="H2043">
        <v>139.54505163690999</v>
      </c>
      <c r="I2043" s="1">
        <f t="shared" si="63"/>
        <v>149.58264551758126</v>
      </c>
    </row>
    <row r="2044" spans="1:9" x14ac:dyDescent="0.45">
      <c r="A2044" t="s">
        <v>9</v>
      </c>
      <c r="B2044" t="s">
        <v>37</v>
      </c>
      <c r="C2044" t="str">
        <f t="shared" si="62"/>
        <v>Alabama St.Maryland</v>
      </c>
      <c r="D2044" t="s">
        <v>37</v>
      </c>
      <c r="E2044">
        <v>0.6</v>
      </c>
      <c r="F2044">
        <v>33.849056603773597</v>
      </c>
      <c r="G2044">
        <v>17480.548077564399</v>
      </c>
      <c r="H2044">
        <v>138.023796480584</v>
      </c>
      <c r="I2044" s="1">
        <f t="shared" si="63"/>
        <v>128.16172155607188</v>
      </c>
    </row>
    <row r="2045" spans="1:9" x14ac:dyDescent="0.45">
      <c r="A2045" t="s">
        <v>10</v>
      </c>
      <c r="B2045" t="s">
        <v>37</v>
      </c>
      <c r="C2045" t="str">
        <f t="shared" si="62"/>
        <v>AmericanMaryland</v>
      </c>
      <c r="D2045" t="s">
        <v>37</v>
      </c>
      <c r="E2045">
        <v>0.7</v>
      </c>
      <c r="F2045">
        <v>32.584905660377402</v>
      </c>
      <c r="G2045">
        <v>14416.419964151</v>
      </c>
      <c r="H2045">
        <v>138.11488236218801</v>
      </c>
      <c r="I2045" s="1">
        <f t="shared" si="63"/>
        <v>129.4443096450542</v>
      </c>
    </row>
    <row r="2046" spans="1:9" x14ac:dyDescent="0.45">
      <c r="A2046" t="s">
        <v>11</v>
      </c>
      <c r="B2046" t="s">
        <v>37</v>
      </c>
      <c r="C2046" t="str">
        <f t="shared" si="62"/>
        <v>ArizonaMaryland</v>
      </c>
      <c r="D2046" t="s">
        <v>11</v>
      </c>
      <c r="E2046">
        <v>65.599999999999994</v>
      </c>
      <c r="F2046">
        <v>-4.2226415094339602</v>
      </c>
      <c r="G2046">
        <v>-190.455774892118</v>
      </c>
      <c r="H2046">
        <v>139.3074104559</v>
      </c>
      <c r="I2046" s="1">
        <f t="shared" si="63"/>
        <v>146.23639972352757</v>
      </c>
    </row>
    <row r="2047" spans="1:9" x14ac:dyDescent="0.45">
      <c r="A2047" t="s">
        <v>12</v>
      </c>
      <c r="B2047" t="s">
        <v>37</v>
      </c>
      <c r="C2047" t="str">
        <f t="shared" si="62"/>
        <v>ArkansasMaryland</v>
      </c>
      <c r="D2047" t="s">
        <v>37</v>
      </c>
      <c r="E2047">
        <v>10.3</v>
      </c>
      <c r="F2047">
        <v>14.1698113207547</v>
      </c>
      <c r="G2047">
        <v>868.34837325431795</v>
      </c>
      <c r="H2047">
        <v>137.425014289758</v>
      </c>
      <c r="I2047" s="1">
        <f t="shared" si="63"/>
        <v>119.73021831622935</v>
      </c>
    </row>
    <row r="2048" spans="1:9" x14ac:dyDescent="0.45">
      <c r="A2048" t="s">
        <v>13</v>
      </c>
      <c r="B2048" t="s">
        <v>37</v>
      </c>
      <c r="C2048" t="str">
        <f t="shared" si="62"/>
        <v>AuburnMaryland</v>
      </c>
      <c r="D2048" t="s">
        <v>13</v>
      </c>
      <c r="E2048">
        <v>84</v>
      </c>
      <c r="F2048">
        <v>-10.8754716981132</v>
      </c>
      <c r="G2048">
        <v>-525.33178195552705</v>
      </c>
      <c r="H2048">
        <v>140.56373369501901</v>
      </c>
      <c r="I2048" s="1">
        <f t="shared" si="63"/>
        <v>163.92679470055441</v>
      </c>
    </row>
    <row r="2049" spans="1:9" x14ac:dyDescent="0.45">
      <c r="A2049" t="s">
        <v>14</v>
      </c>
      <c r="B2049" t="s">
        <v>37</v>
      </c>
      <c r="C2049" t="str">
        <f t="shared" si="62"/>
        <v>BaylorMaryland</v>
      </c>
      <c r="D2049" t="s">
        <v>37</v>
      </c>
      <c r="E2049">
        <v>35.700000000000003</v>
      </c>
      <c r="F2049">
        <v>3.8566037735849101</v>
      </c>
      <c r="G2049">
        <v>180.11671718265299</v>
      </c>
      <c r="H2049">
        <v>139.09873170774401</v>
      </c>
      <c r="I2049" s="1">
        <f t="shared" si="63"/>
        <v>143.29797642350195</v>
      </c>
    </row>
    <row r="2050" spans="1:9" x14ac:dyDescent="0.45">
      <c r="A2050" t="s">
        <v>15</v>
      </c>
      <c r="B2050" t="s">
        <v>37</v>
      </c>
      <c r="C2050" t="str">
        <f t="shared" si="62"/>
        <v>BryantMaryland</v>
      </c>
      <c r="D2050" t="s">
        <v>37</v>
      </c>
      <c r="E2050">
        <v>2.5</v>
      </c>
      <c r="F2050">
        <v>24.143396226415099</v>
      </c>
      <c r="G2050">
        <v>3976.4375634901699</v>
      </c>
      <c r="H2050">
        <v>138.64772945763801</v>
      </c>
      <c r="I2050" s="1">
        <f t="shared" si="63"/>
        <v>136.94737516781095</v>
      </c>
    </row>
    <row r="2051" spans="1:9" x14ac:dyDescent="0.45">
      <c r="A2051" t="s">
        <v>16</v>
      </c>
      <c r="B2051" t="s">
        <v>37</v>
      </c>
      <c r="C2051" t="str">
        <f t="shared" ref="C2051:C2114" si="64">A2051&amp;B2051</f>
        <v>BYUMaryland</v>
      </c>
      <c r="D2051" t="s">
        <v>37</v>
      </c>
      <c r="E2051">
        <v>40.299999999999997</v>
      </c>
      <c r="F2051">
        <v>2.5622641509433999</v>
      </c>
      <c r="G2051">
        <v>147.84867602916199</v>
      </c>
      <c r="H2051">
        <v>138.90824993586199</v>
      </c>
      <c r="I2051" s="1">
        <f t="shared" ref="I2051:I2114" si="65">18*(H2051-AVERAGE($H$2:$H$4625))/_xlfn.STDEV.P($H$2:$H$4625)+AVERAGE($H$2:$H$4625)</f>
        <v>140.61578630268573</v>
      </c>
    </row>
    <row r="2052" spans="1:9" x14ac:dyDescent="0.45">
      <c r="A2052" t="s">
        <v>17</v>
      </c>
      <c r="B2052" t="s">
        <v>37</v>
      </c>
      <c r="C2052" t="str">
        <f t="shared" si="64"/>
        <v>ClemsonMaryland</v>
      </c>
      <c r="D2052" t="s">
        <v>37</v>
      </c>
      <c r="E2052">
        <v>46.4</v>
      </c>
      <c r="F2052">
        <v>0.93962264150943398</v>
      </c>
      <c r="G2052">
        <v>115.389399636109</v>
      </c>
      <c r="H2052">
        <v>139.13016179215299</v>
      </c>
      <c r="I2052" s="1">
        <f t="shared" si="65"/>
        <v>143.74054613012146</v>
      </c>
    </row>
    <row r="2053" spans="1:9" x14ac:dyDescent="0.45">
      <c r="A2053" t="s">
        <v>18</v>
      </c>
      <c r="B2053" t="s">
        <v>37</v>
      </c>
      <c r="C2053" t="str">
        <f t="shared" si="64"/>
        <v>Colorado St.Maryland</v>
      </c>
      <c r="D2053" t="s">
        <v>37</v>
      </c>
      <c r="E2053">
        <v>12.5</v>
      </c>
      <c r="F2053">
        <v>12.777358490566</v>
      </c>
      <c r="G2053">
        <v>702.275380541706</v>
      </c>
      <c r="H2053">
        <v>138.43755364025901</v>
      </c>
      <c r="I2053" s="1">
        <f t="shared" si="65"/>
        <v>133.9878715080194</v>
      </c>
    </row>
    <row r="2054" spans="1:9" x14ac:dyDescent="0.45">
      <c r="A2054" t="s">
        <v>19</v>
      </c>
      <c r="B2054" t="s">
        <v>37</v>
      </c>
      <c r="C2054" t="str">
        <f t="shared" si="64"/>
        <v>ConnecticutMaryland</v>
      </c>
      <c r="D2054" t="s">
        <v>19</v>
      </c>
      <c r="E2054">
        <v>59.5</v>
      </c>
      <c r="F2054">
        <v>-2.5245283018867899</v>
      </c>
      <c r="G2054">
        <v>-146.990611700584</v>
      </c>
      <c r="H2054">
        <v>139.07310554259499</v>
      </c>
      <c r="I2054" s="1">
        <f t="shared" si="65"/>
        <v>142.9371322003619</v>
      </c>
    </row>
    <row r="2055" spans="1:9" x14ac:dyDescent="0.45">
      <c r="A2055" t="s">
        <v>20</v>
      </c>
      <c r="B2055" t="s">
        <v>37</v>
      </c>
      <c r="C2055" t="str">
        <f t="shared" si="64"/>
        <v>CreightonMaryland</v>
      </c>
      <c r="D2055" t="s">
        <v>37</v>
      </c>
      <c r="E2055">
        <v>31.3</v>
      </c>
      <c r="F2055">
        <v>5.1660377358490601</v>
      </c>
      <c r="G2055">
        <v>219.93301603850799</v>
      </c>
      <c r="H2055">
        <v>138.546047904858</v>
      </c>
      <c r="I2055" s="1">
        <f t="shared" si="65"/>
        <v>135.51558852680515</v>
      </c>
    </row>
    <row r="2056" spans="1:9" x14ac:dyDescent="0.45">
      <c r="A2056" t="s">
        <v>21</v>
      </c>
      <c r="B2056" t="s">
        <v>37</v>
      </c>
      <c r="C2056" t="str">
        <f t="shared" si="64"/>
        <v>DrakeMaryland</v>
      </c>
      <c r="D2056" t="s">
        <v>37</v>
      </c>
      <c r="E2056">
        <v>12.4</v>
      </c>
      <c r="F2056">
        <v>12.8264150943396</v>
      </c>
      <c r="G2056">
        <v>707.72631053600401</v>
      </c>
      <c r="H2056">
        <v>138.59951300901201</v>
      </c>
      <c r="I2056" s="1">
        <f t="shared" si="65"/>
        <v>136.26843523099859</v>
      </c>
    </row>
    <row r="2057" spans="1:9" x14ac:dyDescent="0.45">
      <c r="A2057" t="s">
        <v>22</v>
      </c>
      <c r="B2057" t="s">
        <v>37</v>
      </c>
      <c r="C2057" t="str">
        <f t="shared" si="64"/>
        <v>DukeMaryland</v>
      </c>
      <c r="D2057" t="s">
        <v>22</v>
      </c>
      <c r="E2057">
        <v>88.5</v>
      </c>
      <c r="F2057">
        <v>-13.384905660377401</v>
      </c>
      <c r="G2057">
        <v>-770.27019781276795</v>
      </c>
      <c r="H2057">
        <v>140.88683347046901</v>
      </c>
      <c r="I2057" s="1">
        <f t="shared" si="65"/>
        <v>168.47639027176058</v>
      </c>
    </row>
    <row r="2058" spans="1:9" x14ac:dyDescent="0.45">
      <c r="A2058" t="s">
        <v>23</v>
      </c>
      <c r="B2058" t="s">
        <v>37</v>
      </c>
      <c r="C2058" t="str">
        <f t="shared" si="64"/>
        <v>FloridaMaryland</v>
      </c>
      <c r="D2058" t="s">
        <v>23</v>
      </c>
      <c r="E2058">
        <v>80.900000000000006</v>
      </c>
      <c r="F2058">
        <v>-9.48301886792453</v>
      </c>
      <c r="G2058">
        <v>-424.909527944883</v>
      </c>
      <c r="H2058">
        <v>140.61058974641099</v>
      </c>
      <c r="I2058" s="1">
        <f t="shared" si="65"/>
        <v>164.58657876756678</v>
      </c>
    </row>
    <row r="2059" spans="1:9" x14ac:dyDescent="0.45">
      <c r="A2059" t="s">
        <v>24</v>
      </c>
      <c r="B2059" t="s">
        <v>37</v>
      </c>
      <c r="C2059" t="str">
        <f t="shared" si="64"/>
        <v>GeorgiaMaryland</v>
      </c>
      <c r="D2059" t="s">
        <v>37</v>
      </c>
      <c r="E2059">
        <v>13.8</v>
      </c>
      <c r="F2059">
        <v>12.022641509433999</v>
      </c>
      <c r="G2059">
        <v>625.948009148913</v>
      </c>
      <c r="H2059">
        <v>137.75240327075599</v>
      </c>
      <c r="I2059" s="1">
        <f t="shared" si="65"/>
        <v>124.34021055759092</v>
      </c>
    </row>
    <row r="2060" spans="1:9" x14ac:dyDescent="0.45">
      <c r="A2060" t="s">
        <v>25</v>
      </c>
      <c r="B2060" t="s">
        <v>37</v>
      </c>
      <c r="C2060" t="str">
        <f t="shared" si="64"/>
        <v>GonzagaMaryland</v>
      </c>
      <c r="D2060" t="s">
        <v>37</v>
      </c>
      <c r="E2060">
        <v>47.3</v>
      </c>
      <c r="F2060">
        <v>0.69433962264150895</v>
      </c>
      <c r="G2060">
        <v>111.203128443106</v>
      </c>
      <c r="H2060">
        <v>139.890044390284</v>
      </c>
      <c r="I2060" s="1">
        <f t="shared" si="65"/>
        <v>154.44051798333143</v>
      </c>
    </row>
    <row r="2061" spans="1:9" x14ac:dyDescent="0.45">
      <c r="A2061" t="s">
        <v>26</v>
      </c>
      <c r="B2061" t="s">
        <v>37</v>
      </c>
      <c r="C2061" t="str">
        <f t="shared" si="64"/>
        <v>Grand CanyonMaryland</v>
      </c>
      <c r="D2061" t="s">
        <v>37</v>
      </c>
      <c r="E2061">
        <v>8.1</v>
      </c>
      <c r="F2061">
        <v>15.9471698113208</v>
      </c>
      <c r="G2061">
        <v>1138.67451779659</v>
      </c>
      <c r="H2061">
        <v>138.542012636588</v>
      </c>
      <c r="I2061" s="1">
        <f t="shared" si="65"/>
        <v>135.45876756917912</v>
      </c>
    </row>
    <row r="2062" spans="1:9" x14ac:dyDescent="0.45">
      <c r="A2062" t="s">
        <v>27</v>
      </c>
      <c r="B2062" t="s">
        <v>37</v>
      </c>
      <c r="C2062" t="str">
        <f t="shared" si="64"/>
        <v>High PointMaryland</v>
      </c>
      <c r="D2062" t="s">
        <v>37</v>
      </c>
      <c r="E2062">
        <v>5.4</v>
      </c>
      <c r="F2062">
        <v>18.7169811320755</v>
      </c>
      <c r="G2062">
        <v>1738.10364561812</v>
      </c>
      <c r="H2062">
        <v>138.822904384244</v>
      </c>
      <c r="I2062" s="1">
        <f t="shared" si="65"/>
        <v>139.41402829117811</v>
      </c>
    </row>
    <row r="2063" spans="1:9" x14ac:dyDescent="0.45">
      <c r="A2063" t="s">
        <v>28</v>
      </c>
      <c r="B2063" t="s">
        <v>37</v>
      </c>
      <c r="C2063" t="str">
        <f t="shared" si="64"/>
        <v>HoustonMaryland</v>
      </c>
      <c r="D2063" t="s">
        <v>28</v>
      </c>
      <c r="E2063">
        <v>92.9</v>
      </c>
      <c r="F2063">
        <v>-16.898113207547201</v>
      </c>
      <c r="G2063">
        <v>-1316.52873088567</v>
      </c>
      <c r="H2063">
        <v>141.03049782009799</v>
      </c>
      <c r="I2063" s="1">
        <f t="shared" si="65"/>
        <v>170.49934026577367</v>
      </c>
    </row>
    <row r="2064" spans="1:9" x14ac:dyDescent="0.45">
      <c r="A2064" t="s">
        <v>29</v>
      </c>
      <c r="B2064" t="s">
        <v>37</v>
      </c>
      <c r="C2064" t="str">
        <f t="shared" si="64"/>
        <v>IllinoisMaryland</v>
      </c>
      <c r="D2064" t="s">
        <v>29</v>
      </c>
      <c r="E2064">
        <v>56.8</v>
      </c>
      <c r="F2064">
        <v>-1.7849056603773601</v>
      </c>
      <c r="G2064">
        <v>-131.31903814854601</v>
      </c>
      <c r="H2064">
        <v>139.08074297403499</v>
      </c>
      <c r="I2064" s="1">
        <f t="shared" si="65"/>
        <v>143.04467552565958</v>
      </c>
    </row>
    <row r="2065" spans="1:9" x14ac:dyDescent="0.45">
      <c r="A2065" t="s">
        <v>30</v>
      </c>
      <c r="B2065" t="s">
        <v>37</v>
      </c>
      <c r="C2065" t="str">
        <f t="shared" si="64"/>
        <v>Iowa St.Maryland</v>
      </c>
      <c r="D2065" t="s">
        <v>30</v>
      </c>
      <c r="E2065">
        <v>73.400000000000006</v>
      </c>
      <c r="F2065">
        <v>-6.6679245283018904</v>
      </c>
      <c r="G2065">
        <v>-276.61012450685598</v>
      </c>
      <c r="H2065">
        <v>140.00701155239301</v>
      </c>
      <c r="I2065" s="1">
        <f t="shared" si="65"/>
        <v>156.08754259659995</v>
      </c>
    </row>
    <row r="2066" spans="1:9" x14ac:dyDescent="0.45">
      <c r="A2066" t="s">
        <v>31</v>
      </c>
      <c r="B2066" t="s">
        <v>37</v>
      </c>
      <c r="C2066" t="str">
        <f t="shared" si="64"/>
        <v>KansasMaryland</v>
      </c>
      <c r="D2066" t="s">
        <v>37</v>
      </c>
      <c r="E2066">
        <v>44.6</v>
      </c>
      <c r="F2066">
        <v>1.43396226415094</v>
      </c>
      <c r="G2066">
        <v>124.435247092547</v>
      </c>
      <c r="H2066">
        <v>138.962401836705</v>
      </c>
      <c r="I2066" s="1">
        <f t="shared" si="65"/>
        <v>141.3783038497952</v>
      </c>
    </row>
    <row r="2067" spans="1:9" x14ac:dyDescent="0.45">
      <c r="A2067" t="s">
        <v>32</v>
      </c>
      <c r="B2067" t="s">
        <v>37</v>
      </c>
      <c r="C2067" t="str">
        <f t="shared" si="64"/>
        <v>KentuckyMaryland</v>
      </c>
      <c r="D2067" t="s">
        <v>32</v>
      </c>
      <c r="E2067">
        <v>57.5</v>
      </c>
      <c r="F2067">
        <v>-1.9962264150943401</v>
      </c>
      <c r="G2067">
        <v>-135.570734663103</v>
      </c>
      <c r="H2067">
        <v>138.90943943709701</v>
      </c>
      <c r="I2067" s="1">
        <f t="shared" si="65"/>
        <v>140.63253577130806</v>
      </c>
    </row>
    <row r="2068" spans="1:9" x14ac:dyDescent="0.45">
      <c r="A2068" t="s">
        <v>33</v>
      </c>
      <c r="B2068" t="s">
        <v>37</v>
      </c>
      <c r="C2068" t="str">
        <f t="shared" si="64"/>
        <v>LibertyMaryland</v>
      </c>
      <c r="D2068" t="s">
        <v>37</v>
      </c>
      <c r="E2068">
        <v>3.6</v>
      </c>
      <c r="F2068">
        <v>21.494339622641501</v>
      </c>
      <c r="G2068">
        <v>2654.5696743385101</v>
      </c>
      <c r="H2068">
        <v>138.11837568549601</v>
      </c>
      <c r="I2068" s="1">
        <f t="shared" si="65"/>
        <v>129.49349942932039</v>
      </c>
    </row>
    <row r="2069" spans="1:9" x14ac:dyDescent="0.45">
      <c r="A2069" t="s">
        <v>34</v>
      </c>
      <c r="B2069" t="s">
        <v>37</v>
      </c>
      <c r="C2069" t="str">
        <f t="shared" si="64"/>
        <v>LipscombMaryland</v>
      </c>
      <c r="D2069" t="s">
        <v>37</v>
      </c>
      <c r="E2069">
        <v>2.8</v>
      </c>
      <c r="F2069">
        <v>23.237735849056602</v>
      </c>
      <c r="G2069">
        <v>3462.77264506028</v>
      </c>
      <c r="H2069">
        <v>138.55029591675401</v>
      </c>
      <c r="I2069" s="1">
        <f t="shared" si="65"/>
        <v>135.5754051456239</v>
      </c>
    </row>
    <row r="2070" spans="1:9" x14ac:dyDescent="0.45">
      <c r="A2070" t="s">
        <v>35</v>
      </c>
      <c r="B2070" t="s">
        <v>37</v>
      </c>
      <c r="C2070" t="str">
        <f t="shared" si="64"/>
        <v>LouisvilleMaryland</v>
      </c>
      <c r="D2070" t="s">
        <v>37</v>
      </c>
      <c r="E2070">
        <v>6.8</v>
      </c>
      <c r="F2070">
        <v>17.128301886792499</v>
      </c>
      <c r="G2070">
        <v>1363.98849317962</v>
      </c>
      <c r="H2070">
        <v>137.83601922872199</v>
      </c>
      <c r="I2070" s="1">
        <f t="shared" si="65"/>
        <v>125.51761401296149</v>
      </c>
    </row>
    <row r="2071" spans="1:9" x14ac:dyDescent="0.45">
      <c r="A2071" t="s">
        <v>36</v>
      </c>
      <c r="B2071" t="s">
        <v>37</v>
      </c>
      <c r="C2071" t="str">
        <f t="shared" si="64"/>
        <v>MarquetteMaryland</v>
      </c>
      <c r="D2071" t="s">
        <v>36</v>
      </c>
      <c r="E2071">
        <v>50.8</v>
      </c>
      <c r="F2071">
        <v>-0.21509433962264199</v>
      </c>
      <c r="G2071">
        <v>-103.346244541838</v>
      </c>
      <c r="H2071">
        <v>139.16777586362701</v>
      </c>
      <c r="I2071" s="1">
        <f t="shared" si="65"/>
        <v>144.27019308748908</v>
      </c>
    </row>
    <row r="2072" spans="1:9" x14ac:dyDescent="0.45">
      <c r="A2072" t="s">
        <v>37</v>
      </c>
      <c r="B2072" t="s">
        <v>37</v>
      </c>
      <c r="C2072" t="str">
        <f t="shared" si="64"/>
        <v>MarylandMaryland</v>
      </c>
      <c r="D2072" t="s">
        <v>37</v>
      </c>
      <c r="E2072">
        <v>41.2</v>
      </c>
      <c r="F2072">
        <v>2.3283018867924499</v>
      </c>
      <c r="G2072">
        <v>142.64273539779199</v>
      </c>
      <c r="H2072">
        <v>138.77771517530499</v>
      </c>
      <c r="I2072" s="1">
        <f t="shared" si="65"/>
        <v>138.77771517530277</v>
      </c>
    </row>
    <row r="2073" spans="1:9" x14ac:dyDescent="0.45">
      <c r="A2073" t="s">
        <v>38</v>
      </c>
      <c r="B2073" t="s">
        <v>37</v>
      </c>
      <c r="C2073" t="str">
        <f t="shared" si="64"/>
        <v>McNeese St.Maryland</v>
      </c>
      <c r="D2073" t="s">
        <v>37</v>
      </c>
      <c r="E2073">
        <v>11.1</v>
      </c>
      <c r="F2073">
        <v>13.6377358490566</v>
      </c>
      <c r="G2073">
        <v>800.569093849517</v>
      </c>
      <c r="H2073">
        <v>138.61312678950699</v>
      </c>
      <c r="I2073" s="1">
        <f t="shared" si="65"/>
        <v>136.46013203846638</v>
      </c>
    </row>
    <row r="2074" spans="1:9" x14ac:dyDescent="0.45">
      <c r="A2074" t="s">
        <v>39</v>
      </c>
      <c r="B2074" t="s">
        <v>37</v>
      </c>
      <c r="C2074" t="str">
        <f t="shared" si="64"/>
        <v>MemphisMaryland</v>
      </c>
      <c r="D2074" t="s">
        <v>37</v>
      </c>
      <c r="E2074">
        <v>26.4</v>
      </c>
      <c r="F2074">
        <v>6.7132075471698096</v>
      </c>
      <c r="G2074">
        <v>278.49420512558601</v>
      </c>
      <c r="H2074">
        <v>137.75534998832501</v>
      </c>
      <c r="I2074" s="1">
        <f t="shared" si="65"/>
        <v>124.38170353969814</v>
      </c>
    </row>
    <row r="2075" spans="1:9" x14ac:dyDescent="0.45">
      <c r="A2075" t="s">
        <v>40</v>
      </c>
      <c r="B2075" t="s">
        <v>37</v>
      </c>
      <c r="C2075" t="str">
        <f t="shared" si="64"/>
        <v>MichiganMaryland</v>
      </c>
      <c r="D2075" t="s">
        <v>37</v>
      </c>
      <c r="E2075">
        <v>15.9</v>
      </c>
      <c r="F2075">
        <v>10.9018867924528</v>
      </c>
      <c r="G2075">
        <v>527.57620845262397</v>
      </c>
      <c r="H2075">
        <v>137.41227107300799</v>
      </c>
      <c r="I2075" s="1">
        <f t="shared" si="65"/>
        <v>119.55077999130938</v>
      </c>
    </row>
    <row r="2076" spans="1:9" x14ac:dyDescent="0.45">
      <c r="A2076" t="s">
        <v>41</v>
      </c>
      <c r="B2076" t="s">
        <v>37</v>
      </c>
      <c r="C2076" t="str">
        <f t="shared" si="64"/>
        <v>Michigan St.Maryland</v>
      </c>
      <c r="D2076" t="s">
        <v>41</v>
      </c>
      <c r="E2076">
        <v>64.5</v>
      </c>
      <c r="F2076">
        <v>-3.9207547169811301</v>
      </c>
      <c r="G2076">
        <v>-181.88154421425801</v>
      </c>
      <c r="H2076">
        <v>139.11116303383699</v>
      </c>
      <c r="I2076" s="1">
        <f t="shared" si="65"/>
        <v>143.47302298940585</v>
      </c>
    </row>
    <row r="2077" spans="1:9" x14ac:dyDescent="0.45">
      <c r="A2077" t="s">
        <v>42</v>
      </c>
      <c r="B2077" t="s">
        <v>37</v>
      </c>
      <c r="C2077" t="str">
        <f t="shared" si="64"/>
        <v>MississippiMaryland</v>
      </c>
      <c r="D2077" t="s">
        <v>37</v>
      </c>
      <c r="E2077">
        <v>31.8</v>
      </c>
      <c r="F2077">
        <v>4.98867924528302</v>
      </c>
      <c r="G2077">
        <v>214.057405644618</v>
      </c>
      <c r="H2077">
        <v>138.242084138932</v>
      </c>
      <c r="I2077" s="1">
        <f t="shared" si="65"/>
        <v>131.23544874231288</v>
      </c>
    </row>
    <row r="2078" spans="1:9" x14ac:dyDescent="0.45">
      <c r="A2078" t="s">
        <v>43</v>
      </c>
      <c r="B2078" t="s">
        <v>37</v>
      </c>
      <c r="C2078" t="str">
        <f t="shared" si="64"/>
        <v>Mississippi St.Maryland</v>
      </c>
      <c r="D2078" t="s">
        <v>37</v>
      </c>
      <c r="E2078">
        <v>26.1</v>
      </c>
      <c r="F2078">
        <v>6.8377358490565996</v>
      </c>
      <c r="G2078">
        <v>283.80597828529199</v>
      </c>
      <c r="H2078">
        <v>138.366455492721</v>
      </c>
      <c r="I2078" s="1">
        <f t="shared" si="65"/>
        <v>132.98673241187061</v>
      </c>
    </row>
    <row r="2079" spans="1:9" x14ac:dyDescent="0.45">
      <c r="A2079" t="s">
        <v>44</v>
      </c>
      <c r="B2079" t="s">
        <v>37</v>
      </c>
      <c r="C2079" t="str">
        <f t="shared" si="64"/>
        <v>MissouriMaryland</v>
      </c>
      <c r="D2079" t="s">
        <v>37</v>
      </c>
      <c r="E2079">
        <v>13.4</v>
      </c>
      <c r="F2079">
        <v>12.2490566037736</v>
      </c>
      <c r="G2079">
        <v>648.06785507848599</v>
      </c>
      <c r="H2079">
        <v>137.63092742889501</v>
      </c>
      <c r="I2079" s="1">
        <f t="shared" si="65"/>
        <v>122.62969883913014</v>
      </c>
    </row>
    <row r="2080" spans="1:9" x14ac:dyDescent="0.45">
      <c r="A2080" t="s">
        <v>45</v>
      </c>
      <c r="B2080" t="s">
        <v>37</v>
      </c>
      <c r="C2080" t="str">
        <f t="shared" si="64"/>
        <v>MontanaMaryland</v>
      </c>
      <c r="D2080" t="s">
        <v>37</v>
      </c>
      <c r="E2080">
        <v>1.5</v>
      </c>
      <c r="F2080">
        <v>27.5094339622642</v>
      </c>
      <c r="G2080">
        <v>6643.7388417621296</v>
      </c>
      <c r="H2080">
        <v>136.93966215391401</v>
      </c>
      <c r="I2080" s="1">
        <f t="shared" si="65"/>
        <v>112.8959333816893</v>
      </c>
    </row>
    <row r="2081" spans="1:9" x14ac:dyDescent="0.45">
      <c r="A2081" t="s">
        <v>46</v>
      </c>
      <c r="B2081" t="s">
        <v>37</v>
      </c>
      <c r="C2081" t="str">
        <f t="shared" si="64"/>
        <v>Mount St. Mary'sMaryland</v>
      </c>
      <c r="D2081" t="s">
        <v>37</v>
      </c>
      <c r="E2081">
        <v>0.6</v>
      </c>
      <c r="F2081">
        <v>33.622641509433997</v>
      </c>
      <c r="G2081">
        <v>16889.362158368102</v>
      </c>
      <c r="H2081">
        <v>138.28753637586101</v>
      </c>
      <c r="I2081" s="1">
        <f t="shared" si="65"/>
        <v>131.8754655778109</v>
      </c>
    </row>
    <row r="2082" spans="1:9" x14ac:dyDescent="0.45">
      <c r="A2082" t="s">
        <v>47</v>
      </c>
      <c r="B2082" t="s">
        <v>37</v>
      </c>
      <c r="C2082" t="str">
        <f t="shared" si="64"/>
        <v>Nebraska OmahaMaryland</v>
      </c>
      <c r="D2082" t="s">
        <v>37</v>
      </c>
      <c r="E2082">
        <v>0.8</v>
      </c>
      <c r="F2082">
        <v>31.909433962264199</v>
      </c>
      <c r="G2082">
        <v>12999.986006008899</v>
      </c>
      <c r="H2082">
        <v>137.57153755576101</v>
      </c>
      <c r="I2082" s="1">
        <f t="shared" si="65"/>
        <v>121.79342495621397</v>
      </c>
    </row>
    <row r="2083" spans="1:9" x14ac:dyDescent="0.45">
      <c r="A2083" t="s">
        <v>48</v>
      </c>
      <c r="B2083" t="s">
        <v>37</v>
      </c>
      <c r="C2083" t="str">
        <f t="shared" si="64"/>
        <v>New MexicoMaryland</v>
      </c>
      <c r="D2083" t="s">
        <v>37</v>
      </c>
      <c r="E2083">
        <v>16.399999999999999</v>
      </c>
      <c r="F2083">
        <v>10.660377358490599</v>
      </c>
      <c r="G2083">
        <v>508.51920331722698</v>
      </c>
      <c r="H2083">
        <v>138.449281903036</v>
      </c>
      <c r="I2083" s="1">
        <f t="shared" si="65"/>
        <v>134.15301817924129</v>
      </c>
    </row>
    <row r="2084" spans="1:9" x14ac:dyDescent="0.45">
      <c r="A2084" t="s">
        <v>49</v>
      </c>
      <c r="B2084" t="s">
        <v>37</v>
      </c>
      <c r="C2084" t="str">
        <f t="shared" si="64"/>
        <v>Norfolk St.Maryland</v>
      </c>
      <c r="D2084" t="s">
        <v>37</v>
      </c>
      <c r="E2084">
        <v>1.1000000000000001</v>
      </c>
      <c r="F2084">
        <v>29.377358490565999</v>
      </c>
      <c r="G2084">
        <v>8834.0580592842107</v>
      </c>
      <c r="H2084">
        <v>137.461645565238</v>
      </c>
      <c r="I2084" s="1">
        <f t="shared" si="65"/>
        <v>120.24602643915159</v>
      </c>
    </row>
    <row r="2085" spans="1:9" x14ac:dyDescent="0.45">
      <c r="A2085" t="s">
        <v>50</v>
      </c>
      <c r="B2085" t="s">
        <v>37</v>
      </c>
      <c r="C2085" t="str">
        <f t="shared" si="64"/>
        <v>North CarolinaMaryland</v>
      </c>
      <c r="D2085" t="s">
        <v>37</v>
      </c>
      <c r="E2085">
        <v>40.1</v>
      </c>
      <c r="F2085">
        <v>2.6188679245283</v>
      </c>
      <c r="G2085">
        <v>149.14693224074301</v>
      </c>
      <c r="H2085">
        <v>139.53357699719399</v>
      </c>
      <c r="I2085" s="1">
        <f t="shared" si="65"/>
        <v>149.42107013437217</v>
      </c>
    </row>
    <row r="2086" spans="1:9" x14ac:dyDescent="0.45">
      <c r="A2086" t="s">
        <v>51</v>
      </c>
      <c r="B2086" t="s">
        <v>37</v>
      </c>
      <c r="C2086" t="str">
        <f t="shared" si="64"/>
        <v>OklahomaMaryland</v>
      </c>
      <c r="D2086" t="s">
        <v>37</v>
      </c>
      <c r="E2086">
        <v>18</v>
      </c>
      <c r="F2086">
        <v>9.9245283018867898</v>
      </c>
      <c r="G2086">
        <v>454.59310768555599</v>
      </c>
      <c r="H2086">
        <v>137.876180292698</v>
      </c>
      <c r="I2086" s="1">
        <f t="shared" si="65"/>
        <v>126.08312538958086</v>
      </c>
    </row>
    <row r="2087" spans="1:9" x14ac:dyDescent="0.45">
      <c r="A2087" t="s">
        <v>52</v>
      </c>
      <c r="B2087" t="s">
        <v>37</v>
      </c>
      <c r="C2087" t="str">
        <f t="shared" si="64"/>
        <v>OregonMaryland</v>
      </c>
      <c r="D2087" t="s">
        <v>37</v>
      </c>
      <c r="E2087">
        <v>42.1</v>
      </c>
      <c r="F2087">
        <v>2.1018867924528299</v>
      </c>
      <c r="G2087">
        <v>137.78388949139</v>
      </c>
      <c r="H2087">
        <v>138.470558080839</v>
      </c>
      <c r="I2087" s="1">
        <f t="shared" si="65"/>
        <v>134.45260985852957</v>
      </c>
    </row>
    <row r="2088" spans="1:9" x14ac:dyDescent="0.45">
      <c r="A2088" t="s">
        <v>53</v>
      </c>
      <c r="B2088" t="s">
        <v>37</v>
      </c>
      <c r="C2088" t="str">
        <f t="shared" si="64"/>
        <v>PurdueMaryland</v>
      </c>
      <c r="D2088" t="s">
        <v>53</v>
      </c>
      <c r="E2088">
        <v>79.3</v>
      </c>
      <c r="F2088">
        <v>-8.8075471698113201</v>
      </c>
      <c r="G2088">
        <v>-383.36214834131403</v>
      </c>
      <c r="H2088">
        <v>139.818545409628</v>
      </c>
      <c r="I2088" s="1">
        <f t="shared" si="65"/>
        <v>153.43373472176694</v>
      </c>
    </row>
    <row r="2089" spans="1:9" x14ac:dyDescent="0.45">
      <c r="A2089" t="s">
        <v>54</v>
      </c>
      <c r="B2089" t="s">
        <v>37</v>
      </c>
      <c r="C2089" t="str">
        <f t="shared" si="64"/>
        <v>Robert MorrisMaryland</v>
      </c>
      <c r="D2089" t="s">
        <v>37</v>
      </c>
      <c r="E2089">
        <v>0.5</v>
      </c>
      <c r="F2089">
        <v>35.132075471698101</v>
      </c>
      <c r="G2089">
        <v>21260.415672148702</v>
      </c>
      <c r="H2089">
        <v>136.877182258391</v>
      </c>
      <c r="I2089" s="1">
        <f t="shared" si="65"/>
        <v>112.01614862923935</v>
      </c>
    </row>
    <row r="2090" spans="1:9" x14ac:dyDescent="0.45">
      <c r="A2090" t="s">
        <v>55</v>
      </c>
      <c r="B2090" t="s">
        <v>37</v>
      </c>
      <c r="C2090" t="str">
        <f t="shared" si="64"/>
        <v>Saint FrancisMaryland</v>
      </c>
      <c r="D2090" t="s">
        <v>37</v>
      </c>
      <c r="E2090">
        <v>0.3</v>
      </c>
      <c r="F2090">
        <v>37.860377358490602</v>
      </c>
      <c r="G2090">
        <v>32224.535935266598</v>
      </c>
      <c r="H2090">
        <v>137.93003779159801</v>
      </c>
      <c r="I2090" s="1">
        <f t="shared" si="65"/>
        <v>126.8414974377523</v>
      </c>
    </row>
    <row r="2091" spans="1:9" x14ac:dyDescent="0.45">
      <c r="A2091" t="s">
        <v>56</v>
      </c>
      <c r="B2091" t="s">
        <v>37</v>
      </c>
      <c r="C2091" t="str">
        <f t="shared" si="64"/>
        <v>Saint Mary'sMaryland</v>
      </c>
      <c r="D2091" t="s">
        <v>37</v>
      </c>
      <c r="E2091">
        <v>38.200000000000003</v>
      </c>
      <c r="F2091">
        <v>3.1433962264150899</v>
      </c>
      <c r="G2091">
        <v>161.54852486788201</v>
      </c>
      <c r="H2091">
        <v>139.18129299268799</v>
      </c>
      <c r="I2091" s="1">
        <f t="shared" si="65"/>
        <v>144.46052893784852</v>
      </c>
    </row>
    <row r="2092" spans="1:9" x14ac:dyDescent="0.45">
      <c r="A2092" t="s">
        <v>57</v>
      </c>
      <c r="B2092" t="s">
        <v>37</v>
      </c>
      <c r="C2092" t="str">
        <f t="shared" si="64"/>
        <v>San Diego St.Maryland</v>
      </c>
      <c r="D2092" t="s">
        <v>37</v>
      </c>
      <c r="E2092">
        <v>15.3</v>
      </c>
      <c r="F2092">
        <v>11.2377358490566</v>
      </c>
      <c r="G2092">
        <v>555.19312907358903</v>
      </c>
      <c r="H2092">
        <v>138.32754787248601</v>
      </c>
      <c r="I2092" s="1">
        <f t="shared" si="65"/>
        <v>132.43887088376908</v>
      </c>
    </row>
    <row r="2093" spans="1:9" x14ac:dyDescent="0.45">
      <c r="A2093" t="s">
        <v>58</v>
      </c>
      <c r="B2093" t="s">
        <v>37</v>
      </c>
      <c r="C2093" t="str">
        <f t="shared" si="64"/>
        <v>SIU EdwardsvilleMaryland</v>
      </c>
      <c r="D2093" t="s">
        <v>37</v>
      </c>
      <c r="E2093">
        <v>0.9</v>
      </c>
      <c r="F2093">
        <v>30.833962264150902</v>
      </c>
      <c r="G2093">
        <v>11036.2378487032</v>
      </c>
      <c r="H2093">
        <v>138.47523563933399</v>
      </c>
      <c r="I2093" s="1">
        <f t="shared" si="65"/>
        <v>134.5184749597455</v>
      </c>
    </row>
    <row r="2094" spans="1:9" x14ac:dyDescent="0.45">
      <c r="A2094" t="s">
        <v>59</v>
      </c>
      <c r="B2094" t="s">
        <v>37</v>
      </c>
      <c r="C2094" t="str">
        <f t="shared" si="64"/>
        <v>St. John'sMaryland</v>
      </c>
      <c r="D2094" t="s">
        <v>59</v>
      </c>
      <c r="E2094">
        <v>65.900000000000006</v>
      </c>
      <c r="F2094">
        <v>-4.3245283018867902</v>
      </c>
      <c r="G2094">
        <v>-193.368823972879</v>
      </c>
      <c r="H2094">
        <v>139.45291841187901</v>
      </c>
      <c r="I2094" s="1">
        <f t="shared" si="65"/>
        <v>148.28530969622986</v>
      </c>
    </row>
    <row r="2095" spans="1:9" x14ac:dyDescent="0.45">
      <c r="A2095" t="s">
        <v>60</v>
      </c>
      <c r="B2095" t="s">
        <v>37</v>
      </c>
      <c r="C2095" t="str">
        <f t="shared" si="64"/>
        <v>TennesseeMaryland</v>
      </c>
      <c r="D2095" t="s">
        <v>60</v>
      </c>
      <c r="E2095">
        <v>79.5</v>
      </c>
      <c r="F2095">
        <v>-8.8679245283018897</v>
      </c>
      <c r="G2095">
        <v>-386.83512736262003</v>
      </c>
      <c r="H2095">
        <v>140.04690128857001</v>
      </c>
      <c r="I2095" s="1">
        <f t="shared" si="65"/>
        <v>156.64923338327634</v>
      </c>
    </row>
    <row r="2096" spans="1:9" x14ac:dyDescent="0.45">
      <c r="A2096" t="s">
        <v>61</v>
      </c>
      <c r="B2096" t="s">
        <v>37</v>
      </c>
      <c r="C2096" t="str">
        <f t="shared" si="64"/>
        <v>TexasMaryland</v>
      </c>
      <c r="D2096" t="s">
        <v>37</v>
      </c>
      <c r="E2096">
        <v>13.7</v>
      </c>
      <c r="F2096">
        <v>12.086792452830201</v>
      </c>
      <c r="G2096">
        <v>631.88902254037396</v>
      </c>
      <c r="H2096">
        <v>137.802615819642</v>
      </c>
      <c r="I2096" s="1">
        <f t="shared" si="65"/>
        <v>125.04725775288092</v>
      </c>
    </row>
    <row r="2097" spans="1:9" x14ac:dyDescent="0.45">
      <c r="A2097" t="s">
        <v>62</v>
      </c>
      <c r="B2097" t="s">
        <v>37</v>
      </c>
      <c r="C2097" t="str">
        <f t="shared" si="64"/>
        <v>Texas A&amp;MMaryland</v>
      </c>
      <c r="D2097" t="s">
        <v>37</v>
      </c>
      <c r="E2097">
        <v>47.8</v>
      </c>
      <c r="F2097">
        <v>0.58867924528301896</v>
      </c>
      <c r="G2097">
        <v>109.405697062458</v>
      </c>
      <c r="H2097">
        <v>138.60041484723601</v>
      </c>
      <c r="I2097" s="1">
        <f t="shared" si="65"/>
        <v>136.28113409216036</v>
      </c>
    </row>
    <row r="2098" spans="1:9" x14ac:dyDescent="0.45">
      <c r="A2098" t="s">
        <v>63</v>
      </c>
      <c r="B2098" t="s">
        <v>37</v>
      </c>
      <c r="C2098" t="str">
        <f t="shared" si="64"/>
        <v>Texas TechMaryland</v>
      </c>
      <c r="D2098" t="s">
        <v>63</v>
      </c>
      <c r="E2098">
        <v>64.3</v>
      </c>
      <c r="F2098">
        <v>-3.86415094339623</v>
      </c>
      <c r="G2098">
        <v>-180.25054870424401</v>
      </c>
      <c r="H2098">
        <v>139.64019896630001</v>
      </c>
      <c r="I2098" s="1">
        <f t="shared" si="65"/>
        <v>150.92242320019341</v>
      </c>
    </row>
    <row r="2099" spans="1:9" x14ac:dyDescent="0.45">
      <c r="A2099" t="s">
        <v>64</v>
      </c>
      <c r="B2099" t="s">
        <v>37</v>
      </c>
      <c r="C2099" t="str">
        <f t="shared" si="64"/>
        <v>TroyMaryland</v>
      </c>
      <c r="D2099" t="s">
        <v>37</v>
      </c>
      <c r="E2099">
        <v>2.5</v>
      </c>
      <c r="F2099">
        <v>24.083018867924501</v>
      </c>
      <c r="G2099">
        <v>3940.7992293571601</v>
      </c>
      <c r="H2099">
        <v>138.343763386029</v>
      </c>
      <c r="I2099" s="1">
        <f t="shared" si="65"/>
        <v>132.667202916799</v>
      </c>
    </row>
    <row r="2100" spans="1:9" x14ac:dyDescent="0.45">
      <c r="A2100" t="s">
        <v>65</v>
      </c>
      <c r="B2100" t="s">
        <v>37</v>
      </c>
      <c r="C2100" t="str">
        <f t="shared" si="64"/>
        <v>UC San DiegoMaryland</v>
      </c>
      <c r="D2100" t="s">
        <v>37</v>
      </c>
      <c r="E2100">
        <v>6.1</v>
      </c>
      <c r="F2100">
        <v>17.924528301886799</v>
      </c>
      <c r="G2100">
        <v>1539.7071643553199</v>
      </c>
      <c r="H2100">
        <v>138.43188512942001</v>
      </c>
      <c r="I2100" s="1">
        <f t="shared" si="65"/>
        <v>133.90805272209627</v>
      </c>
    </row>
    <row r="2101" spans="1:9" x14ac:dyDescent="0.45">
      <c r="A2101" t="s">
        <v>66</v>
      </c>
      <c r="B2101" t="s">
        <v>37</v>
      </c>
      <c r="C2101" t="str">
        <f t="shared" si="64"/>
        <v>UCLAMaryland</v>
      </c>
      <c r="D2101" t="s">
        <v>37</v>
      </c>
      <c r="E2101">
        <v>20.5</v>
      </c>
      <c r="F2101">
        <v>8.8792452830188697</v>
      </c>
      <c r="G2101">
        <v>387.467576985211</v>
      </c>
      <c r="H2101">
        <v>137.90333964252901</v>
      </c>
      <c r="I2101" s="1">
        <f t="shared" si="65"/>
        <v>126.46555851735356</v>
      </c>
    </row>
    <row r="2102" spans="1:9" x14ac:dyDescent="0.45">
      <c r="A2102" t="s">
        <v>67</v>
      </c>
      <c r="B2102" t="s">
        <v>37</v>
      </c>
      <c r="C2102" t="str">
        <f t="shared" si="64"/>
        <v>UNC WilmingtonMaryland</v>
      </c>
      <c r="D2102" t="s">
        <v>37</v>
      </c>
      <c r="E2102">
        <v>3.7</v>
      </c>
      <c r="F2102">
        <v>21.2830188679245</v>
      </c>
      <c r="G2102">
        <v>2570.8475284487599</v>
      </c>
      <c r="H2102">
        <v>139.018355316449</v>
      </c>
      <c r="I2102" s="1">
        <f t="shared" si="65"/>
        <v>142.16618958348951</v>
      </c>
    </row>
    <row r="2103" spans="1:9" x14ac:dyDescent="0.45">
      <c r="A2103" t="s">
        <v>68</v>
      </c>
      <c r="B2103" t="s">
        <v>37</v>
      </c>
      <c r="C2103" t="str">
        <f t="shared" si="64"/>
        <v>Utah St.Maryland</v>
      </c>
      <c r="D2103" t="s">
        <v>37</v>
      </c>
      <c r="E2103">
        <v>16.5</v>
      </c>
      <c r="F2103">
        <v>10.6415094339623</v>
      </c>
      <c r="G2103">
        <v>506.870848446156</v>
      </c>
      <c r="H2103">
        <v>138.38972572027501</v>
      </c>
      <c r="I2103" s="1">
        <f t="shared" si="65"/>
        <v>133.31440247624383</v>
      </c>
    </row>
    <row r="2104" spans="1:9" x14ac:dyDescent="0.45">
      <c r="A2104" t="s">
        <v>69</v>
      </c>
      <c r="B2104" t="s">
        <v>37</v>
      </c>
      <c r="C2104" t="str">
        <f t="shared" si="64"/>
        <v>VanderbiltMaryland</v>
      </c>
      <c r="D2104" t="s">
        <v>37</v>
      </c>
      <c r="E2104">
        <v>4</v>
      </c>
      <c r="F2104">
        <v>20.762264150943398</v>
      </c>
      <c r="G2104">
        <v>2374.0360180569201</v>
      </c>
      <c r="H2104">
        <v>136.964296208874</v>
      </c>
      <c r="I2104" s="1">
        <f t="shared" si="65"/>
        <v>113.24280761640742</v>
      </c>
    </row>
    <row r="2105" spans="1:9" x14ac:dyDescent="0.45">
      <c r="A2105" t="s">
        <v>70</v>
      </c>
      <c r="B2105" t="s">
        <v>37</v>
      </c>
      <c r="C2105" t="str">
        <f t="shared" si="64"/>
        <v>VCUMaryland</v>
      </c>
      <c r="D2105" t="s">
        <v>37</v>
      </c>
      <c r="E2105">
        <v>11.4</v>
      </c>
      <c r="F2105">
        <v>13.4150943396226</v>
      </c>
      <c r="G2105">
        <v>774.02901574838199</v>
      </c>
      <c r="H2105">
        <v>138.80920737074899</v>
      </c>
      <c r="I2105" s="1">
        <f t="shared" si="65"/>
        <v>139.22115947271845</v>
      </c>
    </row>
    <row r="2106" spans="1:9" x14ac:dyDescent="0.45">
      <c r="A2106" t="s">
        <v>71</v>
      </c>
      <c r="B2106" t="s">
        <v>37</v>
      </c>
      <c r="C2106" t="str">
        <f t="shared" si="64"/>
        <v>WisconsinMaryland</v>
      </c>
      <c r="D2106" t="s">
        <v>71</v>
      </c>
      <c r="E2106">
        <v>61.4</v>
      </c>
      <c r="F2106">
        <v>-3.0490566037735798</v>
      </c>
      <c r="G2106">
        <v>-159.17819973308801</v>
      </c>
      <c r="H2106">
        <v>139.60988622601599</v>
      </c>
      <c r="I2106" s="1">
        <f t="shared" si="65"/>
        <v>150.49558691175832</v>
      </c>
    </row>
    <row r="2107" spans="1:9" x14ac:dyDescent="0.45">
      <c r="A2107" t="s">
        <v>80</v>
      </c>
      <c r="B2107" t="s">
        <v>37</v>
      </c>
      <c r="C2107" t="str">
        <f t="shared" si="64"/>
        <v>WoffordMaryland</v>
      </c>
      <c r="D2107" t="s">
        <v>37</v>
      </c>
      <c r="E2107">
        <v>1.3</v>
      </c>
      <c r="F2107">
        <v>28.339622641509401</v>
      </c>
      <c r="G2107">
        <v>7540.3498058496598</v>
      </c>
      <c r="H2107">
        <v>137.63934196511099</v>
      </c>
      <c r="I2107" s="1">
        <f t="shared" si="65"/>
        <v>122.74818464324021</v>
      </c>
    </row>
    <row r="2108" spans="1:9" x14ac:dyDescent="0.45">
      <c r="A2108" t="s">
        <v>72</v>
      </c>
      <c r="B2108" t="s">
        <v>37</v>
      </c>
      <c r="C2108" t="str">
        <f t="shared" si="64"/>
        <v>XavierMaryland</v>
      </c>
      <c r="D2108" t="s">
        <v>37</v>
      </c>
      <c r="E2108">
        <v>11.3</v>
      </c>
      <c r="F2108">
        <v>13.4905660377358</v>
      </c>
      <c r="G2108">
        <v>783.09048989260202</v>
      </c>
      <c r="H2108">
        <v>138.215255535262</v>
      </c>
      <c r="I2108" s="1">
        <f t="shared" si="65"/>
        <v>130.85767287952046</v>
      </c>
    </row>
    <row r="2109" spans="1:9" x14ac:dyDescent="0.45">
      <c r="A2109" t="s">
        <v>73</v>
      </c>
      <c r="B2109" t="s">
        <v>37</v>
      </c>
      <c r="C2109" t="str">
        <f t="shared" si="64"/>
        <v>YaleMaryland</v>
      </c>
      <c r="D2109" t="s">
        <v>37</v>
      </c>
      <c r="E2109">
        <v>6.7</v>
      </c>
      <c r="F2109">
        <v>17.313207547169799</v>
      </c>
      <c r="G2109">
        <v>1403.2127750591201</v>
      </c>
      <c r="H2109">
        <v>139.014490169325</v>
      </c>
      <c r="I2109" s="1">
        <f t="shared" si="65"/>
        <v>142.11176411626988</v>
      </c>
    </row>
    <row r="2110" spans="1:9" x14ac:dyDescent="0.45">
      <c r="A2110" t="s">
        <v>7</v>
      </c>
      <c r="B2110" t="s">
        <v>38</v>
      </c>
      <c r="C2110" t="str">
        <f t="shared" si="64"/>
        <v>AkronMcNeese St.</v>
      </c>
      <c r="D2110" t="s">
        <v>38</v>
      </c>
      <c r="E2110">
        <v>17</v>
      </c>
      <c r="F2110">
        <v>10.4037735849057</v>
      </c>
      <c r="G2110">
        <v>488.812334654903</v>
      </c>
      <c r="H2110">
        <v>137.96154401056901</v>
      </c>
      <c r="I2110" s="1">
        <f t="shared" si="65"/>
        <v>127.28513920165103</v>
      </c>
    </row>
    <row r="2111" spans="1:9" x14ac:dyDescent="0.45">
      <c r="A2111" t="s">
        <v>8</v>
      </c>
      <c r="B2111" t="s">
        <v>38</v>
      </c>
      <c r="C2111" t="str">
        <f t="shared" si="64"/>
        <v>AlabamaMcNeese St.</v>
      </c>
      <c r="D2111" t="s">
        <v>8</v>
      </c>
      <c r="E2111">
        <v>93.8</v>
      </c>
      <c r="F2111">
        <v>-17.7735849056604</v>
      </c>
      <c r="G2111">
        <v>-1504.4630179826099</v>
      </c>
      <c r="H2111">
        <v>139.70964002270901</v>
      </c>
      <c r="I2111" s="1">
        <f t="shared" si="65"/>
        <v>151.90022865443203</v>
      </c>
    </row>
    <row r="2112" spans="1:9" x14ac:dyDescent="0.45">
      <c r="A2112" t="s">
        <v>9</v>
      </c>
      <c r="B2112" t="s">
        <v>38</v>
      </c>
      <c r="C2112" t="str">
        <f t="shared" si="64"/>
        <v>Alabama St.McNeese St.</v>
      </c>
      <c r="D2112" t="s">
        <v>38</v>
      </c>
      <c r="E2112">
        <v>3.1</v>
      </c>
      <c r="F2112">
        <v>22.543396226415101</v>
      </c>
      <c r="G2112">
        <v>3114.6258495273601</v>
      </c>
      <c r="H2112">
        <v>138.18838486638199</v>
      </c>
      <c r="I2112" s="1">
        <f t="shared" si="65"/>
        <v>130.47930469290824</v>
      </c>
    </row>
    <row r="2113" spans="1:9" x14ac:dyDescent="0.45">
      <c r="A2113" t="s">
        <v>10</v>
      </c>
      <c r="B2113" t="s">
        <v>38</v>
      </c>
      <c r="C2113" t="str">
        <f t="shared" si="64"/>
        <v>AmericanMcNeese St.</v>
      </c>
      <c r="D2113" t="s">
        <v>38</v>
      </c>
      <c r="E2113">
        <v>3.7</v>
      </c>
      <c r="F2113">
        <v>21.279245283018899</v>
      </c>
      <c r="G2113">
        <v>2568.6697052489098</v>
      </c>
      <c r="H2113">
        <v>138.27947074798701</v>
      </c>
      <c r="I2113" s="1">
        <f t="shared" si="65"/>
        <v>131.76189278190458</v>
      </c>
    </row>
    <row r="2114" spans="1:9" x14ac:dyDescent="0.45">
      <c r="A2114" t="s">
        <v>11</v>
      </c>
      <c r="B2114" t="s">
        <v>38</v>
      </c>
      <c r="C2114" t="str">
        <f t="shared" si="64"/>
        <v>ArizonaMcNeese St.</v>
      </c>
      <c r="D2114" t="s">
        <v>11</v>
      </c>
      <c r="E2114">
        <v>91.4</v>
      </c>
      <c r="F2114">
        <v>-15.5320754716981</v>
      </c>
      <c r="G2114">
        <v>-1068.9153338134299</v>
      </c>
      <c r="H2114">
        <v>139.47199884169899</v>
      </c>
      <c r="I2114" s="1">
        <f t="shared" si="65"/>
        <v>148.55398286037794</v>
      </c>
    </row>
    <row r="2115" spans="1:9" x14ac:dyDescent="0.45">
      <c r="A2115" t="s">
        <v>12</v>
      </c>
      <c r="B2115" t="s">
        <v>38</v>
      </c>
      <c r="C2115" t="str">
        <f t="shared" ref="C2115:C2178" si="66">A2115&amp;B2115</f>
        <v>ArkansasMcNeese St.</v>
      </c>
      <c r="D2115" t="s">
        <v>38</v>
      </c>
      <c r="E2115">
        <v>39.299999999999997</v>
      </c>
      <c r="F2115">
        <v>2.8603773584905698</v>
      </c>
      <c r="G2115">
        <v>154.719421709903</v>
      </c>
      <c r="H2115">
        <v>137.58960267555699</v>
      </c>
      <c r="I2115" s="1">
        <f t="shared" ref="I2115:I2178" si="67">18*(H2115-AVERAGE($H$2:$H$4625))/_xlfn.STDEV.P($H$2:$H$4625)+AVERAGE($H$2:$H$4625)</f>
        <v>122.04780145307973</v>
      </c>
    </row>
    <row r="2116" spans="1:9" x14ac:dyDescent="0.45">
      <c r="A2116" t="s">
        <v>13</v>
      </c>
      <c r="B2116" t="s">
        <v>38</v>
      </c>
      <c r="C2116" t="str">
        <f t="shared" si="66"/>
        <v>AuburnMcNeese St.</v>
      </c>
      <c r="D2116" t="s">
        <v>13</v>
      </c>
      <c r="E2116">
        <v>96.7</v>
      </c>
      <c r="F2116">
        <v>-22.181132075471702</v>
      </c>
      <c r="G2116">
        <v>-2948.3757969001899</v>
      </c>
      <c r="H2116">
        <v>140.728322080818</v>
      </c>
      <c r="I2116" s="1">
        <f t="shared" si="67"/>
        <v>166.24437783740478</v>
      </c>
    </row>
    <row r="2117" spans="1:9" x14ac:dyDescent="0.45">
      <c r="A2117" t="s">
        <v>14</v>
      </c>
      <c r="B2117" t="s">
        <v>38</v>
      </c>
      <c r="C2117" t="str">
        <f t="shared" si="66"/>
        <v>BaylorMcNeese St.</v>
      </c>
      <c r="D2117" t="s">
        <v>14</v>
      </c>
      <c r="E2117">
        <v>75.7</v>
      </c>
      <c r="F2117">
        <v>-7.4490566037735899</v>
      </c>
      <c r="G2117">
        <v>-311.59834235769398</v>
      </c>
      <c r="H2117">
        <v>139.263320093543</v>
      </c>
      <c r="I2117" s="1">
        <f t="shared" si="67"/>
        <v>145.61555956035232</v>
      </c>
    </row>
    <row r="2118" spans="1:9" x14ac:dyDescent="0.45">
      <c r="A2118" t="s">
        <v>15</v>
      </c>
      <c r="B2118" t="s">
        <v>38</v>
      </c>
      <c r="C2118" t="str">
        <f t="shared" si="66"/>
        <v>BryantMcNeese St.</v>
      </c>
      <c r="D2118" t="s">
        <v>38</v>
      </c>
      <c r="E2118">
        <v>12.4</v>
      </c>
      <c r="F2118">
        <v>12.8339622641509</v>
      </c>
      <c r="G2118">
        <v>708.50840427445496</v>
      </c>
      <c r="H2118">
        <v>138.812317843437</v>
      </c>
      <c r="I2118" s="1">
        <f t="shared" si="67"/>
        <v>139.26495830466132</v>
      </c>
    </row>
    <row r="2119" spans="1:9" x14ac:dyDescent="0.45">
      <c r="A2119" t="s">
        <v>16</v>
      </c>
      <c r="B2119" t="s">
        <v>38</v>
      </c>
      <c r="C2119" t="str">
        <f t="shared" si="66"/>
        <v>BYUMcNeese St.</v>
      </c>
      <c r="D2119" t="s">
        <v>16</v>
      </c>
      <c r="E2119">
        <v>79.099999999999994</v>
      </c>
      <c r="F2119">
        <v>-8.74339622641509</v>
      </c>
      <c r="G2119">
        <v>-379.60482306891998</v>
      </c>
      <c r="H2119">
        <v>139.07283832166101</v>
      </c>
      <c r="I2119" s="1">
        <f t="shared" si="67"/>
        <v>142.93336943953651</v>
      </c>
    </row>
    <row r="2120" spans="1:9" x14ac:dyDescent="0.45">
      <c r="A2120" t="s">
        <v>17</v>
      </c>
      <c r="B2120" t="s">
        <v>38</v>
      </c>
      <c r="C2120" t="str">
        <f t="shared" si="66"/>
        <v>ClemsonMcNeese St.</v>
      </c>
      <c r="D2120" t="s">
        <v>17</v>
      </c>
      <c r="E2120">
        <v>82.9</v>
      </c>
      <c r="F2120">
        <v>-10.3698113207547</v>
      </c>
      <c r="G2120">
        <v>-486.38844367001201</v>
      </c>
      <c r="H2120">
        <v>139.29475017795201</v>
      </c>
      <c r="I2120" s="1">
        <f t="shared" si="67"/>
        <v>146.05812926697223</v>
      </c>
    </row>
    <row r="2121" spans="1:9" x14ac:dyDescent="0.45">
      <c r="A2121" t="s">
        <v>18</v>
      </c>
      <c r="B2121" t="s">
        <v>38</v>
      </c>
      <c r="C2121" t="str">
        <f t="shared" si="66"/>
        <v>Colorado St.McNeese St.</v>
      </c>
      <c r="D2121" t="s">
        <v>38</v>
      </c>
      <c r="E2121">
        <v>44.4</v>
      </c>
      <c r="F2121">
        <v>1.46792452830189</v>
      </c>
      <c r="G2121">
        <v>125.12908886016</v>
      </c>
      <c r="H2121">
        <v>138.602142026058</v>
      </c>
      <c r="I2121" s="1">
        <f t="shared" si="67"/>
        <v>136.30545464486977</v>
      </c>
    </row>
    <row r="2122" spans="1:9" x14ac:dyDescent="0.45">
      <c r="A2122" t="s">
        <v>19</v>
      </c>
      <c r="B2122" t="s">
        <v>38</v>
      </c>
      <c r="C2122" t="str">
        <f t="shared" si="66"/>
        <v>ConnecticutMcNeese St.</v>
      </c>
      <c r="D2122" t="s">
        <v>19</v>
      </c>
      <c r="E2122">
        <v>89.2</v>
      </c>
      <c r="F2122">
        <v>-13.8339622641509</v>
      </c>
      <c r="G2122">
        <v>-824.97114546602199</v>
      </c>
      <c r="H2122">
        <v>139.23769392839401</v>
      </c>
      <c r="I2122" s="1">
        <f t="shared" si="67"/>
        <v>145.25471533721267</v>
      </c>
    </row>
    <row r="2123" spans="1:9" x14ac:dyDescent="0.45">
      <c r="A2123" t="s">
        <v>20</v>
      </c>
      <c r="B2123" t="s">
        <v>38</v>
      </c>
      <c r="C2123" t="str">
        <f t="shared" si="66"/>
        <v>CreightonMcNeese St.</v>
      </c>
      <c r="D2123" t="s">
        <v>20</v>
      </c>
      <c r="E2123">
        <v>71.8</v>
      </c>
      <c r="F2123">
        <v>-6.1396226415094297</v>
      </c>
      <c r="G2123">
        <v>-255.187108856805</v>
      </c>
      <c r="H2123">
        <v>138.71063629065699</v>
      </c>
      <c r="I2123" s="1">
        <f t="shared" si="67"/>
        <v>137.83317166365552</v>
      </c>
    </row>
    <row r="2124" spans="1:9" x14ac:dyDescent="0.45">
      <c r="A2124" t="s">
        <v>21</v>
      </c>
      <c r="B2124" t="s">
        <v>38</v>
      </c>
      <c r="C2124" t="str">
        <f t="shared" si="66"/>
        <v>DrakeMcNeese St.</v>
      </c>
      <c r="D2124" t="s">
        <v>38</v>
      </c>
      <c r="E2124">
        <v>44.2</v>
      </c>
      <c r="F2124">
        <v>1.52075471698113</v>
      </c>
      <c r="G2124">
        <v>126.100317415974</v>
      </c>
      <c r="H2124">
        <v>138.76410139481101</v>
      </c>
      <c r="I2124" s="1">
        <f t="shared" si="67"/>
        <v>138.58601836784896</v>
      </c>
    </row>
    <row r="2125" spans="1:9" x14ac:dyDescent="0.45">
      <c r="A2125" t="s">
        <v>22</v>
      </c>
      <c r="B2125" t="s">
        <v>38</v>
      </c>
      <c r="C2125" t="str">
        <f t="shared" si="66"/>
        <v>DukeMcNeese St.</v>
      </c>
      <c r="D2125" t="s">
        <v>22</v>
      </c>
      <c r="E2125">
        <v>97.7</v>
      </c>
      <c r="F2125">
        <v>-24.690566037735799</v>
      </c>
      <c r="G2125">
        <v>-4323.0698889962596</v>
      </c>
      <c r="H2125">
        <v>141.05142185626801</v>
      </c>
      <c r="I2125" s="1">
        <f t="shared" si="67"/>
        <v>170.79397340861095</v>
      </c>
    </row>
    <row r="2126" spans="1:9" x14ac:dyDescent="0.45">
      <c r="A2126" t="s">
        <v>23</v>
      </c>
      <c r="B2126" t="s">
        <v>38</v>
      </c>
      <c r="C2126" t="str">
        <f t="shared" si="66"/>
        <v>FloridaMcNeese St.</v>
      </c>
      <c r="D2126" t="s">
        <v>23</v>
      </c>
      <c r="E2126">
        <v>96</v>
      </c>
      <c r="F2126">
        <v>-20.792452830188701</v>
      </c>
      <c r="G2126">
        <v>-2384.7652304635099</v>
      </c>
      <c r="H2126">
        <v>140.77517813220999</v>
      </c>
      <c r="I2126" s="1">
        <f t="shared" si="67"/>
        <v>166.90416190441715</v>
      </c>
    </row>
    <row r="2127" spans="1:9" x14ac:dyDescent="0.45">
      <c r="A2127" t="s">
        <v>24</v>
      </c>
      <c r="B2127" t="s">
        <v>38</v>
      </c>
      <c r="C2127" t="str">
        <f t="shared" si="66"/>
        <v>GeorgiaMcNeese St.</v>
      </c>
      <c r="D2127" t="s">
        <v>38</v>
      </c>
      <c r="E2127">
        <v>47.3</v>
      </c>
      <c r="F2127">
        <v>0.71698113207547198</v>
      </c>
      <c r="G2127">
        <v>111.529331981165</v>
      </c>
      <c r="H2127">
        <v>137.91699165655399</v>
      </c>
      <c r="I2127" s="1">
        <f t="shared" si="67"/>
        <v>126.65779369442728</v>
      </c>
    </row>
    <row r="2128" spans="1:9" x14ac:dyDescent="0.45">
      <c r="A2128" t="s">
        <v>25</v>
      </c>
      <c r="B2128" t="s">
        <v>38</v>
      </c>
      <c r="C2128" t="str">
        <f t="shared" si="66"/>
        <v>GonzagaMcNeese St.</v>
      </c>
      <c r="D2128" t="s">
        <v>25</v>
      </c>
      <c r="E2128">
        <v>83.5</v>
      </c>
      <c r="F2128">
        <v>-10.611320754716999</v>
      </c>
      <c r="G2128">
        <v>-504.69866532341501</v>
      </c>
      <c r="H2128">
        <v>140.054632776083</v>
      </c>
      <c r="I2128" s="1">
        <f t="shared" si="67"/>
        <v>156.75810112018181</v>
      </c>
    </row>
    <row r="2129" spans="1:9" x14ac:dyDescent="0.45">
      <c r="A2129" t="s">
        <v>26</v>
      </c>
      <c r="B2129" t="s">
        <v>38</v>
      </c>
      <c r="C2129" t="str">
        <f t="shared" si="66"/>
        <v>Grand CanyonMcNeese St.</v>
      </c>
      <c r="D2129" t="s">
        <v>38</v>
      </c>
      <c r="E2129">
        <v>33</v>
      </c>
      <c r="F2129">
        <v>4.6377358490566003</v>
      </c>
      <c r="G2129">
        <v>202.88523400929299</v>
      </c>
      <c r="H2129">
        <v>138.70660102238699</v>
      </c>
      <c r="I2129" s="1">
        <f t="shared" si="67"/>
        <v>137.77635070602949</v>
      </c>
    </row>
    <row r="2130" spans="1:9" x14ac:dyDescent="0.45">
      <c r="A2130" t="s">
        <v>27</v>
      </c>
      <c r="B2130" t="s">
        <v>38</v>
      </c>
      <c r="C2130" t="str">
        <f t="shared" si="66"/>
        <v>High PointMcNeese St.</v>
      </c>
      <c r="D2130" t="s">
        <v>38</v>
      </c>
      <c r="E2130">
        <v>24.4</v>
      </c>
      <c r="F2130">
        <v>7.4113207547169804</v>
      </c>
      <c r="G2130">
        <v>309.68952001842598</v>
      </c>
      <c r="H2130">
        <v>138.98749277004299</v>
      </c>
      <c r="I2130" s="1">
        <f t="shared" si="67"/>
        <v>141.73161142802849</v>
      </c>
    </row>
    <row r="2131" spans="1:9" x14ac:dyDescent="0.45">
      <c r="A2131" t="s">
        <v>28</v>
      </c>
      <c r="B2131" t="s">
        <v>38</v>
      </c>
      <c r="C2131" t="str">
        <f t="shared" si="66"/>
        <v>HoustonMcNeese St.</v>
      </c>
      <c r="D2131" t="s">
        <v>28</v>
      </c>
      <c r="E2131">
        <v>98.7</v>
      </c>
      <c r="F2131">
        <v>-28.203773584905701</v>
      </c>
      <c r="G2131">
        <v>-7388.8951314117603</v>
      </c>
      <c r="H2131">
        <v>141.19508620589701</v>
      </c>
      <c r="I2131" s="1">
        <f t="shared" si="67"/>
        <v>172.81692340262444</v>
      </c>
    </row>
    <row r="2132" spans="1:9" x14ac:dyDescent="0.45">
      <c r="A2132" t="s">
        <v>29</v>
      </c>
      <c r="B2132" t="s">
        <v>38</v>
      </c>
      <c r="C2132" t="str">
        <f t="shared" si="66"/>
        <v>IllinoisMcNeese St.</v>
      </c>
      <c r="D2132" t="s">
        <v>29</v>
      </c>
      <c r="E2132">
        <v>88.1</v>
      </c>
      <c r="F2132">
        <v>-13.094339622641501</v>
      </c>
      <c r="G2132">
        <v>-737.01589557009504</v>
      </c>
      <c r="H2132">
        <v>139.24533135983401</v>
      </c>
      <c r="I2132" s="1">
        <f t="shared" si="67"/>
        <v>145.36225866251036</v>
      </c>
    </row>
    <row r="2133" spans="1:9" x14ac:dyDescent="0.45">
      <c r="A2133" t="s">
        <v>30</v>
      </c>
      <c r="B2133" t="s">
        <v>38</v>
      </c>
      <c r="C2133" t="str">
        <f t="shared" si="66"/>
        <v>Iowa St.McNeese St.</v>
      </c>
      <c r="D2133" t="s">
        <v>30</v>
      </c>
      <c r="E2133">
        <v>93.9</v>
      </c>
      <c r="F2133">
        <v>-17.977358490566001</v>
      </c>
      <c r="G2133">
        <v>-1552.4486130226301</v>
      </c>
      <c r="H2133">
        <v>140.171599938192</v>
      </c>
      <c r="I2133" s="1">
        <f t="shared" si="67"/>
        <v>158.40512573345032</v>
      </c>
    </row>
    <row r="2134" spans="1:9" x14ac:dyDescent="0.45">
      <c r="A2134" t="s">
        <v>31</v>
      </c>
      <c r="B2134" t="s">
        <v>38</v>
      </c>
      <c r="C2134" t="str">
        <f t="shared" si="66"/>
        <v>KansasMcNeese St.</v>
      </c>
      <c r="D2134" t="s">
        <v>31</v>
      </c>
      <c r="E2134">
        <v>81.900000000000006</v>
      </c>
      <c r="F2134">
        <v>-9.8754716981132091</v>
      </c>
      <c r="G2134">
        <v>-451.030329559942</v>
      </c>
      <c r="H2134">
        <v>139.12699022250399</v>
      </c>
      <c r="I2134" s="1">
        <f t="shared" si="67"/>
        <v>143.69588698664558</v>
      </c>
    </row>
    <row r="2135" spans="1:9" x14ac:dyDescent="0.45">
      <c r="A2135" t="s">
        <v>32</v>
      </c>
      <c r="B2135" t="s">
        <v>38</v>
      </c>
      <c r="C2135" t="str">
        <f t="shared" si="66"/>
        <v>KentuckyMcNeese St.</v>
      </c>
      <c r="D2135" t="s">
        <v>32</v>
      </c>
      <c r="E2135">
        <v>88.4</v>
      </c>
      <c r="F2135">
        <v>-13.3018867924528</v>
      </c>
      <c r="G2135">
        <v>-760.87814706499398</v>
      </c>
      <c r="H2135">
        <v>139.074027822896</v>
      </c>
      <c r="I2135" s="1">
        <f t="shared" si="67"/>
        <v>142.95011890815843</v>
      </c>
    </row>
    <row r="2136" spans="1:9" x14ac:dyDescent="0.45">
      <c r="A2136" t="s">
        <v>33</v>
      </c>
      <c r="B2136" t="s">
        <v>38</v>
      </c>
      <c r="C2136" t="str">
        <f t="shared" si="66"/>
        <v>LibertyMcNeese St.</v>
      </c>
      <c r="D2136" t="s">
        <v>38</v>
      </c>
      <c r="E2136">
        <v>17.5</v>
      </c>
      <c r="F2136">
        <v>10.1849056603774</v>
      </c>
      <c r="G2136">
        <v>472.98238535654298</v>
      </c>
      <c r="H2136">
        <v>138.282964071295</v>
      </c>
      <c r="I2136" s="1">
        <f t="shared" si="67"/>
        <v>131.81108256617077</v>
      </c>
    </row>
    <row r="2137" spans="1:9" x14ac:dyDescent="0.45">
      <c r="A2137" t="s">
        <v>34</v>
      </c>
      <c r="B2137" t="s">
        <v>38</v>
      </c>
      <c r="C2137" t="str">
        <f t="shared" si="66"/>
        <v>LipscombMcNeese St.</v>
      </c>
      <c r="D2137" t="s">
        <v>38</v>
      </c>
      <c r="E2137">
        <v>13.9</v>
      </c>
      <c r="F2137">
        <v>11.9283018867925</v>
      </c>
      <c r="G2137">
        <v>616.98529951606099</v>
      </c>
      <c r="H2137">
        <v>138.71488430255201</v>
      </c>
      <c r="I2137" s="1">
        <f t="shared" si="67"/>
        <v>137.89298828246027</v>
      </c>
    </row>
    <row r="2138" spans="1:9" x14ac:dyDescent="0.45">
      <c r="A2138" t="s">
        <v>35</v>
      </c>
      <c r="B2138" t="s">
        <v>38</v>
      </c>
      <c r="C2138" t="str">
        <f t="shared" si="66"/>
        <v>LouisvilleMcNeese St.</v>
      </c>
      <c r="D2138" t="s">
        <v>38</v>
      </c>
      <c r="E2138">
        <v>29.2</v>
      </c>
      <c r="F2138">
        <v>5.8226415094339599</v>
      </c>
      <c r="G2138">
        <v>243.03092788993499</v>
      </c>
      <c r="H2138">
        <v>138.00060761451999</v>
      </c>
      <c r="I2138" s="1">
        <f t="shared" si="67"/>
        <v>127.83519714979785</v>
      </c>
    </row>
    <row r="2139" spans="1:9" x14ac:dyDescent="0.45">
      <c r="A2139" t="s">
        <v>36</v>
      </c>
      <c r="B2139" t="s">
        <v>38</v>
      </c>
      <c r="C2139" t="str">
        <f t="shared" si="66"/>
        <v>MarquetteMcNeese St.</v>
      </c>
      <c r="D2139" t="s">
        <v>36</v>
      </c>
      <c r="E2139">
        <v>85.3</v>
      </c>
      <c r="F2139">
        <v>-11.5245283018868</v>
      </c>
      <c r="G2139">
        <v>-580.02119150955696</v>
      </c>
      <c r="H2139">
        <v>139.33236424942601</v>
      </c>
      <c r="I2139" s="1">
        <f t="shared" si="67"/>
        <v>146.58777622433945</v>
      </c>
    </row>
    <row r="2140" spans="1:9" x14ac:dyDescent="0.45">
      <c r="A2140" t="s">
        <v>37</v>
      </c>
      <c r="B2140" t="s">
        <v>38</v>
      </c>
      <c r="C2140" t="str">
        <f t="shared" si="66"/>
        <v>MarylandMcNeese St.</v>
      </c>
      <c r="D2140" t="s">
        <v>37</v>
      </c>
      <c r="E2140">
        <v>79.7</v>
      </c>
      <c r="F2140">
        <v>-8.9811320754717006</v>
      </c>
      <c r="G2140">
        <v>-393.45901737308498</v>
      </c>
      <c r="H2140">
        <v>138.94230356110401</v>
      </c>
      <c r="I2140" s="1">
        <f t="shared" si="67"/>
        <v>141.09529831215355</v>
      </c>
    </row>
    <row r="2141" spans="1:9" x14ac:dyDescent="0.45">
      <c r="A2141" t="s">
        <v>38</v>
      </c>
      <c r="B2141" t="s">
        <v>38</v>
      </c>
      <c r="C2141" t="str">
        <f t="shared" si="66"/>
        <v>McNeese St.McNeese St.</v>
      </c>
      <c r="D2141" t="s">
        <v>38</v>
      </c>
      <c r="E2141">
        <v>41.2</v>
      </c>
      <c r="F2141">
        <v>2.3283018867924499</v>
      </c>
      <c r="G2141">
        <v>142.64273539779199</v>
      </c>
      <c r="H2141">
        <v>138.77771517530499</v>
      </c>
      <c r="I2141" s="1">
        <f t="shared" si="67"/>
        <v>138.77771517530277</v>
      </c>
    </row>
    <row r="2142" spans="1:9" x14ac:dyDescent="0.45">
      <c r="A2142" t="s">
        <v>39</v>
      </c>
      <c r="B2142" t="s">
        <v>38</v>
      </c>
      <c r="C2142" t="str">
        <f t="shared" si="66"/>
        <v>MemphisMcNeese St.</v>
      </c>
      <c r="D2142" t="s">
        <v>39</v>
      </c>
      <c r="E2142">
        <v>66.8</v>
      </c>
      <c r="F2142">
        <v>-4.5924528301886802</v>
      </c>
      <c r="G2142">
        <v>-201.52688807192601</v>
      </c>
      <c r="H2142">
        <v>137.919938374124</v>
      </c>
      <c r="I2142" s="1">
        <f t="shared" si="67"/>
        <v>126.69928667654851</v>
      </c>
    </row>
    <row r="2143" spans="1:9" x14ac:dyDescent="0.45">
      <c r="A2143" t="s">
        <v>40</v>
      </c>
      <c r="B2143" t="s">
        <v>38</v>
      </c>
      <c r="C2143" t="str">
        <f t="shared" si="66"/>
        <v>MichiganMcNeese St.</v>
      </c>
      <c r="D2143" t="s">
        <v>40</v>
      </c>
      <c r="E2143">
        <v>51.5</v>
      </c>
      <c r="F2143">
        <v>-0.40377358490566001</v>
      </c>
      <c r="G2143">
        <v>-106.380973224012</v>
      </c>
      <c r="H2143">
        <v>137.57685945880701</v>
      </c>
      <c r="I2143" s="1">
        <f t="shared" si="67"/>
        <v>121.86836312816015</v>
      </c>
    </row>
    <row r="2144" spans="1:9" x14ac:dyDescent="0.45">
      <c r="A2144" t="s">
        <v>41</v>
      </c>
      <c r="B2144" t="s">
        <v>38</v>
      </c>
      <c r="C2144" t="str">
        <f t="shared" si="66"/>
        <v>Michigan St.McNeese St.</v>
      </c>
      <c r="D2144" t="s">
        <v>41</v>
      </c>
      <c r="E2144">
        <v>91.1</v>
      </c>
      <c r="F2144">
        <v>-15.2301886792453</v>
      </c>
      <c r="G2144">
        <v>-1020.79326110437</v>
      </c>
      <c r="H2144">
        <v>139.27575141963601</v>
      </c>
      <c r="I2144" s="1">
        <f t="shared" si="67"/>
        <v>145.79060612625662</v>
      </c>
    </row>
    <row r="2145" spans="1:9" x14ac:dyDescent="0.45">
      <c r="A2145" t="s">
        <v>42</v>
      </c>
      <c r="B2145" t="s">
        <v>38</v>
      </c>
      <c r="C2145" t="str">
        <f t="shared" si="66"/>
        <v>MississippiMcNeese St.</v>
      </c>
      <c r="D2145" t="s">
        <v>42</v>
      </c>
      <c r="E2145">
        <v>72.400000000000006</v>
      </c>
      <c r="F2145">
        <v>-6.3169811320754699</v>
      </c>
      <c r="G2145">
        <v>-262.191678610748</v>
      </c>
      <c r="H2145">
        <v>138.40667252473099</v>
      </c>
      <c r="I2145" s="1">
        <f t="shared" si="67"/>
        <v>133.55303187916326</v>
      </c>
    </row>
    <row r="2146" spans="1:9" x14ac:dyDescent="0.45">
      <c r="A2146" t="s">
        <v>43</v>
      </c>
      <c r="B2146" t="s">
        <v>38</v>
      </c>
      <c r="C2146" t="str">
        <f t="shared" si="66"/>
        <v>Mississippi St.McNeese St.</v>
      </c>
      <c r="D2146" t="s">
        <v>43</v>
      </c>
      <c r="E2146">
        <v>66.400000000000006</v>
      </c>
      <c r="F2146">
        <v>-4.47169811320755</v>
      </c>
      <c r="G2146">
        <v>-197.755067895737</v>
      </c>
      <c r="H2146">
        <v>138.53104387851999</v>
      </c>
      <c r="I2146" s="1">
        <f t="shared" si="67"/>
        <v>135.30431554872098</v>
      </c>
    </row>
    <row r="2147" spans="1:9" x14ac:dyDescent="0.45">
      <c r="A2147" t="s">
        <v>44</v>
      </c>
      <c r="B2147" t="s">
        <v>38</v>
      </c>
      <c r="C2147" t="str">
        <f t="shared" si="66"/>
        <v>MissouriMcNeese St.</v>
      </c>
      <c r="D2147" t="s">
        <v>38</v>
      </c>
      <c r="E2147">
        <v>46.4</v>
      </c>
      <c r="F2147">
        <v>0.94339622641509402</v>
      </c>
      <c r="G2147">
        <v>115.470572473975</v>
      </c>
      <c r="H2147">
        <v>137.795515814694</v>
      </c>
      <c r="I2147" s="1">
        <f t="shared" si="67"/>
        <v>124.94728197598052</v>
      </c>
    </row>
    <row r="2148" spans="1:9" x14ac:dyDescent="0.45">
      <c r="A2148" t="s">
        <v>45</v>
      </c>
      <c r="B2148" t="s">
        <v>38</v>
      </c>
      <c r="C2148" t="str">
        <f t="shared" si="66"/>
        <v>MontanaMcNeese St.</v>
      </c>
      <c r="D2148" t="s">
        <v>38</v>
      </c>
      <c r="E2148">
        <v>7.8</v>
      </c>
      <c r="F2148">
        <v>16.2</v>
      </c>
      <c r="G2148">
        <v>1183.7592644260201</v>
      </c>
      <c r="H2148">
        <v>137.10425053971301</v>
      </c>
      <c r="I2148" s="1">
        <f t="shared" si="67"/>
        <v>115.21351651853968</v>
      </c>
    </row>
    <row r="2149" spans="1:9" x14ac:dyDescent="0.45">
      <c r="A2149" t="s">
        <v>46</v>
      </c>
      <c r="B2149" t="s">
        <v>38</v>
      </c>
      <c r="C2149" t="str">
        <f t="shared" si="66"/>
        <v>Mount St. Mary'sMcNeese St.</v>
      </c>
      <c r="D2149" t="s">
        <v>38</v>
      </c>
      <c r="E2149">
        <v>3.2</v>
      </c>
      <c r="F2149">
        <v>22.316981132075501</v>
      </c>
      <c r="G2149">
        <v>3009.2903109827298</v>
      </c>
      <c r="H2149">
        <v>138.45212476166</v>
      </c>
      <c r="I2149" s="1">
        <f t="shared" si="67"/>
        <v>134.19304871466127</v>
      </c>
    </row>
    <row r="2150" spans="1:9" x14ac:dyDescent="0.45">
      <c r="A2150" t="s">
        <v>47</v>
      </c>
      <c r="B2150" t="s">
        <v>38</v>
      </c>
      <c r="C2150" t="str">
        <f t="shared" si="66"/>
        <v>Nebraska OmahaMcNeese St.</v>
      </c>
      <c r="D2150" t="s">
        <v>38</v>
      </c>
      <c r="E2150">
        <v>4.0999999999999996</v>
      </c>
      <c r="F2150">
        <v>20.6</v>
      </c>
      <c r="G2150">
        <v>2316.2942190454901</v>
      </c>
      <c r="H2150">
        <v>137.73612594156</v>
      </c>
      <c r="I2150" s="1">
        <f t="shared" si="67"/>
        <v>124.11100809306433</v>
      </c>
    </row>
    <row r="2151" spans="1:9" x14ac:dyDescent="0.45">
      <c r="A2151" t="s">
        <v>48</v>
      </c>
      <c r="B2151" t="s">
        <v>38</v>
      </c>
      <c r="C2151" t="str">
        <f t="shared" si="66"/>
        <v>New MexicoMcNeese St.</v>
      </c>
      <c r="D2151" t="s">
        <v>48</v>
      </c>
      <c r="E2151">
        <v>52.5</v>
      </c>
      <c r="F2151">
        <v>-0.64528301886792505</v>
      </c>
      <c r="G2151">
        <v>-110.367652074709</v>
      </c>
      <c r="H2151">
        <v>138.61387028883499</v>
      </c>
      <c r="I2151" s="1">
        <f t="shared" si="67"/>
        <v>136.47060131609166</v>
      </c>
    </row>
    <row r="2152" spans="1:9" x14ac:dyDescent="0.45">
      <c r="A2152" t="s">
        <v>49</v>
      </c>
      <c r="B2152" t="s">
        <v>38</v>
      </c>
      <c r="C2152" t="str">
        <f t="shared" si="66"/>
        <v>Norfolk St.McNeese St.</v>
      </c>
      <c r="D2152" t="s">
        <v>38</v>
      </c>
      <c r="E2152">
        <v>6</v>
      </c>
      <c r="F2152">
        <v>18.067924528301901</v>
      </c>
      <c r="G2152">
        <v>1574.0230492536</v>
      </c>
      <c r="H2152">
        <v>137.62623395103699</v>
      </c>
      <c r="I2152" s="1">
        <f t="shared" si="67"/>
        <v>122.56360957600197</v>
      </c>
    </row>
    <row r="2153" spans="1:9" x14ac:dyDescent="0.45">
      <c r="A2153" t="s">
        <v>50</v>
      </c>
      <c r="B2153" t="s">
        <v>38</v>
      </c>
      <c r="C2153" t="str">
        <f t="shared" si="66"/>
        <v>North CarolinaMcNeese St.</v>
      </c>
      <c r="D2153" t="s">
        <v>50</v>
      </c>
      <c r="E2153">
        <v>79</v>
      </c>
      <c r="F2153">
        <v>-8.6867924528301899</v>
      </c>
      <c r="G2153">
        <v>-376.300535732323</v>
      </c>
      <c r="H2153">
        <v>139.69816538299301</v>
      </c>
      <c r="I2153" s="1">
        <f t="shared" si="67"/>
        <v>151.73865327122294</v>
      </c>
    </row>
    <row r="2154" spans="1:9" x14ac:dyDescent="0.45">
      <c r="A2154" t="s">
        <v>51</v>
      </c>
      <c r="B2154" t="s">
        <v>38</v>
      </c>
      <c r="C2154" t="str">
        <f t="shared" si="66"/>
        <v>OklahomaMcNeese St.</v>
      </c>
      <c r="D2154" t="s">
        <v>51</v>
      </c>
      <c r="E2154">
        <v>55.2</v>
      </c>
      <c r="F2154">
        <v>-1.3811320754717</v>
      </c>
      <c r="G2154">
        <v>-123.46001194511101</v>
      </c>
      <c r="H2154">
        <v>138.04076867849699</v>
      </c>
      <c r="I2154" s="1">
        <f t="shared" si="67"/>
        <v>128.40070852643123</v>
      </c>
    </row>
    <row r="2155" spans="1:9" x14ac:dyDescent="0.45">
      <c r="A2155" t="s">
        <v>52</v>
      </c>
      <c r="B2155" t="s">
        <v>38</v>
      </c>
      <c r="C2155" t="str">
        <f t="shared" si="66"/>
        <v>OregonMcNeese St.</v>
      </c>
      <c r="D2155" t="s">
        <v>52</v>
      </c>
      <c r="E2155">
        <v>80.3</v>
      </c>
      <c r="F2155">
        <v>-9.2075471698113205</v>
      </c>
      <c r="G2155">
        <v>-407.33405561563501</v>
      </c>
      <c r="H2155">
        <v>138.63514646663799</v>
      </c>
      <c r="I2155" s="1">
        <f t="shared" si="67"/>
        <v>136.77019299537994</v>
      </c>
    </row>
    <row r="2156" spans="1:9" x14ac:dyDescent="0.45">
      <c r="A2156" t="s">
        <v>53</v>
      </c>
      <c r="B2156" t="s">
        <v>38</v>
      </c>
      <c r="C2156" t="str">
        <f t="shared" si="66"/>
        <v>PurdueMcNeese St.</v>
      </c>
      <c r="D2156" t="s">
        <v>53</v>
      </c>
      <c r="E2156">
        <v>95.6</v>
      </c>
      <c r="F2156">
        <v>-20.116981132075502</v>
      </c>
      <c r="G2156">
        <v>-2151.58442424654</v>
      </c>
      <c r="H2156">
        <v>139.98313379542699</v>
      </c>
      <c r="I2156" s="1">
        <f t="shared" si="67"/>
        <v>155.75131785861731</v>
      </c>
    </row>
    <row r="2157" spans="1:9" x14ac:dyDescent="0.45">
      <c r="A2157" t="s">
        <v>54</v>
      </c>
      <c r="B2157" t="s">
        <v>38</v>
      </c>
      <c r="C2157" t="str">
        <f t="shared" si="66"/>
        <v>Robert MorrisMcNeese St.</v>
      </c>
      <c r="D2157" t="s">
        <v>38</v>
      </c>
      <c r="E2157">
        <v>2.6</v>
      </c>
      <c r="F2157">
        <v>23.826415094339598</v>
      </c>
      <c r="G2157">
        <v>3788.1100712831399</v>
      </c>
      <c r="H2157">
        <v>137.04177064419</v>
      </c>
      <c r="I2157" s="1">
        <f t="shared" si="67"/>
        <v>114.33373176608973</v>
      </c>
    </row>
    <row r="2158" spans="1:9" x14ac:dyDescent="0.45">
      <c r="A2158" t="s">
        <v>55</v>
      </c>
      <c r="B2158" t="s">
        <v>38</v>
      </c>
      <c r="C2158" t="str">
        <f t="shared" si="66"/>
        <v>Saint FrancisMcNeese St.</v>
      </c>
      <c r="D2158" t="s">
        <v>38</v>
      </c>
      <c r="E2158">
        <v>1.7</v>
      </c>
      <c r="F2158">
        <v>26.550943396226401</v>
      </c>
      <c r="G2158">
        <v>5741.6605113098403</v>
      </c>
      <c r="H2158">
        <v>138.094626177397</v>
      </c>
      <c r="I2158" s="1">
        <f t="shared" si="67"/>
        <v>129.15908057460265</v>
      </c>
    </row>
    <row r="2159" spans="1:9" x14ac:dyDescent="0.45">
      <c r="A2159" t="s">
        <v>56</v>
      </c>
      <c r="B2159" t="s">
        <v>38</v>
      </c>
      <c r="C2159" t="str">
        <f t="shared" si="66"/>
        <v>Saint Mary'sMcNeese St.</v>
      </c>
      <c r="D2159" t="s">
        <v>56</v>
      </c>
      <c r="E2159">
        <v>77.599999999999994</v>
      </c>
      <c r="F2159">
        <v>-8.1622641509434004</v>
      </c>
      <c r="G2159">
        <v>-347.41307945042303</v>
      </c>
      <c r="H2159">
        <v>139.34588137848701</v>
      </c>
      <c r="I2159" s="1">
        <f t="shared" si="67"/>
        <v>146.77811207469929</v>
      </c>
    </row>
    <row r="2160" spans="1:9" x14ac:dyDescent="0.45">
      <c r="A2160" t="s">
        <v>57</v>
      </c>
      <c r="B2160" t="s">
        <v>38</v>
      </c>
      <c r="C2160" t="str">
        <f t="shared" si="66"/>
        <v>San Diego St.McNeese St.</v>
      </c>
      <c r="D2160" t="s">
        <v>57</v>
      </c>
      <c r="E2160">
        <v>50.3</v>
      </c>
      <c r="F2160">
        <v>-7.1698113207547196E-2</v>
      </c>
      <c r="G2160">
        <v>-101.089274283121</v>
      </c>
      <c r="H2160">
        <v>138.492136258285</v>
      </c>
      <c r="I2160" s="1">
        <f t="shared" si="67"/>
        <v>134.75645402061946</v>
      </c>
    </row>
    <row r="2161" spans="1:9" x14ac:dyDescent="0.45">
      <c r="A2161" t="s">
        <v>58</v>
      </c>
      <c r="B2161" t="s">
        <v>38</v>
      </c>
      <c r="C2161" t="str">
        <f t="shared" si="66"/>
        <v>SIU EdwardsvilleMcNeese St.</v>
      </c>
      <c r="D2161" t="s">
        <v>38</v>
      </c>
      <c r="E2161">
        <v>4.8</v>
      </c>
      <c r="F2161">
        <v>19.528301886792502</v>
      </c>
      <c r="G2161">
        <v>1966.4001112883</v>
      </c>
      <c r="H2161">
        <v>138.63982402513301</v>
      </c>
      <c r="I2161" s="1">
        <f t="shared" si="67"/>
        <v>136.8360580965963</v>
      </c>
    </row>
    <row r="2162" spans="1:9" x14ac:dyDescent="0.45">
      <c r="A2162" t="s">
        <v>59</v>
      </c>
      <c r="B2162" t="s">
        <v>38</v>
      </c>
      <c r="C2162" t="str">
        <f t="shared" si="66"/>
        <v>St. John'sMcNeese St.</v>
      </c>
      <c r="D2162" t="s">
        <v>59</v>
      </c>
      <c r="E2162">
        <v>91.6</v>
      </c>
      <c r="F2162">
        <v>-15.6301886792453</v>
      </c>
      <c r="G2162">
        <v>-1085.26455101274</v>
      </c>
      <c r="H2162">
        <v>139.617506797678</v>
      </c>
      <c r="I2162" s="1">
        <f t="shared" si="67"/>
        <v>150.60289283308023</v>
      </c>
    </row>
    <row r="2163" spans="1:9" x14ac:dyDescent="0.45">
      <c r="A2163" t="s">
        <v>60</v>
      </c>
      <c r="B2163" t="s">
        <v>38</v>
      </c>
      <c r="C2163" t="str">
        <f t="shared" si="66"/>
        <v>TennesseeMcNeese St.</v>
      </c>
      <c r="D2163" t="s">
        <v>60</v>
      </c>
      <c r="E2163">
        <v>95.6</v>
      </c>
      <c r="F2163">
        <v>-20.177358490566</v>
      </c>
      <c r="G2163">
        <v>-2171.0761961919602</v>
      </c>
      <c r="H2163">
        <v>140.21148967436901</v>
      </c>
      <c r="I2163" s="1">
        <f t="shared" si="67"/>
        <v>158.96681652012671</v>
      </c>
    </row>
    <row r="2164" spans="1:9" x14ac:dyDescent="0.45">
      <c r="A2164" t="s">
        <v>61</v>
      </c>
      <c r="B2164" t="s">
        <v>38</v>
      </c>
      <c r="C2164" t="str">
        <f t="shared" si="66"/>
        <v>TexasMcNeese St.</v>
      </c>
      <c r="D2164" t="s">
        <v>38</v>
      </c>
      <c r="E2164">
        <v>47</v>
      </c>
      <c r="F2164">
        <v>0.77735849056603801</v>
      </c>
      <c r="G2164">
        <v>112.5878819648</v>
      </c>
      <c r="H2164">
        <v>137.96720420544099</v>
      </c>
      <c r="I2164" s="1">
        <f t="shared" si="67"/>
        <v>127.3648408897313</v>
      </c>
    </row>
    <row r="2165" spans="1:9" x14ac:dyDescent="0.45">
      <c r="A2165" t="s">
        <v>62</v>
      </c>
      <c r="B2165" t="s">
        <v>38</v>
      </c>
      <c r="C2165" t="str">
        <f t="shared" si="66"/>
        <v>Texas A&amp;MMcNeese St.</v>
      </c>
      <c r="D2165" t="s">
        <v>62</v>
      </c>
      <c r="E2165">
        <v>83.7</v>
      </c>
      <c r="F2165">
        <v>-10.7169811320755</v>
      </c>
      <c r="G2165">
        <v>-512.99038360848397</v>
      </c>
      <c r="H2165">
        <v>138.765003233035</v>
      </c>
      <c r="I2165" s="1">
        <f t="shared" si="67"/>
        <v>138.59871722901073</v>
      </c>
    </row>
    <row r="2166" spans="1:9" x14ac:dyDescent="0.45">
      <c r="A2166" t="s">
        <v>63</v>
      </c>
      <c r="B2166" t="s">
        <v>38</v>
      </c>
      <c r="C2166" t="str">
        <f t="shared" si="66"/>
        <v>Texas TechMcNeese St.</v>
      </c>
      <c r="D2166" t="s">
        <v>63</v>
      </c>
      <c r="E2166">
        <v>91</v>
      </c>
      <c r="F2166">
        <v>-15.1698113207547</v>
      </c>
      <c r="G2166">
        <v>-1011.63945040463</v>
      </c>
      <c r="H2166">
        <v>139.804787352099</v>
      </c>
      <c r="I2166" s="1">
        <f t="shared" si="67"/>
        <v>153.24000633704378</v>
      </c>
    </row>
    <row r="2167" spans="1:9" x14ac:dyDescent="0.45">
      <c r="A2167" t="s">
        <v>64</v>
      </c>
      <c r="B2167" t="s">
        <v>38</v>
      </c>
      <c r="C2167" t="str">
        <f t="shared" si="66"/>
        <v>TroyMcNeese St.</v>
      </c>
      <c r="D2167" t="s">
        <v>38</v>
      </c>
      <c r="E2167">
        <v>12.5</v>
      </c>
      <c r="F2167">
        <v>12.777358490566</v>
      </c>
      <c r="G2167">
        <v>702.15848456757703</v>
      </c>
      <c r="H2167">
        <v>138.50835177182799</v>
      </c>
      <c r="I2167" s="1">
        <f t="shared" si="67"/>
        <v>134.98478605364937</v>
      </c>
    </row>
    <row r="2168" spans="1:9" x14ac:dyDescent="0.45">
      <c r="A2168" t="s">
        <v>65</v>
      </c>
      <c r="B2168" t="s">
        <v>38</v>
      </c>
      <c r="C2168" t="str">
        <f t="shared" si="66"/>
        <v>UC San DiegoMcNeese St.</v>
      </c>
      <c r="D2168" t="s">
        <v>38</v>
      </c>
      <c r="E2168">
        <v>26.7</v>
      </c>
      <c r="F2168">
        <v>6.6150943396226403</v>
      </c>
      <c r="G2168">
        <v>274.33989560993899</v>
      </c>
      <c r="H2168">
        <v>138.596473515219</v>
      </c>
      <c r="I2168" s="1">
        <f t="shared" si="67"/>
        <v>136.22563585894665</v>
      </c>
    </row>
    <row r="2169" spans="1:9" x14ac:dyDescent="0.45">
      <c r="A2169" t="s">
        <v>66</v>
      </c>
      <c r="B2169" t="s">
        <v>38</v>
      </c>
      <c r="C2169" t="str">
        <f t="shared" si="66"/>
        <v>UCLAMcNeese St.</v>
      </c>
      <c r="D2169" t="s">
        <v>66</v>
      </c>
      <c r="E2169">
        <v>59.2</v>
      </c>
      <c r="F2169">
        <v>-2.4301886792452798</v>
      </c>
      <c r="G2169">
        <v>-144.84843078151599</v>
      </c>
      <c r="H2169">
        <v>138.067928028328</v>
      </c>
      <c r="I2169" s="1">
        <f t="shared" si="67"/>
        <v>128.78314165420392</v>
      </c>
    </row>
    <row r="2170" spans="1:9" x14ac:dyDescent="0.45">
      <c r="A2170" t="s">
        <v>67</v>
      </c>
      <c r="B2170" t="s">
        <v>38</v>
      </c>
      <c r="C2170" t="str">
        <f t="shared" si="66"/>
        <v>UNC WilmingtonMcNeese St.</v>
      </c>
      <c r="D2170" t="s">
        <v>38</v>
      </c>
      <c r="E2170">
        <v>17.899999999999999</v>
      </c>
      <c r="F2170">
        <v>9.97735849056604</v>
      </c>
      <c r="G2170">
        <v>458.06505218088603</v>
      </c>
      <c r="H2170">
        <v>139.182943702248</v>
      </c>
      <c r="I2170" s="1">
        <f t="shared" si="67"/>
        <v>144.48377272033989</v>
      </c>
    </row>
    <row r="2171" spans="1:9" x14ac:dyDescent="0.45">
      <c r="A2171" t="s">
        <v>68</v>
      </c>
      <c r="B2171" t="s">
        <v>38</v>
      </c>
      <c r="C2171" t="str">
        <f t="shared" si="66"/>
        <v>Utah St.McNeese St.</v>
      </c>
      <c r="D2171" t="s">
        <v>68</v>
      </c>
      <c r="E2171">
        <v>52.5</v>
      </c>
      <c r="F2171">
        <v>-0.66792452830188698</v>
      </c>
      <c r="G2171">
        <v>-110.726570046543</v>
      </c>
      <c r="H2171">
        <v>138.554314106074</v>
      </c>
      <c r="I2171" s="1">
        <f t="shared" si="67"/>
        <v>135.6319856130942</v>
      </c>
    </row>
    <row r="2172" spans="1:9" x14ac:dyDescent="0.45">
      <c r="A2172" t="s">
        <v>69</v>
      </c>
      <c r="B2172" t="s">
        <v>38</v>
      </c>
      <c r="C2172" t="str">
        <f t="shared" si="66"/>
        <v>VanderbiltMcNeese St.</v>
      </c>
      <c r="D2172" t="s">
        <v>38</v>
      </c>
      <c r="E2172">
        <v>19.100000000000001</v>
      </c>
      <c r="F2172">
        <v>9.4528301886792505</v>
      </c>
      <c r="G2172">
        <v>422.99783260453199</v>
      </c>
      <c r="H2172">
        <v>137.128884594673</v>
      </c>
      <c r="I2172" s="1">
        <f t="shared" si="67"/>
        <v>115.56039075325779</v>
      </c>
    </row>
    <row r="2173" spans="1:9" x14ac:dyDescent="0.45">
      <c r="A2173" t="s">
        <v>70</v>
      </c>
      <c r="B2173" t="s">
        <v>38</v>
      </c>
      <c r="C2173" t="str">
        <f t="shared" si="66"/>
        <v>VCUMcNeese St.</v>
      </c>
      <c r="D2173" t="s">
        <v>38</v>
      </c>
      <c r="E2173">
        <v>42</v>
      </c>
      <c r="F2173">
        <v>2.1056603773584901</v>
      </c>
      <c r="G2173">
        <v>137.913912655193</v>
      </c>
      <c r="H2173">
        <v>138.97379575654799</v>
      </c>
      <c r="I2173" s="1">
        <f t="shared" si="67"/>
        <v>141.53874260956883</v>
      </c>
    </row>
    <row r="2174" spans="1:9" x14ac:dyDescent="0.45">
      <c r="A2174" t="s">
        <v>71</v>
      </c>
      <c r="B2174" t="s">
        <v>38</v>
      </c>
      <c r="C2174" t="str">
        <f t="shared" si="66"/>
        <v>WisconsinMcNeese St.</v>
      </c>
      <c r="D2174" t="s">
        <v>71</v>
      </c>
      <c r="E2174">
        <v>89.9</v>
      </c>
      <c r="F2174">
        <v>-14.3547169811321</v>
      </c>
      <c r="G2174">
        <v>-893.37285046826401</v>
      </c>
      <c r="H2174">
        <v>139.77447461181501</v>
      </c>
      <c r="I2174" s="1">
        <f t="shared" si="67"/>
        <v>152.81317004860909</v>
      </c>
    </row>
    <row r="2175" spans="1:9" x14ac:dyDescent="0.45">
      <c r="A2175" t="s">
        <v>80</v>
      </c>
      <c r="B2175" t="s">
        <v>38</v>
      </c>
      <c r="C2175" t="str">
        <f t="shared" si="66"/>
        <v>WoffordMcNeese St.</v>
      </c>
      <c r="D2175" t="s">
        <v>38</v>
      </c>
      <c r="E2175">
        <v>6.9</v>
      </c>
      <c r="F2175">
        <v>17.030188679245299</v>
      </c>
      <c r="G2175">
        <v>1343.5144204614801</v>
      </c>
      <c r="H2175">
        <v>137.80393035091001</v>
      </c>
      <c r="I2175" s="1">
        <f t="shared" si="67"/>
        <v>125.06576778009098</v>
      </c>
    </row>
    <row r="2176" spans="1:9" x14ac:dyDescent="0.45">
      <c r="A2176" t="s">
        <v>72</v>
      </c>
      <c r="B2176" t="s">
        <v>38</v>
      </c>
      <c r="C2176" t="str">
        <f t="shared" si="66"/>
        <v>XavierMcNeese St.</v>
      </c>
      <c r="D2176" t="s">
        <v>38</v>
      </c>
      <c r="E2176">
        <v>41.7</v>
      </c>
      <c r="F2176">
        <v>2.18490566037736</v>
      </c>
      <c r="G2176">
        <v>139.52845594520801</v>
      </c>
      <c r="H2176">
        <v>138.379843921061</v>
      </c>
      <c r="I2176" s="1">
        <f t="shared" si="67"/>
        <v>133.17525601637084</v>
      </c>
    </row>
    <row r="2177" spans="1:9" x14ac:dyDescent="0.45">
      <c r="A2177" t="s">
        <v>73</v>
      </c>
      <c r="B2177" t="s">
        <v>38</v>
      </c>
      <c r="C2177" t="str">
        <f t="shared" si="66"/>
        <v>YaleMcNeese St.</v>
      </c>
      <c r="D2177" t="s">
        <v>38</v>
      </c>
      <c r="E2177">
        <v>28.6</v>
      </c>
      <c r="F2177">
        <v>6.0075471698113203</v>
      </c>
      <c r="G2177">
        <v>250.01977982575301</v>
      </c>
      <c r="H2177">
        <v>139.17907855512399</v>
      </c>
      <c r="I2177" s="1">
        <f t="shared" si="67"/>
        <v>144.42934725312026</v>
      </c>
    </row>
    <row r="2178" spans="1:9" x14ac:dyDescent="0.45">
      <c r="A2178" t="s">
        <v>7</v>
      </c>
      <c r="B2178" t="s">
        <v>39</v>
      </c>
      <c r="C2178" t="str">
        <f t="shared" si="66"/>
        <v>AkronMemphis</v>
      </c>
      <c r="D2178" t="s">
        <v>39</v>
      </c>
      <c r="E2178">
        <v>6.6</v>
      </c>
      <c r="F2178">
        <v>17.324528301886801</v>
      </c>
      <c r="G2178">
        <v>1405.1568780063999</v>
      </c>
      <c r="H2178">
        <v>138.819320811751</v>
      </c>
      <c r="I2178" s="1">
        <f t="shared" si="67"/>
        <v>139.36356770041928</v>
      </c>
    </row>
    <row r="2179" spans="1:9" x14ac:dyDescent="0.45">
      <c r="A2179" t="s">
        <v>8</v>
      </c>
      <c r="B2179" t="s">
        <v>39</v>
      </c>
      <c r="C2179" t="str">
        <f t="shared" ref="C2179:C2242" si="68">A2179&amp;B2179</f>
        <v>AlabamaMemphis</v>
      </c>
      <c r="D2179" t="s">
        <v>8</v>
      </c>
      <c r="E2179">
        <v>84</v>
      </c>
      <c r="F2179">
        <v>-10.849056603773599</v>
      </c>
      <c r="G2179">
        <v>-523.35799065041795</v>
      </c>
      <c r="H2179">
        <v>140.56741682389</v>
      </c>
      <c r="I2179" s="1">
        <f t="shared" ref="I2179:I2242" si="69">18*(H2179-AVERAGE($H$2:$H$4625))/_xlfn.STDEV.P($H$2:$H$4625)+AVERAGE($H$2:$H$4625)</f>
        <v>163.97865715318625</v>
      </c>
    </row>
    <row r="2180" spans="1:9" x14ac:dyDescent="0.45">
      <c r="A2180" t="s">
        <v>9</v>
      </c>
      <c r="B2180" t="s">
        <v>39</v>
      </c>
      <c r="C2180" t="str">
        <f t="shared" si="68"/>
        <v>Alabama St.Memphis</v>
      </c>
      <c r="D2180" t="s">
        <v>39</v>
      </c>
      <c r="E2180">
        <v>1.1000000000000001</v>
      </c>
      <c r="F2180">
        <v>29.464150943396199</v>
      </c>
      <c r="G2180">
        <v>8953.4114108836693</v>
      </c>
      <c r="H2180">
        <v>139.04616166756401</v>
      </c>
      <c r="I2180" s="1">
        <f t="shared" si="69"/>
        <v>142.5577331916769</v>
      </c>
    </row>
    <row r="2181" spans="1:9" x14ac:dyDescent="0.45">
      <c r="A2181" t="s">
        <v>10</v>
      </c>
      <c r="B2181" t="s">
        <v>39</v>
      </c>
      <c r="C2181" t="str">
        <f t="shared" si="68"/>
        <v>AmericanMemphis</v>
      </c>
      <c r="D2181" t="s">
        <v>39</v>
      </c>
      <c r="E2181">
        <v>1.3</v>
      </c>
      <c r="F2181">
        <v>28.2</v>
      </c>
      <c r="G2181">
        <v>7383.9869572959396</v>
      </c>
      <c r="H2181">
        <v>139.13724754916799</v>
      </c>
      <c r="I2181" s="1">
        <f t="shared" si="69"/>
        <v>143.84032128065883</v>
      </c>
    </row>
    <row r="2182" spans="1:9" x14ac:dyDescent="0.45">
      <c r="A2182" t="s">
        <v>11</v>
      </c>
      <c r="B2182" t="s">
        <v>39</v>
      </c>
      <c r="C2182" t="str">
        <f t="shared" si="68"/>
        <v>ArizonaMemphis</v>
      </c>
      <c r="D2182" t="s">
        <v>11</v>
      </c>
      <c r="E2182">
        <v>78.8</v>
      </c>
      <c r="F2182">
        <v>-8.6075471698113208</v>
      </c>
      <c r="G2182">
        <v>-371.843890207529</v>
      </c>
      <c r="H2182">
        <v>140.32977564288001</v>
      </c>
      <c r="I2182" s="1">
        <f t="shared" si="69"/>
        <v>160.63241135913259</v>
      </c>
    </row>
    <row r="2183" spans="1:9" x14ac:dyDescent="0.45">
      <c r="A2183" t="s">
        <v>12</v>
      </c>
      <c r="B2183" t="s">
        <v>39</v>
      </c>
      <c r="C2183" t="str">
        <f t="shared" si="68"/>
        <v>ArkansasMemphis</v>
      </c>
      <c r="D2183" t="s">
        <v>39</v>
      </c>
      <c r="E2183">
        <v>18.399999999999999</v>
      </c>
      <c r="F2183">
        <v>9.7849056603773601</v>
      </c>
      <c r="G2183">
        <v>444.76181177042002</v>
      </c>
      <c r="H2183">
        <v>138.44737947673801</v>
      </c>
      <c r="I2183" s="1">
        <f t="shared" si="69"/>
        <v>134.12622995183438</v>
      </c>
    </row>
    <row r="2184" spans="1:9" x14ac:dyDescent="0.45">
      <c r="A2184" t="s">
        <v>13</v>
      </c>
      <c r="B2184" t="s">
        <v>39</v>
      </c>
      <c r="C2184" t="str">
        <f t="shared" si="68"/>
        <v>AuburnMemphis</v>
      </c>
      <c r="D2184" t="s">
        <v>13</v>
      </c>
      <c r="E2184">
        <v>91.1</v>
      </c>
      <c r="F2184">
        <v>-15.260377358490601</v>
      </c>
      <c r="G2184">
        <v>-1025.6523519050299</v>
      </c>
      <c r="H2184">
        <v>141.58609888199999</v>
      </c>
      <c r="I2184" s="1">
        <f t="shared" si="69"/>
        <v>178.32280633617304</v>
      </c>
    </row>
    <row r="2185" spans="1:9" x14ac:dyDescent="0.45">
      <c r="A2185" t="s">
        <v>14</v>
      </c>
      <c r="B2185" t="s">
        <v>39</v>
      </c>
      <c r="C2185" t="str">
        <f t="shared" si="68"/>
        <v>BaylorMemphis</v>
      </c>
      <c r="D2185" t="s">
        <v>14</v>
      </c>
      <c r="E2185">
        <v>52</v>
      </c>
      <c r="F2185">
        <v>-0.52830188679245305</v>
      </c>
      <c r="G2185">
        <v>-108.395806608128</v>
      </c>
      <c r="H2185">
        <v>140.12109689472501</v>
      </c>
      <c r="I2185" s="1">
        <f t="shared" si="69"/>
        <v>157.69398805912098</v>
      </c>
    </row>
    <row r="2186" spans="1:9" x14ac:dyDescent="0.45">
      <c r="A2186" t="s">
        <v>15</v>
      </c>
      <c r="B2186" t="s">
        <v>39</v>
      </c>
      <c r="C2186" t="str">
        <f t="shared" si="68"/>
        <v>BryantMemphis</v>
      </c>
      <c r="D2186" t="s">
        <v>39</v>
      </c>
      <c r="E2186">
        <v>4.7</v>
      </c>
      <c r="F2186">
        <v>19.7584905660377</v>
      </c>
      <c r="G2186">
        <v>2036.7028137586799</v>
      </c>
      <c r="H2186">
        <v>139.67009464461901</v>
      </c>
      <c r="I2186" s="1">
        <f t="shared" si="69"/>
        <v>151.34338680342998</v>
      </c>
    </row>
    <row r="2187" spans="1:9" x14ac:dyDescent="0.45">
      <c r="A2187" t="s">
        <v>16</v>
      </c>
      <c r="B2187" t="s">
        <v>39</v>
      </c>
      <c r="C2187" t="str">
        <f t="shared" si="68"/>
        <v>BYUMemphis</v>
      </c>
      <c r="D2187" t="s">
        <v>16</v>
      </c>
      <c r="E2187">
        <v>56.9</v>
      </c>
      <c r="F2187">
        <v>-1.8226415094339601</v>
      </c>
      <c r="G2187">
        <v>-132.053240968967</v>
      </c>
      <c r="H2187">
        <v>139.930615122842</v>
      </c>
      <c r="I2187" s="1">
        <f t="shared" si="69"/>
        <v>155.01179793829075</v>
      </c>
    </row>
    <row r="2188" spans="1:9" x14ac:dyDescent="0.45">
      <c r="A2188" t="s">
        <v>17</v>
      </c>
      <c r="B2188" t="s">
        <v>39</v>
      </c>
      <c r="C2188" t="str">
        <f t="shared" si="68"/>
        <v>ClemsonMemphis</v>
      </c>
      <c r="D2188" t="s">
        <v>17</v>
      </c>
      <c r="E2188">
        <v>62.9</v>
      </c>
      <c r="F2188">
        <v>-3.4490566037735899</v>
      </c>
      <c r="G2188">
        <v>-169.200090339252</v>
      </c>
      <c r="H2188">
        <v>140.152526979134</v>
      </c>
      <c r="I2188" s="1">
        <f t="shared" si="69"/>
        <v>158.13655776574049</v>
      </c>
    </row>
    <row r="2189" spans="1:9" x14ac:dyDescent="0.45">
      <c r="A2189" t="s">
        <v>18</v>
      </c>
      <c r="B2189" t="s">
        <v>39</v>
      </c>
      <c r="C2189" t="str">
        <f t="shared" si="68"/>
        <v>Colorado St.Memphis</v>
      </c>
      <c r="D2189" t="s">
        <v>39</v>
      </c>
      <c r="E2189">
        <v>21.8</v>
      </c>
      <c r="F2189">
        <v>8.3924528301886792</v>
      </c>
      <c r="G2189">
        <v>359.70041544606102</v>
      </c>
      <c r="H2189">
        <v>139.45991882723899</v>
      </c>
      <c r="I2189" s="1">
        <f t="shared" si="69"/>
        <v>148.38388314362402</v>
      </c>
    </row>
    <row r="2190" spans="1:9" x14ac:dyDescent="0.45">
      <c r="A2190" t="s">
        <v>19</v>
      </c>
      <c r="B2190" t="s">
        <v>39</v>
      </c>
      <c r="C2190" t="str">
        <f t="shared" si="68"/>
        <v>ConnecticutMemphis</v>
      </c>
      <c r="D2190" t="s">
        <v>19</v>
      </c>
      <c r="E2190">
        <v>74.2</v>
      </c>
      <c r="F2190">
        <v>-6.9094339622641501</v>
      </c>
      <c r="G2190">
        <v>-286.98295396760602</v>
      </c>
      <c r="H2190">
        <v>140.095470729575</v>
      </c>
      <c r="I2190" s="1">
        <f t="shared" si="69"/>
        <v>157.33314383596692</v>
      </c>
    </row>
    <row r="2191" spans="1:9" x14ac:dyDescent="0.45">
      <c r="A2191" t="s">
        <v>20</v>
      </c>
      <c r="B2191" t="s">
        <v>39</v>
      </c>
      <c r="C2191" t="str">
        <f t="shared" si="68"/>
        <v>CreightonMemphis</v>
      </c>
      <c r="D2191" t="s">
        <v>39</v>
      </c>
      <c r="E2191">
        <v>47</v>
      </c>
      <c r="F2191">
        <v>0.78113207547169805</v>
      </c>
      <c r="G2191">
        <v>112.64811416048001</v>
      </c>
      <c r="H2191">
        <v>139.56841309183901</v>
      </c>
      <c r="I2191" s="1">
        <f t="shared" si="69"/>
        <v>149.91160016242418</v>
      </c>
    </row>
    <row r="2192" spans="1:9" x14ac:dyDescent="0.45">
      <c r="A2192" t="s">
        <v>21</v>
      </c>
      <c r="B2192" t="s">
        <v>39</v>
      </c>
      <c r="C2192" t="str">
        <f t="shared" si="68"/>
        <v>DrakeMemphis</v>
      </c>
      <c r="D2192" t="s">
        <v>39</v>
      </c>
      <c r="E2192">
        <v>21.6</v>
      </c>
      <c r="F2192">
        <v>8.4415094339622598</v>
      </c>
      <c r="G2192">
        <v>362.49234271254801</v>
      </c>
      <c r="H2192">
        <v>139.62187819599299</v>
      </c>
      <c r="I2192" s="1">
        <f t="shared" si="69"/>
        <v>150.66444686661723</v>
      </c>
    </row>
    <row r="2193" spans="1:9" x14ac:dyDescent="0.45">
      <c r="A2193" t="s">
        <v>22</v>
      </c>
      <c r="B2193" t="s">
        <v>39</v>
      </c>
      <c r="C2193" t="str">
        <f t="shared" si="68"/>
        <v>DukeMemphis</v>
      </c>
      <c r="D2193" t="s">
        <v>22</v>
      </c>
      <c r="E2193">
        <v>93.8</v>
      </c>
      <c r="F2193">
        <v>-17.769811320754702</v>
      </c>
      <c r="G2193">
        <v>-1503.8675883042299</v>
      </c>
      <c r="H2193">
        <v>141.909198657449</v>
      </c>
      <c r="I2193" s="1">
        <f t="shared" si="69"/>
        <v>182.8724019073652</v>
      </c>
    </row>
    <row r="2194" spans="1:9" x14ac:dyDescent="0.45">
      <c r="A2194" t="s">
        <v>23</v>
      </c>
      <c r="B2194" t="s">
        <v>39</v>
      </c>
      <c r="C2194" t="str">
        <f t="shared" si="68"/>
        <v>FloridaMemphis</v>
      </c>
      <c r="D2194" t="s">
        <v>23</v>
      </c>
      <c r="E2194">
        <v>89.2</v>
      </c>
      <c r="F2194">
        <v>-13.8679245283019</v>
      </c>
      <c r="G2194">
        <v>-829.58897910429596</v>
      </c>
      <c r="H2194">
        <v>141.63295493339101</v>
      </c>
      <c r="I2194" s="1">
        <f t="shared" si="69"/>
        <v>178.9825904031718</v>
      </c>
    </row>
    <row r="2195" spans="1:9" x14ac:dyDescent="0.45">
      <c r="A2195" t="s">
        <v>24</v>
      </c>
      <c r="B2195" t="s">
        <v>39</v>
      </c>
      <c r="C2195" t="str">
        <f t="shared" si="68"/>
        <v>GeorgiaMemphis</v>
      </c>
      <c r="D2195" t="s">
        <v>39</v>
      </c>
      <c r="E2195">
        <v>23.8</v>
      </c>
      <c r="F2195">
        <v>7.6377358490566003</v>
      </c>
      <c r="G2195">
        <v>320.60608299386001</v>
      </c>
      <c r="H2195">
        <v>138.774768457736</v>
      </c>
      <c r="I2195" s="1">
        <f t="shared" si="69"/>
        <v>138.73622219319594</v>
      </c>
    </row>
    <row r="2196" spans="1:9" x14ac:dyDescent="0.45">
      <c r="A2196" t="s">
        <v>25</v>
      </c>
      <c r="B2196" t="s">
        <v>39</v>
      </c>
      <c r="C2196" t="str">
        <f t="shared" si="68"/>
        <v>GonzagaMemphis</v>
      </c>
      <c r="D2196" t="s">
        <v>25</v>
      </c>
      <c r="E2196">
        <v>63.7</v>
      </c>
      <c r="F2196">
        <v>-3.69056603773585</v>
      </c>
      <c r="G2196">
        <v>-175.569672508004</v>
      </c>
      <c r="H2196">
        <v>140.91240957726501</v>
      </c>
      <c r="I2196" s="1">
        <f t="shared" si="69"/>
        <v>168.83652961895046</v>
      </c>
    </row>
    <row r="2197" spans="1:9" x14ac:dyDescent="0.45">
      <c r="A2197" t="s">
        <v>26</v>
      </c>
      <c r="B2197" t="s">
        <v>39</v>
      </c>
      <c r="C2197" t="str">
        <f t="shared" si="68"/>
        <v>Grand CanyonMemphis</v>
      </c>
      <c r="D2197" t="s">
        <v>39</v>
      </c>
      <c r="E2197">
        <v>14.6</v>
      </c>
      <c r="F2197">
        <v>11.558490566037699</v>
      </c>
      <c r="G2197">
        <v>583.220925092578</v>
      </c>
      <c r="H2197">
        <v>139.564377823569</v>
      </c>
      <c r="I2197" s="1">
        <f t="shared" si="69"/>
        <v>149.85477920479812</v>
      </c>
    </row>
    <row r="2198" spans="1:9" x14ac:dyDescent="0.45">
      <c r="A2198" t="s">
        <v>27</v>
      </c>
      <c r="B2198" t="s">
        <v>39</v>
      </c>
      <c r="C2198" t="str">
        <f t="shared" si="68"/>
        <v>High PointMemphis</v>
      </c>
      <c r="D2198" t="s">
        <v>39</v>
      </c>
      <c r="E2198">
        <v>10.1</v>
      </c>
      <c r="F2198">
        <v>14.332075471698101</v>
      </c>
      <c r="G2198">
        <v>890.24422717894902</v>
      </c>
      <c r="H2198">
        <v>139.84526957122401</v>
      </c>
      <c r="I2198" s="1">
        <f t="shared" si="69"/>
        <v>153.81003992678313</v>
      </c>
    </row>
    <row r="2199" spans="1:9" x14ac:dyDescent="0.45">
      <c r="A2199" t="s">
        <v>28</v>
      </c>
      <c r="B2199" t="s">
        <v>39</v>
      </c>
      <c r="C2199" t="str">
        <f t="shared" si="68"/>
        <v>HoustonMemphis</v>
      </c>
      <c r="D2199" t="s">
        <v>28</v>
      </c>
      <c r="E2199">
        <v>96.3</v>
      </c>
      <c r="F2199">
        <v>-21.2830188679245</v>
      </c>
      <c r="G2199">
        <v>-2570.37711321595</v>
      </c>
      <c r="H2199">
        <v>142.052863007079</v>
      </c>
      <c r="I2199" s="1">
        <f t="shared" si="69"/>
        <v>184.8953519013927</v>
      </c>
    </row>
    <row r="2200" spans="1:9" x14ac:dyDescent="0.45">
      <c r="A2200" t="s">
        <v>29</v>
      </c>
      <c r="B2200" t="s">
        <v>39</v>
      </c>
      <c r="C2200" t="str">
        <f t="shared" si="68"/>
        <v>IllinoisMemphis</v>
      </c>
      <c r="D2200" t="s">
        <v>29</v>
      </c>
      <c r="E2200">
        <v>71.900000000000006</v>
      </c>
      <c r="F2200">
        <v>-6.1735849056603804</v>
      </c>
      <c r="G2200">
        <v>-256.38593542845098</v>
      </c>
      <c r="H2200">
        <v>140.103108161015</v>
      </c>
      <c r="I2200" s="1">
        <f t="shared" si="69"/>
        <v>157.44068716126461</v>
      </c>
    </row>
    <row r="2201" spans="1:9" x14ac:dyDescent="0.45">
      <c r="A2201" t="s">
        <v>30</v>
      </c>
      <c r="B2201" t="s">
        <v>39</v>
      </c>
      <c r="C2201" t="str">
        <f t="shared" si="68"/>
        <v>Iowa St.Memphis</v>
      </c>
      <c r="D2201" t="s">
        <v>30</v>
      </c>
      <c r="E2201">
        <v>84.4</v>
      </c>
      <c r="F2201">
        <v>-11.0566037735849</v>
      </c>
      <c r="G2201">
        <v>-540.05075364965899</v>
      </c>
      <c r="H2201">
        <v>141.02937673937399</v>
      </c>
      <c r="I2201" s="1">
        <f t="shared" si="69"/>
        <v>170.48355423221858</v>
      </c>
    </row>
    <row r="2202" spans="1:9" x14ac:dyDescent="0.45">
      <c r="A2202" t="s">
        <v>31</v>
      </c>
      <c r="B2202" t="s">
        <v>39</v>
      </c>
      <c r="C2202" t="str">
        <f t="shared" si="68"/>
        <v>KansasMemphis</v>
      </c>
      <c r="D2202" t="s">
        <v>31</v>
      </c>
      <c r="E2202">
        <v>61.1</v>
      </c>
      <c r="F2202">
        <v>-2.9509433962264202</v>
      </c>
      <c r="G2202">
        <v>-156.900052829092</v>
      </c>
      <c r="H2202">
        <v>139.98476702368501</v>
      </c>
      <c r="I2202" s="1">
        <f t="shared" si="69"/>
        <v>155.77431548540022</v>
      </c>
    </row>
    <row r="2203" spans="1:9" x14ac:dyDescent="0.45">
      <c r="A2203" t="s">
        <v>32</v>
      </c>
      <c r="B2203" t="s">
        <v>39</v>
      </c>
      <c r="C2203" t="str">
        <f t="shared" si="68"/>
        <v>KentuckyMemphis</v>
      </c>
      <c r="D2203" t="s">
        <v>32</v>
      </c>
      <c r="E2203">
        <v>72.599999999999994</v>
      </c>
      <c r="F2203">
        <v>-6.3811320754717</v>
      </c>
      <c r="G2203">
        <v>-264.68690384408598</v>
      </c>
      <c r="H2203">
        <v>139.93180462407801</v>
      </c>
      <c r="I2203" s="1">
        <f t="shared" si="69"/>
        <v>155.02854740692709</v>
      </c>
    </row>
    <row r="2204" spans="1:9" x14ac:dyDescent="0.45">
      <c r="A2204" t="s">
        <v>33</v>
      </c>
      <c r="B2204" t="s">
        <v>39</v>
      </c>
      <c r="C2204" t="str">
        <f t="shared" si="68"/>
        <v>LibertyMemphis</v>
      </c>
      <c r="D2204" t="s">
        <v>39</v>
      </c>
      <c r="E2204">
        <v>6.9</v>
      </c>
      <c r="F2204">
        <v>17.109433962264099</v>
      </c>
      <c r="G2204">
        <v>1359.6515571335401</v>
      </c>
      <c r="H2204">
        <v>139.14074087247599</v>
      </c>
      <c r="I2204" s="1">
        <f t="shared" si="69"/>
        <v>143.88951106492499</v>
      </c>
    </row>
    <row r="2205" spans="1:9" x14ac:dyDescent="0.45">
      <c r="A2205" t="s">
        <v>34</v>
      </c>
      <c r="B2205" t="s">
        <v>39</v>
      </c>
      <c r="C2205" t="str">
        <f t="shared" si="68"/>
        <v>LipscombMemphis</v>
      </c>
      <c r="D2205" t="s">
        <v>39</v>
      </c>
      <c r="E2205">
        <v>5.3</v>
      </c>
      <c r="F2205">
        <v>18.849056603773601</v>
      </c>
      <c r="G2205">
        <v>1773.60732489678</v>
      </c>
      <c r="H2205">
        <v>139.57266110373399</v>
      </c>
      <c r="I2205" s="1">
        <f t="shared" si="69"/>
        <v>149.97141678122853</v>
      </c>
    </row>
    <row r="2206" spans="1:9" x14ac:dyDescent="0.45">
      <c r="A2206" t="s">
        <v>35</v>
      </c>
      <c r="B2206" t="s">
        <v>39</v>
      </c>
      <c r="C2206" t="str">
        <f t="shared" si="68"/>
        <v>LouisvilleMemphis</v>
      </c>
      <c r="D2206" t="s">
        <v>39</v>
      </c>
      <c r="E2206">
        <v>12.5</v>
      </c>
      <c r="F2206">
        <v>12.743396226415101</v>
      </c>
      <c r="G2206">
        <v>698.62512805433403</v>
      </c>
      <c r="H2206">
        <v>138.85838441570201</v>
      </c>
      <c r="I2206" s="1">
        <f t="shared" si="69"/>
        <v>139.91362564856649</v>
      </c>
    </row>
    <row r="2207" spans="1:9" x14ac:dyDescent="0.45">
      <c r="A2207" t="s">
        <v>36</v>
      </c>
      <c r="B2207" t="s">
        <v>39</v>
      </c>
      <c r="C2207" t="str">
        <f t="shared" si="68"/>
        <v>MarquetteMemphis</v>
      </c>
      <c r="D2207" t="s">
        <v>36</v>
      </c>
      <c r="E2207">
        <v>66.900000000000006</v>
      </c>
      <c r="F2207">
        <v>-4.5999999999999996</v>
      </c>
      <c r="G2207">
        <v>-201.77214175071899</v>
      </c>
      <c r="H2207">
        <v>140.190141050607</v>
      </c>
      <c r="I2207" s="1">
        <f t="shared" si="69"/>
        <v>158.6662047230937</v>
      </c>
    </row>
    <row r="2208" spans="1:9" x14ac:dyDescent="0.45">
      <c r="A2208" t="s">
        <v>37</v>
      </c>
      <c r="B2208" t="s">
        <v>39</v>
      </c>
      <c r="C2208" t="str">
        <f t="shared" si="68"/>
        <v>MarylandMemphis</v>
      </c>
      <c r="D2208" t="s">
        <v>37</v>
      </c>
      <c r="E2208">
        <v>57.8</v>
      </c>
      <c r="F2208">
        <v>-2.0566037735849099</v>
      </c>
      <c r="G2208">
        <v>-136.872703598783</v>
      </c>
      <c r="H2208">
        <v>139.800080362286</v>
      </c>
      <c r="I2208" s="1">
        <f t="shared" si="69"/>
        <v>153.17372681092178</v>
      </c>
    </row>
    <row r="2209" spans="1:9" x14ac:dyDescent="0.45">
      <c r="A2209" t="s">
        <v>38</v>
      </c>
      <c r="B2209" t="s">
        <v>39</v>
      </c>
      <c r="C2209" t="str">
        <f t="shared" si="68"/>
        <v>McNeese St.Memphis</v>
      </c>
      <c r="D2209" t="s">
        <v>39</v>
      </c>
      <c r="E2209">
        <v>19.600000000000001</v>
      </c>
      <c r="F2209">
        <v>9.2490566037735906</v>
      </c>
      <c r="G2209">
        <v>410.04575075495899</v>
      </c>
      <c r="H2209">
        <v>139.635491976487</v>
      </c>
      <c r="I2209" s="1">
        <f t="shared" si="69"/>
        <v>150.8561436740714</v>
      </c>
    </row>
    <row r="2210" spans="1:9" x14ac:dyDescent="0.45">
      <c r="A2210" t="s">
        <v>39</v>
      </c>
      <c r="B2210" t="s">
        <v>39</v>
      </c>
      <c r="C2210" t="str">
        <f t="shared" si="68"/>
        <v>MemphisMemphis</v>
      </c>
      <c r="D2210" t="s">
        <v>39</v>
      </c>
      <c r="E2210">
        <v>41.2</v>
      </c>
      <c r="F2210">
        <v>2.3283018867924499</v>
      </c>
      <c r="G2210">
        <v>142.64273539779199</v>
      </c>
      <c r="H2210">
        <v>138.77771517530499</v>
      </c>
      <c r="I2210" s="1">
        <f t="shared" si="69"/>
        <v>138.77771517530277</v>
      </c>
    </row>
    <row r="2211" spans="1:9" x14ac:dyDescent="0.45">
      <c r="A2211" t="s">
        <v>40</v>
      </c>
      <c r="B2211" t="s">
        <v>39</v>
      </c>
      <c r="C2211" t="str">
        <f t="shared" si="68"/>
        <v>MichiganMemphis</v>
      </c>
      <c r="D2211" t="s">
        <v>39</v>
      </c>
      <c r="E2211">
        <v>27</v>
      </c>
      <c r="F2211">
        <v>6.51698113207547</v>
      </c>
      <c r="G2211">
        <v>270.22075188437702</v>
      </c>
      <c r="H2211">
        <v>138.43463625998899</v>
      </c>
      <c r="I2211" s="1">
        <f t="shared" si="69"/>
        <v>133.94679162692842</v>
      </c>
    </row>
    <row r="2212" spans="1:9" x14ac:dyDescent="0.45">
      <c r="A2212" t="s">
        <v>41</v>
      </c>
      <c r="B2212" t="s">
        <v>39</v>
      </c>
      <c r="C2212" t="str">
        <f t="shared" si="68"/>
        <v>Michigan St.Memphis</v>
      </c>
      <c r="D2212" t="s">
        <v>41</v>
      </c>
      <c r="E2212">
        <v>78</v>
      </c>
      <c r="F2212">
        <v>-8.3056603773584907</v>
      </c>
      <c r="G2212">
        <v>-355.10365068159001</v>
      </c>
      <c r="H2212">
        <v>140.13352822081799</v>
      </c>
      <c r="I2212" s="1">
        <f t="shared" si="69"/>
        <v>157.86903462502488</v>
      </c>
    </row>
    <row r="2213" spans="1:9" x14ac:dyDescent="0.45">
      <c r="A2213" t="s">
        <v>42</v>
      </c>
      <c r="B2213" t="s">
        <v>39</v>
      </c>
      <c r="C2213" t="str">
        <f t="shared" si="68"/>
        <v>MississippiMemphis</v>
      </c>
      <c r="D2213" t="s">
        <v>39</v>
      </c>
      <c r="E2213">
        <v>47.7</v>
      </c>
      <c r="F2213">
        <v>0.60377358490566002</v>
      </c>
      <c r="G2213">
        <v>109.638668637769</v>
      </c>
      <c r="H2213">
        <v>139.26444932591201</v>
      </c>
      <c r="I2213" s="1">
        <f t="shared" si="69"/>
        <v>145.6314603779179</v>
      </c>
    </row>
    <row r="2214" spans="1:9" x14ac:dyDescent="0.45">
      <c r="A2214" t="s">
        <v>43</v>
      </c>
      <c r="B2214" t="s">
        <v>39</v>
      </c>
      <c r="C2214" t="str">
        <f t="shared" si="68"/>
        <v>Mississippi St.Memphis</v>
      </c>
      <c r="D2214" t="s">
        <v>39</v>
      </c>
      <c r="E2214">
        <v>40.799999999999997</v>
      </c>
      <c r="F2214">
        <v>2.4528301886792501</v>
      </c>
      <c r="G2214">
        <v>145.36338753118699</v>
      </c>
      <c r="H2214">
        <v>139.38882067970101</v>
      </c>
      <c r="I2214" s="1">
        <f t="shared" si="69"/>
        <v>147.38274404747563</v>
      </c>
    </row>
    <row r="2215" spans="1:9" x14ac:dyDescent="0.45">
      <c r="A2215" t="s">
        <v>44</v>
      </c>
      <c r="B2215" t="s">
        <v>39</v>
      </c>
      <c r="C2215" t="str">
        <f t="shared" si="68"/>
        <v>MissouriMemphis</v>
      </c>
      <c r="D2215" t="s">
        <v>39</v>
      </c>
      <c r="E2215">
        <v>23.2</v>
      </c>
      <c r="F2215">
        <v>7.86415094339623</v>
      </c>
      <c r="G2215">
        <v>331.93570950637297</v>
      </c>
      <c r="H2215">
        <v>138.65329261587499</v>
      </c>
      <c r="I2215" s="1">
        <f t="shared" si="69"/>
        <v>137.02571047473475</v>
      </c>
    </row>
    <row r="2216" spans="1:9" x14ac:dyDescent="0.45">
      <c r="A2216" t="s">
        <v>45</v>
      </c>
      <c r="B2216" t="s">
        <v>39</v>
      </c>
      <c r="C2216" t="str">
        <f t="shared" si="68"/>
        <v>MontanaMemphis</v>
      </c>
      <c r="D2216" t="s">
        <v>39</v>
      </c>
      <c r="E2216">
        <v>2.9</v>
      </c>
      <c r="F2216">
        <v>23.1207547169811</v>
      </c>
      <c r="G2216">
        <v>3402.87540715669</v>
      </c>
      <c r="H2216">
        <v>137.962027340894</v>
      </c>
      <c r="I2216" s="1">
        <f t="shared" si="69"/>
        <v>127.29194501729393</v>
      </c>
    </row>
    <row r="2217" spans="1:9" x14ac:dyDescent="0.45">
      <c r="A2217" t="s">
        <v>46</v>
      </c>
      <c r="B2217" t="s">
        <v>39</v>
      </c>
      <c r="C2217" t="str">
        <f t="shared" si="68"/>
        <v>Mount St. Mary'sMemphis</v>
      </c>
      <c r="D2217" t="s">
        <v>39</v>
      </c>
      <c r="E2217">
        <v>1.1000000000000001</v>
      </c>
      <c r="F2217">
        <v>29.237735849056602</v>
      </c>
      <c r="G2217">
        <v>8650.6102211612706</v>
      </c>
      <c r="H2217">
        <v>139.30990156284099</v>
      </c>
      <c r="I2217" s="1">
        <f t="shared" si="69"/>
        <v>146.27147721341552</v>
      </c>
    </row>
    <row r="2218" spans="1:9" x14ac:dyDescent="0.45">
      <c r="A2218" t="s">
        <v>47</v>
      </c>
      <c r="B2218" t="s">
        <v>39</v>
      </c>
      <c r="C2218" t="str">
        <f t="shared" si="68"/>
        <v>Nebraska OmahaMemphis</v>
      </c>
      <c r="D2218" t="s">
        <v>39</v>
      </c>
      <c r="E2218">
        <v>1.5</v>
      </c>
      <c r="F2218">
        <v>27.5245283018868</v>
      </c>
      <c r="G2218">
        <v>6658.4996380585599</v>
      </c>
      <c r="H2218">
        <v>138.59390274274099</v>
      </c>
      <c r="I2218" s="1">
        <f t="shared" si="69"/>
        <v>136.18943659181858</v>
      </c>
    </row>
    <row r="2219" spans="1:9" x14ac:dyDescent="0.45">
      <c r="A2219" t="s">
        <v>48</v>
      </c>
      <c r="B2219" t="s">
        <v>39</v>
      </c>
      <c r="C2219" t="str">
        <f t="shared" si="68"/>
        <v>New MexicoMemphis</v>
      </c>
      <c r="D2219" t="s">
        <v>39</v>
      </c>
      <c r="E2219">
        <v>27.7</v>
      </c>
      <c r="F2219">
        <v>6.2754716981132104</v>
      </c>
      <c r="G2219">
        <v>260.459890469767</v>
      </c>
      <c r="H2219">
        <v>139.471647090017</v>
      </c>
      <c r="I2219" s="1">
        <f t="shared" si="69"/>
        <v>148.54902981486032</v>
      </c>
    </row>
    <row r="2220" spans="1:9" x14ac:dyDescent="0.45">
      <c r="A2220" t="s">
        <v>49</v>
      </c>
      <c r="B2220" t="s">
        <v>39</v>
      </c>
      <c r="C2220" t="str">
        <f t="shared" si="68"/>
        <v>Norfolk St.Memphis</v>
      </c>
      <c r="D2220" t="s">
        <v>39</v>
      </c>
      <c r="E2220">
        <v>2.2000000000000002</v>
      </c>
      <c r="F2220">
        <v>24.988679245282999</v>
      </c>
      <c r="G2220">
        <v>4524.7412084246498</v>
      </c>
      <c r="H2220">
        <v>138.48401075221801</v>
      </c>
      <c r="I2220" s="1">
        <f t="shared" si="69"/>
        <v>134.64203807475661</v>
      </c>
    </row>
    <row r="2221" spans="1:9" x14ac:dyDescent="0.45">
      <c r="A2221" t="s">
        <v>50</v>
      </c>
      <c r="B2221" t="s">
        <v>39</v>
      </c>
      <c r="C2221" t="str">
        <f t="shared" si="68"/>
        <v>North CarolinaMemphis</v>
      </c>
      <c r="D2221" t="s">
        <v>50</v>
      </c>
      <c r="E2221">
        <v>56.7</v>
      </c>
      <c r="F2221">
        <v>-1.76603773584906</v>
      </c>
      <c r="G2221">
        <v>-130.903777565518</v>
      </c>
      <c r="H2221">
        <v>140.555942184174</v>
      </c>
      <c r="I2221" s="1">
        <f t="shared" si="69"/>
        <v>163.81708176997719</v>
      </c>
    </row>
    <row r="2222" spans="1:9" x14ac:dyDescent="0.45">
      <c r="A2222" t="s">
        <v>51</v>
      </c>
      <c r="B2222" t="s">
        <v>39</v>
      </c>
      <c r="C2222" t="str">
        <f t="shared" si="68"/>
        <v>OklahomaMemphis</v>
      </c>
      <c r="D2222" t="s">
        <v>39</v>
      </c>
      <c r="E2222">
        <v>30</v>
      </c>
      <c r="F2222">
        <v>5.5396226415094301</v>
      </c>
      <c r="G2222">
        <v>232.83933087228601</v>
      </c>
      <c r="H2222">
        <v>138.898545479679</v>
      </c>
      <c r="I2222" s="1">
        <f t="shared" si="69"/>
        <v>140.47913702519989</v>
      </c>
    </row>
    <row r="2223" spans="1:9" x14ac:dyDescent="0.45">
      <c r="A2223" t="s">
        <v>52</v>
      </c>
      <c r="B2223" t="s">
        <v>39</v>
      </c>
      <c r="C2223" t="str">
        <f t="shared" si="68"/>
        <v>OregonMemphis</v>
      </c>
      <c r="D2223" t="s">
        <v>52</v>
      </c>
      <c r="E2223">
        <v>58.6</v>
      </c>
      <c r="F2223">
        <v>-2.2830188679245298</v>
      </c>
      <c r="G2223">
        <v>-141.69941721555</v>
      </c>
      <c r="H2223">
        <v>139.49292326781901</v>
      </c>
      <c r="I2223" s="1">
        <f t="shared" si="69"/>
        <v>148.84862149413459</v>
      </c>
    </row>
    <row r="2224" spans="1:9" x14ac:dyDescent="0.45">
      <c r="A2224" t="s">
        <v>53</v>
      </c>
      <c r="B2224" t="s">
        <v>39</v>
      </c>
      <c r="C2224" t="str">
        <f t="shared" si="68"/>
        <v>PurdueMemphis</v>
      </c>
      <c r="D2224" t="s">
        <v>53</v>
      </c>
      <c r="E2224">
        <v>88.2</v>
      </c>
      <c r="F2224">
        <v>-13.1962264150943</v>
      </c>
      <c r="G2224">
        <v>-748.472303758164</v>
      </c>
      <c r="H2224">
        <v>140.84091059660801</v>
      </c>
      <c r="I2224" s="1">
        <f t="shared" si="69"/>
        <v>167.82974635737196</v>
      </c>
    </row>
    <row r="2225" spans="1:9" x14ac:dyDescent="0.45">
      <c r="A2225" t="s">
        <v>54</v>
      </c>
      <c r="B2225" t="s">
        <v>39</v>
      </c>
      <c r="C2225" t="str">
        <f t="shared" si="68"/>
        <v>Robert MorrisMemphis</v>
      </c>
      <c r="D2225" t="s">
        <v>39</v>
      </c>
      <c r="E2225">
        <v>0.9</v>
      </c>
      <c r="F2225">
        <v>30.747169811320799</v>
      </c>
      <c r="G2225">
        <v>10889.4324957383</v>
      </c>
      <c r="H2225">
        <v>137.89954744537101</v>
      </c>
      <c r="I2225" s="1">
        <f t="shared" si="69"/>
        <v>126.41216026484436</v>
      </c>
    </row>
    <row r="2226" spans="1:9" x14ac:dyDescent="0.45">
      <c r="A2226" t="s">
        <v>55</v>
      </c>
      <c r="B2226" t="s">
        <v>39</v>
      </c>
      <c r="C2226" t="str">
        <f t="shared" si="68"/>
        <v>Saint FrancisMemphis</v>
      </c>
      <c r="D2226" t="s">
        <v>39</v>
      </c>
      <c r="E2226">
        <v>0.6</v>
      </c>
      <c r="F2226">
        <v>33.471698113207502</v>
      </c>
      <c r="G2226">
        <v>16505.176294989898</v>
      </c>
      <c r="H2226">
        <v>138.95240297857799</v>
      </c>
      <c r="I2226" s="1">
        <f t="shared" si="69"/>
        <v>141.2375090733569</v>
      </c>
    </row>
    <row r="2227" spans="1:9" x14ac:dyDescent="0.45">
      <c r="A2227" t="s">
        <v>56</v>
      </c>
      <c r="B2227" t="s">
        <v>39</v>
      </c>
      <c r="C2227" t="str">
        <f t="shared" si="68"/>
        <v>Saint Mary'sMemphis</v>
      </c>
      <c r="D2227" t="s">
        <v>56</v>
      </c>
      <c r="E2227">
        <v>54.7</v>
      </c>
      <c r="F2227">
        <v>-1.2415094339622601</v>
      </c>
      <c r="G2227">
        <v>-120.854689688988</v>
      </c>
      <c r="H2227">
        <v>140.20365817966899</v>
      </c>
      <c r="I2227" s="1">
        <f t="shared" si="69"/>
        <v>158.85654057346756</v>
      </c>
    </row>
    <row r="2228" spans="1:9" x14ac:dyDescent="0.45">
      <c r="A2228" t="s">
        <v>57</v>
      </c>
      <c r="B2228" t="s">
        <v>39</v>
      </c>
      <c r="C2228" t="str">
        <f t="shared" si="68"/>
        <v>San Diego St.Memphis</v>
      </c>
      <c r="D2228" t="s">
        <v>39</v>
      </c>
      <c r="E2228">
        <v>26</v>
      </c>
      <c r="F2228">
        <v>6.8528301886792402</v>
      </c>
      <c r="G2228">
        <v>284.365940646426</v>
      </c>
      <c r="H2228">
        <v>139.34991305946599</v>
      </c>
      <c r="I2228" s="1">
        <f t="shared" si="69"/>
        <v>146.83488251937371</v>
      </c>
    </row>
    <row r="2229" spans="1:9" x14ac:dyDescent="0.45">
      <c r="A2229" t="s">
        <v>58</v>
      </c>
      <c r="B2229" t="s">
        <v>39</v>
      </c>
      <c r="C2229" t="str">
        <f t="shared" si="68"/>
        <v>SIU EdwardsvilleMemphis</v>
      </c>
      <c r="D2229" t="s">
        <v>39</v>
      </c>
      <c r="E2229">
        <v>1.7</v>
      </c>
      <c r="F2229">
        <v>26.449056603773599</v>
      </c>
      <c r="G2229">
        <v>5652.6819095922101</v>
      </c>
      <c r="H2229">
        <v>139.49760082631499</v>
      </c>
      <c r="I2229" s="1">
        <f t="shared" si="69"/>
        <v>148.91448659536454</v>
      </c>
    </row>
    <row r="2230" spans="1:9" x14ac:dyDescent="0.45">
      <c r="A2230" t="s">
        <v>59</v>
      </c>
      <c r="B2230" t="s">
        <v>39</v>
      </c>
      <c r="C2230" t="str">
        <f t="shared" si="68"/>
        <v>St. John'sMemphis</v>
      </c>
      <c r="D2230" t="s">
        <v>59</v>
      </c>
      <c r="E2230">
        <v>79.099999999999994</v>
      </c>
      <c r="F2230">
        <v>-8.7094339622641499</v>
      </c>
      <c r="G2230">
        <v>-377.53129718255502</v>
      </c>
      <c r="H2230">
        <v>140.47528359885899</v>
      </c>
      <c r="I2230" s="1">
        <f t="shared" si="69"/>
        <v>162.68132133183448</v>
      </c>
    </row>
    <row r="2231" spans="1:9" x14ac:dyDescent="0.45">
      <c r="A2231" t="s">
        <v>60</v>
      </c>
      <c r="B2231" t="s">
        <v>39</v>
      </c>
      <c r="C2231" t="str">
        <f t="shared" si="68"/>
        <v>TennesseeMemphis</v>
      </c>
      <c r="D2231" t="s">
        <v>60</v>
      </c>
      <c r="E2231">
        <v>88.3</v>
      </c>
      <c r="F2231">
        <v>-13.2528301886792</v>
      </c>
      <c r="G2231">
        <v>-755.25291217301901</v>
      </c>
      <c r="H2231">
        <v>141.06926647554999</v>
      </c>
      <c r="I2231" s="1">
        <f t="shared" si="69"/>
        <v>171.04524501888093</v>
      </c>
    </row>
    <row r="2232" spans="1:9" x14ac:dyDescent="0.45">
      <c r="A2232" t="s">
        <v>61</v>
      </c>
      <c r="B2232" t="s">
        <v>39</v>
      </c>
      <c r="C2232" t="str">
        <f t="shared" si="68"/>
        <v>TexasMemphis</v>
      </c>
      <c r="D2232" t="s">
        <v>39</v>
      </c>
      <c r="E2232">
        <v>23.6</v>
      </c>
      <c r="F2232">
        <v>7.6981132075471699</v>
      </c>
      <c r="G2232">
        <v>323.649027463067</v>
      </c>
      <c r="H2232">
        <v>138.82498100662201</v>
      </c>
      <c r="I2232" s="1">
        <f t="shared" si="69"/>
        <v>139.44326938848596</v>
      </c>
    </row>
    <row r="2233" spans="1:9" x14ac:dyDescent="0.45">
      <c r="A2233" t="s">
        <v>62</v>
      </c>
      <c r="B2233" t="s">
        <v>39</v>
      </c>
      <c r="C2233" t="str">
        <f t="shared" si="68"/>
        <v>Texas A&amp;MMemphis</v>
      </c>
      <c r="D2233" t="s">
        <v>62</v>
      </c>
      <c r="E2233">
        <v>64.099999999999994</v>
      </c>
      <c r="F2233">
        <v>-3.7962264150943401</v>
      </c>
      <c r="G2233">
        <v>-178.454114976076</v>
      </c>
      <c r="H2233">
        <v>139.62278003421599</v>
      </c>
      <c r="I2233" s="1">
        <f t="shared" si="69"/>
        <v>150.67714572776498</v>
      </c>
    </row>
    <row r="2234" spans="1:9" x14ac:dyDescent="0.45">
      <c r="A2234" t="s">
        <v>63</v>
      </c>
      <c r="B2234" t="s">
        <v>39</v>
      </c>
      <c r="C2234" t="str">
        <f t="shared" si="68"/>
        <v>Texas TechMemphis</v>
      </c>
      <c r="D2234" t="s">
        <v>63</v>
      </c>
      <c r="E2234">
        <v>77.900000000000006</v>
      </c>
      <c r="F2234">
        <v>-8.2490566037735906</v>
      </c>
      <c r="G2234">
        <v>-351.91931187275998</v>
      </c>
      <c r="H2234">
        <v>140.66256415327999</v>
      </c>
      <c r="I2234" s="1">
        <f t="shared" si="69"/>
        <v>165.31843483579803</v>
      </c>
    </row>
    <row r="2235" spans="1:9" x14ac:dyDescent="0.45">
      <c r="A2235" t="s">
        <v>64</v>
      </c>
      <c r="B2235" t="s">
        <v>39</v>
      </c>
      <c r="C2235" t="str">
        <f t="shared" si="68"/>
        <v>TroyMemphis</v>
      </c>
      <c r="D2235" t="s">
        <v>39</v>
      </c>
      <c r="E2235">
        <v>4.7</v>
      </c>
      <c r="F2235">
        <v>19.698113207547198</v>
      </c>
      <c r="G2235">
        <v>2018.44911449962</v>
      </c>
      <c r="H2235">
        <v>139.36612857301</v>
      </c>
      <c r="I2235" s="1">
        <f t="shared" si="69"/>
        <v>147.06321455241803</v>
      </c>
    </row>
    <row r="2236" spans="1:9" x14ac:dyDescent="0.45">
      <c r="A2236" t="s">
        <v>65</v>
      </c>
      <c r="B2236" t="s">
        <v>39</v>
      </c>
      <c r="C2236" t="str">
        <f t="shared" si="68"/>
        <v>UC San DiegoMemphis</v>
      </c>
      <c r="D2236" t="s">
        <v>39</v>
      </c>
      <c r="E2236">
        <v>11.3</v>
      </c>
      <c r="F2236">
        <v>13.5358490566038</v>
      </c>
      <c r="G2236">
        <v>788.62697173960703</v>
      </c>
      <c r="H2236">
        <v>139.45425031640099</v>
      </c>
      <c r="I2236" s="1">
        <f t="shared" si="69"/>
        <v>148.30406435771488</v>
      </c>
    </row>
    <row r="2237" spans="1:9" x14ac:dyDescent="0.45">
      <c r="A2237" t="s">
        <v>66</v>
      </c>
      <c r="B2237" t="s">
        <v>39</v>
      </c>
      <c r="C2237" t="str">
        <f t="shared" si="68"/>
        <v>UCLAMemphis</v>
      </c>
      <c r="D2237" t="s">
        <v>39</v>
      </c>
      <c r="E2237">
        <v>33.5</v>
      </c>
      <c r="F2237">
        <v>4.49433962264151</v>
      </c>
      <c r="G2237">
        <v>198.458115256658</v>
      </c>
      <c r="H2237">
        <v>138.92570482950899</v>
      </c>
      <c r="I2237" s="1">
        <f t="shared" si="69"/>
        <v>140.86157015295817</v>
      </c>
    </row>
    <row r="2238" spans="1:9" x14ac:dyDescent="0.45">
      <c r="A2238" t="s">
        <v>67</v>
      </c>
      <c r="B2238" t="s">
        <v>39</v>
      </c>
      <c r="C2238" t="str">
        <f t="shared" si="68"/>
        <v>UNC WilmingtonMemphis</v>
      </c>
      <c r="D2238" t="s">
        <v>39</v>
      </c>
      <c r="E2238">
        <v>7.1</v>
      </c>
      <c r="F2238">
        <v>16.898113207547201</v>
      </c>
      <c r="G2238">
        <v>1316.7696741956099</v>
      </c>
      <c r="H2238">
        <v>140.04072050342899</v>
      </c>
      <c r="I2238" s="1">
        <f t="shared" si="69"/>
        <v>156.56220121909413</v>
      </c>
    </row>
    <row r="2239" spans="1:9" x14ac:dyDescent="0.45">
      <c r="A2239" t="s">
        <v>68</v>
      </c>
      <c r="B2239" t="s">
        <v>39</v>
      </c>
      <c r="C2239" t="str">
        <f t="shared" si="68"/>
        <v>Utah St.Memphis</v>
      </c>
      <c r="D2239" t="s">
        <v>39</v>
      </c>
      <c r="E2239">
        <v>27.8</v>
      </c>
      <c r="F2239">
        <v>6.2528301886792503</v>
      </c>
      <c r="G2239">
        <v>259.615614921521</v>
      </c>
      <c r="H2239">
        <v>139.41209090725599</v>
      </c>
      <c r="I2239" s="1">
        <f t="shared" si="69"/>
        <v>147.71041411186246</v>
      </c>
    </row>
    <row r="2240" spans="1:9" x14ac:dyDescent="0.45">
      <c r="A2240" t="s">
        <v>69</v>
      </c>
      <c r="B2240" t="s">
        <v>39</v>
      </c>
      <c r="C2240" t="str">
        <f t="shared" si="68"/>
        <v>VanderbiltMemphis</v>
      </c>
      <c r="D2240" t="s">
        <v>39</v>
      </c>
      <c r="E2240">
        <v>7.6</v>
      </c>
      <c r="F2240">
        <v>16.377358490565999</v>
      </c>
      <c r="G2240">
        <v>1215.9642294740399</v>
      </c>
      <c r="H2240">
        <v>137.98666139585399</v>
      </c>
      <c r="I2240" s="1">
        <f t="shared" si="69"/>
        <v>127.63881925201204</v>
      </c>
    </row>
    <row r="2241" spans="1:9" x14ac:dyDescent="0.45">
      <c r="A2241" t="s">
        <v>70</v>
      </c>
      <c r="B2241" t="s">
        <v>39</v>
      </c>
      <c r="C2241" t="str">
        <f t="shared" si="68"/>
        <v>VCUMemphis</v>
      </c>
      <c r="D2241" t="s">
        <v>39</v>
      </c>
      <c r="E2241">
        <v>20.100000000000001</v>
      </c>
      <c r="F2241">
        <v>9.0301886792452795</v>
      </c>
      <c r="G2241">
        <v>396.452113011905</v>
      </c>
      <c r="H2241">
        <v>139.83157255773</v>
      </c>
      <c r="I2241" s="1">
        <f t="shared" si="69"/>
        <v>153.61717110833746</v>
      </c>
    </row>
    <row r="2242" spans="1:9" x14ac:dyDescent="0.45">
      <c r="A2242" t="s">
        <v>71</v>
      </c>
      <c r="B2242" t="s">
        <v>39</v>
      </c>
      <c r="C2242" t="str">
        <f t="shared" si="68"/>
        <v>WisconsinMemphis</v>
      </c>
      <c r="D2242" t="s">
        <v>71</v>
      </c>
      <c r="E2242">
        <v>75.7</v>
      </c>
      <c r="F2242">
        <v>-7.4339622641509404</v>
      </c>
      <c r="G2242">
        <v>-310.777875118304</v>
      </c>
      <c r="H2242">
        <v>140.632251412996</v>
      </c>
      <c r="I2242" s="1">
        <f t="shared" si="69"/>
        <v>164.89159854736334</v>
      </c>
    </row>
    <row r="2243" spans="1:9" x14ac:dyDescent="0.45">
      <c r="A2243" t="s">
        <v>80</v>
      </c>
      <c r="B2243" t="s">
        <v>39</v>
      </c>
      <c r="C2243" t="str">
        <f t="shared" ref="C2243:C2306" si="70">A2243&amp;B2243</f>
        <v>WoffordMemphis</v>
      </c>
      <c r="D2243" t="s">
        <v>39</v>
      </c>
      <c r="E2243">
        <v>2.5</v>
      </c>
      <c r="F2243">
        <v>23.9509433962264</v>
      </c>
      <c r="G2243">
        <v>3862.1131153431902</v>
      </c>
      <c r="H2243">
        <v>138.661707152091</v>
      </c>
      <c r="I2243" s="1">
        <f t="shared" ref="I2243:I2306" si="71">18*(H2243-AVERAGE($H$2:$H$4625))/_xlfn.STDEV.P($H$2:$H$4625)+AVERAGE($H$2:$H$4625)</f>
        <v>137.14419627884524</v>
      </c>
    </row>
    <row r="2244" spans="1:9" x14ac:dyDescent="0.45">
      <c r="A2244" t="s">
        <v>72</v>
      </c>
      <c r="B2244" t="s">
        <v>39</v>
      </c>
      <c r="C2244" t="str">
        <f t="shared" si="70"/>
        <v>XavierMemphis</v>
      </c>
      <c r="D2244" t="s">
        <v>39</v>
      </c>
      <c r="E2244">
        <v>20</v>
      </c>
      <c r="F2244">
        <v>9.1056603773584897</v>
      </c>
      <c r="G2244">
        <v>401.093335108735</v>
      </c>
      <c r="H2244">
        <v>139.23762072224301</v>
      </c>
      <c r="I2244" s="1">
        <f t="shared" si="71"/>
        <v>145.2536845151395</v>
      </c>
    </row>
    <row r="2245" spans="1:9" x14ac:dyDescent="0.45">
      <c r="A2245" t="s">
        <v>73</v>
      </c>
      <c r="B2245" t="s">
        <v>39</v>
      </c>
      <c r="C2245" t="str">
        <f t="shared" si="70"/>
        <v>YaleMemphis</v>
      </c>
      <c r="D2245" t="s">
        <v>39</v>
      </c>
      <c r="E2245">
        <v>12.2</v>
      </c>
      <c r="F2245">
        <v>12.9283018867925</v>
      </c>
      <c r="G2245">
        <v>718.71552404222405</v>
      </c>
      <c r="H2245">
        <v>140.03685535630501</v>
      </c>
      <c r="I2245" s="1">
        <f t="shared" si="71"/>
        <v>156.5077757518749</v>
      </c>
    </row>
    <row r="2246" spans="1:9" x14ac:dyDescent="0.45">
      <c r="A2246" t="s">
        <v>7</v>
      </c>
      <c r="B2246" t="s">
        <v>40</v>
      </c>
      <c r="C2246" t="str">
        <f t="shared" si="70"/>
        <v>AkronMichigan</v>
      </c>
      <c r="D2246" t="s">
        <v>40</v>
      </c>
      <c r="E2246">
        <v>11.9</v>
      </c>
      <c r="F2246">
        <v>13.135849056603799</v>
      </c>
      <c r="G2246">
        <v>741.746958159663</v>
      </c>
      <c r="H2246">
        <v>139.162399727067</v>
      </c>
      <c r="I2246" s="1">
        <f t="shared" si="71"/>
        <v>144.19449124879364</v>
      </c>
    </row>
    <row r="2247" spans="1:9" x14ac:dyDescent="0.45">
      <c r="A2247" t="s">
        <v>8</v>
      </c>
      <c r="B2247" t="s">
        <v>40</v>
      </c>
      <c r="C2247" t="str">
        <f t="shared" si="70"/>
        <v>AlabamaMichigan</v>
      </c>
      <c r="D2247" t="s">
        <v>8</v>
      </c>
      <c r="E2247">
        <v>90.8</v>
      </c>
      <c r="F2247">
        <v>-15.037735849056601</v>
      </c>
      <c r="G2247">
        <v>-991.443338098254</v>
      </c>
      <c r="H2247">
        <v>140.91049573920699</v>
      </c>
      <c r="I2247" s="1">
        <f t="shared" si="71"/>
        <v>168.80958070157462</v>
      </c>
    </row>
    <row r="2248" spans="1:9" x14ac:dyDescent="0.45">
      <c r="A2248" t="s">
        <v>9</v>
      </c>
      <c r="B2248" t="s">
        <v>40</v>
      </c>
      <c r="C2248" t="str">
        <f t="shared" si="70"/>
        <v>Alabama St.Michigan</v>
      </c>
      <c r="D2248" t="s">
        <v>40</v>
      </c>
      <c r="E2248">
        <v>2.1</v>
      </c>
      <c r="F2248">
        <v>25.275471698113201</v>
      </c>
      <c r="G2248">
        <v>4726.2805905325704</v>
      </c>
      <c r="H2248">
        <v>139.389240582881</v>
      </c>
      <c r="I2248" s="1">
        <f t="shared" si="71"/>
        <v>147.38865674006524</v>
      </c>
    </row>
    <row r="2249" spans="1:9" x14ac:dyDescent="0.45">
      <c r="A2249" t="s">
        <v>10</v>
      </c>
      <c r="B2249" t="s">
        <v>40</v>
      </c>
      <c r="C2249" t="str">
        <f t="shared" si="70"/>
        <v>AmericanMichigan</v>
      </c>
      <c r="D2249" t="s">
        <v>40</v>
      </c>
      <c r="E2249">
        <v>2.5</v>
      </c>
      <c r="F2249">
        <v>24.011320754717001</v>
      </c>
      <c r="G2249">
        <v>3897.8209126625102</v>
      </c>
      <c r="H2249">
        <v>139.48032646448499</v>
      </c>
      <c r="I2249" s="1">
        <f t="shared" si="71"/>
        <v>148.67124482904717</v>
      </c>
    </row>
    <row r="2250" spans="1:9" x14ac:dyDescent="0.45">
      <c r="A2250" t="s">
        <v>11</v>
      </c>
      <c r="B2250" t="s">
        <v>40</v>
      </c>
      <c r="C2250" t="str">
        <f t="shared" si="70"/>
        <v>ArizonaMichigan</v>
      </c>
      <c r="D2250" t="s">
        <v>11</v>
      </c>
      <c r="E2250">
        <v>87.6</v>
      </c>
      <c r="F2250">
        <v>-12.796226415094299</v>
      </c>
      <c r="G2250">
        <v>-704.41677464526299</v>
      </c>
      <c r="H2250">
        <v>140.672854558197</v>
      </c>
      <c r="I2250" s="1">
        <f t="shared" si="71"/>
        <v>165.46333490752096</v>
      </c>
    </row>
    <row r="2251" spans="1:9" x14ac:dyDescent="0.45">
      <c r="A2251" t="s">
        <v>12</v>
      </c>
      <c r="B2251" t="s">
        <v>40</v>
      </c>
      <c r="C2251" t="str">
        <f t="shared" si="70"/>
        <v>ArkansasMichigan</v>
      </c>
      <c r="D2251" t="s">
        <v>40</v>
      </c>
      <c r="E2251">
        <v>29.9</v>
      </c>
      <c r="F2251">
        <v>5.5962264150943399</v>
      </c>
      <c r="G2251">
        <v>234.77856896259499</v>
      </c>
      <c r="H2251">
        <v>138.790458392055</v>
      </c>
      <c r="I2251" s="1">
        <f t="shared" si="71"/>
        <v>138.95715350022272</v>
      </c>
    </row>
    <row r="2252" spans="1:9" x14ac:dyDescent="0.45">
      <c r="A2252" t="s">
        <v>13</v>
      </c>
      <c r="B2252" t="s">
        <v>40</v>
      </c>
      <c r="C2252" t="str">
        <f t="shared" si="70"/>
        <v>AuburnMichigan</v>
      </c>
      <c r="D2252" t="s">
        <v>13</v>
      </c>
      <c r="E2252">
        <v>95.1</v>
      </c>
      <c r="F2252">
        <v>-19.449056603773599</v>
      </c>
      <c r="G2252">
        <v>-1942.98397973689</v>
      </c>
      <c r="H2252">
        <v>141.92917779731599</v>
      </c>
      <c r="I2252" s="1">
        <f t="shared" si="71"/>
        <v>183.1537298845474</v>
      </c>
    </row>
    <row r="2253" spans="1:9" x14ac:dyDescent="0.45">
      <c r="A2253" t="s">
        <v>14</v>
      </c>
      <c r="B2253" t="s">
        <v>40</v>
      </c>
      <c r="C2253" t="str">
        <f t="shared" si="70"/>
        <v>BaylorMichigan</v>
      </c>
      <c r="D2253" t="s">
        <v>14</v>
      </c>
      <c r="E2253">
        <v>67.3</v>
      </c>
      <c r="F2253">
        <v>-4.7169811320754702</v>
      </c>
      <c r="G2253">
        <v>-205.34376518424</v>
      </c>
      <c r="H2253">
        <v>140.46417581004101</v>
      </c>
      <c r="I2253" s="1">
        <f t="shared" si="71"/>
        <v>162.52491160749534</v>
      </c>
    </row>
    <row r="2254" spans="1:9" x14ac:dyDescent="0.45">
      <c r="A2254" t="s">
        <v>15</v>
      </c>
      <c r="B2254" t="s">
        <v>40</v>
      </c>
      <c r="C2254" t="str">
        <f t="shared" si="70"/>
        <v>BryantMichigan</v>
      </c>
      <c r="D2254" t="s">
        <v>40</v>
      </c>
      <c r="E2254">
        <v>8.5</v>
      </c>
      <c r="F2254">
        <v>15.569811320754701</v>
      </c>
      <c r="G2254">
        <v>1075.12416615296</v>
      </c>
      <c r="H2254">
        <v>140.01317355993501</v>
      </c>
      <c r="I2254" s="1">
        <f t="shared" si="71"/>
        <v>156.17431035180431</v>
      </c>
    </row>
    <row r="2255" spans="1:9" x14ac:dyDescent="0.45">
      <c r="A2255" t="s">
        <v>16</v>
      </c>
      <c r="B2255" t="s">
        <v>40</v>
      </c>
      <c r="C2255" t="str">
        <f t="shared" si="70"/>
        <v>BYUMichigan</v>
      </c>
      <c r="D2255" t="s">
        <v>16</v>
      </c>
      <c r="E2255">
        <v>71.400000000000006</v>
      </c>
      <c r="F2255">
        <v>-6.01132075471698</v>
      </c>
      <c r="G2255">
        <v>-250.160135837913</v>
      </c>
      <c r="H2255">
        <v>140.27369403815899</v>
      </c>
      <c r="I2255" s="1">
        <f t="shared" si="71"/>
        <v>159.8427214866791</v>
      </c>
    </row>
    <row r="2256" spans="1:9" x14ac:dyDescent="0.45">
      <c r="A2256" t="s">
        <v>17</v>
      </c>
      <c r="B2256" t="s">
        <v>40</v>
      </c>
      <c r="C2256" t="str">
        <f t="shared" si="70"/>
        <v>ClemsonMichigan</v>
      </c>
      <c r="D2256" t="s">
        <v>17</v>
      </c>
      <c r="E2256">
        <v>76.2</v>
      </c>
      <c r="F2256">
        <v>-7.6339622641509397</v>
      </c>
      <c r="G2256">
        <v>-320.53069862178802</v>
      </c>
      <c r="H2256">
        <v>140.49560589444999</v>
      </c>
      <c r="I2256" s="1">
        <f t="shared" si="71"/>
        <v>162.96748131411485</v>
      </c>
    </row>
    <row r="2257" spans="1:9" x14ac:dyDescent="0.45">
      <c r="A2257" t="s">
        <v>18</v>
      </c>
      <c r="B2257" t="s">
        <v>40</v>
      </c>
      <c r="C2257" t="str">
        <f t="shared" si="70"/>
        <v>Colorado St.Michigan</v>
      </c>
      <c r="D2257" t="s">
        <v>40</v>
      </c>
      <c r="E2257">
        <v>34.5</v>
      </c>
      <c r="F2257">
        <v>4.2037735849056599</v>
      </c>
      <c r="G2257">
        <v>189.87679822940601</v>
      </c>
      <c r="H2257">
        <v>139.80299774255599</v>
      </c>
      <c r="I2257" s="1">
        <f t="shared" si="71"/>
        <v>153.21480669201236</v>
      </c>
    </row>
    <row r="2258" spans="1:9" x14ac:dyDescent="0.45">
      <c r="A2258" t="s">
        <v>19</v>
      </c>
      <c r="B2258" t="s">
        <v>40</v>
      </c>
      <c r="C2258" t="str">
        <f t="shared" si="70"/>
        <v>ConnecticutMichigan</v>
      </c>
      <c r="D2258" t="s">
        <v>19</v>
      </c>
      <c r="E2258">
        <v>84.5</v>
      </c>
      <c r="F2258">
        <v>-11.0981132075472</v>
      </c>
      <c r="G2258">
        <v>-543.65719630140097</v>
      </c>
      <c r="H2258">
        <v>140.43854964489199</v>
      </c>
      <c r="I2258" s="1">
        <f t="shared" si="71"/>
        <v>162.16406738435529</v>
      </c>
    </row>
    <row r="2259" spans="1:9" x14ac:dyDescent="0.45">
      <c r="A2259" t="s">
        <v>20</v>
      </c>
      <c r="B2259" t="s">
        <v>40</v>
      </c>
      <c r="C2259" t="str">
        <f t="shared" si="70"/>
        <v>CreightonMichigan</v>
      </c>
      <c r="D2259" t="s">
        <v>20</v>
      </c>
      <c r="E2259">
        <v>62.7</v>
      </c>
      <c r="F2259">
        <v>-3.4075471698113202</v>
      </c>
      <c r="G2259">
        <v>-168.168679469366</v>
      </c>
      <c r="H2259">
        <v>139.911492007155</v>
      </c>
      <c r="I2259" s="1">
        <f t="shared" si="71"/>
        <v>154.74252371079851</v>
      </c>
    </row>
    <row r="2260" spans="1:9" x14ac:dyDescent="0.45">
      <c r="A2260" t="s">
        <v>21</v>
      </c>
      <c r="B2260" t="s">
        <v>40</v>
      </c>
      <c r="C2260" t="str">
        <f t="shared" si="70"/>
        <v>DrakeMichigan</v>
      </c>
      <c r="D2260" t="s">
        <v>40</v>
      </c>
      <c r="E2260">
        <v>34.299999999999997</v>
      </c>
      <c r="F2260">
        <v>4.2528301886792503</v>
      </c>
      <c r="G2260">
        <v>191.350586380561</v>
      </c>
      <c r="H2260">
        <v>139.96495711131001</v>
      </c>
      <c r="I2260" s="1">
        <f t="shared" si="71"/>
        <v>155.49537041500599</v>
      </c>
    </row>
    <row r="2261" spans="1:9" x14ac:dyDescent="0.45">
      <c r="A2261" t="s">
        <v>22</v>
      </c>
      <c r="B2261" t="s">
        <v>40</v>
      </c>
      <c r="C2261" t="str">
        <f t="shared" si="70"/>
        <v>DukeMichigan</v>
      </c>
      <c r="D2261" t="s">
        <v>22</v>
      </c>
      <c r="E2261">
        <v>96.6</v>
      </c>
      <c r="F2261">
        <v>-21.9584905660377</v>
      </c>
      <c r="G2261">
        <v>-2848.9094051150901</v>
      </c>
      <c r="H2261">
        <v>142.25227757276599</v>
      </c>
      <c r="I2261" s="1">
        <f t="shared" si="71"/>
        <v>187.70332545575357</v>
      </c>
    </row>
    <row r="2262" spans="1:9" x14ac:dyDescent="0.45">
      <c r="A2262" t="s">
        <v>23</v>
      </c>
      <c r="B2262" t="s">
        <v>40</v>
      </c>
      <c r="C2262" t="str">
        <f t="shared" si="70"/>
        <v>FloridaMichigan</v>
      </c>
      <c r="D2262" t="s">
        <v>23</v>
      </c>
      <c r="E2262">
        <v>94</v>
      </c>
      <c r="F2262">
        <v>-18.0566037735849</v>
      </c>
      <c r="G2262">
        <v>-1571.56378881406</v>
      </c>
      <c r="H2262">
        <v>141.976033848708</v>
      </c>
      <c r="I2262" s="1">
        <f t="shared" si="71"/>
        <v>183.81351395156014</v>
      </c>
    </row>
    <row r="2263" spans="1:9" x14ac:dyDescent="0.45">
      <c r="A2263" t="s">
        <v>24</v>
      </c>
      <c r="B2263" t="s">
        <v>40</v>
      </c>
      <c r="C2263" t="str">
        <f t="shared" si="70"/>
        <v>GeorgiaMichigan</v>
      </c>
      <c r="D2263" t="s">
        <v>40</v>
      </c>
      <c r="E2263">
        <v>37.1</v>
      </c>
      <c r="F2263">
        <v>3.4490566037735899</v>
      </c>
      <c r="G2263">
        <v>169.239883852384</v>
      </c>
      <c r="H2263">
        <v>139.117847373053</v>
      </c>
      <c r="I2263" s="1">
        <f t="shared" si="71"/>
        <v>143.56714574158428</v>
      </c>
    </row>
    <row r="2264" spans="1:9" x14ac:dyDescent="0.45">
      <c r="A2264" t="s">
        <v>25</v>
      </c>
      <c r="B2264" t="s">
        <v>40</v>
      </c>
      <c r="C2264" t="str">
        <f t="shared" si="70"/>
        <v>GonzagaMichigan</v>
      </c>
      <c r="D2264" t="s">
        <v>25</v>
      </c>
      <c r="E2264">
        <v>76.900000000000006</v>
      </c>
      <c r="F2264">
        <v>-7.8792452830188697</v>
      </c>
      <c r="G2264">
        <v>-332.59716157925698</v>
      </c>
      <c r="H2264">
        <v>141.25548849258101</v>
      </c>
      <c r="I2264" s="1">
        <f t="shared" si="71"/>
        <v>173.66745316732479</v>
      </c>
    </row>
    <row r="2265" spans="1:9" x14ac:dyDescent="0.45">
      <c r="A2265" t="s">
        <v>26</v>
      </c>
      <c r="B2265" t="s">
        <v>40</v>
      </c>
      <c r="C2265" t="str">
        <f t="shared" si="70"/>
        <v>Grand CanyonMichigan</v>
      </c>
      <c r="D2265" t="s">
        <v>40</v>
      </c>
      <c r="E2265">
        <v>24.5</v>
      </c>
      <c r="F2265">
        <v>7.36981132075472</v>
      </c>
      <c r="G2265">
        <v>307.867650860629</v>
      </c>
      <c r="H2265">
        <v>139.907456738885</v>
      </c>
      <c r="I2265" s="1">
        <f t="shared" si="71"/>
        <v>154.68570275317248</v>
      </c>
    </row>
    <row r="2266" spans="1:9" x14ac:dyDescent="0.45">
      <c r="A2266" t="s">
        <v>27</v>
      </c>
      <c r="B2266" t="s">
        <v>40</v>
      </c>
      <c r="C2266" t="str">
        <f t="shared" si="70"/>
        <v>High PointMichigan</v>
      </c>
      <c r="D2266" t="s">
        <v>40</v>
      </c>
      <c r="E2266">
        <v>17.5</v>
      </c>
      <c r="F2266">
        <v>10.143396226415099</v>
      </c>
      <c r="G2266">
        <v>469.93752645331301</v>
      </c>
      <c r="H2266">
        <v>140.188348486541</v>
      </c>
      <c r="I2266" s="1">
        <f t="shared" si="71"/>
        <v>158.64096347517147</v>
      </c>
    </row>
    <row r="2267" spans="1:9" x14ac:dyDescent="0.45">
      <c r="A2267" t="s">
        <v>28</v>
      </c>
      <c r="B2267" t="s">
        <v>40</v>
      </c>
      <c r="C2267" t="str">
        <f t="shared" si="70"/>
        <v>HoustonMichigan</v>
      </c>
      <c r="D2267" t="s">
        <v>28</v>
      </c>
      <c r="E2267">
        <v>98</v>
      </c>
      <c r="F2267">
        <v>-25.471698113207498</v>
      </c>
      <c r="G2267">
        <v>-4869.2927419166899</v>
      </c>
      <c r="H2267">
        <v>142.395941922395</v>
      </c>
      <c r="I2267" s="1">
        <f t="shared" si="71"/>
        <v>189.72627544976703</v>
      </c>
    </row>
    <row r="2268" spans="1:9" x14ac:dyDescent="0.45">
      <c r="A2268" t="s">
        <v>29</v>
      </c>
      <c r="B2268" t="s">
        <v>40</v>
      </c>
      <c r="C2268" t="str">
        <f t="shared" si="70"/>
        <v>IllinoisMichigan</v>
      </c>
      <c r="D2268" t="s">
        <v>29</v>
      </c>
      <c r="E2268">
        <v>82.9</v>
      </c>
      <c r="F2268">
        <v>-10.3584905660377</v>
      </c>
      <c r="G2268">
        <v>-485.69455746098902</v>
      </c>
      <c r="H2268">
        <v>140.446187076332</v>
      </c>
      <c r="I2268" s="1">
        <f t="shared" si="71"/>
        <v>162.27161070965295</v>
      </c>
    </row>
    <row r="2269" spans="1:9" x14ac:dyDescent="0.45">
      <c r="A2269" t="s">
        <v>30</v>
      </c>
      <c r="B2269" t="s">
        <v>40</v>
      </c>
      <c r="C2269" t="str">
        <f t="shared" si="70"/>
        <v>Iowa St.Michigan</v>
      </c>
      <c r="D2269" t="s">
        <v>30</v>
      </c>
      <c r="E2269">
        <v>91.1</v>
      </c>
      <c r="F2269">
        <v>-15.2452830188679</v>
      </c>
      <c r="G2269">
        <v>-1023.06591569468</v>
      </c>
      <c r="H2269">
        <v>141.37245565468999</v>
      </c>
      <c r="I2269" s="1">
        <f t="shared" si="71"/>
        <v>175.31447778059291</v>
      </c>
    </row>
    <row r="2270" spans="1:9" x14ac:dyDescent="0.45">
      <c r="A2270" t="s">
        <v>31</v>
      </c>
      <c r="B2270" t="s">
        <v>40</v>
      </c>
      <c r="C2270" t="str">
        <f t="shared" si="70"/>
        <v>KansasMichigan</v>
      </c>
      <c r="D2270" t="s">
        <v>31</v>
      </c>
      <c r="E2270">
        <v>74.8</v>
      </c>
      <c r="F2270">
        <v>-7.1396226415094297</v>
      </c>
      <c r="G2270">
        <v>-297.22964950118302</v>
      </c>
      <c r="H2270">
        <v>140.327845939002</v>
      </c>
      <c r="I2270" s="1">
        <f t="shared" si="71"/>
        <v>160.60523903378856</v>
      </c>
    </row>
    <row r="2271" spans="1:9" x14ac:dyDescent="0.45">
      <c r="A2271" t="s">
        <v>32</v>
      </c>
      <c r="B2271" t="s">
        <v>40</v>
      </c>
      <c r="C2271" t="str">
        <f t="shared" si="70"/>
        <v>KentuckyMichigan</v>
      </c>
      <c r="D2271" t="s">
        <v>32</v>
      </c>
      <c r="E2271">
        <v>83.4</v>
      </c>
      <c r="F2271">
        <v>-10.569811320754701</v>
      </c>
      <c r="G2271">
        <v>-501.41981623695102</v>
      </c>
      <c r="H2271">
        <v>140.27488353939401</v>
      </c>
      <c r="I2271" s="1">
        <f t="shared" si="71"/>
        <v>159.85947095530145</v>
      </c>
    </row>
    <row r="2272" spans="1:9" x14ac:dyDescent="0.45">
      <c r="A2272" t="s">
        <v>33</v>
      </c>
      <c r="B2272" t="s">
        <v>40</v>
      </c>
      <c r="C2272" t="str">
        <f t="shared" si="70"/>
        <v>LibertyMichigan</v>
      </c>
      <c r="D2272" t="s">
        <v>40</v>
      </c>
      <c r="E2272">
        <v>12.2</v>
      </c>
      <c r="F2272">
        <v>12.920754716981101</v>
      </c>
      <c r="G2272">
        <v>717.72584431406096</v>
      </c>
      <c r="H2272">
        <v>139.48381978779301</v>
      </c>
      <c r="I2272" s="1">
        <f t="shared" si="71"/>
        <v>148.72043461331376</v>
      </c>
    </row>
    <row r="2273" spans="1:9" x14ac:dyDescent="0.45">
      <c r="A2273" t="s">
        <v>34</v>
      </c>
      <c r="B2273" t="s">
        <v>40</v>
      </c>
      <c r="C2273" t="str">
        <f t="shared" si="70"/>
        <v>LipscombMichigan</v>
      </c>
      <c r="D2273" t="s">
        <v>40</v>
      </c>
      <c r="E2273">
        <v>9.6999999999999993</v>
      </c>
      <c r="F2273">
        <v>14.6641509433962</v>
      </c>
      <c r="G2273">
        <v>936.24267781287006</v>
      </c>
      <c r="H2273">
        <v>139.91574001905099</v>
      </c>
      <c r="I2273" s="1">
        <f t="shared" si="71"/>
        <v>154.80234032961687</v>
      </c>
    </row>
    <row r="2274" spans="1:9" x14ac:dyDescent="0.45">
      <c r="A2274" t="s">
        <v>35</v>
      </c>
      <c r="B2274" t="s">
        <v>40</v>
      </c>
      <c r="C2274" t="str">
        <f t="shared" si="70"/>
        <v>LouisvilleMichigan</v>
      </c>
      <c r="D2274" t="s">
        <v>40</v>
      </c>
      <c r="E2274">
        <v>21.3</v>
      </c>
      <c r="F2274">
        <v>8.5547169811320707</v>
      </c>
      <c r="G2274">
        <v>368.78662570646298</v>
      </c>
      <c r="H2274">
        <v>139.201463331019</v>
      </c>
      <c r="I2274" s="1">
        <f t="shared" si="71"/>
        <v>144.74454919695486</v>
      </c>
    </row>
    <row r="2275" spans="1:9" x14ac:dyDescent="0.45">
      <c r="A2275" t="s">
        <v>36</v>
      </c>
      <c r="B2275" t="s">
        <v>40</v>
      </c>
      <c r="C2275" t="str">
        <f t="shared" si="70"/>
        <v>MarquetteMichigan</v>
      </c>
      <c r="D2275" t="s">
        <v>36</v>
      </c>
      <c r="E2275">
        <v>79.3</v>
      </c>
      <c r="F2275">
        <v>-8.7886792452830207</v>
      </c>
      <c r="G2275">
        <v>-382.23481694423901</v>
      </c>
      <c r="H2275">
        <v>140.53321996592399</v>
      </c>
      <c r="I2275" s="1">
        <f t="shared" si="71"/>
        <v>163.49712827148204</v>
      </c>
    </row>
    <row r="2276" spans="1:9" x14ac:dyDescent="0.45">
      <c r="A2276" t="s">
        <v>37</v>
      </c>
      <c r="B2276" t="s">
        <v>40</v>
      </c>
      <c r="C2276" t="str">
        <f t="shared" si="70"/>
        <v>MarylandMichigan</v>
      </c>
      <c r="D2276" t="s">
        <v>37</v>
      </c>
      <c r="E2276">
        <v>72.2</v>
      </c>
      <c r="F2276">
        <v>-6.2452830188679203</v>
      </c>
      <c r="G2276">
        <v>-259.29007022872401</v>
      </c>
      <c r="H2276">
        <v>140.14315927760299</v>
      </c>
      <c r="I2276" s="1">
        <f t="shared" si="71"/>
        <v>158.00465035931015</v>
      </c>
    </row>
    <row r="2277" spans="1:9" x14ac:dyDescent="0.45">
      <c r="A2277" t="s">
        <v>38</v>
      </c>
      <c r="B2277" t="s">
        <v>40</v>
      </c>
      <c r="C2277" t="str">
        <f t="shared" si="70"/>
        <v>McNeese St.Michigan</v>
      </c>
      <c r="D2277" t="s">
        <v>40</v>
      </c>
      <c r="E2277">
        <v>31.6</v>
      </c>
      <c r="F2277">
        <v>5.0603773584905696</v>
      </c>
      <c r="G2277">
        <v>216.45283390727701</v>
      </c>
      <c r="H2277">
        <v>139.978570891804</v>
      </c>
      <c r="I2277" s="1">
        <f t="shared" si="71"/>
        <v>155.68706722245977</v>
      </c>
    </row>
    <row r="2278" spans="1:9" x14ac:dyDescent="0.45">
      <c r="A2278" t="s">
        <v>39</v>
      </c>
      <c r="B2278" t="s">
        <v>40</v>
      </c>
      <c r="C2278" t="str">
        <f t="shared" si="70"/>
        <v>MemphisMichigan</v>
      </c>
      <c r="D2278" t="s">
        <v>39</v>
      </c>
      <c r="E2278">
        <v>57</v>
      </c>
      <c r="F2278">
        <v>-1.8603773584905701</v>
      </c>
      <c r="G2278">
        <v>-132.806515174102</v>
      </c>
      <c r="H2278">
        <v>139.12079409062201</v>
      </c>
      <c r="I2278" s="1">
        <f t="shared" si="71"/>
        <v>143.60863872369151</v>
      </c>
    </row>
    <row r="2279" spans="1:9" x14ac:dyDescent="0.45">
      <c r="A2279" t="s">
        <v>40</v>
      </c>
      <c r="B2279" t="s">
        <v>40</v>
      </c>
      <c r="C2279" t="str">
        <f t="shared" si="70"/>
        <v>MichiganMichigan</v>
      </c>
      <c r="D2279" t="s">
        <v>40</v>
      </c>
      <c r="E2279">
        <v>41.2</v>
      </c>
      <c r="F2279">
        <v>2.3283018867924499</v>
      </c>
      <c r="G2279">
        <v>142.64273539779199</v>
      </c>
      <c r="H2279">
        <v>138.77771517530499</v>
      </c>
      <c r="I2279" s="1">
        <f t="shared" si="71"/>
        <v>138.77771517530277</v>
      </c>
    </row>
    <row r="2280" spans="1:9" x14ac:dyDescent="0.45">
      <c r="A2280" t="s">
        <v>41</v>
      </c>
      <c r="B2280" t="s">
        <v>40</v>
      </c>
      <c r="C2280" t="str">
        <f t="shared" si="70"/>
        <v>Michigan St.Michigan</v>
      </c>
      <c r="D2280" t="s">
        <v>41</v>
      </c>
      <c r="E2280">
        <v>87.1</v>
      </c>
      <c r="F2280">
        <v>-12.494339622641499</v>
      </c>
      <c r="G2280">
        <v>-672.70425806452795</v>
      </c>
      <c r="H2280">
        <v>140.47660713613499</v>
      </c>
      <c r="I2280" s="1">
        <f t="shared" si="71"/>
        <v>162.69995817341322</v>
      </c>
    </row>
    <row r="2281" spans="1:9" x14ac:dyDescent="0.45">
      <c r="A2281" t="s">
        <v>42</v>
      </c>
      <c r="B2281" t="s">
        <v>40</v>
      </c>
      <c r="C2281" t="str">
        <f t="shared" si="70"/>
        <v>MississippiMichigan</v>
      </c>
      <c r="D2281" t="s">
        <v>42</v>
      </c>
      <c r="E2281">
        <v>63.3</v>
      </c>
      <c r="F2281">
        <v>-3.5849056603773599</v>
      </c>
      <c r="G2281">
        <v>-172.78470122316301</v>
      </c>
      <c r="H2281">
        <v>139.60752824122901</v>
      </c>
      <c r="I2281" s="1">
        <f t="shared" si="71"/>
        <v>150.46238392630627</v>
      </c>
    </row>
    <row r="2282" spans="1:9" x14ac:dyDescent="0.45">
      <c r="A2282" t="s">
        <v>43</v>
      </c>
      <c r="B2282" t="s">
        <v>40</v>
      </c>
      <c r="C2282" t="str">
        <f t="shared" si="70"/>
        <v>Mississippi St.Michigan</v>
      </c>
      <c r="D2282" t="s">
        <v>43</v>
      </c>
      <c r="E2282">
        <v>56.6</v>
      </c>
      <c r="F2282">
        <v>-1.7358490566037701</v>
      </c>
      <c r="G2282">
        <v>-130.320880139217</v>
      </c>
      <c r="H2282">
        <v>139.73189959501801</v>
      </c>
      <c r="I2282" s="1">
        <f t="shared" si="71"/>
        <v>152.21366759586397</v>
      </c>
    </row>
    <row r="2283" spans="1:9" x14ac:dyDescent="0.45">
      <c r="A2283" t="s">
        <v>44</v>
      </c>
      <c r="B2283" t="s">
        <v>40</v>
      </c>
      <c r="C2283" t="str">
        <f t="shared" si="70"/>
        <v>MissouriMichigan</v>
      </c>
      <c r="D2283" t="s">
        <v>40</v>
      </c>
      <c r="E2283">
        <v>36.299999999999997</v>
      </c>
      <c r="F2283">
        <v>3.6754716981132098</v>
      </c>
      <c r="G2283">
        <v>175.220508602742</v>
      </c>
      <c r="H2283">
        <v>138.99637153119201</v>
      </c>
      <c r="I2283" s="1">
        <f t="shared" si="71"/>
        <v>141.85663402312352</v>
      </c>
    </row>
    <row r="2284" spans="1:9" x14ac:dyDescent="0.45">
      <c r="A2284" t="s">
        <v>45</v>
      </c>
      <c r="B2284" t="s">
        <v>40</v>
      </c>
      <c r="C2284" t="str">
        <f t="shared" si="70"/>
        <v>MontanaMichigan</v>
      </c>
      <c r="D2284" t="s">
        <v>40</v>
      </c>
      <c r="E2284">
        <v>5.3</v>
      </c>
      <c r="F2284">
        <v>18.9358490566038</v>
      </c>
      <c r="G2284">
        <v>1796.2923014232399</v>
      </c>
      <c r="H2284">
        <v>138.30510625621099</v>
      </c>
      <c r="I2284" s="1">
        <f t="shared" si="71"/>
        <v>132.12286856568227</v>
      </c>
    </row>
    <row r="2285" spans="1:9" x14ac:dyDescent="0.45">
      <c r="A2285" t="s">
        <v>46</v>
      </c>
      <c r="B2285" t="s">
        <v>40</v>
      </c>
      <c r="C2285" t="str">
        <f t="shared" si="70"/>
        <v>Mount St. Mary'sMichigan</v>
      </c>
      <c r="D2285" t="s">
        <v>40</v>
      </c>
      <c r="E2285">
        <v>2.1</v>
      </c>
      <c r="F2285">
        <v>25.0490566037736</v>
      </c>
      <c r="G2285">
        <v>4566.4394618164797</v>
      </c>
      <c r="H2285">
        <v>139.65298047815801</v>
      </c>
      <c r="I2285" s="1">
        <f t="shared" si="71"/>
        <v>151.10240076180429</v>
      </c>
    </row>
    <row r="2286" spans="1:9" x14ac:dyDescent="0.45">
      <c r="A2286" t="s">
        <v>47</v>
      </c>
      <c r="B2286" t="s">
        <v>40</v>
      </c>
      <c r="C2286" t="str">
        <f t="shared" si="70"/>
        <v>Nebraska OmahaMichigan</v>
      </c>
      <c r="D2286" t="s">
        <v>40</v>
      </c>
      <c r="E2286">
        <v>2.8</v>
      </c>
      <c r="F2286">
        <v>23.335849056603799</v>
      </c>
      <c r="G2286">
        <v>3514.8544121595701</v>
      </c>
      <c r="H2286">
        <v>138.93698165805799</v>
      </c>
      <c r="I2286" s="1">
        <f t="shared" si="71"/>
        <v>141.02036014020695</v>
      </c>
    </row>
    <row r="2287" spans="1:9" x14ac:dyDescent="0.45">
      <c r="A2287" t="s">
        <v>48</v>
      </c>
      <c r="B2287" t="s">
        <v>40</v>
      </c>
      <c r="C2287" t="str">
        <f t="shared" si="70"/>
        <v>New MexicoMichigan</v>
      </c>
      <c r="D2287" t="s">
        <v>40</v>
      </c>
      <c r="E2287">
        <v>42.1</v>
      </c>
      <c r="F2287">
        <v>2.0867924528301902</v>
      </c>
      <c r="G2287">
        <v>137.49022226802899</v>
      </c>
      <c r="H2287">
        <v>139.81472600533399</v>
      </c>
      <c r="I2287" s="1">
        <f t="shared" si="71"/>
        <v>153.37995336324866</v>
      </c>
    </row>
    <row r="2288" spans="1:9" x14ac:dyDescent="0.45">
      <c r="A2288" t="s">
        <v>49</v>
      </c>
      <c r="B2288" t="s">
        <v>40</v>
      </c>
      <c r="C2288" t="str">
        <f t="shared" si="70"/>
        <v>Norfolk St.Michigan</v>
      </c>
      <c r="D2288" t="s">
        <v>40</v>
      </c>
      <c r="E2288">
        <v>4</v>
      </c>
      <c r="F2288">
        <v>20.8</v>
      </c>
      <c r="G2288">
        <v>2388.4970285811601</v>
      </c>
      <c r="H2288">
        <v>138.82708966753501</v>
      </c>
      <c r="I2288" s="1">
        <f t="shared" si="71"/>
        <v>139.47296162314498</v>
      </c>
    </row>
    <row r="2289" spans="1:9" x14ac:dyDescent="0.45">
      <c r="A2289" t="s">
        <v>50</v>
      </c>
      <c r="B2289" t="s">
        <v>40</v>
      </c>
      <c r="C2289" t="str">
        <f t="shared" si="70"/>
        <v>North CarolinaMichigan</v>
      </c>
      <c r="D2289" t="s">
        <v>50</v>
      </c>
      <c r="E2289">
        <v>71.3</v>
      </c>
      <c r="F2289">
        <v>-5.9547169811320799</v>
      </c>
      <c r="G2289">
        <v>-247.982605630873</v>
      </c>
      <c r="H2289">
        <v>140.89902109949099</v>
      </c>
      <c r="I2289" s="1">
        <f t="shared" si="71"/>
        <v>168.64800531836556</v>
      </c>
    </row>
    <row r="2290" spans="1:9" x14ac:dyDescent="0.45">
      <c r="A2290" t="s">
        <v>51</v>
      </c>
      <c r="B2290" t="s">
        <v>40</v>
      </c>
      <c r="C2290" t="str">
        <f t="shared" si="70"/>
        <v>OklahomaMichigan</v>
      </c>
      <c r="D2290" t="s">
        <v>40</v>
      </c>
      <c r="E2290">
        <v>44.9</v>
      </c>
      <c r="F2290">
        <v>1.3509433962264199</v>
      </c>
      <c r="G2290">
        <v>122.910023868284</v>
      </c>
      <c r="H2290">
        <v>139.24162439499599</v>
      </c>
      <c r="I2290" s="1">
        <f t="shared" si="71"/>
        <v>145.31006057358823</v>
      </c>
    </row>
    <row r="2291" spans="1:9" x14ac:dyDescent="0.45">
      <c r="A2291" t="s">
        <v>52</v>
      </c>
      <c r="B2291" t="s">
        <v>40</v>
      </c>
      <c r="C2291" t="str">
        <f t="shared" si="70"/>
        <v>OregonMichigan</v>
      </c>
      <c r="D2291" t="s">
        <v>52</v>
      </c>
      <c r="E2291">
        <v>72.900000000000006</v>
      </c>
      <c r="F2291">
        <v>-6.47169811320755</v>
      </c>
      <c r="G2291">
        <v>-268.433740805539</v>
      </c>
      <c r="H2291">
        <v>139.836002183136</v>
      </c>
      <c r="I2291" s="1">
        <f t="shared" si="71"/>
        <v>153.67954504252293</v>
      </c>
    </row>
    <row r="2292" spans="1:9" x14ac:dyDescent="0.45">
      <c r="A2292" t="s">
        <v>53</v>
      </c>
      <c r="B2292" t="s">
        <v>40</v>
      </c>
      <c r="C2292" t="str">
        <f t="shared" si="70"/>
        <v>PurdueMichigan</v>
      </c>
      <c r="D2292" t="s">
        <v>53</v>
      </c>
      <c r="E2292">
        <v>93.4</v>
      </c>
      <c r="F2292">
        <v>-17.384905660377399</v>
      </c>
      <c r="G2292">
        <v>-1417.89729509978</v>
      </c>
      <c r="H2292">
        <v>141.18398951192501</v>
      </c>
      <c r="I2292" s="1">
        <f t="shared" si="71"/>
        <v>172.66066990576033</v>
      </c>
    </row>
    <row r="2293" spans="1:9" x14ac:dyDescent="0.45">
      <c r="A2293" t="s">
        <v>54</v>
      </c>
      <c r="B2293" t="s">
        <v>40</v>
      </c>
      <c r="C2293" t="str">
        <f t="shared" si="70"/>
        <v>Robert MorrisMichigan</v>
      </c>
      <c r="D2293" t="s">
        <v>40</v>
      </c>
      <c r="E2293">
        <v>1.7</v>
      </c>
      <c r="F2293">
        <v>26.558490566037701</v>
      </c>
      <c r="G2293">
        <v>5748.25740543549</v>
      </c>
      <c r="H2293">
        <v>138.24262636068801</v>
      </c>
      <c r="I2293" s="1">
        <f t="shared" si="71"/>
        <v>131.24308381323272</v>
      </c>
    </row>
    <row r="2294" spans="1:9" x14ac:dyDescent="0.45">
      <c r="A2294" t="s">
        <v>55</v>
      </c>
      <c r="B2294" t="s">
        <v>40</v>
      </c>
      <c r="C2294" t="str">
        <f t="shared" si="70"/>
        <v>Saint FrancisMichigan</v>
      </c>
      <c r="D2294" t="s">
        <v>40</v>
      </c>
      <c r="E2294">
        <v>1.1000000000000001</v>
      </c>
      <c r="F2294">
        <v>29.286792452830198</v>
      </c>
      <c r="G2294">
        <v>8712.6672489888206</v>
      </c>
      <c r="H2294">
        <v>139.29548189389499</v>
      </c>
      <c r="I2294" s="1">
        <f t="shared" si="71"/>
        <v>146.06843262174527</v>
      </c>
    </row>
    <row r="2295" spans="1:9" x14ac:dyDescent="0.45">
      <c r="A2295" t="s">
        <v>56</v>
      </c>
      <c r="B2295" t="s">
        <v>40</v>
      </c>
      <c r="C2295" t="str">
        <f t="shared" si="70"/>
        <v>Saint Mary'sMichigan</v>
      </c>
      <c r="D2295" t="s">
        <v>56</v>
      </c>
      <c r="E2295">
        <v>69.599999999999994</v>
      </c>
      <c r="F2295">
        <v>-5.4301886792452798</v>
      </c>
      <c r="G2295">
        <v>-228.94572952095101</v>
      </c>
      <c r="H2295">
        <v>140.54673709498499</v>
      </c>
      <c r="I2295" s="1">
        <f t="shared" si="71"/>
        <v>163.68746412184188</v>
      </c>
    </row>
    <row r="2296" spans="1:9" x14ac:dyDescent="0.45">
      <c r="A2296" t="s">
        <v>57</v>
      </c>
      <c r="B2296" t="s">
        <v>40</v>
      </c>
      <c r="C2296" t="str">
        <f t="shared" si="70"/>
        <v>San Diego St.Michigan</v>
      </c>
      <c r="D2296" t="s">
        <v>40</v>
      </c>
      <c r="E2296">
        <v>40</v>
      </c>
      <c r="F2296">
        <v>2.6641509433962298</v>
      </c>
      <c r="G2296">
        <v>150.10962461213299</v>
      </c>
      <c r="H2296">
        <v>139.69299197478301</v>
      </c>
      <c r="I2296" s="1">
        <f t="shared" si="71"/>
        <v>151.66580606776245</v>
      </c>
    </row>
    <row r="2297" spans="1:9" x14ac:dyDescent="0.45">
      <c r="A2297" t="s">
        <v>58</v>
      </c>
      <c r="B2297" t="s">
        <v>40</v>
      </c>
      <c r="C2297" t="str">
        <f t="shared" si="70"/>
        <v>SIU EdwardsvilleMichigan</v>
      </c>
      <c r="D2297" t="s">
        <v>40</v>
      </c>
      <c r="E2297">
        <v>3.2</v>
      </c>
      <c r="F2297">
        <v>22.260377358490601</v>
      </c>
      <c r="G2297">
        <v>2983.9085425343501</v>
      </c>
      <c r="H2297">
        <v>139.84067974163099</v>
      </c>
      <c r="I2297" s="1">
        <f t="shared" si="71"/>
        <v>153.74541014373889</v>
      </c>
    </row>
    <row r="2298" spans="1:9" x14ac:dyDescent="0.45">
      <c r="A2298" t="s">
        <v>59</v>
      </c>
      <c r="B2298" t="s">
        <v>40</v>
      </c>
      <c r="C2298" t="str">
        <f t="shared" si="70"/>
        <v>St. John'sMichigan</v>
      </c>
      <c r="D2298" t="s">
        <v>59</v>
      </c>
      <c r="E2298">
        <v>87.7</v>
      </c>
      <c r="F2298">
        <v>-12.898113207547199</v>
      </c>
      <c r="G2298">
        <v>-715.19093278782805</v>
      </c>
      <c r="H2298">
        <v>140.81836251417599</v>
      </c>
      <c r="I2298" s="1">
        <f t="shared" si="71"/>
        <v>167.51224488022285</v>
      </c>
    </row>
    <row r="2299" spans="1:9" x14ac:dyDescent="0.45">
      <c r="A2299" t="s">
        <v>60</v>
      </c>
      <c r="B2299" t="s">
        <v>40</v>
      </c>
      <c r="C2299" t="str">
        <f t="shared" si="70"/>
        <v>TennesseeMichigan</v>
      </c>
      <c r="D2299" t="s">
        <v>60</v>
      </c>
      <c r="E2299">
        <v>93.5</v>
      </c>
      <c r="F2299">
        <v>-17.441509433962299</v>
      </c>
      <c r="G2299">
        <v>-1430.74240143475</v>
      </c>
      <c r="H2299">
        <v>141.41234539086699</v>
      </c>
      <c r="I2299" s="1">
        <f t="shared" si="71"/>
        <v>175.8761685672693</v>
      </c>
    </row>
    <row r="2300" spans="1:9" x14ac:dyDescent="0.45">
      <c r="A2300" t="s">
        <v>61</v>
      </c>
      <c r="B2300" t="s">
        <v>40</v>
      </c>
      <c r="C2300" t="str">
        <f t="shared" si="70"/>
        <v>TexasMichigan</v>
      </c>
      <c r="D2300" t="s">
        <v>40</v>
      </c>
      <c r="E2300">
        <v>36.9</v>
      </c>
      <c r="F2300">
        <v>3.5094339622641502</v>
      </c>
      <c r="G2300">
        <v>170.84617766854799</v>
      </c>
      <c r="H2300">
        <v>139.168059921939</v>
      </c>
      <c r="I2300" s="1">
        <f t="shared" si="71"/>
        <v>144.2741929368743</v>
      </c>
    </row>
    <row r="2301" spans="1:9" x14ac:dyDescent="0.45">
      <c r="A2301" t="s">
        <v>62</v>
      </c>
      <c r="B2301" t="s">
        <v>40</v>
      </c>
      <c r="C2301" t="str">
        <f t="shared" si="70"/>
        <v>Texas A&amp;MMichigan</v>
      </c>
      <c r="D2301" t="s">
        <v>62</v>
      </c>
      <c r="E2301">
        <v>77.2</v>
      </c>
      <c r="F2301">
        <v>-7.9849056603773603</v>
      </c>
      <c r="G2301">
        <v>-338.06141610519597</v>
      </c>
      <c r="H2301">
        <v>139.96585894953299</v>
      </c>
      <c r="I2301" s="1">
        <f t="shared" si="71"/>
        <v>155.50806927615332</v>
      </c>
    </row>
    <row r="2302" spans="1:9" x14ac:dyDescent="0.45">
      <c r="A2302" t="s">
        <v>63</v>
      </c>
      <c r="B2302" t="s">
        <v>40</v>
      </c>
      <c r="C2302" t="str">
        <f t="shared" si="70"/>
        <v>Texas TechMichigan</v>
      </c>
      <c r="D2302" t="s">
        <v>63</v>
      </c>
      <c r="E2302">
        <v>87</v>
      </c>
      <c r="F2302">
        <v>-12.437735849056599</v>
      </c>
      <c r="G2302">
        <v>-666.67188337136997</v>
      </c>
      <c r="H2302">
        <v>141.00564306859701</v>
      </c>
      <c r="I2302" s="1">
        <f t="shared" si="71"/>
        <v>170.14935838418677</v>
      </c>
    </row>
    <row r="2303" spans="1:9" x14ac:dyDescent="0.45">
      <c r="A2303" t="s">
        <v>64</v>
      </c>
      <c r="B2303" t="s">
        <v>40</v>
      </c>
      <c r="C2303" t="str">
        <f t="shared" si="70"/>
        <v>TroyMichigan</v>
      </c>
      <c r="D2303" t="s">
        <v>40</v>
      </c>
      <c r="E2303">
        <v>8.6</v>
      </c>
      <c r="F2303">
        <v>15.5094339622642</v>
      </c>
      <c r="G2303">
        <v>1065.48849762905</v>
      </c>
      <c r="H2303">
        <v>139.709207488326</v>
      </c>
      <c r="I2303" s="1">
        <f t="shared" si="71"/>
        <v>151.89413810079239</v>
      </c>
    </row>
    <row r="2304" spans="1:9" x14ac:dyDescent="0.45">
      <c r="A2304" t="s">
        <v>65</v>
      </c>
      <c r="B2304" t="s">
        <v>40</v>
      </c>
      <c r="C2304" t="str">
        <f t="shared" si="70"/>
        <v>UC San DiegoMichigan</v>
      </c>
      <c r="D2304" t="s">
        <v>40</v>
      </c>
      <c r="E2304">
        <v>19.399999999999999</v>
      </c>
      <c r="F2304">
        <v>9.3509433962264197</v>
      </c>
      <c r="G2304">
        <v>416.29633428578398</v>
      </c>
      <c r="H2304">
        <v>139.79732923171699</v>
      </c>
      <c r="I2304" s="1">
        <f t="shared" si="71"/>
        <v>153.13498790608924</v>
      </c>
    </row>
    <row r="2305" spans="1:9" x14ac:dyDescent="0.45">
      <c r="A2305" t="s">
        <v>66</v>
      </c>
      <c r="B2305" t="s">
        <v>40</v>
      </c>
      <c r="C2305" t="str">
        <f t="shared" si="70"/>
        <v>UCLAMichigan</v>
      </c>
      <c r="D2305" t="s">
        <v>40</v>
      </c>
      <c r="E2305">
        <v>48.8</v>
      </c>
      <c r="F2305">
        <v>0.305660377358491</v>
      </c>
      <c r="G2305">
        <v>104.76104527387599</v>
      </c>
      <c r="H2305">
        <v>139.26878374482601</v>
      </c>
      <c r="I2305" s="1">
        <f t="shared" si="71"/>
        <v>145.69249370134693</v>
      </c>
    </row>
    <row r="2306" spans="1:9" x14ac:dyDescent="0.45">
      <c r="A2306" t="s">
        <v>67</v>
      </c>
      <c r="B2306" t="s">
        <v>40</v>
      </c>
      <c r="C2306" t="str">
        <f t="shared" si="70"/>
        <v>UNC WilmingtonMichigan</v>
      </c>
      <c r="D2306" t="s">
        <v>40</v>
      </c>
      <c r="E2306">
        <v>12.6</v>
      </c>
      <c r="F2306">
        <v>12.7094339622642</v>
      </c>
      <c r="G2306">
        <v>695.08957734115495</v>
      </c>
      <c r="H2306">
        <v>140.38379941874601</v>
      </c>
      <c r="I2306" s="1">
        <f t="shared" si="71"/>
        <v>161.3931247674829</v>
      </c>
    </row>
    <row r="2307" spans="1:9" x14ac:dyDescent="0.45">
      <c r="A2307" t="s">
        <v>68</v>
      </c>
      <c r="B2307" t="s">
        <v>40</v>
      </c>
      <c r="C2307" t="str">
        <f t="shared" ref="C2307:C2370" si="72">A2307&amp;B2307</f>
        <v>Utah St.Michigan</v>
      </c>
      <c r="D2307" t="s">
        <v>40</v>
      </c>
      <c r="E2307">
        <v>42.2</v>
      </c>
      <c r="F2307">
        <v>2.0641509433962302</v>
      </c>
      <c r="G2307">
        <v>137.04455045048101</v>
      </c>
      <c r="H2307">
        <v>139.75516982257199</v>
      </c>
      <c r="I2307" s="1">
        <f t="shared" ref="I2307:I2370" si="73">18*(H2307-AVERAGE($H$2:$H$4625))/_xlfn.STDEV.P($H$2:$H$4625)+AVERAGE($H$2:$H$4625)</f>
        <v>152.54133766023679</v>
      </c>
    </row>
    <row r="2308" spans="1:9" x14ac:dyDescent="0.45">
      <c r="A2308" t="s">
        <v>69</v>
      </c>
      <c r="B2308" t="s">
        <v>40</v>
      </c>
      <c r="C2308" t="str">
        <f t="shared" si="72"/>
        <v>VanderbiltMichigan</v>
      </c>
      <c r="D2308" t="s">
        <v>40</v>
      </c>
      <c r="E2308">
        <v>13.5</v>
      </c>
      <c r="F2308">
        <v>12.188679245283</v>
      </c>
      <c r="G2308">
        <v>641.876919624077</v>
      </c>
      <c r="H2308">
        <v>138.32974031117101</v>
      </c>
      <c r="I2308" s="1">
        <f t="shared" si="73"/>
        <v>132.46974280040081</v>
      </c>
    </row>
    <row r="2309" spans="1:9" x14ac:dyDescent="0.45">
      <c r="A2309" t="s">
        <v>70</v>
      </c>
      <c r="B2309" t="s">
        <v>40</v>
      </c>
      <c r="C2309" t="str">
        <f t="shared" si="72"/>
        <v>VCUMichigan</v>
      </c>
      <c r="D2309" t="s">
        <v>40</v>
      </c>
      <c r="E2309">
        <v>32.299999999999997</v>
      </c>
      <c r="F2309">
        <v>4.8415094339622602</v>
      </c>
      <c r="G2309">
        <v>209.277094597272</v>
      </c>
      <c r="H2309">
        <v>140.17465147304699</v>
      </c>
      <c r="I2309" s="1">
        <f t="shared" si="73"/>
        <v>158.44809465672583</v>
      </c>
    </row>
    <row r="2310" spans="1:9" x14ac:dyDescent="0.45">
      <c r="A2310" t="s">
        <v>71</v>
      </c>
      <c r="B2310" t="s">
        <v>40</v>
      </c>
      <c r="C2310" t="str">
        <f t="shared" si="72"/>
        <v>WisconsinMichigan</v>
      </c>
      <c r="D2310" t="s">
        <v>71</v>
      </c>
      <c r="E2310">
        <v>85.5</v>
      </c>
      <c r="F2310">
        <v>-11.622641509434001</v>
      </c>
      <c r="G2310">
        <v>-588.73402034322703</v>
      </c>
      <c r="H2310">
        <v>140.97533032831299</v>
      </c>
      <c r="I2310" s="1">
        <f t="shared" si="73"/>
        <v>169.72252209575169</v>
      </c>
    </row>
    <row r="2311" spans="1:9" x14ac:dyDescent="0.45">
      <c r="A2311" t="s">
        <v>80</v>
      </c>
      <c r="B2311" t="s">
        <v>40</v>
      </c>
      <c r="C2311" t="str">
        <f t="shared" si="72"/>
        <v>WoffordMichigan</v>
      </c>
      <c r="D2311" t="s">
        <v>40</v>
      </c>
      <c r="E2311">
        <v>4.7</v>
      </c>
      <c r="F2311">
        <v>19.762264150943398</v>
      </c>
      <c r="G2311">
        <v>2038.7123318491899</v>
      </c>
      <c r="H2311">
        <v>139.00478606740799</v>
      </c>
      <c r="I2311" s="1">
        <f t="shared" si="73"/>
        <v>141.97511982723358</v>
      </c>
    </row>
    <row r="2312" spans="1:9" x14ac:dyDescent="0.45">
      <c r="A2312" t="s">
        <v>72</v>
      </c>
      <c r="B2312" t="s">
        <v>40</v>
      </c>
      <c r="C2312" t="str">
        <f t="shared" si="72"/>
        <v>XavierMichigan</v>
      </c>
      <c r="D2312" t="s">
        <v>40</v>
      </c>
      <c r="E2312">
        <v>32.1</v>
      </c>
      <c r="F2312">
        <v>4.9169811320754704</v>
      </c>
      <c r="G2312">
        <v>211.72707895585199</v>
      </c>
      <c r="H2312">
        <v>139.58069963755901</v>
      </c>
      <c r="I2312" s="1">
        <f t="shared" si="73"/>
        <v>150.08460806351383</v>
      </c>
    </row>
    <row r="2313" spans="1:9" x14ac:dyDescent="0.45">
      <c r="A2313" t="s">
        <v>73</v>
      </c>
      <c r="B2313" t="s">
        <v>40</v>
      </c>
      <c r="C2313" t="str">
        <f t="shared" si="72"/>
        <v>YaleMichigan</v>
      </c>
      <c r="D2313" t="s">
        <v>40</v>
      </c>
      <c r="E2313">
        <v>20.9</v>
      </c>
      <c r="F2313">
        <v>8.7396226415094294</v>
      </c>
      <c r="G2313">
        <v>379.39184021701902</v>
      </c>
      <c r="H2313">
        <v>140.37993427162201</v>
      </c>
      <c r="I2313" s="1">
        <f t="shared" si="73"/>
        <v>161.33869930026327</v>
      </c>
    </row>
    <row r="2314" spans="1:9" x14ac:dyDescent="0.45">
      <c r="A2314" t="s">
        <v>7</v>
      </c>
      <c r="B2314" t="s">
        <v>41</v>
      </c>
      <c r="C2314" t="str">
        <f t="shared" si="72"/>
        <v>AkronMichigan St.</v>
      </c>
      <c r="D2314" t="s">
        <v>41</v>
      </c>
      <c r="E2314">
        <v>1.4</v>
      </c>
      <c r="F2314">
        <v>27.9584905660377</v>
      </c>
      <c r="G2314">
        <v>7117.5349631332801</v>
      </c>
      <c r="H2314">
        <v>137.463507766238</v>
      </c>
      <c r="I2314" s="1">
        <f t="shared" si="73"/>
        <v>120.27224825069719</v>
      </c>
    </row>
    <row r="2315" spans="1:9" x14ac:dyDescent="0.45">
      <c r="A2315" t="s">
        <v>8</v>
      </c>
      <c r="B2315" t="s">
        <v>41</v>
      </c>
      <c r="C2315" t="str">
        <f t="shared" si="72"/>
        <v>AlabamaMichigan St.</v>
      </c>
      <c r="D2315" t="s">
        <v>8</v>
      </c>
      <c r="E2315">
        <v>50.8</v>
      </c>
      <c r="F2315">
        <v>-0.21509433962264199</v>
      </c>
      <c r="G2315">
        <v>-103.322299648853</v>
      </c>
      <c r="H2315">
        <v>139.21160377837799</v>
      </c>
      <c r="I2315" s="1">
        <f t="shared" si="73"/>
        <v>144.88733770347815</v>
      </c>
    </row>
    <row r="2316" spans="1:9" x14ac:dyDescent="0.45">
      <c r="A2316" t="s">
        <v>9</v>
      </c>
      <c r="B2316" t="s">
        <v>41</v>
      </c>
      <c r="C2316" t="str">
        <f t="shared" si="72"/>
        <v>Alabama St.Michigan St.</v>
      </c>
      <c r="D2316" t="s">
        <v>41</v>
      </c>
      <c r="E2316">
        <v>0.2</v>
      </c>
      <c r="F2316">
        <v>40.0981132075472</v>
      </c>
      <c r="G2316">
        <v>45351.675498819903</v>
      </c>
      <c r="H2316">
        <v>137.690348622052</v>
      </c>
      <c r="I2316" s="1">
        <f t="shared" si="73"/>
        <v>123.46641374196879</v>
      </c>
    </row>
    <row r="2317" spans="1:9" x14ac:dyDescent="0.45">
      <c r="A2317" t="s">
        <v>10</v>
      </c>
      <c r="B2317" t="s">
        <v>41</v>
      </c>
      <c r="C2317" t="str">
        <f t="shared" si="72"/>
        <v>AmericanMichigan St.</v>
      </c>
      <c r="D2317" t="s">
        <v>41</v>
      </c>
      <c r="E2317">
        <v>0.3</v>
      </c>
      <c r="F2317">
        <v>38.8377358490566</v>
      </c>
      <c r="G2317">
        <v>37402.076706508997</v>
      </c>
      <c r="H2317">
        <v>137.78143450365599</v>
      </c>
      <c r="I2317" s="1">
        <f t="shared" si="73"/>
        <v>124.74900183095073</v>
      </c>
    </row>
    <row r="2318" spans="1:9" x14ac:dyDescent="0.45">
      <c r="A2318" t="s">
        <v>11</v>
      </c>
      <c r="B2318" t="s">
        <v>41</v>
      </c>
      <c r="C2318" t="str">
        <f t="shared" si="72"/>
        <v>ArizonaMichigan St.</v>
      </c>
      <c r="D2318" t="s">
        <v>41</v>
      </c>
      <c r="E2318">
        <v>42.3</v>
      </c>
      <c r="F2318">
        <v>2.0264150943396202</v>
      </c>
      <c r="G2318">
        <v>136.22102558870699</v>
      </c>
      <c r="H2318">
        <v>138.973962597368</v>
      </c>
      <c r="I2318" s="1">
        <f t="shared" si="73"/>
        <v>141.54109190942449</v>
      </c>
    </row>
    <row r="2319" spans="1:9" x14ac:dyDescent="0.45">
      <c r="A2319" t="s">
        <v>12</v>
      </c>
      <c r="B2319" t="s">
        <v>41</v>
      </c>
      <c r="C2319" t="str">
        <f t="shared" si="72"/>
        <v>ArkansasMichigan St.</v>
      </c>
      <c r="D2319" t="s">
        <v>41</v>
      </c>
      <c r="E2319">
        <v>4.3</v>
      </c>
      <c r="F2319">
        <v>20.4188679245283</v>
      </c>
      <c r="G2319">
        <v>2252.8500518986598</v>
      </c>
      <c r="H2319">
        <v>137.091566431226</v>
      </c>
      <c r="I2319" s="1">
        <f t="shared" si="73"/>
        <v>115.03491050212628</v>
      </c>
    </row>
    <row r="2320" spans="1:9" x14ac:dyDescent="0.45">
      <c r="A2320" t="s">
        <v>13</v>
      </c>
      <c r="B2320" t="s">
        <v>41</v>
      </c>
      <c r="C2320" t="str">
        <f t="shared" si="72"/>
        <v>AuburnMichigan St.</v>
      </c>
      <c r="D2320" t="s">
        <v>13</v>
      </c>
      <c r="E2320">
        <v>66.900000000000006</v>
      </c>
      <c r="F2320">
        <v>-4.6264150943396203</v>
      </c>
      <c r="G2320">
        <v>-202.48617873853701</v>
      </c>
      <c r="H2320">
        <v>140.23028583648701</v>
      </c>
      <c r="I2320" s="1">
        <f t="shared" si="73"/>
        <v>159.23148688645134</v>
      </c>
    </row>
    <row r="2321" spans="1:9" x14ac:dyDescent="0.45">
      <c r="A2321" t="s">
        <v>14</v>
      </c>
      <c r="B2321" t="s">
        <v>41</v>
      </c>
      <c r="C2321" t="str">
        <f t="shared" si="72"/>
        <v>BaylorMichigan St.</v>
      </c>
      <c r="D2321" t="s">
        <v>41</v>
      </c>
      <c r="E2321">
        <v>17.600000000000001</v>
      </c>
      <c r="F2321">
        <v>10.1056603773585</v>
      </c>
      <c r="G2321">
        <v>467.29626973564098</v>
      </c>
      <c r="H2321">
        <v>138.76528384921201</v>
      </c>
      <c r="I2321" s="1">
        <f t="shared" si="73"/>
        <v>138.60266860939888</v>
      </c>
    </row>
    <row r="2322" spans="1:9" x14ac:dyDescent="0.45">
      <c r="A2322" t="s">
        <v>15</v>
      </c>
      <c r="B2322" t="s">
        <v>41</v>
      </c>
      <c r="C2322" t="str">
        <f t="shared" si="72"/>
        <v>BryantMichigan St.</v>
      </c>
      <c r="D2322" t="s">
        <v>41</v>
      </c>
      <c r="E2322">
        <v>1</v>
      </c>
      <c r="F2322">
        <v>30.392452830188699</v>
      </c>
      <c r="G2322">
        <v>10316.5018179368</v>
      </c>
      <c r="H2322">
        <v>138.31428159910601</v>
      </c>
      <c r="I2322" s="1">
        <f t="shared" si="73"/>
        <v>132.25206735370787</v>
      </c>
    </row>
    <row r="2323" spans="1:9" x14ac:dyDescent="0.45">
      <c r="A2323" t="s">
        <v>16</v>
      </c>
      <c r="B2323" t="s">
        <v>41</v>
      </c>
      <c r="C2323" t="str">
        <f t="shared" si="72"/>
        <v>BYUMichigan St.</v>
      </c>
      <c r="D2323" t="s">
        <v>41</v>
      </c>
      <c r="E2323">
        <v>20.7</v>
      </c>
      <c r="F2323">
        <v>8.8113207547169807</v>
      </c>
      <c r="G2323">
        <v>383.579802443983</v>
      </c>
      <c r="H2323">
        <v>138.57480207732999</v>
      </c>
      <c r="I2323" s="1">
        <f t="shared" si="73"/>
        <v>135.92047848858266</v>
      </c>
    </row>
    <row r="2324" spans="1:9" x14ac:dyDescent="0.45">
      <c r="A2324" t="s">
        <v>17</v>
      </c>
      <c r="B2324" t="s">
        <v>41</v>
      </c>
      <c r="C2324" t="str">
        <f t="shared" si="72"/>
        <v>ClemsonMichigan St.</v>
      </c>
      <c r="D2324" t="s">
        <v>41</v>
      </c>
      <c r="E2324">
        <v>25</v>
      </c>
      <c r="F2324">
        <v>7.1886792452830202</v>
      </c>
      <c r="G2324">
        <v>299.367192898084</v>
      </c>
      <c r="H2324">
        <v>138.79671393362099</v>
      </c>
      <c r="I2324" s="1">
        <f t="shared" si="73"/>
        <v>139.04523831601838</v>
      </c>
    </row>
    <row r="2325" spans="1:9" x14ac:dyDescent="0.45">
      <c r="A2325" t="s">
        <v>18</v>
      </c>
      <c r="B2325" t="s">
        <v>41</v>
      </c>
      <c r="C2325" t="str">
        <f t="shared" si="72"/>
        <v>Colorado St.Michigan St.</v>
      </c>
      <c r="D2325" t="s">
        <v>41</v>
      </c>
      <c r="E2325">
        <v>5.2</v>
      </c>
      <c r="F2325">
        <v>19.026415094339601</v>
      </c>
      <c r="G2325">
        <v>1821.9889346613199</v>
      </c>
      <c r="H2325">
        <v>138.10410578172699</v>
      </c>
      <c r="I2325" s="1">
        <f t="shared" si="73"/>
        <v>129.29256369391589</v>
      </c>
    </row>
    <row r="2326" spans="1:9" x14ac:dyDescent="0.45">
      <c r="A2326" t="s">
        <v>19</v>
      </c>
      <c r="B2326" t="s">
        <v>41</v>
      </c>
      <c r="C2326" t="str">
        <f t="shared" si="72"/>
        <v>ConnecticutMichigan St.</v>
      </c>
      <c r="D2326" t="s">
        <v>41</v>
      </c>
      <c r="E2326">
        <v>36.200000000000003</v>
      </c>
      <c r="F2326">
        <v>3.7245283018867901</v>
      </c>
      <c r="G2326">
        <v>176.501619286703</v>
      </c>
      <c r="H2326">
        <v>138.73965768406299</v>
      </c>
      <c r="I2326" s="1">
        <f t="shared" si="73"/>
        <v>138.24182438625883</v>
      </c>
    </row>
    <row r="2327" spans="1:9" x14ac:dyDescent="0.45">
      <c r="A2327" t="s">
        <v>20</v>
      </c>
      <c r="B2327" t="s">
        <v>41</v>
      </c>
      <c r="C2327" t="str">
        <f t="shared" si="72"/>
        <v>CreightonMichigan St.</v>
      </c>
      <c r="D2327" t="s">
        <v>41</v>
      </c>
      <c r="E2327">
        <v>14.9</v>
      </c>
      <c r="F2327">
        <v>11.4150943396226</v>
      </c>
      <c r="G2327">
        <v>570.59599793995005</v>
      </c>
      <c r="H2327">
        <v>138.212600046326</v>
      </c>
      <c r="I2327" s="1">
        <f t="shared" si="73"/>
        <v>130.82028071270207</v>
      </c>
    </row>
    <row r="2328" spans="1:9" x14ac:dyDescent="0.45">
      <c r="A2328" t="s">
        <v>21</v>
      </c>
      <c r="B2328" t="s">
        <v>41</v>
      </c>
      <c r="C2328" t="str">
        <f t="shared" si="72"/>
        <v>DrakeMichigan St.</v>
      </c>
      <c r="D2328" t="s">
        <v>41</v>
      </c>
      <c r="E2328">
        <v>5.2</v>
      </c>
      <c r="F2328">
        <v>19.079245283018899</v>
      </c>
      <c r="G2328">
        <v>1836.13087158294</v>
      </c>
      <c r="H2328">
        <v>138.26606515047999</v>
      </c>
      <c r="I2328" s="1">
        <f t="shared" si="73"/>
        <v>131.57312741689512</v>
      </c>
    </row>
    <row r="2329" spans="1:9" x14ac:dyDescent="0.45">
      <c r="A2329" t="s">
        <v>22</v>
      </c>
      <c r="B2329" t="s">
        <v>41</v>
      </c>
      <c r="C2329" t="str">
        <f t="shared" si="72"/>
        <v>DukeMichigan St.</v>
      </c>
      <c r="D2329" t="s">
        <v>22</v>
      </c>
      <c r="E2329">
        <v>74.8</v>
      </c>
      <c r="F2329">
        <v>-7.1320754716981103</v>
      </c>
      <c r="G2329">
        <v>-296.89631259448203</v>
      </c>
      <c r="H2329">
        <v>140.55338561193699</v>
      </c>
      <c r="I2329" s="1">
        <f t="shared" si="73"/>
        <v>163.78108245765711</v>
      </c>
    </row>
    <row r="2330" spans="1:9" x14ac:dyDescent="0.45">
      <c r="A2330" t="s">
        <v>23</v>
      </c>
      <c r="B2330" t="s">
        <v>41</v>
      </c>
      <c r="C2330" t="str">
        <f t="shared" si="72"/>
        <v>FloridaMichigan St.</v>
      </c>
      <c r="D2330" t="s">
        <v>23</v>
      </c>
      <c r="E2330">
        <v>62.1</v>
      </c>
      <c r="F2330">
        <v>-3.2339622641509398</v>
      </c>
      <c r="G2330">
        <v>-163.77898611593801</v>
      </c>
      <c r="H2330">
        <v>140.277141887879</v>
      </c>
      <c r="I2330" s="1">
        <f t="shared" si="73"/>
        <v>159.89127095346367</v>
      </c>
    </row>
    <row r="2331" spans="1:9" x14ac:dyDescent="0.45">
      <c r="A2331" t="s">
        <v>24</v>
      </c>
      <c r="B2331" t="s">
        <v>41</v>
      </c>
      <c r="C2331" t="str">
        <f t="shared" si="72"/>
        <v>GeorgiaMichigan St.</v>
      </c>
      <c r="D2331" t="s">
        <v>41</v>
      </c>
      <c r="E2331">
        <v>5.8</v>
      </c>
      <c r="F2331">
        <v>18.271698113207499</v>
      </c>
      <c r="G2331">
        <v>1623.9645841819099</v>
      </c>
      <c r="H2331">
        <v>137.41895541222399</v>
      </c>
      <c r="I2331" s="1">
        <f t="shared" si="73"/>
        <v>119.64490274348783</v>
      </c>
    </row>
    <row r="2332" spans="1:9" x14ac:dyDescent="0.45">
      <c r="A2332" t="s">
        <v>25</v>
      </c>
      <c r="B2332" t="s">
        <v>41</v>
      </c>
      <c r="C2332" t="str">
        <f t="shared" si="72"/>
        <v>GonzagaMichigan St.</v>
      </c>
      <c r="D2332" t="s">
        <v>41</v>
      </c>
      <c r="E2332">
        <v>25.7</v>
      </c>
      <c r="F2332">
        <v>6.9471698113207498</v>
      </c>
      <c r="G2332">
        <v>288.50629701240098</v>
      </c>
      <c r="H2332">
        <v>139.55659653175201</v>
      </c>
      <c r="I2332" s="1">
        <f t="shared" si="73"/>
        <v>149.74521016922836</v>
      </c>
    </row>
    <row r="2333" spans="1:9" x14ac:dyDescent="0.45">
      <c r="A2333" t="s">
        <v>26</v>
      </c>
      <c r="B2333" t="s">
        <v>41</v>
      </c>
      <c r="C2333" t="str">
        <f t="shared" si="72"/>
        <v>Grand CanyonMichigan St.</v>
      </c>
      <c r="D2333" t="s">
        <v>41</v>
      </c>
      <c r="E2333">
        <v>3.3</v>
      </c>
      <c r="F2333">
        <v>22.196226415094301</v>
      </c>
      <c r="G2333">
        <v>2954.1863905380001</v>
      </c>
      <c r="H2333">
        <v>138.208564778056</v>
      </c>
      <c r="I2333" s="1">
        <f t="shared" si="73"/>
        <v>130.76345975507601</v>
      </c>
    </row>
    <row r="2334" spans="1:9" x14ac:dyDescent="0.45">
      <c r="A2334" t="s">
        <v>27</v>
      </c>
      <c r="B2334" t="s">
        <v>41</v>
      </c>
      <c r="C2334" t="str">
        <f t="shared" si="72"/>
        <v>High PointMichigan St.</v>
      </c>
      <c r="D2334" t="s">
        <v>41</v>
      </c>
      <c r="E2334">
        <v>2.2000000000000002</v>
      </c>
      <c r="F2334">
        <v>24.966037735849099</v>
      </c>
      <c r="G2334">
        <v>4509.3501742407498</v>
      </c>
      <c r="H2334">
        <v>138.489456525712</v>
      </c>
      <c r="I2334" s="1">
        <f t="shared" si="73"/>
        <v>134.71872047707501</v>
      </c>
    </row>
    <row r="2335" spans="1:9" x14ac:dyDescent="0.45">
      <c r="A2335" t="s">
        <v>28</v>
      </c>
      <c r="B2335" t="s">
        <v>41</v>
      </c>
      <c r="C2335" t="str">
        <f t="shared" si="72"/>
        <v>HoustonMichigan St.</v>
      </c>
      <c r="D2335" t="s">
        <v>28</v>
      </c>
      <c r="E2335">
        <v>83.5</v>
      </c>
      <c r="F2335">
        <v>-10.6490566037736</v>
      </c>
      <c r="G2335">
        <v>-507.44858977350799</v>
      </c>
      <c r="H2335">
        <v>140.69704996156599</v>
      </c>
      <c r="I2335" s="1">
        <f t="shared" si="73"/>
        <v>165.80403245167059</v>
      </c>
    </row>
    <row r="2336" spans="1:9" x14ac:dyDescent="0.45">
      <c r="A2336" t="s">
        <v>29</v>
      </c>
      <c r="B2336" t="s">
        <v>41</v>
      </c>
      <c r="C2336" t="str">
        <f t="shared" si="72"/>
        <v>IllinoisMichigan St.</v>
      </c>
      <c r="D2336" t="s">
        <v>41</v>
      </c>
      <c r="E2336">
        <v>33.6</v>
      </c>
      <c r="F2336">
        <v>4.4641509433962296</v>
      </c>
      <c r="G2336">
        <v>197.565268150599</v>
      </c>
      <c r="H2336">
        <v>138.74729511550299</v>
      </c>
      <c r="I2336" s="1">
        <f t="shared" si="73"/>
        <v>138.34936771155651</v>
      </c>
    </row>
    <row r="2337" spans="1:9" x14ac:dyDescent="0.45">
      <c r="A2337" t="s">
        <v>30</v>
      </c>
      <c r="B2337" t="s">
        <v>41</v>
      </c>
      <c r="C2337" t="str">
        <f t="shared" si="72"/>
        <v>Iowa St.Michigan St.</v>
      </c>
      <c r="D2337" t="s">
        <v>30</v>
      </c>
      <c r="E2337">
        <v>51.6</v>
      </c>
      <c r="F2337">
        <v>-0.41886792452830202</v>
      </c>
      <c r="G2337">
        <v>-106.617815703612</v>
      </c>
      <c r="H2337">
        <v>139.67356369386101</v>
      </c>
      <c r="I2337" s="1">
        <f t="shared" si="73"/>
        <v>151.39223478249687</v>
      </c>
    </row>
    <row r="2338" spans="1:9" x14ac:dyDescent="0.45">
      <c r="A2338" t="s">
        <v>31</v>
      </c>
      <c r="B2338" t="s">
        <v>41</v>
      </c>
      <c r="C2338" t="str">
        <f t="shared" si="72"/>
        <v>KansasMichigan St.</v>
      </c>
      <c r="D2338" t="s">
        <v>41</v>
      </c>
      <c r="E2338">
        <v>23.6</v>
      </c>
      <c r="F2338">
        <v>7.6830188679245301</v>
      </c>
      <c r="G2338">
        <v>322.83581279694801</v>
      </c>
      <c r="H2338">
        <v>138.628953978173</v>
      </c>
      <c r="I2338" s="1">
        <f t="shared" si="73"/>
        <v>136.6829960356921</v>
      </c>
    </row>
    <row r="2339" spans="1:9" x14ac:dyDescent="0.45">
      <c r="A2339" t="s">
        <v>32</v>
      </c>
      <c r="B2339" t="s">
        <v>41</v>
      </c>
      <c r="C2339" t="str">
        <f t="shared" si="72"/>
        <v>KentuckyMichigan St.</v>
      </c>
      <c r="D2339" t="s">
        <v>41</v>
      </c>
      <c r="E2339">
        <v>34.299999999999997</v>
      </c>
      <c r="F2339">
        <v>4.2528301886792503</v>
      </c>
      <c r="G2339">
        <v>191.36933239734901</v>
      </c>
      <c r="H2339">
        <v>138.57599157856501</v>
      </c>
      <c r="I2339" s="1">
        <f t="shared" si="73"/>
        <v>135.93722795720498</v>
      </c>
    </row>
    <row r="2340" spans="1:9" x14ac:dyDescent="0.45">
      <c r="A2340" t="s">
        <v>33</v>
      </c>
      <c r="B2340" t="s">
        <v>41</v>
      </c>
      <c r="C2340" t="str">
        <f t="shared" si="72"/>
        <v>LibertyMichigan St.</v>
      </c>
      <c r="D2340" t="s">
        <v>41</v>
      </c>
      <c r="E2340">
        <v>1.4</v>
      </c>
      <c r="F2340">
        <v>27.743396226415101</v>
      </c>
      <c r="G2340">
        <v>6887.03706116186</v>
      </c>
      <c r="H2340">
        <v>137.78492782696401</v>
      </c>
      <c r="I2340" s="1">
        <f t="shared" si="73"/>
        <v>124.79819161521729</v>
      </c>
    </row>
    <row r="2341" spans="1:9" x14ac:dyDescent="0.45">
      <c r="A2341" t="s">
        <v>34</v>
      </c>
      <c r="B2341" t="s">
        <v>41</v>
      </c>
      <c r="C2341" t="str">
        <f t="shared" si="72"/>
        <v>LipscombMichigan St.</v>
      </c>
      <c r="D2341" t="s">
        <v>41</v>
      </c>
      <c r="E2341">
        <v>1.1000000000000001</v>
      </c>
      <c r="F2341">
        <v>29.486792452830201</v>
      </c>
      <c r="G2341">
        <v>8983.8453936419592</v>
      </c>
      <c r="H2341">
        <v>138.21684805822201</v>
      </c>
      <c r="I2341" s="1">
        <f t="shared" si="73"/>
        <v>130.88009733152083</v>
      </c>
    </row>
    <row r="2342" spans="1:9" x14ac:dyDescent="0.45">
      <c r="A2342" t="s">
        <v>35</v>
      </c>
      <c r="B2342" t="s">
        <v>41</v>
      </c>
      <c r="C2342" t="str">
        <f t="shared" si="72"/>
        <v>LouisvilleMichigan St.</v>
      </c>
      <c r="D2342" t="s">
        <v>41</v>
      </c>
      <c r="E2342">
        <v>2.7</v>
      </c>
      <c r="F2342">
        <v>23.377358490565999</v>
      </c>
      <c r="G2342">
        <v>3538.7427929791302</v>
      </c>
      <c r="H2342">
        <v>137.50257137019</v>
      </c>
      <c r="I2342" s="1">
        <f t="shared" si="73"/>
        <v>120.8223061988584</v>
      </c>
    </row>
    <row r="2343" spans="1:9" x14ac:dyDescent="0.45">
      <c r="A2343" t="s">
        <v>36</v>
      </c>
      <c r="B2343" t="s">
        <v>41</v>
      </c>
      <c r="C2343" t="str">
        <f t="shared" si="72"/>
        <v>MarquetteMichigan St.</v>
      </c>
      <c r="D2343" t="s">
        <v>41</v>
      </c>
      <c r="E2343">
        <v>28.5</v>
      </c>
      <c r="F2343">
        <v>6.0339622641509401</v>
      </c>
      <c r="G2343">
        <v>251.040384680773</v>
      </c>
      <c r="H2343">
        <v>138.83432800509499</v>
      </c>
      <c r="I2343" s="1">
        <f t="shared" si="73"/>
        <v>139.5748852733856</v>
      </c>
    </row>
    <row r="2344" spans="1:9" x14ac:dyDescent="0.45">
      <c r="A2344" t="s">
        <v>37</v>
      </c>
      <c r="B2344" t="s">
        <v>41</v>
      </c>
      <c r="C2344" t="str">
        <f t="shared" si="72"/>
        <v>MarylandMichigan St.</v>
      </c>
      <c r="D2344" t="s">
        <v>41</v>
      </c>
      <c r="E2344">
        <v>21.3</v>
      </c>
      <c r="F2344">
        <v>8.5773584905660396</v>
      </c>
      <c r="G2344">
        <v>370.07346790959599</v>
      </c>
      <c r="H2344">
        <v>138.44426731677299</v>
      </c>
      <c r="I2344" s="1">
        <f t="shared" si="73"/>
        <v>134.08240736119967</v>
      </c>
    </row>
    <row r="2345" spans="1:9" x14ac:dyDescent="0.45">
      <c r="A2345" t="s">
        <v>38</v>
      </c>
      <c r="B2345" t="s">
        <v>41</v>
      </c>
      <c r="C2345" t="str">
        <f t="shared" si="72"/>
        <v>McNeese St.Michigan St.</v>
      </c>
      <c r="D2345" t="s">
        <v>41</v>
      </c>
      <c r="E2345">
        <v>4.5999999999999996</v>
      </c>
      <c r="F2345">
        <v>19.8867924528302</v>
      </c>
      <c r="G2345">
        <v>2077.0029404996899</v>
      </c>
      <c r="H2345">
        <v>138.279678930975</v>
      </c>
      <c r="I2345" s="1">
        <f t="shared" si="73"/>
        <v>131.76482422436331</v>
      </c>
    </row>
    <row r="2346" spans="1:9" x14ac:dyDescent="0.45">
      <c r="A2346" t="s">
        <v>39</v>
      </c>
      <c r="B2346" t="s">
        <v>41</v>
      </c>
      <c r="C2346" t="str">
        <f t="shared" si="72"/>
        <v>MemphisMichigan St.</v>
      </c>
      <c r="D2346" t="s">
        <v>41</v>
      </c>
      <c r="E2346">
        <v>12.2</v>
      </c>
      <c r="F2346">
        <v>12.962264150943399</v>
      </c>
      <c r="G2346">
        <v>722.52762116582005</v>
      </c>
      <c r="H2346">
        <v>137.42190212979301</v>
      </c>
      <c r="I2346" s="1">
        <f t="shared" si="73"/>
        <v>119.68639572559505</v>
      </c>
    </row>
    <row r="2347" spans="1:9" x14ac:dyDescent="0.45">
      <c r="A2347" t="s">
        <v>40</v>
      </c>
      <c r="B2347" t="s">
        <v>41</v>
      </c>
      <c r="C2347" t="str">
        <f t="shared" si="72"/>
        <v>MichiganMichigan St.</v>
      </c>
      <c r="D2347" t="s">
        <v>41</v>
      </c>
      <c r="E2347">
        <v>6.8</v>
      </c>
      <c r="F2347">
        <v>17.150943396226399</v>
      </c>
      <c r="G2347">
        <v>1368.74798779049</v>
      </c>
      <c r="H2347">
        <v>137.07882321447599</v>
      </c>
      <c r="I2347" s="1">
        <f t="shared" si="73"/>
        <v>114.85547217720631</v>
      </c>
    </row>
    <row r="2348" spans="1:9" x14ac:dyDescent="0.45">
      <c r="A2348" t="s">
        <v>41</v>
      </c>
      <c r="B2348" t="s">
        <v>41</v>
      </c>
      <c r="C2348" t="str">
        <f t="shared" si="72"/>
        <v>Michigan St.Michigan St.</v>
      </c>
      <c r="D2348" t="s">
        <v>41</v>
      </c>
      <c r="E2348">
        <v>41.2</v>
      </c>
      <c r="F2348">
        <v>2.3283018867924499</v>
      </c>
      <c r="G2348">
        <v>142.64273539779199</v>
      </c>
      <c r="H2348">
        <v>138.77771517530499</v>
      </c>
      <c r="I2348" s="1">
        <f t="shared" si="73"/>
        <v>138.77771517530277</v>
      </c>
    </row>
    <row r="2349" spans="1:9" x14ac:dyDescent="0.45">
      <c r="A2349" t="s">
        <v>42</v>
      </c>
      <c r="B2349" t="s">
        <v>41</v>
      </c>
      <c r="C2349" t="str">
        <f t="shared" si="72"/>
        <v>MississippiMichigan St.</v>
      </c>
      <c r="D2349" t="s">
        <v>41</v>
      </c>
      <c r="E2349">
        <v>15.3</v>
      </c>
      <c r="F2349">
        <v>11.2377358490566</v>
      </c>
      <c r="G2349">
        <v>555.35226675035597</v>
      </c>
      <c r="H2349">
        <v>137.9086362804</v>
      </c>
      <c r="I2349" s="1">
        <f t="shared" si="73"/>
        <v>126.54014092820981</v>
      </c>
    </row>
    <row r="2350" spans="1:9" x14ac:dyDescent="0.45">
      <c r="A2350" t="s">
        <v>43</v>
      </c>
      <c r="B2350" t="s">
        <v>41</v>
      </c>
      <c r="C2350" t="str">
        <f t="shared" si="72"/>
        <v>Mississippi St.Michigan St.</v>
      </c>
      <c r="D2350" t="s">
        <v>41</v>
      </c>
      <c r="E2350">
        <v>12</v>
      </c>
      <c r="F2350">
        <v>13.086792452830201</v>
      </c>
      <c r="G2350">
        <v>736.30852846880703</v>
      </c>
      <c r="H2350">
        <v>138.033007634189</v>
      </c>
      <c r="I2350" s="1">
        <f t="shared" si="73"/>
        <v>128.29142459776753</v>
      </c>
    </row>
    <row r="2351" spans="1:9" x14ac:dyDescent="0.45">
      <c r="A2351" t="s">
        <v>44</v>
      </c>
      <c r="B2351" t="s">
        <v>41</v>
      </c>
      <c r="C2351" t="str">
        <f t="shared" si="72"/>
        <v>MissouriMichigan St.</v>
      </c>
      <c r="D2351" t="s">
        <v>41</v>
      </c>
      <c r="E2351">
        <v>5.6</v>
      </c>
      <c r="F2351">
        <v>18.501886792452801</v>
      </c>
      <c r="G2351">
        <v>1681.3524915993801</v>
      </c>
      <c r="H2351">
        <v>137.29747957036301</v>
      </c>
      <c r="I2351" s="1">
        <f t="shared" si="73"/>
        <v>117.93439102502705</v>
      </c>
    </row>
    <row r="2352" spans="1:9" x14ac:dyDescent="0.45">
      <c r="A2352" t="s">
        <v>45</v>
      </c>
      <c r="B2352" t="s">
        <v>41</v>
      </c>
      <c r="C2352" t="str">
        <f t="shared" si="72"/>
        <v>MontanaMichigan St.</v>
      </c>
      <c r="D2352" t="s">
        <v>41</v>
      </c>
      <c r="E2352">
        <v>0.6</v>
      </c>
      <c r="F2352">
        <v>33.7584905660377</v>
      </c>
      <c r="G2352">
        <v>17236.569855450602</v>
      </c>
      <c r="H2352">
        <v>136.60621429538199</v>
      </c>
      <c r="I2352" s="1">
        <f t="shared" si="73"/>
        <v>108.20062556758582</v>
      </c>
    </row>
    <row r="2353" spans="1:9" x14ac:dyDescent="0.45">
      <c r="A2353" t="s">
        <v>46</v>
      </c>
      <c r="B2353" t="s">
        <v>41</v>
      </c>
      <c r="C2353" t="str">
        <f t="shared" si="72"/>
        <v>Mount St. Mary'sMichigan St.</v>
      </c>
      <c r="D2353" t="s">
        <v>41</v>
      </c>
      <c r="E2353">
        <v>0.2</v>
      </c>
      <c r="F2353">
        <v>39.875471698113202</v>
      </c>
      <c r="G2353">
        <v>43817.897962332099</v>
      </c>
      <c r="H2353">
        <v>137.95408851732901</v>
      </c>
      <c r="I2353" s="1">
        <f t="shared" si="73"/>
        <v>127.18015776370783</v>
      </c>
    </row>
    <row r="2354" spans="1:9" x14ac:dyDescent="0.45">
      <c r="A2354" t="s">
        <v>47</v>
      </c>
      <c r="B2354" t="s">
        <v>41</v>
      </c>
      <c r="C2354" t="str">
        <f t="shared" si="72"/>
        <v>Nebraska OmahaMichigan St.</v>
      </c>
      <c r="D2354" t="s">
        <v>41</v>
      </c>
      <c r="E2354">
        <v>0.3</v>
      </c>
      <c r="F2354">
        <v>38.158490566037699</v>
      </c>
      <c r="G2354">
        <v>33727.268974501101</v>
      </c>
      <c r="H2354">
        <v>137.23808969722899</v>
      </c>
      <c r="I2354" s="1">
        <f t="shared" si="73"/>
        <v>117.09811714211048</v>
      </c>
    </row>
    <row r="2355" spans="1:9" x14ac:dyDescent="0.45">
      <c r="A2355" t="s">
        <v>48</v>
      </c>
      <c r="B2355" t="s">
        <v>41</v>
      </c>
      <c r="C2355" t="str">
        <f t="shared" si="72"/>
        <v>New MexicoMichigan St.</v>
      </c>
      <c r="D2355" t="s">
        <v>41</v>
      </c>
      <c r="E2355">
        <v>7</v>
      </c>
      <c r="F2355">
        <v>16.909433962264199</v>
      </c>
      <c r="G2355">
        <v>1319.30633933387</v>
      </c>
      <c r="H2355">
        <v>138.115834044504</v>
      </c>
      <c r="I2355" s="1">
        <f t="shared" si="73"/>
        <v>129.45771036513818</v>
      </c>
    </row>
    <row r="2356" spans="1:9" x14ac:dyDescent="0.45">
      <c r="A2356" t="s">
        <v>49</v>
      </c>
      <c r="B2356" t="s">
        <v>41</v>
      </c>
      <c r="C2356" t="str">
        <f t="shared" si="72"/>
        <v>Norfolk St.Michigan St.</v>
      </c>
      <c r="D2356" t="s">
        <v>41</v>
      </c>
      <c r="E2356">
        <v>0.4</v>
      </c>
      <c r="F2356">
        <v>35.626415094339599</v>
      </c>
      <c r="G2356">
        <v>22919.151771711098</v>
      </c>
      <c r="H2356">
        <v>137.128197706706</v>
      </c>
      <c r="I2356" s="1">
        <f t="shared" si="73"/>
        <v>115.55071862504852</v>
      </c>
    </row>
    <row r="2357" spans="1:9" x14ac:dyDescent="0.45">
      <c r="A2357" t="s">
        <v>50</v>
      </c>
      <c r="B2357" t="s">
        <v>41</v>
      </c>
      <c r="C2357" t="str">
        <f t="shared" si="72"/>
        <v>North CarolinaMichigan St.</v>
      </c>
      <c r="D2357" t="s">
        <v>41</v>
      </c>
      <c r="E2357">
        <v>20.5</v>
      </c>
      <c r="F2357">
        <v>8.8716981132075503</v>
      </c>
      <c r="G2357">
        <v>386.94800887324999</v>
      </c>
      <c r="H2357">
        <v>139.20012913866199</v>
      </c>
      <c r="I2357" s="1">
        <f t="shared" si="73"/>
        <v>144.7257623202691</v>
      </c>
    </row>
    <row r="2358" spans="1:9" x14ac:dyDescent="0.45">
      <c r="A2358" t="s">
        <v>51</v>
      </c>
      <c r="B2358" t="s">
        <v>41</v>
      </c>
      <c r="C2358" t="str">
        <f t="shared" si="72"/>
        <v>OklahomaMichigan St.</v>
      </c>
      <c r="D2358" t="s">
        <v>41</v>
      </c>
      <c r="E2358">
        <v>7.8</v>
      </c>
      <c r="F2358">
        <v>16.177358490566</v>
      </c>
      <c r="G2358">
        <v>1179.40004010606</v>
      </c>
      <c r="H2358">
        <v>137.542732434166</v>
      </c>
      <c r="I2358" s="1">
        <f t="shared" si="73"/>
        <v>121.38781757547777</v>
      </c>
    </row>
    <row r="2359" spans="1:9" x14ac:dyDescent="0.45">
      <c r="A2359" t="s">
        <v>52</v>
      </c>
      <c r="B2359" t="s">
        <v>41</v>
      </c>
      <c r="C2359" t="str">
        <f t="shared" si="72"/>
        <v>OregonMichigan St.</v>
      </c>
      <c r="D2359" t="s">
        <v>41</v>
      </c>
      <c r="E2359">
        <v>21.9</v>
      </c>
      <c r="F2359">
        <v>8.3509433962264197</v>
      </c>
      <c r="G2359">
        <v>357.46763874061497</v>
      </c>
      <c r="H2359">
        <v>138.137110222307</v>
      </c>
      <c r="I2359" s="1">
        <f t="shared" si="73"/>
        <v>129.7573020444265</v>
      </c>
    </row>
    <row r="2360" spans="1:9" x14ac:dyDescent="0.45">
      <c r="A2360" t="s">
        <v>53</v>
      </c>
      <c r="B2360" t="s">
        <v>41</v>
      </c>
      <c r="C2360" t="str">
        <f t="shared" si="72"/>
        <v>PurdueMichigan St.</v>
      </c>
      <c r="D2360" t="s">
        <v>53</v>
      </c>
      <c r="E2360">
        <v>59.6</v>
      </c>
      <c r="F2360">
        <v>-2.5584905660377402</v>
      </c>
      <c r="G2360">
        <v>-147.76478248026601</v>
      </c>
      <c r="H2360">
        <v>139.485097551096</v>
      </c>
      <c r="I2360" s="1">
        <f t="shared" si="73"/>
        <v>148.73842690766386</v>
      </c>
    </row>
    <row r="2361" spans="1:9" x14ac:dyDescent="0.45">
      <c r="A2361" t="s">
        <v>54</v>
      </c>
      <c r="B2361" t="s">
        <v>41</v>
      </c>
      <c r="C2361" t="str">
        <f t="shared" si="72"/>
        <v>Robert MorrisMichigan St.</v>
      </c>
      <c r="D2361" t="s">
        <v>41</v>
      </c>
      <c r="E2361">
        <v>0.2</v>
      </c>
      <c r="F2361">
        <v>41.381132075471697</v>
      </c>
      <c r="G2361">
        <v>55158.194597503301</v>
      </c>
      <c r="H2361">
        <v>136.54373439985901</v>
      </c>
      <c r="I2361" s="1">
        <f t="shared" si="73"/>
        <v>107.32084081513626</v>
      </c>
    </row>
    <row r="2362" spans="1:9" x14ac:dyDescent="0.45">
      <c r="A2362" t="s">
        <v>55</v>
      </c>
      <c r="B2362" t="s">
        <v>41</v>
      </c>
      <c r="C2362" t="str">
        <f t="shared" si="72"/>
        <v>Saint FrancisMichigan St.</v>
      </c>
      <c r="D2362" t="s">
        <v>41</v>
      </c>
      <c r="E2362">
        <v>0.1</v>
      </c>
      <c r="F2362">
        <v>44.109433962264198</v>
      </c>
      <c r="G2362">
        <v>83603.597001169896</v>
      </c>
      <c r="H2362">
        <v>137.59658993306601</v>
      </c>
      <c r="I2362" s="1">
        <f t="shared" si="73"/>
        <v>122.14618962364921</v>
      </c>
    </row>
    <row r="2363" spans="1:9" x14ac:dyDescent="0.45">
      <c r="A2363" t="s">
        <v>56</v>
      </c>
      <c r="B2363" t="s">
        <v>41</v>
      </c>
      <c r="C2363" t="str">
        <f t="shared" si="72"/>
        <v>Saint Mary'sMichigan St.</v>
      </c>
      <c r="D2363" t="s">
        <v>41</v>
      </c>
      <c r="E2363">
        <v>19.3</v>
      </c>
      <c r="F2363">
        <v>9.3924528301886792</v>
      </c>
      <c r="G2363">
        <v>419.122801219515</v>
      </c>
      <c r="H2363">
        <v>138.84784513415599</v>
      </c>
      <c r="I2363" s="1">
        <f t="shared" si="73"/>
        <v>139.76522112374545</v>
      </c>
    </row>
    <row r="2364" spans="1:9" x14ac:dyDescent="0.45">
      <c r="A2364" t="s">
        <v>57</v>
      </c>
      <c r="B2364" t="s">
        <v>41</v>
      </c>
      <c r="C2364" t="str">
        <f t="shared" si="72"/>
        <v>San Diego St.Michigan St.</v>
      </c>
      <c r="D2364" t="s">
        <v>41</v>
      </c>
      <c r="E2364">
        <v>6.5</v>
      </c>
      <c r="F2364">
        <v>17.486792452830201</v>
      </c>
      <c r="G2364">
        <v>1440.39755030541</v>
      </c>
      <c r="H2364">
        <v>137.99410001395401</v>
      </c>
      <c r="I2364" s="1">
        <f t="shared" si="73"/>
        <v>127.743563069666</v>
      </c>
    </row>
    <row r="2365" spans="1:9" x14ac:dyDescent="0.45">
      <c r="A2365" t="s">
        <v>58</v>
      </c>
      <c r="B2365" t="s">
        <v>41</v>
      </c>
      <c r="C2365" t="str">
        <f t="shared" si="72"/>
        <v>SIU EdwardsvilleMichigan St.</v>
      </c>
      <c r="D2365" t="s">
        <v>41</v>
      </c>
      <c r="E2365">
        <v>0.3</v>
      </c>
      <c r="F2365">
        <v>37.083018867924501</v>
      </c>
      <c r="G2365">
        <v>28632.504851754002</v>
      </c>
      <c r="H2365">
        <v>138.14178778080199</v>
      </c>
      <c r="I2365" s="1">
        <f t="shared" si="73"/>
        <v>129.82316714564243</v>
      </c>
    </row>
    <row r="2366" spans="1:9" x14ac:dyDescent="0.45">
      <c r="A2366" t="s">
        <v>59</v>
      </c>
      <c r="B2366" t="s">
        <v>41</v>
      </c>
      <c r="C2366" t="str">
        <f t="shared" si="72"/>
        <v>St. John'sMichigan St.</v>
      </c>
      <c r="D2366" t="s">
        <v>41</v>
      </c>
      <c r="E2366">
        <v>42.7</v>
      </c>
      <c r="F2366">
        <v>1.92830188679245</v>
      </c>
      <c r="G2366">
        <v>134.16889264804701</v>
      </c>
      <c r="H2366">
        <v>139.11947055334701</v>
      </c>
      <c r="I2366" s="1">
        <f t="shared" si="73"/>
        <v>143.59000188212678</v>
      </c>
    </row>
    <row r="2367" spans="1:9" x14ac:dyDescent="0.45">
      <c r="A2367" t="s">
        <v>60</v>
      </c>
      <c r="B2367" t="s">
        <v>41</v>
      </c>
      <c r="C2367" t="str">
        <f t="shared" si="72"/>
        <v>TennesseeMichigan St.</v>
      </c>
      <c r="D2367" t="s">
        <v>60</v>
      </c>
      <c r="E2367">
        <v>59.9</v>
      </c>
      <c r="F2367">
        <v>-2.6188679245283</v>
      </c>
      <c r="G2367">
        <v>-149.103422697779</v>
      </c>
      <c r="H2367">
        <v>139.71345343003799</v>
      </c>
      <c r="I2367" s="1">
        <f t="shared" si="73"/>
        <v>151.95392556917284</v>
      </c>
    </row>
    <row r="2368" spans="1:9" x14ac:dyDescent="0.45">
      <c r="A2368" t="s">
        <v>61</v>
      </c>
      <c r="B2368" t="s">
        <v>41</v>
      </c>
      <c r="C2368" t="str">
        <f t="shared" si="72"/>
        <v>TexasMichigan St.</v>
      </c>
      <c r="D2368" t="s">
        <v>41</v>
      </c>
      <c r="E2368">
        <v>5.7</v>
      </c>
      <c r="F2368">
        <v>18.335849056603799</v>
      </c>
      <c r="G2368">
        <v>1639.37799743807</v>
      </c>
      <c r="H2368">
        <v>137.46916796111</v>
      </c>
      <c r="I2368" s="1">
        <f t="shared" si="73"/>
        <v>120.35194993877785</v>
      </c>
    </row>
    <row r="2369" spans="1:9" x14ac:dyDescent="0.45">
      <c r="A2369" t="s">
        <v>62</v>
      </c>
      <c r="B2369" t="s">
        <v>41</v>
      </c>
      <c r="C2369" t="str">
        <f t="shared" si="72"/>
        <v>Texas A&amp;MMichigan St.</v>
      </c>
      <c r="D2369" t="s">
        <v>41</v>
      </c>
      <c r="E2369">
        <v>26.1</v>
      </c>
      <c r="F2369">
        <v>6.8377358490565996</v>
      </c>
      <c r="G2369">
        <v>283.84302648193199</v>
      </c>
      <c r="H2369">
        <v>138.26696698870401</v>
      </c>
      <c r="I2369" s="1">
        <f t="shared" si="73"/>
        <v>131.58582627805728</v>
      </c>
    </row>
    <row r="2370" spans="1:9" x14ac:dyDescent="0.45">
      <c r="A2370" t="s">
        <v>63</v>
      </c>
      <c r="B2370" t="s">
        <v>41</v>
      </c>
      <c r="C2370" t="str">
        <f t="shared" si="72"/>
        <v>Texas TechMichigan St.</v>
      </c>
      <c r="D2370" t="s">
        <v>41</v>
      </c>
      <c r="E2370">
        <v>41</v>
      </c>
      <c r="F2370">
        <v>2.3886792452830199</v>
      </c>
      <c r="G2370">
        <v>143.93343693874399</v>
      </c>
      <c r="H2370">
        <v>139.30675110776801</v>
      </c>
      <c r="I2370" s="1">
        <f t="shared" si="73"/>
        <v>146.2271153860903</v>
      </c>
    </row>
    <row r="2371" spans="1:9" x14ac:dyDescent="0.45">
      <c r="A2371" t="s">
        <v>64</v>
      </c>
      <c r="B2371" t="s">
        <v>41</v>
      </c>
      <c r="C2371" t="str">
        <f t="shared" ref="C2371:C2434" si="74">A2371&amp;B2371</f>
        <v>TroyMichigan St.</v>
      </c>
      <c r="D2371" t="s">
        <v>41</v>
      </c>
      <c r="E2371">
        <v>1</v>
      </c>
      <c r="F2371">
        <v>30.332075471698101</v>
      </c>
      <c r="G2371">
        <v>10224.041435244701</v>
      </c>
      <c r="H2371">
        <v>138.010315527497</v>
      </c>
      <c r="I2371" s="1">
        <f t="shared" ref="I2371:I2434" si="75">18*(H2371-AVERAGE($H$2:$H$4625))/_xlfn.STDEV.P($H$2:$H$4625)+AVERAGE($H$2:$H$4625)</f>
        <v>127.97189510269592</v>
      </c>
    </row>
    <row r="2372" spans="1:9" x14ac:dyDescent="0.45">
      <c r="A2372" t="s">
        <v>65</v>
      </c>
      <c r="B2372" t="s">
        <v>41</v>
      </c>
      <c r="C2372" t="str">
        <f t="shared" si="74"/>
        <v>UC San DiegoMichigan St.</v>
      </c>
      <c r="D2372" t="s">
        <v>41</v>
      </c>
      <c r="E2372">
        <v>2.4</v>
      </c>
      <c r="F2372">
        <v>24.173584905660402</v>
      </c>
      <c r="G2372">
        <v>3994.6287365367202</v>
      </c>
      <c r="H2372">
        <v>138.09843727088801</v>
      </c>
      <c r="I2372" s="1">
        <f t="shared" si="75"/>
        <v>129.21274490799317</v>
      </c>
    </row>
    <row r="2373" spans="1:9" x14ac:dyDescent="0.45">
      <c r="A2373" t="s">
        <v>66</v>
      </c>
      <c r="B2373" t="s">
        <v>41</v>
      </c>
      <c r="C2373" t="str">
        <f t="shared" si="74"/>
        <v>UCLAMichigan St.</v>
      </c>
      <c r="D2373" t="s">
        <v>41</v>
      </c>
      <c r="E2373">
        <v>9</v>
      </c>
      <c r="F2373">
        <v>15.128301886792499</v>
      </c>
      <c r="G2373">
        <v>1005.2490196403299</v>
      </c>
      <c r="H2373">
        <v>137.56989178399701</v>
      </c>
      <c r="I2373" s="1">
        <f t="shared" si="75"/>
        <v>121.77025070325047</v>
      </c>
    </row>
    <row r="2374" spans="1:9" x14ac:dyDescent="0.45">
      <c r="A2374" t="s">
        <v>67</v>
      </c>
      <c r="B2374" t="s">
        <v>41</v>
      </c>
      <c r="C2374" t="str">
        <f t="shared" si="74"/>
        <v>UNC WilmingtonMichigan St.</v>
      </c>
      <c r="D2374" t="s">
        <v>41</v>
      </c>
      <c r="E2374">
        <v>1.5</v>
      </c>
      <c r="F2374">
        <v>27.5320754716981</v>
      </c>
      <c r="G2374">
        <v>6669.8276478408898</v>
      </c>
      <c r="H2374">
        <v>138.68490745791701</v>
      </c>
      <c r="I2374" s="1">
        <f t="shared" si="75"/>
        <v>137.47088176938644</v>
      </c>
    </row>
    <row r="2375" spans="1:9" x14ac:dyDescent="0.45">
      <c r="A2375" t="s">
        <v>68</v>
      </c>
      <c r="B2375" t="s">
        <v>41</v>
      </c>
      <c r="C2375" t="str">
        <f t="shared" si="74"/>
        <v>Utah St.Michigan St.</v>
      </c>
      <c r="D2375" t="s">
        <v>41</v>
      </c>
      <c r="E2375">
        <v>7.1</v>
      </c>
      <c r="F2375">
        <v>16.890566037735901</v>
      </c>
      <c r="G2375">
        <v>1315.02983410715</v>
      </c>
      <c r="H2375">
        <v>138.05627786174401</v>
      </c>
      <c r="I2375" s="1">
        <f t="shared" si="75"/>
        <v>128.61909466215474</v>
      </c>
    </row>
    <row r="2376" spans="1:9" x14ac:dyDescent="0.45">
      <c r="A2376" t="s">
        <v>69</v>
      </c>
      <c r="B2376" t="s">
        <v>41</v>
      </c>
      <c r="C2376" t="str">
        <f t="shared" si="74"/>
        <v>VanderbiltMichigan St.</v>
      </c>
      <c r="D2376" t="s">
        <v>41</v>
      </c>
      <c r="E2376">
        <v>1.6</v>
      </c>
      <c r="F2376">
        <v>27.011320754717001</v>
      </c>
      <c r="G2376">
        <v>6159.2182714003902</v>
      </c>
      <c r="H2376">
        <v>136.63084835034201</v>
      </c>
      <c r="I2376" s="1">
        <f t="shared" si="75"/>
        <v>108.54749980230434</v>
      </c>
    </row>
    <row r="2377" spans="1:9" x14ac:dyDescent="0.45">
      <c r="A2377" t="s">
        <v>70</v>
      </c>
      <c r="B2377" t="s">
        <v>41</v>
      </c>
      <c r="C2377" t="str">
        <f t="shared" si="74"/>
        <v>VCUMichigan St.</v>
      </c>
      <c r="D2377" t="s">
        <v>41</v>
      </c>
      <c r="E2377">
        <v>4.7</v>
      </c>
      <c r="F2377">
        <v>19.664150943396201</v>
      </c>
      <c r="G2377">
        <v>2008.1471469390301</v>
      </c>
      <c r="H2377">
        <v>138.475759512217</v>
      </c>
      <c r="I2377" s="1">
        <f t="shared" si="75"/>
        <v>134.52585165861535</v>
      </c>
    </row>
    <row r="2378" spans="1:9" x14ac:dyDescent="0.45">
      <c r="A2378" t="s">
        <v>71</v>
      </c>
      <c r="B2378" t="s">
        <v>41</v>
      </c>
      <c r="C2378" t="str">
        <f t="shared" si="74"/>
        <v>WisconsinMichigan St.</v>
      </c>
      <c r="D2378" t="s">
        <v>41</v>
      </c>
      <c r="E2378">
        <v>38</v>
      </c>
      <c r="F2378">
        <v>3.2037735849056599</v>
      </c>
      <c r="G2378">
        <v>162.98765175507401</v>
      </c>
      <c r="H2378">
        <v>139.27643836748399</v>
      </c>
      <c r="I2378" s="1">
        <f t="shared" si="75"/>
        <v>145.80027909765522</v>
      </c>
    </row>
    <row r="2379" spans="1:9" x14ac:dyDescent="0.45">
      <c r="A2379" t="s">
        <v>80</v>
      </c>
      <c r="B2379" t="s">
        <v>41</v>
      </c>
      <c r="C2379" t="str">
        <f t="shared" si="74"/>
        <v>WoffordMichigan St.</v>
      </c>
      <c r="D2379" t="s">
        <v>41</v>
      </c>
      <c r="E2379">
        <v>0.5</v>
      </c>
      <c r="F2379">
        <v>34.588679245282997</v>
      </c>
      <c r="G2379">
        <v>19562.7446018917</v>
      </c>
      <c r="H2379">
        <v>137.30589410657899</v>
      </c>
      <c r="I2379" s="1">
        <f t="shared" si="75"/>
        <v>118.05287682913712</v>
      </c>
    </row>
    <row r="2380" spans="1:9" x14ac:dyDescent="0.45">
      <c r="A2380" t="s">
        <v>72</v>
      </c>
      <c r="B2380" t="s">
        <v>41</v>
      </c>
      <c r="C2380" t="str">
        <f t="shared" si="74"/>
        <v>XavierMichigan St.</v>
      </c>
      <c r="D2380" t="s">
        <v>41</v>
      </c>
      <c r="E2380">
        <v>4.7</v>
      </c>
      <c r="F2380">
        <v>19.739622641509399</v>
      </c>
      <c r="G2380">
        <v>2031.6563088432299</v>
      </c>
      <c r="H2380">
        <v>137.88180767673001</v>
      </c>
      <c r="I2380" s="1">
        <f t="shared" si="75"/>
        <v>126.16236506541738</v>
      </c>
    </row>
    <row r="2381" spans="1:9" x14ac:dyDescent="0.45">
      <c r="A2381" t="s">
        <v>73</v>
      </c>
      <c r="B2381" t="s">
        <v>41</v>
      </c>
      <c r="C2381" t="str">
        <f t="shared" si="74"/>
        <v>YaleMichigan St.</v>
      </c>
      <c r="D2381" t="s">
        <v>41</v>
      </c>
      <c r="E2381">
        <v>2.7</v>
      </c>
      <c r="F2381">
        <v>23.5660377358491</v>
      </c>
      <c r="G2381">
        <v>3640.5065875455198</v>
      </c>
      <c r="H2381">
        <v>138.681042310793</v>
      </c>
      <c r="I2381" s="1">
        <f t="shared" si="75"/>
        <v>137.41645630216681</v>
      </c>
    </row>
    <row r="2382" spans="1:9" x14ac:dyDescent="0.45">
      <c r="A2382" t="s">
        <v>7</v>
      </c>
      <c r="B2382" t="s">
        <v>42</v>
      </c>
      <c r="C2382" t="str">
        <f t="shared" si="74"/>
        <v>AkronMississippi</v>
      </c>
      <c r="D2382" t="s">
        <v>42</v>
      </c>
      <c r="E2382">
        <v>5.2</v>
      </c>
      <c r="F2382">
        <v>19.0490566037736</v>
      </c>
      <c r="G2382">
        <v>1828.1453362413999</v>
      </c>
      <c r="H2382">
        <v>138.33258666114401</v>
      </c>
      <c r="I2382" s="1">
        <f t="shared" si="75"/>
        <v>132.50982249780455</v>
      </c>
    </row>
    <row r="2383" spans="1:9" x14ac:dyDescent="0.45">
      <c r="A2383" t="s">
        <v>8</v>
      </c>
      <c r="B2383" t="s">
        <v>42</v>
      </c>
      <c r="C2383" t="str">
        <f t="shared" si="74"/>
        <v>AlabamaMississippi</v>
      </c>
      <c r="D2383" t="s">
        <v>8</v>
      </c>
      <c r="E2383">
        <v>80.099999999999994</v>
      </c>
      <c r="F2383">
        <v>-9.1245283018867909</v>
      </c>
      <c r="G2383">
        <v>-402.26565450972203</v>
      </c>
      <c r="H2383">
        <v>140.08068267328301</v>
      </c>
      <c r="I2383" s="1">
        <f t="shared" si="75"/>
        <v>157.12491195057152</v>
      </c>
    </row>
    <row r="2384" spans="1:9" x14ac:dyDescent="0.45">
      <c r="A2384" t="s">
        <v>9</v>
      </c>
      <c r="B2384" t="s">
        <v>42</v>
      </c>
      <c r="C2384" t="str">
        <f t="shared" si="74"/>
        <v>Alabama St.Mississippi</v>
      </c>
      <c r="D2384" t="s">
        <v>42</v>
      </c>
      <c r="E2384">
        <v>0.9</v>
      </c>
      <c r="F2384">
        <v>31.188679245283002</v>
      </c>
      <c r="G2384">
        <v>11648.619147408101</v>
      </c>
      <c r="H2384">
        <v>138.55942751695699</v>
      </c>
      <c r="I2384" s="1">
        <f t="shared" si="75"/>
        <v>135.70398798906174</v>
      </c>
    </row>
    <row r="2385" spans="1:9" x14ac:dyDescent="0.45">
      <c r="A2385" t="s">
        <v>10</v>
      </c>
      <c r="B2385" t="s">
        <v>42</v>
      </c>
      <c r="C2385" t="str">
        <f t="shared" si="74"/>
        <v>AmericanMississippi</v>
      </c>
      <c r="D2385" t="s">
        <v>42</v>
      </c>
      <c r="E2385">
        <v>1</v>
      </c>
      <c r="F2385">
        <v>29.924528301886799</v>
      </c>
      <c r="G2385">
        <v>9606.7574589963097</v>
      </c>
      <c r="H2385">
        <v>138.650513398561</v>
      </c>
      <c r="I2385" s="1">
        <f t="shared" si="75"/>
        <v>136.98657607804407</v>
      </c>
    </row>
    <row r="2386" spans="1:9" x14ac:dyDescent="0.45">
      <c r="A2386" t="s">
        <v>11</v>
      </c>
      <c r="B2386" t="s">
        <v>42</v>
      </c>
      <c r="C2386" t="str">
        <f t="shared" si="74"/>
        <v>ArizonaMississippi</v>
      </c>
      <c r="D2386" t="s">
        <v>11</v>
      </c>
      <c r="E2386">
        <v>74.099999999999994</v>
      </c>
      <c r="F2386">
        <v>-6.8830188679245303</v>
      </c>
      <c r="G2386">
        <v>-285.80823937335498</v>
      </c>
      <c r="H2386">
        <v>139.84304149227299</v>
      </c>
      <c r="I2386" s="1">
        <f t="shared" si="75"/>
        <v>153.77866615651746</v>
      </c>
    </row>
    <row r="2387" spans="1:9" x14ac:dyDescent="0.45">
      <c r="A2387" t="s">
        <v>12</v>
      </c>
      <c r="B2387" t="s">
        <v>42</v>
      </c>
      <c r="C2387" t="str">
        <f t="shared" si="74"/>
        <v>ArkansasMississippi</v>
      </c>
      <c r="D2387" t="s">
        <v>42</v>
      </c>
      <c r="E2387">
        <v>14.7</v>
      </c>
      <c r="F2387">
        <v>11.5094339622642</v>
      </c>
      <c r="G2387">
        <v>578.64658719100396</v>
      </c>
      <c r="H2387">
        <v>137.96064532613099</v>
      </c>
      <c r="I2387" s="1">
        <f t="shared" si="75"/>
        <v>127.27248474921923</v>
      </c>
    </row>
    <row r="2388" spans="1:9" x14ac:dyDescent="0.45">
      <c r="A2388" t="s">
        <v>13</v>
      </c>
      <c r="B2388" t="s">
        <v>42</v>
      </c>
      <c r="C2388" t="str">
        <f t="shared" si="74"/>
        <v>AuburnMississippi</v>
      </c>
      <c r="D2388" t="s">
        <v>13</v>
      </c>
      <c r="E2388">
        <v>88.7</v>
      </c>
      <c r="F2388">
        <v>-13.5358490566038</v>
      </c>
      <c r="G2388">
        <v>-788.34129221140199</v>
      </c>
      <c r="H2388">
        <v>141.099364731393</v>
      </c>
      <c r="I2388" s="1">
        <f t="shared" si="75"/>
        <v>171.46906113355828</v>
      </c>
    </row>
    <row r="2389" spans="1:9" x14ac:dyDescent="0.45">
      <c r="A2389" t="s">
        <v>14</v>
      </c>
      <c r="B2389" t="s">
        <v>42</v>
      </c>
      <c r="C2389" t="str">
        <f t="shared" si="74"/>
        <v>BaylorMississippi</v>
      </c>
      <c r="D2389" t="s">
        <v>42</v>
      </c>
      <c r="E2389">
        <v>45.4</v>
      </c>
      <c r="F2389">
        <v>1.19622641509434</v>
      </c>
      <c r="G2389">
        <v>120.02547238407099</v>
      </c>
      <c r="H2389">
        <v>139.63436274411799</v>
      </c>
      <c r="I2389" s="1">
        <f t="shared" si="75"/>
        <v>150.84024285650582</v>
      </c>
    </row>
    <row r="2390" spans="1:9" x14ac:dyDescent="0.45">
      <c r="A2390" t="s">
        <v>15</v>
      </c>
      <c r="B2390" t="s">
        <v>42</v>
      </c>
      <c r="C2390" t="str">
        <f t="shared" si="74"/>
        <v>BryantMississippi</v>
      </c>
      <c r="D2390" t="s">
        <v>42</v>
      </c>
      <c r="E2390">
        <v>3.6</v>
      </c>
      <c r="F2390">
        <v>21.4830188679245</v>
      </c>
      <c r="G2390">
        <v>2649.8028857570098</v>
      </c>
      <c r="H2390">
        <v>139.18336049401199</v>
      </c>
      <c r="I2390" s="1">
        <f t="shared" si="75"/>
        <v>144.48964160081482</v>
      </c>
    </row>
    <row r="2391" spans="1:9" x14ac:dyDescent="0.45">
      <c r="A2391" t="s">
        <v>16</v>
      </c>
      <c r="B2391" t="s">
        <v>42</v>
      </c>
      <c r="C2391" t="str">
        <f t="shared" si="74"/>
        <v>BYUMississippi</v>
      </c>
      <c r="D2391" t="s">
        <v>16</v>
      </c>
      <c r="E2391">
        <v>50.4</v>
      </c>
      <c r="F2391">
        <v>-9.8113207547169803E-2</v>
      </c>
      <c r="G2391">
        <v>-101.499326192564</v>
      </c>
      <c r="H2391">
        <v>139.44388097223501</v>
      </c>
      <c r="I2391" s="1">
        <f t="shared" si="75"/>
        <v>148.15805273567599</v>
      </c>
    </row>
    <row r="2392" spans="1:9" x14ac:dyDescent="0.45">
      <c r="A2392" t="s">
        <v>17</v>
      </c>
      <c r="B2392" t="s">
        <v>42</v>
      </c>
      <c r="C2392" t="str">
        <f t="shared" si="74"/>
        <v>ClemsonMississippi</v>
      </c>
      <c r="D2392" t="s">
        <v>17</v>
      </c>
      <c r="E2392">
        <v>56.5</v>
      </c>
      <c r="F2392">
        <v>-1.7207547169811299</v>
      </c>
      <c r="G2392">
        <v>-130.05129624339</v>
      </c>
      <c r="H2392">
        <v>139.665792828527</v>
      </c>
      <c r="I2392" s="1">
        <f t="shared" si="75"/>
        <v>151.28281256312573</v>
      </c>
    </row>
    <row r="2393" spans="1:9" x14ac:dyDescent="0.45">
      <c r="A2393" t="s">
        <v>18</v>
      </c>
      <c r="B2393" t="s">
        <v>42</v>
      </c>
      <c r="C2393" t="str">
        <f t="shared" si="74"/>
        <v>Colorado St.Mississippi</v>
      </c>
      <c r="D2393" t="s">
        <v>42</v>
      </c>
      <c r="E2393">
        <v>17.600000000000001</v>
      </c>
      <c r="F2393">
        <v>10.1169811320755</v>
      </c>
      <c r="G2393">
        <v>467.979516902608</v>
      </c>
      <c r="H2393">
        <v>138.973184676632</v>
      </c>
      <c r="I2393" s="1">
        <f t="shared" si="75"/>
        <v>141.53013794100926</v>
      </c>
    </row>
    <row r="2394" spans="1:9" x14ac:dyDescent="0.45">
      <c r="A2394" t="s">
        <v>19</v>
      </c>
      <c r="B2394" t="s">
        <v>42</v>
      </c>
      <c r="C2394" t="str">
        <f t="shared" si="74"/>
        <v>ConnecticutMississippi</v>
      </c>
      <c r="D2394" t="s">
        <v>19</v>
      </c>
      <c r="E2394">
        <v>68.8</v>
      </c>
      <c r="F2394">
        <v>-5.1849056603773596</v>
      </c>
      <c r="G2394">
        <v>-220.58206404270601</v>
      </c>
      <c r="H2394">
        <v>139.60873657896801</v>
      </c>
      <c r="I2394" s="1">
        <f t="shared" si="75"/>
        <v>150.47939863335216</v>
      </c>
    </row>
    <row r="2395" spans="1:9" x14ac:dyDescent="0.45">
      <c r="A2395" t="s">
        <v>20</v>
      </c>
      <c r="B2395" t="s">
        <v>42</v>
      </c>
      <c r="C2395" t="str">
        <f t="shared" si="74"/>
        <v>CreightonMississippi</v>
      </c>
      <c r="D2395" t="s">
        <v>42</v>
      </c>
      <c r="E2395">
        <v>40.6</v>
      </c>
      <c r="F2395">
        <v>2.50566037735849</v>
      </c>
      <c r="G2395">
        <v>146.55810163421</v>
      </c>
      <c r="H2395">
        <v>139.08167894123201</v>
      </c>
      <c r="I2395" s="1">
        <f t="shared" si="75"/>
        <v>143.05785495980942</v>
      </c>
    </row>
    <row r="2396" spans="1:9" x14ac:dyDescent="0.45">
      <c r="A2396" t="s">
        <v>21</v>
      </c>
      <c r="B2396" t="s">
        <v>42</v>
      </c>
      <c r="C2396" t="str">
        <f t="shared" si="74"/>
        <v>DrakeMississippi</v>
      </c>
      <c r="D2396" t="s">
        <v>42</v>
      </c>
      <c r="E2396">
        <v>17.5</v>
      </c>
      <c r="F2396">
        <v>10.1660377358491</v>
      </c>
      <c r="G2396">
        <v>471.61188627804302</v>
      </c>
      <c r="H2396">
        <v>139.135144045386</v>
      </c>
      <c r="I2396" s="1">
        <f t="shared" si="75"/>
        <v>143.81070166400247</v>
      </c>
    </row>
    <row r="2397" spans="1:9" x14ac:dyDescent="0.45">
      <c r="A2397" t="s">
        <v>22</v>
      </c>
      <c r="B2397" t="s">
        <v>42</v>
      </c>
      <c r="C2397" t="str">
        <f t="shared" si="74"/>
        <v>DukeMississippi</v>
      </c>
      <c r="D2397" t="s">
        <v>22</v>
      </c>
      <c r="E2397">
        <v>92</v>
      </c>
      <c r="F2397">
        <v>-16.045283018867899</v>
      </c>
      <c r="G2397">
        <v>-1155.90913010296</v>
      </c>
      <c r="H2397">
        <v>141.422464506842</v>
      </c>
      <c r="I2397" s="1">
        <f t="shared" si="75"/>
        <v>176.01865670475047</v>
      </c>
    </row>
    <row r="2398" spans="1:9" x14ac:dyDescent="0.45">
      <c r="A2398" t="s">
        <v>23</v>
      </c>
      <c r="B2398" t="s">
        <v>42</v>
      </c>
      <c r="C2398" t="str">
        <f t="shared" si="74"/>
        <v>FloridaMississippi</v>
      </c>
      <c r="D2398" t="s">
        <v>23</v>
      </c>
      <c r="E2398">
        <v>86.4</v>
      </c>
      <c r="F2398">
        <v>-12.143396226415099</v>
      </c>
      <c r="G2398">
        <v>-637.64222504505506</v>
      </c>
      <c r="H2398">
        <v>141.14622078278401</v>
      </c>
      <c r="I2398" s="1">
        <f t="shared" si="75"/>
        <v>172.12884520055704</v>
      </c>
    </row>
    <row r="2399" spans="1:9" x14ac:dyDescent="0.45">
      <c r="A2399" t="s">
        <v>24</v>
      </c>
      <c r="B2399" t="s">
        <v>42</v>
      </c>
      <c r="C2399" t="str">
        <f t="shared" si="74"/>
        <v>GeorgiaMississippi</v>
      </c>
      <c r="D2399" t="s">
        <v>42</v>
      </c>
      <c r="E2399">
        <v>19.3</v>
      </c>
      <c r="F2399">
        <v>9.3622641509433997</v>
      </c>
      <c r="G2399">
        <v>417.11678216841801</v>
      </c>
      <c r="H2399">
        <v>138.28803430712901</v>
      </c>
      <c r="I2399" s="1">
        <f t="shared" si="75"/>
        <v>131.88247699058118</v>
      </c>
    </row>
    <row r="2400" spans="1:9" x14ac:dyDescent="0.45">
      <c r="A2400" t="s">
        <v>25</v>
      </c>
      <c r="B2400" t="s">
        <v>42</v>
      </c>
      <c r="C2400" t="str">
        <f t="shared" si="74"/>
        <v>GonzagaMississippi</v>
      </c>
      <c r="D2400" t="s">
        <v>25</v>
      </c>
      <c r="E2400">
        <v>57.4</v>
      </c>
      <c r="F2400">
        <v>-1.9660377358490599</v>
      </c>
      <c r="G2400">
        <v>-134.94711170019099</v>
      </c>
      <c r="H2400">
        <v>140.42567542665799</v>
      </c>
      <c r="I2400" s="1">
        <f t="shared" si="75"/>
        <v>161.98278441633531</v>
      </c>
    </row>
    <row r="2401" spans="1:9" x14ac:dyDescent="0.45">
      <c r="A2401" t="s">
        <v>26</v>
      </c>
      <c r="B2401" t="s">
        <v>42</v>
      </c>
      <c r="C2401" t="str">
        <f t="shared" si="74"/>
        <v>Grand CanyonMississippi</v>
      </c>
      <c r="D2401" t="s">
        <v>42</v>
      </c>
      <c r="E2401">
        <v>11.6</v>
      </c>
      <c r="F2401">
        <v>13.2830188679245</v>
      </c>
      <c r="G2401">
        <v>758.785464381108</v>
      </c>
      <c r="H2401">
        <v>139.07764367296201</v>
      </c>
      <c r="I2401" s="1">
        <f t="shared" si="75"/>
        <v>143.00103400218339</v>
      </c>
    </row>
    <row r="2402" spans="1:9" x14ac:dyDescent="0.45">
      <c r="A2402" t="s">
        <v>27</v>
      </c>
      <c r="B2402" t="s">
        <v>42</v>
      </c>
      <c r="C2402" t="str">
        <f t="shared" si="74"/>
        <v>High PointMississippi</v>
      </c>
      <c r="D2402" t="s">
        <v>42</v>
      </c>
      <c r="E2402">
        <v>7.9</v>
      </c>
      <c r="F2402">
        <v>16.0566037735849</v>
      </c>
      <c r="G2402">
        <v>1158.2306982990201</v>
      </c>
      <c r="H2402">
        <v>139.35853542061699</v>
      </c>
      <c r="I2402" s="1">
        <f t="shared" si="75"/>
        <v>146.95629472416798</v>
      </c>
    </row>
    <row r="2403" spans="1:9" x14ac:dyDescent="0.45">
      <c r="A2403" t="s">
        <v>28</v>
      </c>
      <c r="B2403" t="s">
        <v>42</v>
      </c>
      <c r="C2403" t="str">
        <f t="shared" si="74"/>
        <v>HoustonMississippi</v>
      </c>
      <c r="D2403" t="s">
        <v>28</v>
      </c>
      <c r="E2403">
        <v>95.2</v>
      </c>
      <c r="F2403">
        <v>-19.558490566037701</v>
      </c>
      <c r="G2403">
        <v>-1975.6542371687499</v>
      </c>
      <c r="H2403">
        <v>141.56612885647201</v>
      </c>
      <c r="I2403" s="1">
        <f t="shared" si="75"/>
        <v>178.04160669877794</v>
      </c>
    </row>
    <row r="2404" spans="1:9" x14ac:dyDescent="0.45">
      <c r="A2404" t="s">
        <v>29</v>
      </c>
      <c r="B2404" t="s">
        <v>42</v>
      </c>
      <c r="C2404" t="str">
        <f t="shared" si="74"/>
        <v>IllinoisMississippi</v>
      </c>
      <c r="D2404" t="s">
        <v>29</v>
      </c>
      <c r="E2404">
        <v>66.3</v>
      </c>
      <c r="F2404">
        <v>-4.4452830188679204</v>
      </c>
      <c r="G2404">
        <v>-197.06445294556201</v>
      </c>
      <c r="H2404">
        <v>139.61637401040801</v>
      </c>
      <c r="I2404" s="1">
        <f t="shared" si="75"/>
        <v>150.58694195864985</v>
      </c>
    </row>
    <row r="2405" spans="1:9" x14ac:dyDescent="0.45">
      <c r="A2405" t="s">
        <v>30</v>
      </c>
      <c r="B2405" t="s">
        <v>42</v>
      </c>
      <c r="C2405" t="str">
        <f t="shared" si="74"/>
        <v>Iowa St.Mississippi</v>
      </c>
      <c r="D2405" t="s">
        <v>30</v>
      </c>
      <c r="E2405">
        <v>80.599999999999994</v>
      </c>
      <c r="F2405">
        <v>-9.3320754716981096</v>
      </c>
      <c r="G2405">
        <v>-415.09611731610897</v>
      </c>
      <c r="H2405">
        <v>140.542642588767</v>
      </c>
      <c r="I2405" s="1">
        <f t="shared" si="75"/>
        <v>163.62980902960382</v>
      </c>
    </row>
    <row r="2406" spans="1:9" x14ac:dyDescent="0.45">
      <c r="A2406" t="s">
        <v>31</v>
      </c>
      <c r="B2406" t="s">
        <v>42</v>
      </c>
      <c r="C2406" t="str">
        <f t="shared" si="74"/>
        <v>KansasMississippi</v>
      </c>
      <c r="D2406" t="s">
        <v>31</v>
      </c>
      <c r="E2406">
        <v>54.7</v>
      </c>
      <c r="F2406">
        <v>-1.2264150943396199</v>
      </c>
      <c r="G2406">
        <v>-120.59718886773101</v>
      </c>
      <c r="H2406">
        <v>139.49803287307799</v>
      </c>
      <c r="I2406" s="1">
        <f t="shared" si="75"/>
        <v>148.92057028278506</v>
      </c>
    </row>
    <row r="2407" spans="1:9" x14ac:dyDescent="0.45">
      <c r="A2407" t="s">
        <v>32</v>
      </c>
      <c r="B2407" t="s">
        <v>42</v>
      </c>
      <c r="C2407" t="str">
        <f t="shared" si="74"/>
        <v>KentuckyMississippi</v>
      </c>
      <c r="D2407" t="s">
        <v>32</v>
      </c>
      <c r="E2407">
        <v>67</v>
      </c>
      <c r="F2407">
        <v>-4.6566037735849104</v>
      </c>
      <c r="G2407">
        <v>-203.44477875014201</v>
      </c>
      <c r="H2407">
        <v>139.44507047347099</v>
      </c>
      <c r="I2407" s="1">
        <f t="shared" si="75"/>
        <v>148.17480220431193</v>
      </c>
    </row>
    <row r="2408" spans="1:9" x14ac:dyDescent="0.45">
      <c r="A2408" t="s">
        <v>33</v>
      </c>
      <c r="B2408" t="s">
        <v>42</v>
      </c>
      <c r="C2408" t="str">
        <f t="shared" si="74"/>
        <v>LibertyMississippi</v>
      </c>
      <c r="D2408" t="s">
        <v>42</v>
      </c>
      <c r="E2408">
        <v>5.4</v>
      </c>
      <c r="F2408">
        <v>18.833962264150902</v>
      </c>
      <c r="G2408">
        <v>1768.9417402372901</v>
      </c>
      <c r="H2408">
        <v>138.654006721869</v>
      </c>
      <c r="I2408" s="1">
        <f t="shared" si="75"/>
        <v>137.03576586231026</v>
      </c>
    </row>
    <row r="2409" spans="1:9" x14ac:dyDescent="0.45">
      <c r="A2409" t="s">
        <v>34</v>
      </c>
      <c r="B2409" t="s">
        <v>42</v>
      </c>
      <c r="C2409" t="str">
        <f t="shared" si="74"/>
        <v>LipscombMississippi</v>
      </c>
      <c r="D2409" t="s">
        <v>42</v>
      </c>
      <c r="E2409">
        <v>4.2</v>
      </c>
      <c r="F2409">
        <v>20.577358490565999</v>
      </c>
      <c r="G2409">
        <v>2307.5088697099</v>
      </c>
      <c r="H2409">
        <v>139.085926953127</v>
      </c>
      <c r="I2409" s="1">
        <f t="shared" si="75"/>
        <v>143.11767157861377</v>
      </c>
    </row>
    <row r="2410" spans="1:9" x14ac:dyDescent="0.45">
      <c r="A2410" t="s">
        <v>35</v>
      </c>
      <c r="B2410" t="s">
        <v>42</v>
      </c>
      <c r="C2410" t="str">
        <f t="shared" si="74"/>
        <v>LouisvilleMississippi</v>
      </c>
      <c r="D2410" t="s">
        <v>42</v>
      </c>
      <c r="E2410">
        <v>9.9</v>
      </c>
      <c r="F2410">
        <v>14.4679245283019</v>
      </c>
      <c r="G2410">
        <v>908.92930862326602</v>
      </c>
      <c r="H2410">
        <v>138.37165026509501</v>
      </c>
      <c r="I2410" s="1">
        <f t="shared" si="75"/>
        <v>133.05988044595176</v>
      </c>
    </row>
    <row r="2411" spans="1:9" x14ac:dyDescent="0.45">
      <c r="A2411" t="s">
        <v>36</v>
      </c>
      <c r="B2411" t="s">
        <v>42</v>
      </c>
      <c r="C2411" t="str">
        <f t="shared" si="74"/>
        <v>MarquetteMississippi</v>
      </c>
      <c r="D2411" t="s">
        <v>36</v>
      </c>
      <c r="E2411">
        <v>60.8</v>
      </c>
      <c r="F2411">
        <v>-2.87547169811321</v>
      </c>
      <c r="G2411">
        <v>-155.08696554400601</v>
      </c>
      <c r="H2411">
        <v>139.7034069</v>
      </c>
      <c r="I2411" s="1">
        <f t="shared" si="75"/>
        <v>151.81245952047897</v>
      </c>
    </row>
    <row r="2412" spans="1:9" x14ac:dyDescent="0.45">
      <c r="A2412" t="s">
        <v>37</v>
      </c>
      <c r="B2412" t="s">
        <v>42</v>
      </c>
      <c r="C2412" t="str">
        <f t="shared" si="74"/>
        <v>MarylandMississippi</v>
      </c>
      <c r="D2412" t="s">
        <v>37</v>
      </c>
      <c r="E2412">
        <v>51.3</v>
      </c>
      <c r="F2412">
        <v>-0.33207547169811302</v>
      </c>
      <c r="G2412">
        <v>-105.20368214738301</v>
      </c>
      <c r="H2412">
        <v>139.313346211679</v>
      </c>
      <c r="I2412" s="1">
        <f t="shared" si="75"/>
        <v>146.31998160830705</v>
      </c>
    </row>
    <row r="2413" spans="1:9" x14ac:dyDescent="0.45">
      <c r="A2413" t="s">
        <v>38</v>
      </c>
      <c r="B2413" t="s">
        <v>42</v>
      </c>
      <c r="C2413" t="str">
        <f t="shared" si="74"/>
        <v>McNeese St.Mississippi</v>
      </c>
      <c r="D2413" t="s">
        <v>42</v>
      </c>
      <c r="E2413">
        <v>15.8</v>
      </c>
      <c r="F2413">
        <v>10.973584905660401</v>
      </c>
      <c r="G2413">
        <v>533.48009650839094</v>
      </c>
      <c r="H2413">
        <v>139.14875782588001</v>
      </c>
      <c r="I2413" s="1">
        <f t="shared" si="75"/>
        <v>144.00239847145667</v>
      </c>
    </row>
    <row r="2414" spans="1:9" x14ac:dyDescent="0.45">
      <c r="A2414" t="s">
        <v>39</v>
      </c>
      <c r="B2414" t="s">
        <v>42</v>
      </c>
      <c r="C2414" t="str">
        <f t="shared" si="74"/>
        <v>MemphisMississippi</v>
      </c>
      <c r="D2414" t="s">
        <v>42</v>
      </c>
      <c r="E2414">
        <v>35</v>
      </c>
      <c r="F2414">
        <v>4.0528301886792502</v>
      </c>
      <c r="G2414">
        <v>185.58187740301699</v>
      </c>
      <c r="H2414">
        <v>138.290981024698</v>
      </c>
      <c r="I2414" s="1">
        <f t="shared" si="75"/>
        <v>131.92396997268801</v>
      </c>
    </row>
    <row r="2415" spans="1:9" x14ac:dyDescent="0.45">
      <c r="A2415" t="s">
        <v>40</v>
      </c>
      <c r="B2415" t="s">
        <v>42</v>
      </c>
      <c r="C2415" t="str">
        <f t="shared" si="74"/>
        <v>MichiganMississippi</v>
      </c>
      <c r="D2415" t="s">
        <v>42</v>
      </c>
      <c r="E2415">
        <v>22.1</v>
      </c>
      <c r="F2415">
        <v>8.2415094339622605</v>
      </c>
      <c r="G2415">
        <v>351.56416699461198</v>
      </c>
      <c r="H2415">
        <v>137.947902109382</v>
      </c>
      <c r="I2415" s="1">
        <f t="shared" si="75"/>
        <v>127.09304642431367</v>
      </c>
    </row>
    <row r="2416" spans="1:9" x14ac:dyDescent="0.45">
      <c r="A2416" t="s">
        <v>41</v>
      </c>
      <c r="B2416" t="s">
        <v>42</v>
      </c>
      <c r="C2416" t="str">
        <f t="shared" si="74"/>
        <v>Michigan St.Mississippi</v>
      </c>
      <c r="D2416" t="s">
        <v>41</v>
      </c>
      <c r="E2416">
        <v>73.2</v>
      </c>
      <c r="F2416">
        <v>-6.5811320754717002</v>
      </c>
      <c r="G2416">
        <v>-272.94128495620299</v>
      </c>
      <c r="H2416">
        <v>139.646794070211</v>
      </c>
      <c r="I2416" s="1">
        <f t="shared" si="75"/>
        <v>151.01528942241012</v>
      </c>
    </row>
    <row r="2417" spans="1:9" x14ac:dyDescent="0.45">
      <c r="A2417" t="s">
        <v>42</v>
      </c>
      <c r="B2417" t="s">
        <v>42</v>
      </c>
      <c r="C2417" t="str">
        <f t="shared" si="74"/>
        <v>MississippiMississippi</v>
      </c>
      <c r="D2417" t="s">
        <v>42</v>
      </c>
      <c r="E2417">
        <v>41.2</v>
      </c>
      <c r="F2417">
        <v>2.3283018867924499</v>
      </c>
      <c r="G2417">
        <v>142.64273539779199</v>
      </c>
      <c r="H2417">
        <v>138.77771517530499</v>
      </c>
      <c r="I2417" s="1">
        <f t="shared" si="75"/>
        <v>138.77771517530277</v>
      </c>
    </row>
    <row r="2418" spans="1:9" x14ac:dyDescent="0.45">
      <c r="A2418" t="s">
        <v>43</v>
      </c>
      <c r="B2418" t="s">
        <v>42</v>
      </c>
      <c r="C2418" t="str">
        <f t="shared" si="74"/>
        <v>Mississippi St.Mississippi</v>
      </c>
      <c r="D2418" t="s">
        <v>42</v>
      </c>
      <c r="E2418">
        <v>34.6</v>
      </c>
      <c r="F2418">
        <v>4.1773584905660401</v>
      </c>
      <c r="G2418">
        <v>189.12151599216699</v>
      </c>
      <c r="H2418">
        <v>138.90208652909499</v>
      </c>
      <c r="I2418" s="1">
        <f t="shared" si="75"/>
        <v>140.52899884487448</v>
      </c>
    </row>
    <row r="2419" spans="1:9" x14ac:dyDescent="0.45">
      <c r="A2419" t="s">
        <v>44</v>
      </c>
      <c r="B2419" t="s">
        <v>42</v>
      </c>
      <c r="C2419" t="str">
        <f t="shared" si="74"/>
        <v>MissouriMississippi</v>
      </c>
      <c r="D2419" t="s">
        <v>42</v>
      </c>
      <c r="E2419">
        <v>18.8</v>
      </c>
      <c r="F2419">
        <v>9.5886792452830196</v>
      </c>
      <c r="G2419">
        <v>431.85691844387298</v>
      </c>
      <c r="H2419">
        <v>138.166558465268</v>
      </c>
      <c r="I2419" s="1">
        <f t="shared" si="75"/>
        <v>130.17196527212002</v>
      </c>
    </row>
    <row r="2420" spans="1:9" x14ac:dyDescent="0.45">
      <c r="A2420" t="s">
        <v>45</v>
      </c>
      <c r="B2420" t="s">
        <v>42</v>
      </c>
      <c r="C2420" t="str">
        <f t="shared" si="74"/>
        <v>MontanaMississippi</v>
      </c>
      <c r="D2420" t="s">
        <v>42</v>
      </c>
      <c r="E2420">
        <v>2.2000000000000002</v>
      </c>
      <c r="F2420">
        <v>24.849056603773601</v>
      </c>
      <c r="G2420">
        <v>4427.22866234708</v>
      </c>
      <c r="H2420">
        <v>137.475293190287</v>
      </c>
      <c r="I2420" s="1">
        <f t="shared" si="75"/>
        <v>120.43819981467917</v>
      </c>
    </row>
    <row r="2421" spans="1:9" x14ac:dyDescent="0.45">
      <c r="A2421" t="s">
        <v>46</v>
      </c>
      <c r="B2421" t="s">
        <v>42</v>
      </c>
      <c r="C2421" t="str">
        <f t="shared" si="74"/>
        <v>Mount St. Mary'sMississippi</v>
      </c>
      <c r="D2421" t="s">
        <v>42</v>
      </c>
      <c r="E2421">
        <v>0.9</v>
      </c>
      <c r="F2421">
        <v>30.962264150943401</v>
      </c>
      <c r="G2421">
        <v>11254.6669905608</v>
      </c>
      <c r="H2421">
        <v>138.823167412234</v>
      </c>
      <c r="I2421" s="1">
        <f t="shared" si="75"/>
        <v>139.41773201080079</v>
      </c>
    </row>
    <row r="2422" spans="1:9" x14ac:dyDescent="0.45">
      <c r="A2422" t="s">
        <v>47</v>
      </c>
      <c r="B2422" t="s">
        <v>42</v>
      </c>
      <c r="C2422" t="str">
        <f t="shared" si="74"/>
        <v>Nebraska OmahaMississippi</v>
      </c>
      <c r="D2422" t="s">
        <v>42</v>
      </c>
      <c r="E2422">
        <v>1.1000000000000001</v>
      </c>
      <c r="F2422">
        <v>29.2490566037736</v>
      </c>
      <c r="G2422">
        <v>8662.8797468878602</v>
      </c>
      <c r="H2422">
        <v>138.107168592134</v>
      </c>
      <c r="I2422" s="1">
        <f t="shared" si="75"/>
        <v>129.33569138920382</v>
      </c>
    </row>
    <row r="2423" spans="1:9" x14ac:dyDescent="0.45">
      <c r="A2423" t="s">
        <v>48</v>
      </c>
      <c r="B2423" t="s">
        <v>42</v>
      </c>
      <c r="C2423" t="str">
        <f t="shared" si="74"/>
        <v>New MexicoMississippi</v>
      </c>
      <c r="D2423" t="s">
        <v>42</v>
      </c>
      <c r="E2423">
        <v>22.8</v>
      </c>
      <c r="F2423">
        <v>8</v>
      </c>
      <c r="G2423">
        <v>338.865034568819</v>
      </c>
      <c r="H2423">
        <v>138.98491293941001</v>
      </c>
      <c r="I2423" s="1">
        <f t="shared" si="75"/>
        <v>141.69528461224556</v>
      </c>
    </row>
    <row r="2424" spans="1:9" x14ac:dyDescent="0.45">
      <c r="A2424" t="s">
        <v>49</v>
      </c>
      <c r="B2424" t="s">
        <v>42</v>
      </c>
      <c r="C2424" t="str">
        <f t="shared" si="74"/>
        <v>Norfolk St.Mississippi</v>
      </c>
      <c r="D2424" t="s">
        <v>42</v>
      </c>
      <c r="E2424">
        <v>1.7</v>
      </c>
      <c r="F2424">
        <v>26.7169811320755</v>
      </c>
      <c r="G2424">
        <v>5886.8050018847298</v>
      </c>
      <c r="H2424">
        <v>137.99727660161099</v>
      </c>
      <c r="I2424" s="1">
        <f t="shared" si="75"/>
        <v>127.78829287214147</v>
      </c>
    </row>
    <row r="2425" spans="1:9" x14ac:dyDescent="0.45">
      <c r="A2425" t="s">
        <v>50</v>
      </c>
      <c r="B2425" t="s">
        <v>42</v>
      </c>
      <c r="C2425" t="str">
        <f t="shared" si="74"/>
        <v>North CarolinaMississippi</v>
      </c>
      <c r="D2425" t="s">
        <v>50</v>
      </c>
      <c r="E2425">
        <v>50.2</v>
      </c>
      <c r="F2425">
        <v>-4.1509433962264197E-2</v>
      </c>
      <c r="G2425">
        <v>-100.615820721006</v>
      </c>
      <c r="H2425">
        <v>140.06920803356701</v>
      </c>
      <c r="I2425" s="1">
        <f t="shared" si="75"/>
        <v>156.96333656736246</v>
      </c>
    </row>
    <row r="2426" spans="1:9" x14ac:dyDescent="0.45">
      <c r="A2426" t="s">
        <v>51</v>
      </c>
      <c r="B2426" t="s">
        <v>42</v>
      </c>
      <c r="C2426" t="str">
        <f t="shared" si="74"/>
        <v>OklahomaMississippi</v>
      </c>
      <c r="D2426" t="s">
        <v>42</v>
      </c>
      <c r="E2426">
        <v>24.8</v>
      </c>
      <c r="F2426">
        <v>7.2641509433962304</v>
      </c>
      <c r="G2426">
        <v>302.92997421872201</v>
      </c>
      <c r="H2426">
        <v>138.41181132907201</v>
      </c>
      <c r="I2426" s="1">
        <f t="shared" si="75"/>
        <v>133.62539182258513</v>
      </c>
    </row>
    <row r="2427" spans="1:9" x14ac:dyDescent="0.45">
      <c r="A2427" t="s">
        <v>52</v>
      </c>
      <c r="B2427" t="s">
        <v>42</v>
      </c>
      <c r="C2427" t="str">
        <f t="shared" si="74"/>
        <v>OregonMississippi</v>
      </c>
      <c r="D2427" t="s">
        <v>52</v>
      </c>
      <c r="E2427">
        <v>52.1</v>
      </c>
      <c r="F2427">
        <v>-0.55849056603773595</v>
      </c>
      <c r="G2427">
        <v>-108.913611386768</v>
      </c>
      <c r="H2427">
        <v>139.00618911721199</v>
      </c>
      <c r="I2427" s="1">
        <f t="shared" si="75"/>
        <v>141.99487629151943</v>
      </c>
    </row>
    <row r="2428" spans="1:9" x14ac:dyDescent="0.45">
      <c r="A2428" t="s">
        <v>53</v>
      </c>
      <c r="B2428" t="s">
        <v>42</v>
      </c>
      <c r="C2428" t="str">
        <f t="shared" si="74"/>
        <v>PurdueMississippi</v>
      </c>
      <c r="D2428" t="s">
        <v>53</v>
      </c>
      <c r="E2428">
        <v>85.2</v>
      </c>
      <c r="F2428">
        <v>-11.4716981132075</v>
      </c>
      <c r="G2428">
        <v>-575.29397951772103</v>
      </c>
      <c r="H2428">
        <v>140.35417644600099</v>
      </c>
      <c r="I2428" s="1">
        <f t="shared" si="75"/>
        <v>160.97600115475683</v>
      </c>
    </row>
    <row r="2429" spans="1:9" x14ac:dyDescent="0.45">
      <c r="A2429" t="s">
        <v>54</v>
      </c>
      <c r="B2429" t="s">
        <v>42</v>
      </c>
      <c r="C2429" t="str">
        <f t="shared" si="74"/>
        <v>Robert MorrisMississippi</v>
      </c>
      <c r="D2429" t="s">
        <v>42</v>
      </c>
      <c r="E2429">
        <v>0.7</v>
      </c>
      <c r="F2429">
        <v>32.471698113207502</v>
      </c>
      <c r="G2429">
        <v>14167.4325073537</v>
      </c>
      <c r="H2429">
        <v>137.41281329476399</v>
      </c>
      <c r="I2429" s="1">
        <f t="shared" si="75"/>
        <v>119.55841506222922</v>
      </c>
    </row>
    <row r="2430" spans="1:9" x14ac:dyDescent="0.45">
      <c r="A2430" t="s">
        <v>55</v>
      </c>
      <c r="B2430" t="s">
        <v>42</v>
      </c>
      <c r="C2430" t="str">
        <f t="shared" si="74"/>
        <v>Saint FrancisMississippi</v>
      </c>
      <c r="D2430" t="s">
        <v>42</v>
      </c>
      <c r="E2430">
        <v>0.5</v>
      </c>
      <c r="F2430">
        <v>35.200000000000003</v>
      </c>
      <c r="G2430">
        <v>21473.660016053</v>
      </c>
      <c r="H2430">
        <v>138.465668827971</v>
      </c>
      <c r="I2430" s="1">
        <f t="shared" si="75"/>
        <v>134.38376387074217</v>
      </c>
    </row>
    <row r="2431" spans="1:9" x14ac:dyDescent="0.45">
      <c r="A2431" t="s">
        <v>56</v>
      </c>
      <c r="B2431" t="s">
        <v>42</v>
      </c>
      <c r="C2431" t="str">
        <f t="shared" si="74"/>
        <v>Saint Mary'sMississippi</v>
      </c>
      <c r="D2431" t="s">
        <v>42</v>
      </c>
      <c r="E2431">
        <v>48.2</v>
      </c>
      <c r="F2431">
        <v>0.48301886792452797</v>
      </c>
      <c r="G2431">
        <v>107.652073130749</v>
      </c>
      <c r="H2431">
        <v>139.716924029062</v>
      </c>
      <c r="I2431" s="1">
        <f t="shared" si="75"/>
        <v>152.00279537085279</v>
      </c>
    </row>
    <row r="2432" spans="1:9" x14ac:dyDescent="0.45">
      <c r="A2432" t="s">
        <v>57</v>
      </c>
      <c r="B2432" t="s">
        <v>42</v>
      </c>
      <c r="C2432" t="str">
        <f t="shared" si="74"/>
        <v>San Diego St.Mississippi</v>
      </c>
      <c r="D2432" t="s">
        <v>42</v>
      </c>
      <c r="E2432">
        <v>21.3</v>
      </c>
      <c r="F2432">
        <v>8.5773584905660396</v>
      </c>
      <c r="G2432">
        <v>369.96742236797797</v>
      </c>
      <c r="H2432">
        <v>138.863178908859</v>
      </c>
      <c r="I2432" s="1">
        <f t="shared" si="75"/>
        <v>139.98113731675895</v>
      </c>
    </row>
    <row r="2433" spans="1:9" x14ac:dyDescent="0.45">
      <c r="A2433" t="s">
        <v>58</v>
      </c>
      <c r="B2433" t="s">
        <v>42</v>
      </c>
      <c r="C2433" t="str">
        <f t="shared" si="74"/>
        <v>SIU EdwardsvilleMississippi</v>
      </c>
      <c r="D2433" t="s">
        <v>42</v>
      </c>
      <c r="E2433">
        <v>1.3</v>
      </c>
      <c r="F2433">
        <v>28.173584905660402</v>
      </c>
      <c r="G2433">
        <v>7354.2849428589498</v>
      </c>
      <c r="H2433">
        <v>139.010866675708</v>
      </c>
      <c r="I2433" s="1">
        <f t="shared" si="75"/>
        <v>142.0607413927498</v>
      </c>
    </row>
    <row r="2434" spans="1:9" x14ac:dyDescent="0.45">
      <c r="A2434" t="s">
        <v>59</v>
      </c>
      <c r="B2434" t="s">
        <v>42</v>
      </c>
      <c r="C2434" t="str">
        <f t="shared" si="74"/>
        <v>St. John'sMississippi</v>
      </c>
      <c r="D2434" t="s">
        <v>59</v>
      </c>
      <c r="E2434">
        <v>74.400000000000006</v>
      </c>
      <c r="F2434">
        <v>-6.9849056603773603</v>
      </c>
      <c r="G2434">
        <v>-290.17971841856598</v>
      </c>
      <c r="H2434">
        <v>139.988549448252</v>
      </c>
      <c r="I2434" s="1">
        <f t="shared" si="75"/>
        <v>155.82757612921972</v>
      </c>
    </row>
    <row r="2435" spans="1:9" x14ac:dyDescent="0.45">
      <c r="A2435" t="s">
        <v>60</v>
      </c>
      <c r="B2435" t="s">
        <v>42</v>
      </c>
      <c r="C2435" t="str">
        <f t="shared" ref="C2435:C2498" si="76">A2435&amp;B2435</f>
        <v>TennesseeMississippi</v>
      </c>
      <c r="D2435" t="s">
        <v>60</v>
      </c>
      <c r="E2435">
        <v>85.3</v>
      </c>
      <c r="F2435">
        <v>-11.5283018867925</v>
      </c>
      <c r="G2435">
        <v>-580.50571972366697</v>
      </c>
      <c r="H2435">
        <v>140.582532324943</v>
      </c>
      <c r="I2435" s="1">
        <f t="shared" ref="I2435:I2498" si="77">18*(H2435-AVERAGE($H$2:$H$4625))/_xlfn.STDEV.P($H$2:$H$4625)+AVERAGE($H$2:$H$4625)</f>
        <v>164.1914998162662</v>
      </c>
    </row>
    <row r="2436" spans="1:9" x14ac:dyDescent="0.45">
      <c r="A2436" t="s">
        <v>61</v>
      </c>
      <c r="B2436" t="s">
        <v>42</v>
      </c>
      <c r="C2436" t="str">
        <f t="shared" si="76"/>
        <v>TexasMississippi</v>
      </c>
      <c r="D2436" t="s">
        <v>42</v>
      </c>
      <c r="E2436">
        <v>19.2</v>
      </c>
      <c r="F2436">
        <v>9.4226415094339604</v>
      </c>
      <c r="G2436">
        <v>421.07573139814002</v>
      </c>
      <c r="H2436">
        <v>138.33824685601499</v>
      </c>
      <c r="I2436" s="1">
        <f t="shared" si="77"/>
        <v>132.5895241858708</v>
      </c>
    </row>
    <row r="2437" spans="1:9" x14ac:dyDescent="0.45">
      <c r="A2437" t="s">
        <v>62</v>
      </c>
      <c r="B2437" t="s">
        <v>42</v>
      </c>
      <c r="C2437" t="str">
        <f t="shared" si="76"/>
        <v>Texas A&amp;MMississippi</v>
      </c>
      <c r="D2437" t="s">
        <v>62</v>
      </c>
      <c r="E2437">
        <v>57.8</v>
      </c>
      <c r="F2437">
        <v>-2.07169811320755</v>
      </c>
      <c r="G2437">
        <v>-137.16416419206701</v>
      </c>
      <c r="H2437">
        <v>139.136045883609</v>
      </c>
      <c r="I2437" s="1">
        <f t="shared" si="77"/>
        <v>143.82340052515022</v>
      </c>
    </row>
    <row r="2438" spans="1:9" x14ac:dyDescent="0.45">
      <c r="A2438" t="s">
        <v>63</v>
      </c>
      <c r="B2438" t="s">
        <v>42</v>
      </c>
      <c r="C2438" t="str">
        <f t="shared" si="76"/>
        <v>Texas TechMississippi</v>
      </c>
      <c r="D2438" t="s">
        <v>63</v>
      </c>
      <c r="E2438">
        <v>73</v>
      </c>
      <c r="F2438">
        <v>-6.5245283018867903</v>
      </c>
      <c r="G2438">
        <v>-270.49372485776502</v>
      </c>
      <c r="H2438">
        <v>140.175830002673</v>
      </c>
      <c r="I2438" s="1">
        <f t="shared" si="77"/>
        <v>158.46468963318327</v>
      </c>
    </row>
    <row r="2439" spans="1:9" x14ac:dyDescent="0.45">
      <c r="A2439" t="s">
        <v>64</v>
      </c>
      <c r="B2439" t="s">
        <v>42</v>
      </c>
      <c r="C2439" t="str">
        <f t="shared" si="76"/>
        <v>TroyMississippi</v>
      </c>
      <c r="D2439" t="s">
        <v>42</v>
      </c>
      <c r="E2439">
        <v>3.7</v>
      </c>
      <c r="F2439">
        <v>21.422641509434001</v>
      </c>
      <c r="G2439">
        <v>2626.0543522715898</v>
      </c>
      <c r="H2439">
        <v>138.87939442240301</v>
      </c>
      <c r="I2439" s="1">
        <f t="shared" si="77"/>
        <v>140.2094693498033</v>
      </c>
    </row>
    <row r="2440" spans="1:9" x14ac:dyDescent="0.45">
      <c r="A2440" t="s">
        <v>65</v>
      </c>
      <c r="B2440" t="s">
        <v>42</v>
      </c>
      <c r="C2440" t="str">
        <f t="shared" si="76"/>
        <v>UC San DiegoMississippi</v>
      </c>
      <c r="D2440" t="s">
        <v>42</v>
      </c>
      <c r="E2440">
        <v>8.9</v>
      </c>
      <c r="F2440">
        <v>15.264150943396199</v>
      </c>
      <c r="G2440">
        <v>1026.02402833869</v>
      </c>
      <c r="H2440">
        <v>138.967516165794</v>
      </c>
      <c r="I2440" s="1">
        <f t="shared" si="77"/>
        <v>141.45031915510015</v>
      </c>
    </row>
    <row r="2441" spans="1:9" x14ac:dyDescent="0.45">
      <c r="A2441" t="s">
        <v>66</v>
      </c>
      <c r="B2441" t="s">
        <v>42</v>
      </c>
      <c r="C2441" t="str">
        <f t="shared" si="76"/>
        <v>UCLAMississippi</v>
      </c>
      <c r="D2441" t="s">
        <v>42</v>
      </c>
      <c r="E2441">
        <v>27.9</v>
      </c>
      <c r="F2441">
        <v>6.2188679245282996</v>
      </c>
      <c r="G2441">
        <v>258.19912603670599</v>
      </c>
      <c r="H2441">
        <v>138.438970678902</v>
      </c>
      <c r="I2441" s="1">
        <f t="shared" si="77"/>
        <v>134.00782495034341</v>
      </c>
    </row>
    <row r="2442" spans="1:9" x14ac:dyDescent="0.45">
      <c r="A2442" t="s">
        <v>67</v>
      </c>
      <c r="B2442" t="s">
        <v>42</v>
      </c>
      <c r="C2442" t="str">
        <f t="shared" si="76"/>
        <v>UNC WilmingtonMississippi</v>
      </c>
      <c r="D2442" t="s">
        <v>42</v>
      </c>
      <c r="E2442">
        <v>5.5</v>
      </c>
      <c r="F2442">
        <v>18.622641509434001</v>
      </c>
      <c r="G2442">
        <v>1713.15130464305</v>
      </c>
      <c r="H2442">
        <v>139.55398635282199</v>
      </c>
      <c r="I2442" s="1">
        <f t="shared" si="77"/>
        <v>149.7084560164794</v>
      </c>
    </row>
    <row r="2443" spans="1:9" x14ac:dyDescent="0.45">
      <c r="A2443" t="s">
        <v>68</v>
      </c>
      <c r="B2443" t="s">
        <v>42</v>
      </c>
      <c r="C2443" t="str">
        <f t="shared" si="76"/>
        <v>Utah St.Mississippi</v>
      </c>
      <c r="D2443" t="s">
        <v>42</v>
      </c>
      <c r="E2443">
        <v>22.8</v>
      </c>
      <c r="F2443">
        <v>7.97735849056604</v>
      </c>
      <c r="G2443">
        <v>337.76661030730901</v>
      </c>
      <c r="H2443">
        <v>138.92535675664899</v>
      </c>
      <c r="I2443" s="1">
        <f t="shared" si="77"/>
        <v>140.8566689092477</v>
      </c>
    </row>
    <row r="2444" spans="1:9" x14ac:dyDescent="0.45">
      <c r="A2444" t="s">
        <v>69</v>
      </c>
      <c r="B2444" t="s">
        <v>42</v>
      </c>
      <c r="C2444" t="str">
        <f t="shared" si="76"/>
        <v>VanderbiltMississippi</v>
      </c>
      <c r="D2444" t="s">
        <v>42</v>
      </c>
      <c r="E2444">
        <v>5.9</v>
      </c>
      <c r="F2444">
        <v>18.101886792452799</v>
      </c>
      <c r="G2444">
        <v>1582.0008213625399</v>
      </c>
      <c r="H2444">
        <v>137.49992724524699</v>
      </c>
      <c r="I2444" s="1">
        <f t="shared" si="77"/>
        <v>120.78507404939729</v>
      </c>
    </row>
    <row r="2445" spans="1:9" x14ac:dyDescent="0.45">
      <c r="A2445" t="s">
        <v>70</v>
      </c>
      <c r="B2445" t="s">
        <v>42</v>
      </c>
      <c r="C2445" t="str">
        <f t="shared" si="76"/>
        <v>VCUMississippi</v>
      </c>
      <c r="D2445" t="s">
        <v>42</v>
      </c>
      <c r="E2445">
        <v>16.2</v>
      </c>
      <c r="F2445">
        <v>10.7547169811321</v>
      </c>
      <c r="G2445">
        <v>515.79442323482897</v>
      </c>
      <c r="H2445">
        <v>139.34483840712301</v>
      </c>
      <c r="I2445" s="1">
        <f t="shared" si="77"/>
        <v>146.76342590572273</v>
      </c>
    </row>
    <row r="2446" spans="1:9" x14ac:dyDescent="0.45">
      <c r="A2446" t="s">
        <v>71</v>
      </c>
      <c r="B2446" t="s">
        <v>42</v>
      </c>
      <c r="C2446" t="str">
        <f t="shared" si="76"/>
        <v>WisconsinMississippi</v>
      </c>
      <c r="D2446" t="s">
        <v>71</v>
      </c>
      <c r="E2446">
        <v>70.5</v>
      </c>
      <c r="F2446">
        <v>-5.7094339622641499</v>
      </c>
      <c r="G2446">
        <v>-238.87141798721501</v>
      </c>
      <c r="H2446">
        <v>140.14551726238901</v>
      </c>
      <c r="I2446" s="1">
        <f t="shared" si="77"/>
        <v>158.03785334474858</v>
      </c>
    </row>
    <row r="2447" spans="1:9" x14ac:dyDescent="0.45">
      <c r="A2447" t="s">
        <v>80</v>
      </c>
      <c r="B2447" t="s">
        <v>42</v>
      </c>
      <c r="C2447" t="str">
        <f t="shared" si="76"/>
        <v>WoffordMississippi</v>
      </c>
      <c r="D2447" t="s">
        <v>42</v>
      </c>
      <c r="E2447">
        <v>2</v>
      </c>
      <c r="F2447">
        <v>25.675471698113199</v>
      </c>
      <c r="G2447">
        <v>5024.7087640980499</v>
      </c>
      <c r="H2447">
        <v>138.17497300148401</v>
      </c>
      <c r="I2447" s="1">
        <f t="shared" si="77"/>
        <v>130.29045107623048</v>
      </c>
    </row>
    <row r="2448" spans="1:9" x14ac:dyDescent="0.45">
      <c r="A2448" t="s">
        <v>72</v>
      </c>
      <c r="B2448" t="s">
        <v>42</v>
      </c>
      <c r="C2448" t="str">
        <f t="shared" si="76"/>
        <v>XavierMississippi</v>
      </c>
      <c r="D2448" t="s">
        <v>42</v>
      </c>
      <c r="E2448">
        <v>16.100000000000001</v>
      </c>
      <c r="F2448">
        <v>10.8301886792453</v>
      </c>
      <c r="G2448">
        <v>521.832772876484</v>
      </c>
      <c r="H2448">
        <v>138.75088657163599</v>
      </c>
      <c r="I2448" s="1">
        <f t="shared" si="77"/>
        <v>138.39993931252434</v>
      </c>
    </row>
    <row r="2449" spans="1:9" x14ac:dyDescent="0.45">
      <c r="A2449" t="s">
        <v>73</v>
      </c>
      <c r="B2449" t="s">
        <v>42</v>
      </c>
      <c r="C2449" t="str">
        <f t="shared" si="76"/>
        <v>YaleMississippi</v>
      </c>
      <c r="D2449" t="s">
        <v>42</v>
      </c>
      <c r="E2449">
        <v>9.6999999999999993</v>
      </c>
      <c r="F2449">
        <v>14.6528301886792</v>
      </c>
      <c r="G2449">
        <v>935.06743191994406</v>
      </c>
      <c r="H2449">
        <v>139.55012120569799</v>
      </c>
      <c r="I2449" s="1">
        <f t="shared" si="77"/>
        <v>149.65403054925977</v>
      </c>
    </row>
    <row r="2450" spans="1:9" x14ac:dyDescent="0.45">
      <c r="A2450" t="s">
        <v>7</v>
      </c>
      <c r="B2450" t="s">
        <v>43</v>
      </c>
      <c r="C2450" t="str">
        <f t="shared" si="76"/>
        <v>AkronMississippi St.</v>
      </c>
      <c r="D2450" t="s">
        <v>43</v>
      </c>
      <c r="E2450">
        <v>6.8</v>
      </c>
      <c r="F2450">
        <v>17.2</v>
      </c>
      <c r="G2450">
        <v>1378.85766248294</v>
      </c>
      <c r="H2450">
        <v>138.208215307355</v>
      </c>
      <c r="I2450" s="1">
        <f t="shared" si="77"/>
        <v>130.75853882824683</v>
      </c>
    </row>
    <row r="2451" spans="1:9" x14ac:dyDescent="0.45">
      <c r="A2451" t="s">
        <v>8</v>
      </c>
      <c r="B2451" t="s">
        <v>43</v>
      </c>
      <c r="C2451" t="str">
        <f t="shared" si="76"/>
        <v>AlabamaMississippi St.</v>
      </c>
      <c r="D2451" t="s">
        <v>8</v>
      </c>
      <c r="E2451">
        <v>84.2</v>
      </c>
      <c r="F2451">
        <v>-10.973584905660401</v>
      </c>
      <c r="G2451">
        <v>-533.34009755422596</v>
      </c>
      <c r="H2451">
        <v>139.95631131949401</v>
      </c>
      <c r="I2451" s="1">
        <f t="shared" si="77"/>
        <v>155.37362828101379</v>
      </c>
    </row>
    <row r="2452" spans="1:9" x14ac:dyDescent="0.45">
      <c r="A2452" t="s">
        <v>9</v>
      </c>
      <c r="B2452" t="s">
        <v>43</v>
      </c>
      <c r="C2452" t="str">
        <f t="shared" si="76"/>
        <v>Alabama St.Mississippi St.</v>
      </c>
      <c r="D2452" t="s">
        <v>43</v>
      </c>
      <c r="E2452">
        <v>1.1000000000000001</v>
      </c>
      <c r="F2452">
        <v>29.339622641509401</v>
      </c>
      <c r="G2452">
        <v>8785.8374552274909</v>
      </c>
      <c r="H2452">
        <v>138.43505616316801</v>
      </c>
      <c r="I2452" s="1">
        <f t="shared" si="77"/>
        <v>133.95270431950442</v>
      </c>
    </row>
    <row r="2453" spans="1:9" x14ac:dyDescent="0.45">
      <c r="A2453" t="s">
        <v>10</v>
      </c>
      <c r="B2453" t="s">
        <v>43</v>
      </c>
      <c r="C2453" t="str">
        <f t="shared" si="76"/>
        <v>AmericanMississippi St.</v>
      </c>
      <c r="D2453" t="s">
        <v>43</v>
      </c>
      <c r="E2453">
        <v>1.4</v>
      </c>
      <c r="F2453">
        <v>28.075471698113201</v>
      </c>
      <c r="G2453">
        <v>7245.7866841080604</v>
      </c>
      <c r="H2453">
        <v>138.526142044772</v>
      </c>
      <c r="I2453" s="1">
        <f t="shared" si="77"/>
        <v>135.23529240848637</v>
      </c>
    </row>
    <row r="2454" spans="1:9" x14ac:dyDescent="0.45">
      <c r="A2454" t="s">
        <v>11</v>
      </c>
      <c r="B2454" t="s">
        <v>43</v>
      </c>
      <c r="C2454" t="str">
        <f t="shared" si="76"/>
        <v>ArizonaMississippi St.</v>
      </c>
      <c r="D2454" t="s">
        <v>11</v>
      </c>
      <c r="E2454">
        <v>79.099999999999994</v>
      </c>
      <c r="F2454">
        <v>-8.7320754716981099</v>
      </c>
      <c r="G2454">
        <v>-378.93613973823</v>
      </c>
      <c r="H2454">
        <v>139.71867013848399</v>
      </c>
      <c r="I2454" s="1">
        <f t="shared" si="77"/>
        <v>152.02738248695974</v>
      </c>
    </row>
    <row r="2455" spans="1:9" x14ac:dyDescent="0.45">
      <c r="A2455" t="s">
        <v>12</v>
      </c>
      <c r="B2455" t="s">
        <v>43</v>
      </c>
      <c r="C2455" t="str">
        <f t="shared" si="76"/>
        <v>ArkansasMississippi St.</v>
      </c>
      <c r="D2455" t="s">
        <v>43</v>
      </c>
      <c r="E2455">
        <v>18.600000000000001</v>
      </c>
      <c r="F2455">
        <v>9.6603773584905692</v>
      </c>
      <c r="G2455">
        <v>436.43755493658603</v>
      </c>
      <c r="H2455">
        <v>137.83627397234201</v>
      </c>
      <c r="I2455" s="1">
        <f t="shared" si="77"/>
        <v>125.52120107966191</v>
      </c>
    </row>
    <row r="2456" spans="1:9" x14ac:dyDescent="0.45">
      <c r="A2456" t="s">
        <v>13</v>
      </c>
      <c r="B2456" t="s">
        <v>43</v>
      </c>
      <c r="C2456" t="str">
        <f t="shared" si="76"/>
        <v>AuburnMississippi St.</v>
      </c>
      <c r="D2456" t="s">
        <v>13</v>
      </c>
      <c r="E2456">
        <v>91.3</v>
      </c>
      <c r="F2456">
        <v>-15.384905660377401</v>
      </c>
      <c r="G2456">
        <v>-1045.2148150865601</v>
      </c>
      <c r="H2456">
        <v>140.974993377603</v>
      </c>
      <c r="I2456" s="1">
        <f t="shared" si="77"/>
        <v>169.71777746398658</v>
      </c>
    </row>
    <row r="2457" spans="1:9" x14ac:dyDescent="0.45">
      <c r="A2457" t="s">
        <v>14</v>
      </c>
      <c r="B2457" t="s">
        <v>43</v>
      </c>
      <c r="C2457" t="str">
        <f t="shared" si="76"/>
        <v>BaylorMississippi St.</v>
      </c>
      <c r="D2457" t="s">
        <v>14</v>
      </c>
      <c r="E2457">
        <v>52.5</v>
      </c>
      <c r="F2457">
        <v>-0.65283018867924503</v>
      </c>
      <c r="G2457">
        <v>-110.463260528421</v>
      </c>
      <c r="H2457">
        <v>139.509991390328</v>
      </c>
      <c r="I2457" s="1">
        <f t="shared" si="77"/>
        <v>149.08895918693412</v>
      </c>
    </row>
    <row r="2458" spans="1:9" x14ac:dyDescent="0.45">
      <c r="A2458" t="s">
        <v>15</v>
      </c>
      <c r="B2458" t="s">
        <v>43</v>
      </c>
      <c r="C2458" t="str">
        <f t="shared" si="76"/>
        <v>BryantMississippi St.</v>
      </c>
      <c r="D2458" t="s">
        <v>43</v>
      </c>
      <c r="E2458">
        <v>4.8</v>
      </c>
      <c r="F2458">
        <v>19.633962264150899</v>
      </c>
      <c r="G2458">
        <v>1998.5834499391301</v>
      </c>
      <c r="H2458">
        <v>139.05898914022299</v>
      </c>
      <c r="I2458" s="1">
        <f t="shared" si="77"/>
        <v>142.7383579312571</v>
      </c>
    </row>
    <row r="2459" spans="1:9" x14ac:dyDescent="0.45">
      <c r="A2459" t="s">
        <v>16</v>
      </c>
      <c r="B2459" t="s">
        <v>43</v>
      </c>
      <c r="C2459" t="str">
        <f t="shared" si="76"/>
        <v>BYUMississippi St.</v>
      </c>
      <c r="D2459" t="s">
        <v>16</v>
      </c>
      <c r="E2459">
        <v>57.4</v>
      </c>
      <c r="F2459">
        <v>-1.9471698113207501</v>
      </c>
      <c r="G2459">
        <v>-134.57191765279501</v>
      </c>
      <c r="H2459">
        <v>139.31950961844601</v>
      </c>
      <c r="I2459" s="1">
        <f t="shared" si="77"/>
        <v>146.40676906611827</v>
      </c>
    </row>
    <row r="2460" spans="1:9" x14ac:dyDescent="0.45">
      <c r="A2460" t="s">
        <v>17</v>
      </c>
      <c r="B2460" t="s">
        <v>43</v>
      </c>
      <c r="C2460" t="str">
        <f t="shared" si="76"/>
        <v>ClemsonMississippi St.</v>
      </c>
      <c r="D2460" t="s">
        <v>17</v>
      </c>
      <c r="E2460">
        <v>63.3</v>
      </c>
      <c r="F2460">
        <v>-3.5698113207547202</v>
      </c>
      <c r="G2460">
        <v>-172.42727597522801</v>
      </c>
      <c r="H2460">
        <v>139.541421474738</v>
      </c>
      <c r="I2460" s="1">
        <f t="shared" si="77"/>
        <v>149.53152889356804</v>
      </c>
    </row>
    <row r="2461" spans="1:9" x14ac:dyDescent="0.45">
      <c r="A2461" t="s">
        <v>18</v>
      </c>
      <c r="B2461" t="s">
        <v>43</v>
      </c>
      <c r="C2461" t="str">
        <f t="shared" si="76"/>
        <v>Colorado St.Mississippi St.</v>
      </c>
      <c r="D2461" t="s">
        <v>43</v>
      </c>
      <c r="E2461">
        <v>22.1</v>
      </c>
      <c r="F2461">
        <v>8.2679245283018901</v>
      </c>
      <c r="G2461">
        <v>352.96818582973998</v>
      </c>
      <c r="H2461">
        <v>138.848813322843</v>
      </c>
      <c r="I2461" s="1">
        <f t="shared" si="77"/>
        <v>139.77885427145154</v>
      </c>
    </row>
    <row r="2462" spans="1:9" x14ac:dyDescent="0.45">
      <c r="A2462" t="s">
        <v>19</v>
      </c>
      <c r="B2462" t="s">
        <v>43</v>
      </c>
      <c r="C2462" t="str">
        <f t="shared" si="76"/>
        <v>ConnecticutMississippi St.</v>
      </c>
      <c r="D2462" t="s">
        <v>19</v>
      </c>
      <c r="E2462">
        <v>74.5</v>
      </c>
      <c r="F2462">
        <v>-7.0339622641509401</v>
      </c>
      <c r="G2462">
        <v>-292.456634655112</v>
      </c>
      <c r="H2462">
        <v>139.484365225179</v>
      </c>
      <c r="I2462" s="1">
        <f t="shared" si="77"/>
        <v>148.72811496379447</v>
      </c>
    </row>
    <row r="2463" spans="1:9" x14ac:dyDescent="0.45">
      <c r="A2463" t="s">
        <v>20</v>
      </c>
      <c r="B2463" t="s">
        <v>43</v>
      </c>
      <c r="C2463" t="str">
        <f t="shared" si="76"/>
        <v>CreightonMississippi St.</v>
      </c>
      <c r="D2463" t="s">
        <v>43</v>
      </c>
      <c r="E2463">
        <v>47.5</v>
      </c>
      <c r="F2463">
        <v>0.65660377358490596</v>
      </c>
      <c r="G2463">
        <v>110.539768054086</v>
      </c>
      <c r="H2463">
        <v>138.95730758744301</v>
      </c>
      <c r="I2463" s="1">
        <f t="shared" si="77"/>
        <v>141.3065712902517</v>
      </c>
    </row>
    <row r="2464" spans="1:9" x14ac:dyDescent="0.45">
      <c r="A2464" t="s">
        <v>21</v>
      </c>
      <c r="B2464" t="s">
        <v>43</v>
      </c>
      <c r="C2464" t="str">
        <f t="shared" si="76"/>
        <v>DrakeMississippi St.</v>
      </c>
      <c r="D2464" t="s">
        <v>43</v>
      </c>
      <c r="E2464">
        <v>21.9</v>
      </c>
      <c r="F2464">
        <v>8.3169811320754707</v>
      </c>
      <c r="G2464">
        <v>355.70785879063402</v>
      </c>
      <c r="H2464">
        <v>139.010772691597</v>
      </c>
      <c r="I2464" s="1">
        <f t="shared" si="77"/>
        <v>142.05941799444477</v>
      </c>
    </row>
    <row r="2465" spans="1:9" x14ac:dyDescent="0.45">
      <c r="A2465" t="s">
        <v>22</v>
      </c>
      <c r="B2465" t="s">
        <v>43</v>
      </c>
      <c r="C2465" t="str">
        <f t="shared" si="76"/>
        <v>DukeMississippi St.</v>
      </c>
      <c r="D2465" t="s">
        <v>22</v>
      </c>
      <c r="E2465">
        <v>93.9</v>
      </c>
      <c r="F2465">
        <v>-17.8943396226415</v>
      </c>
      <c r="G2465">
        <v>-1532.5511420165999</v>
      </c>
      <c r="H2465">
        <v>141.298093153053</v>
      </c>
      <c r="I2465" s="1">
        <f t="shared" si="77"/>
        <v>174.26737303519275</v>
      </c>
    </row>
    <row r="2466" spans="1:9" x14ac:dyDescent="0.45">
      <c r="A2466" t="s">
        <v>23</v>
      </c>
      <c r="B2466" t="s">
        <v>43</v>
      </c>
      <c r="C2466" t="str">
        <f t="shared" si="76"/>
        <v>FloridaMississippi St.</v>
      </c>
      <c r="D2466" t="s">
        <v>23</v>
      </c>
      <c r="E2466">
        <v>89.4</v>
      </c>
      <c r="F2466">
        <v>-13.9924528301887</v>
      </c>
      <c r="G2466">
        <v>-845.411888133253</v>
      </c>
      <c r="H2466">
        <v>141.02184942899501</v>
      </c>
      <c r="I2466" s="1">
        <f t="shared" si="77"/>
        <v>170.37756153099932</v>
      </c>
    </row>
    <row r="2467" spans="1:9" x14ac:dyDescent="0.45">
      <c r="A2467" t="s">
        <v>24</v>
      </c>
      <c r="B2467" t="s">
        <v>43</v>
      </c>
      <c r="C2467" t="str">
        <f t="shared" si="76"/>
        <v>GeorgiaMississippi St.</v>
      </c>
      <c r="D2467" t="s">
        <v>43</v>
      </c>
      <c r="E2467">
        <v>24.1</v>
      </c>
      <c r="F2467">
        <v>7.5132075471698103</v>
      </c>
      <c r="G2467">
        <v>314.60555123348502</v>
      </c>
      <c r="H2467">
        <v>138.16366295334001</v>
      </c>
      <c r="I2467" s="1">
        <f t="shared" si="77"/>
        <v>130.13119332102346</v>
      </c>
    </row>
    <row r="2468" spans="1:9" x14ac:dyDescent="0.45">
      <c r="A2468" t="s">
        <v>25</v>
      </c>
      <c r="B2468" t="s">
        <v>43</v>
      </c>
      <c r="C2468" t="str">
        <f t="shared" si="76"/>
        <v>GonzagaMississippi St.</v>
      </c>
      <c r="D2468" t="s">
        <v>25</v>
      </c>
      <c r="E2468">
        <v>64.099999999999994</v>
      </c>
      <c r="F2468">
        <v>-3.81509433962264</v>
      </c>
      <c r="G2468">
        <v>-178.91834640111301</v>
      </c>
      <c r="H2468">
        <v>140.30130407286799</v>
      </c>
      <c r="I2468" s="1">
        <f t="shared" si="77"/>
        <v>160.23150074676357</v>
      </c>
    </row>
    <row r="2469" spans="1:9" x14ac:dyDescent="0.45">
      <c r="A2469" t="s">
        <v>26</v>
      </c>
      <c r="B2469" t="s">
        <v>43</v>
      </c>
      <c r="C2469" t="str">
        <f t="shared" si="76"/>
        <v>Grand CanyonMississippi St.</v>
      </c>
      <c r="D2469" t="s">
        <v>43</v>
      </c>
      <c r="E2469">
        <v>14.9</v>
      </c>
      <c r="F2469">
        <v>11.437735849056599</v>
      </c>
      <c r="G2469">
        <v>572.30523799252899</v>
      </c>
      <c r="H2469">
        <v>138.95327231917199</v>
      </c>
      <c r="I2469" s="1">
        <f t="shared" si="77"/>
        <v>141.24975033261126</v>
      </c>
    </row>
    <row r="2470" spans="1:9" x14ac:dyDescent="0.45">
      <c r="A2470" t="s">
        <v>27</v>
      </c>
      <c r="B2470" t="s">
        <v>43</v>
      </c>
      <c r="C2470" t="str">
        <f t="shared" si="76"/>
        <v>High PointMississippi St.</v>
      </c>
      <c r="D2470" t="s">
        <v>43</v>
      </c>
      <c r="E2470">
        <v>10.3</v>
      </c>
      <c r="F2470">
        <v>14.207547169811299</v>
      </c>
      <c r="G2470">
        <v>873.58222654005203</v>
      </c>
      <c r="H2470">
        <v>139.23416406682799</v>
      </c>
      <c r="I2470" s="1">
        <f t="shared" si="77"/>
        <v>145.20501105461025</v>
      </c>
    </row>
    <row r="2471" spans="1:9" x14ac:dyDescent="0.45">
      <c r="A2471" t="s">
        <v>28</v>
      </c>
      <c r="B2471" t="s">
        <v>43</v>
      </c>
      <c r="C2471" t="str">
        <f t="shared" si="76"/>
        <v>HoustonMississippi St.</v>
      </c>
      <c r="D2471" t="s">
        <v>28</v>
      </c>
      <c r="E2471">
        <v>96.3</v>
      </c>
      <c r="F2471">
        <v>-21.407547169811298</v>
      </c>
      <c r="G2471">
        <v>-2619.4024067733098</v>
      </c>
      <c r="H2471">
        <v>141.441757502683</v>
      </c>
      <c r="I2471" s="1">
        <f t="shared" si="77"/>
        <v>176.29032302922022</v>
      </c>
    </row>
    <row r="2472" spans="1:9" x14ac:dyDescent="0.45">
      <c r="A2472" t="s">
        <v>29</v>
      </c>
      <c r="B2472" t="s">
        <v>43</v>
      </c>
      <c r="C2472" t="str">
        <f t="shared" si="76"/>
        <v>IllinoisMississippi St.</v>
      </c>
      <c r="D2472" t="s">
        <v>29</v>
      </c>
      <c r="E2472">
        <v>72.3</v>
      </c>
      <c r="F2472">
        <v>-6.2943396226415098</v>
      </c>
      <c r="G2472">
        <v>-261.27603333810299</v>
      </c>
      <c r="H2472">
        <v>139.49200265661901</v>
      </c>
      <c r="I2472" s="1">
        <f t="shared" si="77"/>
        <v>148.83565828909212</v>
      </c>
    </row>
    <row r="2473" spans="1:9" x14ac:dyDescent="0.45">
      <c r="A2473" t="s">
        <v>30</v>
      </c>
      <c r="B2473" t="s">
        <v>43</v>
      </c>
      <c r="C2473" t="str">
        <f t="shared" si="76"/>
        <v>Iowa St.Mississippi St.</v>
      </c>
      <c r="D2473" t="s">
        <v>30</v>
      </c>
      <c r="E2473">
        <v>84.6</v>
      </c>
      <c r="F2473">
        <v>-11.1811320754717</v>
      </c>
      <c r="G2473">
        <v>-550.35124481004596</v>
      </c>
      <c r="H2473">
        <v>140.41827123497799</v>
      </c>
      <c r="I2473" s="1">
        <f t="shared" si="77"/>
        <v>161.8785253600461</v>
      </c>
    </row>
    <row r="2474" spans="1:9" x14ac:dyDescent="0.45">
      <c r="A2474" t="s">
        <v>31</v>
      </c>
      <c r="B2474" t="s">
        <v>43</v>
      </c>
      <c r="C2474" t="str">
        <f t="shared" si="76"/>
        <v>KansasMississippi St.</v>
      </c>
      <c r="D2474" t="s">
        <v>31</v>
      </c>
      <c r="E2474">
        <v>61.5</v>
      </c>
      <c r="F2474">
        <v>-3.0754716981132102</v>
      </c>
      <c r="G2474">
        <v>-159.892637500641</v>
      </c>
      <c r="H2474">
        <v>139.37366151928899</v>
      </c>
      <c r="I2474" s="1">
        <f t="shared" si="77"/>
        <v>147.16928661322734</v>
      </c>
    </row>
    <row r="2475" spans="1:9" x14ac:dyDescent="0.45">
      <c r="A2475" t="s">
        <v>32</v>
      </c>
      <c r="B2475" t="s">
        <v>43</v>
      </c>
      <c r="C2475" t="str">
        <f t="shared" si="76"/>
        <v>KentuckyMississippi St.</v>
      </c>
      <c r="D2475" t="s">
        <v>32</v>
      </c>
      <c r="E2475">
        <v>73</v>
      </c>
      <c r="F2475">
        <v>-6.50566037735849</v>
      </c>
      <c r="G2475">
        <v>-269.73532770960497</v>
      </c>
      <c r="H2475">
        <v>139.32069911968199</v>
      </c>
      <c r="I2475" s="1">
        <f t="shared" si="77"/>
        <v>146.42351853475424</v>
      </c>
    </row>
    <row r="2476" spans="1:9" x14ac:dyDescent="0.45">
      <c r="A2476" t="s">
        <v>33</v>
      </c>
      <c r="B2476" t="s">
        <v>43</v>
      </c>
      <c r="C2476" t="str">
        <f t="shared" si="76"/>
        <v>LibertyMississippi St.</v>
      </c>
      <c r="D2476" t="s">
        <v>43</v>
      </c>
      <c r="E2476">
        <v>7</v>
      </c>
      <c r="F2476">
        <v>16.9849056603774</v>
      </c>
      <c r="G2476">
        <v>1334.2040288912899</v>
      </c>
      <c r="H2476">
        <v>138.52963536807999</v>
      </c>
      <c r="I2476" s="1">
        <f t="shared" si="77"/>
        <v>135.28448219275253</v>
      </c>
    </row>
    <row r="2477" spans="1:9" x14ac:dyDescent="0.45">
      <c r="A2477" t="s">
        <v>34</v>
      </c>
      <c r="B2477" t="s">
        <v>43</v>
      </c>
      <c r="C2477" t="str">
        <f t="shared" si="76"/>
        <v>LipscombMississippi St.</v>
      </c>
      <c r="D2477" t="s">
        <v>43</v>
      </c>
      <c r="E2477">
        <v>5.4</v>
      </c>
      <c r="F2477">
        <v>18.728301886792501</v>
      </c>
      <c r="G2477">
        <v>1740.41211230413</v>
      </c>
      <c r="H2477">
        <v>138.961555599338</v>
      </c>
      <c r="I2477" s="1">
        <f t="shared" si="77"/>
        <v>141.36638790905604</v>
      </c>
    </row>
    <row r="2478" spans="1:9" x14ac:dyDescent="0.45">
      <c r="A2478" t="s">
        <v>35</v>
      </c>
      <c r="B2478" t="s">
        <v>43</v>
      </c>
      <c r="C2478" t="str">
        <f t="shared" si="76"/>
        <v>LouisvilleMississippi St.</v>
      </c>
      <c r="D2478" t="s">
        <v>43</v>
      </c>
      <c r="E2478">
        <v>12.7</v>
      </c>
      <c r="F2478">
        <v>12.618867924528301</v>
      </c>
      <c r="G2478">
        <v>685.54951130265101</v>
      </c>
      <c r="H2478">
        <v>138.24727891130601</v>
      </c>
      <c r="I2478" s="1">
        <f t="shared" si="77"/>
        <v>131.30859677639404</v>
      </c>
    </row>
    <row r="2479" spans="1:9" x14ac:dyDescent="0.45">
      <c r="A2479" t="s">
        <v>36</v>
      </c>
      <c r="B2479" t="s">
        <v>43</v>
      </c>
      <c r="C2479" t="str">
        <f t="shared" si="76"/>
        <v>MarquetteMississippi St.</v>
      </c>
      <c r="D2479" t="s">
        <v>36</v>
      </c>
      <c r="E2479">
        <v>67.3</v>
      </c>
      <c r="F2479">
        <v>-4.7245283018867896</v>
      </c>
      <c r="G2479">
        <v>-205.62058034370401</v>
      </c>
      <c r="H2479">
        <v>139.579035546211</v>
      </c>
      <c r="I2479" s="1">
        <f t="shared" si="77"/>
        <v>150.06117585092125</v>
      </c>
    </row>
    <row r="2480" spans="1:9" x14ac:dyDescent="0.45">
      <c r="A2480" t="s">
        <v>37</v>
      </c>
      <c r="B2480" t="s">
        <v>43</v>
      </c>
      <c r="C2480" t="str">
        <f t="shared" si="76"/>
        <v>MarylandMississippi St.</v>
      </c>
      <c r="D2480" t="s">
        <v>37</v>
      </c>
      <c r="E2480">
        <v>58.2</v>
      </c>
      <c r="F2480">
        <v>-2.1811320754716998</v>
      </c>
      <c r="G2480">
        <v>-139.48330281374601</v>
      </c>
      <c r="H2480">
        <v>139.18897485789</v>
      </c>
      <c r="I2480" s="1">
        <f t="shared" si="77"/>
        <v>144.56869793874932</v>
      </c>
    </row>
    <row r="2481" spans="1:9" x14ac:dyDescent="0.45">
      <c r="A2481" t="s">
        <v>38</v>
      </c>
      <c r="B2481" t="s">
        <v>43</v>
      </c>
      <c r="C2481" t="str">
        <f t="shared" si="76"/>
        <v>McNeese St.Mississippi St.</v>
      </c>
      <c r="D2481" t="s">
        <v>43</v>
      </c>
      <c r="E2481">
        <v>19.899999999999999</v>
      </c>
      <c r="F2481">
        <v>9.1283018867924497</v>
      </c>
      <c r="G2481">
        <v>402.37124711599</v>
      </c>
      <c r="H2481">
        <v>139.02438647209101</v>
      </c>
      <c r="I2481" s="1">
        <f t="shared" si="77"/>
        <v>142.25111480189895</v>
      </c>
    </row>
    <row r="2482" spans="1:9" x14ac:dyDescent="0.45">
      <c r="A2482" t="s">
        <v>39</v>
      </c>
      <c r="B2482" t="s">
        <v>43</v>
      </c>
      <c r="C2482" t="str">
        <f t="shared" si="76"/>
        <v>MemphisMississippi St.</v>
      </c>
      <c r="D2482" t="s">
        <v>43</v>
      </c>
      <c r="E2482">
        <v>41.7</v>
      </c>
      <c r="F2482">
        <v>2.2037735849056599</v>
      </c>
      <c r="G2482">
        <v>139.97300356941099</v>
      </c>
      <c r="H2482">
        <v>138.166609670909</v>
      </c>
      <c r="I2482" s="1">
        <f t="shared" si="77"/>
        <v>130.17268630313029</v>
      </c>
    </row>
    <row r="2483" spans="1:9" x14ac:dyDescent="0.45">
      <c r="A2483" t="s">
        <v>40</v>
      </c>
      <c r="B2483" t="s">
        <v>43</v>
      </c>
      <c r="C2483" t="str">
        <f t="shared" si="76"/>
        <v>MichiganMississippi St.</v>
      </c>
      <c r="D2483" t="s">
        <v>43</v>
      </c>
      <c r="E2483">
        <v>27.4</v>
      </c>
      <c r="F2483">
        <v>6.39245283018868</v>
      </c>
      <c r="G2483">
        <v>265.16324271657498</v>
      </c>
      <c r="H2483">
        <v>137.823530755593</v>
      </c>
      <c r="I2483" s="1">
        <f t="shared" si="77"/>
        <v>125.34176275475595</v>
      </c>
    </row>
    <row r="2484" spans="1:9" x14ac:dyDescent="0.45">
      <c r="A2484" t="s">
        <v>41</v>
      </c>
      <c r="B2484" t="s">
        <v>43</v>
      </c>
      <c r="C2484" t="str">
        <f t="shared" si="76"/>
        <v>Michigan St.Mississippi St.</v>
      </c>
      <c r="D2484" t="s">
        <v>41</v>
      </c>
      <c r="E2484">
        <v>78.3</v>
      </c>
      <c r="F2484">
        <v>-8.4301886792452798</v>
      </c>
      <c r="G2484">
        <v>-361.87661042685102</v>
      </c>
      <c r="H2484">
        <v>139.522422716422</v>
      </c>
      <c r="I2484" s="1">
        <f t="shared" si="77"/>
        <v>149.2640057528524</v>
      </c>
    </row>
    <row r="2485" spans="1:9" x14ac:dyDescent="0.45">
      <c r="A2485" t="s">
        <v>42</v>
      </c>
      <c r="B2485" t="s">
        <v>43</v>
      </c>
      <c r="C2485" t="str">
        <f t="shared" si="76"/>
        <v>MississippiMississippi St.</v>
      </c>
      <c r="D2485" t="s">
        <v>43</v>
      </c>
      <c r="E2485">
        <v>48.2</v>
      </c>
      <c r="F2485">
        <v>0.47924528301886798</v>
      </c>
      <c r="G2485">
        <v>107.586647954996</v>
      </c>
      <c r="H2485">
        <v>138.65334382151599</v>
      </c>
      <c r="I2485" s="1">
        <f t="shared" si="77"/>
        <v>137.02643150574505</v>
      </c>
    </row>
    <row r="2486" spans="1:9" x14ac:dyDescent="0.45">
      <c r="A2486" t="s">
        <v>43</v>
      </c>
      <c r="B2486" t="s">
        <v>43</v>
      </c>
      <c r="C2486" t="str">
        <f t="shared" si="76"/>
        <v>Mississippi St.Mississippi St.</v>
      </c>
      <c r="D2486" t="s">
        <v>43</v>
      </c>
      <c r="E2486">
        <v>41.2</v>
      </c>
      <c r="F2486">
        <v>2.3283018867924499</v>
      </c>
      <c r="G2486">
        <v>142.64273539779199</v>
      </c>
      <c r="H2486">
        <v>138.77771517530499</v>
      </c>
      <c r="I2486" s="1">
        <f t="shared" si="77"/>
        <v>138.77771517530277</v>
      </c>
    </row>
    <row r="2487" spans="1:9" x14ac:dyDescent="0.45">
      <c r="A2487" t="s">
        <v>44</v>
      </c>
      <c r="B2487" t="s">
        <v>43</v>
      </c>
      <c r="C2487" t="str">
        <f t="shared" si="76"/>
        <v>MissouriMississippi St.</v>
      </c>
      <c r="D2487" t="s">
        <v>43</v>
      </c>
      <c r="E2487">
        <v>23.5</v>
      </c>
      <c r="F2487">
        <v>7.7396226415094302</v>
      </c>
      <c r="G2487">
        <v>325.72313004220302</v>
      </c>
      <c r="H2487">
        <v>138.042187111479</v>
      </c>
      <c r="I2487" s="1">
        <f t="shared" si="77"/>
        <v>128.4206816025623</v>
      </c>
    </row>
    <row r="2488" spans="1:9" x14ac:dyDescent="0.45">
      <c r="A2488" t="s">
        <v>45</v>
      </c>
      <c r="B2488" t="s">
        <v>43</v>
      </c>
      <c r="C2488" t="str">
        <f t="shared" si="76"/>
        <v>MontanaMississippi St.</v>
      </c>
      <c r="D2488" t="s">
        <v>43</v>
      </c>
      <c r="E2488">
        <v>2.9</v>
      </c>
      <c r="F2488">
        <v>23</v>
      </c>
      <c r="G2488">
        <v>3339.1864659907301</v>
      </c>
      <c r="H2488">
        <v>137.350921836498</v>
      </c>
      <c r="I2488" s="1">
        <f t="shared" si="77"/>
        <v>118.68691614512146</v>
      </c>
    </row>
    <row r="2489" spans="1:9" x14ac:dyDescent="0.45">
      <c r="A2489" t="s">
        <v>46</v>
      </c>
      <c r="B2489" t="s">
        <v>43</v>
      </c>
      <c r="C2489" t="str">
        <f t="shared" si="76"/>
        <v>Mount St. Mary'sMississippi St.</v>
      </c>
      <c r="D2489" t="s">
        <v>43</v>
      </c>
      <c r="E2489">
        <v>1.2</v>
      </c>
      <c r="F2489">
        <v>29.1132075471698</v>
      </c>
      <c r="G2489">
        <v>8488.7035570893295</v>
      </c>
      <c r="H2489">
        <v>138.698796058445</v>
      </c>
      <c r="I2489" s="1">
        <f t="shared" si="77"/>
        <v>137.66644834124307</v>
      </c>
    </row>
    <row r="2490" spans="1:9" x14ac:dyDescent="0.45">
      <c r="A2490" t="s">
        <v>47</v>
      </c>
      <c r="B2490" t="s">
        <v>43</v>
      </c>
      <c r="C2490" t="str">
        <f t="shared" si="76"/>
        <v>Nebraska OmahaMississippi St.</v>
      </c>
      <c r="D2490" t="s">
        <v>43</v>
      </c>
      <c r="E2490">
        <v>1.5</v>
      </c>
      <c r="F2490">
        <v>27.4</v>
      </c>
      <c r="G2490">
        <v>6533.8777401160196</v>
      </c>
      <c r="H2490">
        <v>137.982797238345</v>
      </c>
      <c r="I2490" s="1">
        <f t="shared" si="77"/>
        <v>127.58440771964611</v>
      </c>
    </row>
    <row r="2491" spans="1:9" x14ac:dyDescent="0.45">
      <c r="A2491" t="s">
        <v>48</v>
      </c>
      <c r="B2491" t="s">
        <v>43</v>
      </c>
      <c r="C2491" t="str">
        <f t="shared" si="76"/>
        <v>New MexicoMississippi St.</v>
      </c>
      <c r="D2491" t="s">
        <v>43</v>
      </c>
      <c r="E2491">
        <v>28.1</v>
      </c>
      <c r="F2491">
        <v>6.1509433962264204</v>
      </c>
      <c r="G2491">
        <v>255.58506766393299</v>
      </c>
      <c r="H2491">
        <v>138.86054158562101</v>
      </c>
      <c r="I2491" s="1">
        <f t="shared" si="77"/>
        <v>139.94400094268784</v>
      </c>
    </row>
    <row r="2492" spans="1:9" x14ac:dyDescent="0.45">
      <c r="A2492" t="s">
        <v>49</v>
      </c>
      <c r="B2492" t="s">
        <v>43</v>
      </c>
      <c r="C2492" t="str">
        <f t="shared" si="76"/>
        <v>Norfolk St.Mississippi St.</v>
      </c>
      <c r="D2492" t="s">
        <v>43</v>
      </c>
      <c r="E2492">
        <v>2.2000000000000002</v>
      </c>
      <c r="F2492">
        <v>24.867924528301899</v>
      </c>
      <c r="G2492">
        <v>4440.0551878878796</v>
      </c>
      <c r="H2492">
        <v>137.87290524782199</v>
      </c>
      <c r="I2492" s="1">
        <f t="shared" si="77"/>
        <v>126.03700920258375</v>
      </c>
    </row>
    <row r="2493" spans="1:9" x14ac:dyDescent="0.45">
      <c r="A2493" t="s">
        <v>50</v>
      </c>
      <c r="B2493" t="s">
        <v>43</v>
      </c>
      <c r="C2493" t="str">
        <f t="shared" si="76"/>
        <v>North CarolinaMississippi St.</v>
      </c>
      <c r="D2493" t="s">
        <v>50</v>
      </c>
      <c r="E2493">
        <v>57.2</v>
      </c>
      <c r="F2493">
        <v>-1.89056603773585</v>
      </c>
      <c r="G2493">
        <v>-133.40053031433399</v>
      </c>
      <c r="H2493">
        <v>139.94483667977801</v>
      </c>
      <c r="I2493" s="1">
        <f t="shared" si="77"/>
        <v>155.21205289780474</v>
      </c>
    </row>
    <row r="2494" spans="1:9" x14ac:dyDescent="0.45">
      <c r="A2494" t="s">
        <v>51</v>
      </c>
      <c r="B2494" t="s">
        <v>43</v>
      </c>
      <c r="C2494" t="str">
        <f t="shared" si="76"/>
        <v>OklahomaMississippi St.</v>
      </c>
      <c r="D2494" t="s">
        <v>43</v>
      </c>
      <c r="E2494">
        <v>30.4</v>
      </c>
      <c r="F2494">
        <v>5.4150943396226401</v>
      </c>
      <c r="G2494">
        <v>228.48146034494999</v>
      </c>
      <c r="H2494">
        <v>138.28743997528301</v>
      </c>
      <c r="I2494" s="1">
        <f t="shared" si="77"/>
        <v>131.87410815302741</v>
      </c>
    </row>
    <row r="2495" spans="1:9" x14ac:dyDescent="0.45">
      <c r="A2495" t="s">
        <v>52</v>
      </c>
      <c r="B2495" t="s">
        <v>43</v>
      </c>
      <c r="C2495" t="str">
        <f t="shared" si="76"/>
        <v>OregonMississippi St.</v>
      </c>
      <c r="D2495" t="s">
        <v>52</v>
      </c>
      <c r="E2495">
        <v>59.1</v>
      </c>
      <c r="F2495">
        <v>-2.4075471698113202</v>
      </c>
      <c r="G2495">
        <v>-144.40207726110501</v>
      </c>
      <c r="H2495">
        <v>138.88181776342299</v>
      </c>
      <c r="I2495" s="1">
        <f t="shared" si="77"/>
        <v>140.24359262196171</v>
      </c>
    </row>
    <row r="2496" spans="1:9" x14ac:dyDescent="0.45">
      <c r="A2496" t="s">
        <v>53</v>
      </c>
      <c r="B2496" t="s">
        <v>43</v>
      </c>
      <c r="C2496" t="str">
        <f t="shared" si="76"/>
        <v>PurdueMississippi St.</v>
      </c>
      <c r="D2496" t="s">
        <v>53</v>
      </c>
      <c r="E2496">
        <v>88.4</v>
      </c>
      <c r="F2496">
        <v>-13.320754716981099</v>
      </c>
      <c r="G2496">
        <v>-762.74805894701103</v>
      </c>
      <c r="H2496">
        <v>140.22980509221199</v>
      </c>
      <c r="I2496" s="1">
        <f t="shared" si="77"/>
        <v>159.22471748519911</v>
      </c>
    </row>
    <row r="2497" spans="1:9" x14ac:dyDescent="0.45">
      <c r="A2497" t="s">
        <v>54</v>
      </c>
      <c r="B2497" t="s">
        <v>43</v>
      </c>
      <c r="C2497" t="str">
        <f t="shared" si="76"/>
        <v>Robert MorrisMississippi St.</v>
      </c>
      <c r="D2497" t="s">
        <v>43</v>
      </c>
      <c r="E2497">
        <v>0.9</v>
      </c>
      <c r="F2497">
        <v>30.622641509434001</v>
      </c>
      <c r="G2497">
        <v>10685.6235569529</v>
      </c>
      <c r="H2497">
        <v>137.28844194097499</v>
      </c>
      <c r="I2497" s="1">
        <f t="shared" si="77"/>
        <v>117.80713139267149</v>
      </c>
    </row>
    <row r="2498" spans="1:9" x14ac:dyDescent="0.45">
      <c r="A2498" t="s">
        <v>55</v>
      </c>
      <c r="B2498" t="s">
        <v>43</v>
      </c>
      <c r="C2498" t="str">
        <f t="shared" si="76"/>
        <v>Saint FrancisMississippi St.</v>
      </c>
      <c r="D2498" t="s">
        <v>43</v>
      </c>
      <c r="E2498">
        <v>0.6</v>
      </c>
      <c r="F2498">
        <v>33.350943396226398</v>
      </c>
      <c r="G2498">
        <v>16196.2618987194</v>
      </c>
      <c r="H2498">
        <v>138.341297474182</v>
      </c>
      <c r="I2498" s="1">
        <f t="shared" si="77"/>
        <v>132.63248020118445</v>
      </c>
    </row>
    <row r="2499" spans="1:9" x14ac:dyDescent="0.45">
      <c r="A2499" t="s">
        <v>56</v>
      </c>
      <c r="B2499" t="s">
        <v>43</v>
      </c>
      <c r="C2499" t="str">
        <f t="shared" ref="C2499:C2562" si="78">A2499&amp;B2499</f>
        <v>Saint Mary'sMississippi St.</v>
      </c>
      <c r="D2499" t="s">
        <v>56</v>
      </c>
      <c r="E2499">
        <v>55.2</v>
      </c>
      <c r="F2499">
        <v>-1.3660377358490601</v>
      </c>
      <c r="G2499">
        <v>-123.159774265614</v>
      </c>
      <c r="H2499">
        <v>139.592552675273</v>
      </c>
      <c r="I2499" s="1">
        <f t="shared" ref="I2499:I2562" si="79">18*(H2499-AVERAGE($H$2:$H$4625))/_xlfn.STDEV.P($H$2:$H$4625)+AVERAGE($H$2:$H$4625)</f>
        <v>150.25151170129507</v>
      </c>
    </row>
    <row r="2500" spans="1:9" x14ac:dyDescent="0.45">
      <c r="A2500" t="s">
        <v>57</v>
      </c>
      <c r="B2500" t="s">
        <v>43</v>
      </c>
      <c r="C2500" t="str">
        <f t="shared" si="78"/>
        <v>San Diego St.Mississippi St.</v>
      </c>
      <c r="D2500" t="s">
        <v>43</v>
      </c>
      <c r="E2500">
        <v>26.4</v>
      </c>
      <c r="F2500">
        <v>6.7283018867924502</v>
      </c>
      <c r="G2500">
        <v>279.04368711185799</v>
      </c>
      <c r="H2500">
        <v>138.73880755507</v>
      </c>
      <c r="I2500" s="1">
        <f t="shared" si="79"/>
        <v>138.22985364720122</v>
      </c>
    </row>
    <row r="2501" spans="1:9" x14ac:dyDescent="0.45">
      <c r="A2501" t="s">
        <v>58</v>
      </c>
      <c r="B2501" t="s">
        <v>43</v>
      </c>
      <c r="C2501" t="str">
        <f t="shared" si="78"/>
        <v>SIU EdwardsvilleMississippi St.</v>
      </c>
      <c r="D2501" t="s">
        <v>43</v>
      </c>
      <c r="E2501">
        <v>1.8</v>
      </c>
      <c r="F2501">
        <v>26.324528301886801</v>
      </c>
      <c r="G2501">
        <v>5546.8851105637495</v>
      </c>
      <c r="H2501">
        <v>138.886495321919</v>
      </c>
      <c r="I2501" s="1">
        <f t="shared" si="79"/>
        <v>140.30945772319208</v>
      </c>
    </row>
    <row r="2502" spans="1:9" x14ac:dyDescent="0.45">
      <c r="A2502" t="s">
        <v>59</v>
      </c>
      <c r="B2502" t="s">
        <v>43</v>
      </c>
      <c r="C2502" t="str">
        <f t="shared" si="78"/>
        <v>St. John'sMississippi St.</v>
      </c>
      <c r="D2502" t="s">
        <v>59</v>
      </c>
      <c r="E2502">
        <v>79.400000000000006</v>
      </c>
      <c r="F2502">
        <v>-8.8339622641509408</v>
      </c>
      <c r="G2502">
        <v>-384.73202371264199</v>
      </c>
      <c r="H2502">
        <v>139.864178094463</v>
      </c>
      <c r="I2502" s="1">
        <f t="shared" si="79"/>
        <v>154.07629245966203</v>
      </c>
    </row>
    <row r="2503" spans="1:9" x14ac:dyDescent="0.45">
      <c r="A2503" t="s">
        <v>60</v>
      </c>
      <c r="B2503" t="s">
        <v>43</v>
      </c>
      <c r="C2503" t="str">
        <f t="shared" si="78"/>
        <v>TennesseeMississippi St.</v>
      </c>
      <c r="D2503" t="s">
        <v>60</v>
      </c>
      <c r="E2503">
        <v>88.5</v>
      </c>
      <c r="F2503">
        <v>-13.377358490565999</v>
      </c>
      <c r="G2503">
        <v>-769.65799520108806</v>
      </c>
      <c r="H2503">
        <v>140.458160971154</v>
      </c>
      <c r="I2503" s="1">
        <f t="shared" si="79"/>
        <v>162.44021614670848</v>
      </c>
    </row>
    <row r="2504" spans="1:9" x14ac:dyDescent="0.45">
      <c r="A2504" t="s">
        <v>61</v>
      </c>
      <c r="B2504" t="s">
        <v>43</v>
      </c>
      <c r="C2504" t="str">
        <f t="shared" si="78"/>
        <v>TexasMississippi St.</v>
      </c>
      <c r="D2504" t="s">
        <v>43</v>
      </c>
      <c r="E2504">
        <v>23.9</v>
      </c>
      <c r="F2504">
        <v>7.5735849056603799</v>
      </c>
      <c r="G2504">
        <v>317.59154330565099</v>
      </c>
      <c r="H2504">
        <v>138.21387550222599</v>
      </c>
      <c r="I2504" s="1">
        <f t="shared" si="79"/>
        <v>130.83824051631308</v>
      </c>
    </row>
    <row r="2505" spans="1:9" x14ac:dyDescent="0.45">
      <c r="A2505" t="s">
        <v>62</v>
      </c>
      <c r="B2505" t="s">
        <v>43</v>
      </c>
      <c r="C2505" t="str">
        <f t="shared" si="78"/>
        <v>Texas A&amp;MMississippi St.</v>
      </c>
      <c r="D2505" t="s">
        <v>62</v>
      </c>
      <c r="E2505">
        <v>64.5</v>
      </c>
      <c r="F2505">
        <v>-3.9207547169811301</v>
      </c>
      <c r="G2505">
        <v>-181.857804391234</v>
      </c>
      <c r="H2505">
        <v>139.01167452982</v>
      </c>
      <c r="I2505" s="1">
        <f t="shared" si="79"/>
        <v>142.07211685559253</v>
      </c>
    </row>
    <row r="2506" spans="1:9" x14ac:dyDescent="0.45">
      <c r="A2506" t="s">
        <v>63</v>
      </c>
      <c r="B2506" t="s">
        <v>43</v>
      </c>
      <c r="C2506" t="str">
        <f t="shared" si="78"/>
        <v>Texas TechMississippi St.</v>
      </c>
      <c r="D2506" t="s">
        <v>63</v>
      </c>
      <c r="E2506">
        <v>78.2</v>
      </c>
      <c r="F2506">
        <v>-8.3735849056603797</v>
      </c>
      <c r="G2506">
        <v>-358.63153611579202</v>
      </c>
      <c r="H2506">
        <v>140.05145864888399</v>
      </c>
      <c r="I2506" s="1">
        <f t="shared" si="79"/>
        <v>156.71340596362555</v>
      </c>
    </row>
    <row r="2507" spans="1:9" x14ac:dyDescent="0.45">
      <c r="A2507" t="s">
        <v>64</v>
      </c>
      <c r="B2507" t="s">
        <v>43</v>
      </c>
      <c r="C2507" t="str">
        <f t="shared" si="78"/>
        <v>TroyMississippi St.</v>
      </c>
      <c r="D2507" t="s">
        <v>43</v>
      </c>
      <c r="E2507">
        <v>4.8</v>
      </c>
      <c r="F2507">
        <v>19.5735849056604</v>
      </c>
      <c r="G2507">
        <v>1980.67139080469</v>
      </c>
      <c r="H2507">
        <v>138.75502306861301</v>
      </c>
      <c r="I2507" s="1">
        <f t="shared" si="79"/>
        <v>138.45818568023157</v>
      </c>
    </row>
    <row r="2508" spans="1:9" x14ac:dyDescent="0.45">
      <c r="A2508" t="s">
        <v>65</v>
      </c>
      <c r="B2508" t="s">
        <v>43</v>
      </c>
      <c r="C2508" t="str">
        <f t="shared" si="78"/>
        <v>UC San DiegoMississippi St.</v>
      </c>
      <c r="D2508" t="s">
        <v>43</v>
      </c>
      <c r="E2508">
        <v>11.4</v>
      </c>
      <c r="F2508">
        <v>13.4150943396226</v>
      </c>
      <c r="G2508">
        <v>773.86686130495104</v>
      </c>
      <c r="H2508">
        <v>138.843144812004</v>
      </c>
      <c r="I2508" s="1">
        <f t="shared" si="79"/>
        <v>139.69903548552841</v>
      </c>
    </row>
    <row r="2509" spans="1:9" x14ac:dyDescent="0.45">
      <c r="A2509" t="s">
        <v>66</v>
      </c>
      <c r="B2509" t="s">
        <v>43</v>
      </c>
      <c r="C2509" t="str">
        <f t="shared" si="78"/>
        <v>UCLAMississippi St.</v>
      </c>
      <c r="D2509" t="s">
        <v>43</v>
      </c>
      <c r="E2509">
        <v>33.9</v>
      </c>
      <c r="F2509">
        <v>4.36981132075472</v>
      </c>
      <c r="G2509">
        <v>194.74373088633899</v>
      </c>
      <c r="H2509">
        <v>138.31459932511299</v>
      </c>
      <c r="I2509" s="1">
        <f t="shared" si="79"/>
        <v>132.25654128078571</v>
      </c>
    </row>
    <row r="2510" spans="1:9" x14ac:dyDescent="0.45">
      <c r="A2510" t="s">
        <v>67</v>
      </c>
      <c r="B2510" t="s">
        <v>43</v>
      </c>
      <c r="C2510" t="str">
        <f t="shared" si="78"/>
        <v>UNC WilmingtonMississippi St.</v>
      </c>
      <c r="D2510" t="s">
        <v>43</v>
      </c>
      <c r="E2510">
        <v>7.2</v>
      </c>
      <c r="F2510">
        <v>16.7735849056604</v>
      </c>
      <c r="G2510">
        <v>1292.1247324112001</v>
      </c>
      <c r="H2510">
        <v>139.42961499903299</v>
      </c>
      <c r="I2510" s="1">
        <f t="shared" si="79"/>
        <v>147.95717234692168</v>
      </c>
    </row>
    <row r="2511" spans="1:9" x14ac:dyDescent="0.45">
      <c r="A2511" t="s">
        <v>68</v>
      </c>
      <c r="B2511" t="s">
        <v>43</v>
      </c>
      <c r="C2511" t="str">
        <f t="shared" si="78"/>
        <v>Utah St.Mississippi St.</v>
      </c>
      <c r="D2511" t="s">
        <v>43</v>
      </c>
      <c r="E2511">
        <v>28.2</v>
      </c>
      <c r="F2511">
        <v>6.1320754716981103</v>
      </c>
      <c r="G2511">
        <v>254.75659375673601</v>
      </c>
      <c r="H2511">
        <v>138.80098540285999</v>
      </c>
      <c r="I2511" s="1">
        <f t="shared" si="79"/>
        <v>139.10538523968998</v>
      </c>
    </row>
    <row r="2512" spans="1:9" x14ac:dyDescent="0.45">
      <c r="A2512" t="s">
        <v>69</v>
      </c>
      <c r="B2512" t="s">
        <v>43</v>
      </c>
      <c r="C2512" t="str">
        <f t="shared" si="78"/>
        <v>VanderbiltMississippi St.</v>
      </c>
      <c r="D2512" t="s">
        <v>43</v>
      </c>
      <c r="E2512">
        <v>7.7</v>
      </c>
      <c r="F2512">
        <v>16.252830188679201</v>
      </c>
      <c r="G2512">
        <v>1193.2059838715199</v>
      </c>
      <c r="H2512">
        <v>137.37555589145799</v>
      </c>
      <c r="I2512" s="1">
        <f t="shared" si="79"/>
        <v>119.03379037983957</v>
      </c>
    </row>
    <row r="2513" spans="1:9" x14ac:dyDescent="0.45">
      <c r="A2513" t="s">
        <v>70</v>
      </c>
      <c r="B2513" t="s">
        <v>43</v>
      </c>
      <c r="C2513" t="str">
        <f t="shared" si="78"/>
        <v>VCUMississippi St.</v>
      </c>
      <c r="D2513" t="s">
        <v>43</v>
      </c>
      <c r="E2513">
        <v>20.399999999999999</v>
      </c>
      <c r="F2513">
        <v>8.9056603773584904</v>
      </c>
      <c r="G2513">
        <v>389.03203079331098</v>
      </c>
      <c r="H2513">
        <v>139.220467053334</v>
      </c>
      <c r="I2513" s="1">
        <f t="shared" si="79"/>
        <v>145.012142236165</v>
      </c>
    </row>
    <row r="2514" spans="1:9" x14ac:dyDescent="0.45">
      <c r="A2514" t="s">
        <v>71</v>
      </c>
      <c r="B2514" t="s">
        <v>43</v>
      </c>
      <c r="C2514" t="str">
        <f t="shared" si="78"/>
        <v>WisconsinMississippi St.</v>
      </c>
      <c r="D2514" t="s">
        <v>71</v>
      </c>
      <c r="E2514">
        <v>76</v>
      </c>
      <c r="F2514">
        <v>-7.5584905660377402</v>
      </c>
      <c r="G2514">
        <v>-316.70540088114501</v>
      </c>
      <c r="H2514">
        <v>140.0211459086</v>
      </c>
      <c r="I2514" s="1">
        <f t="shared" si="79"/>
        <v>156.28656967519086</v>
      </c>
    </row>
    <row r="2515" spans="1:9" x14ac:dyDescent="0.45">
      <c r="A2515" t="s">
        <v>80</v>
      </c>
      <c r="B2515" t="s">
        <v>43</v>
      </c>
      <c r="C2515" t="str">
        <f t="shared" si="78"/>
        <v>WoffordMississippi St.</v>
      </c>
      <c r="D2515" t="s">
        <v>43</v>
      </c>
      <c r="E2515">
        <v>2.6</v>
      </c>
      <c r="F2515">
        <v>23.826415094339598</v>
      </c>
      <c r="G2515">
        <v>3789.8289833817198</v>
      </c>
      <c r="H2515">
        <v>138.050601647695</v>
      </c>
      <c r="I2515" s="1">
        <f t="shared" si="79"/>
        <v>128.53916740667276</v>
      </c>
    </row>
    <row r="2516" spans="1:9" x14ac:dyDescent="0.45">
      <c r="A2516" t="s">
        <v>72</v>
      </c>
      <c r="B2516" t="s">
        <v>43</v>
      </c>
      <c r="C2516" t="str">
        <f t="shared" si="78"/>
        <v>XavierMississippi St.</v>
      </c>
      <c r="D2516" t="s">
        <v>43</v>
      </c>
      <c r="E2516">
        <v>20.3</v>
      </c>
      <c r="F2516">
        <v>8.9811320754717006</v>
      </c>
      <c r="G2516">
        <v>393.58638678847802</v>
      </c>
      <c r="H2516">
        <v>138.62651521784699</v>
      </c>
      <c r="I2516" s="1">
        <f t="shared" si="79"/>
        <v>136.64865564296662</v>
      </c>
    </row>
    <row r="2517" spans="1:9" x14ac:dyDescent="0.45">
      <c r="A2517" t="s">
        <v>73</v>
      </c>
      <c r="B2517" t="s">
        <v>43</v>
      </c>
      <c r="C2517" t="str">
        <f t="shared" si="78"/>
        <v>YaleMississippi St.</v>
      </c>
      <c r="D2517" t="s">
        <v>43</v>
      </c>
      <c r="E2517">
        <v>12.4</v>
      </c>
      <c r="F2517">
        <v>12.8037735849057</v>
      </c>
      <c r="G2517">
        <v>705.26389115860104</v>
      </c>
      <c r="H2517">
        <v>139.42574985190899</v>
      </c>
      <c r="I2517" s="1">
        <f t="shared" si="79"/>
        <v>147.90274687970205</v>
      </c>
    </row>
    <row r="2518" spans="1:9" x14ac:dyDescent="0.45">
      <c r="A2518" t="s">
        <v>7</v>
      </c>
      <c r="B2518" t="s">
        <v>44</v>
      </c>
      <c r="C2518" t="str">
        <f t="shared" si="78"/>
        <v>AkronMissouri</v>
      </c>
      <c r="D2518" t="s">
        <v>44</v>
      </c>
      <c r="E2518">
        <v>14.2</v>
      </c>
      <c r="F2518">
        <v>11.788679245282999</v>
      </c>
      <c r="G2518">
        <v>603.83807768053805</v>
      </c>
      <c r="H2518">
        <v>138.943743371181</v>
      </c>
      <c r="I2518" s="1">
        <f t="shared" si="79"/>
        <v>141.1155724009873</v>
      </c>
    </row>
    <row r="2519" spans="1:9" x14ac:dyDescent="0.45">
      <c r="A2519" t="s">
        <v>8</v>
      </c>
      <c r="B2519" t="s">
        <v>44</v>
      </c>
      <c r="C2519" t="str">
        <f t="shared" si="78"/>
        <v>AlabamaMissouri</v>
      </c>
      <c r="D2519" t="s">
        <v>8</v>
      </c>
      <c r="E2519">
        <v>92.4</v>
      </c>
      <c r="F2519">
        <v>-16.384905660377399</v>
      </c>
      <c r="G2519">
        <v>-1217.87629400064</v>
      </c>
      <c r="H2519">
        <v>140.69183938332</v>
      </c>
      <c r="I2519" s="1">
        <f t="shared" si="79"/>
        <v>165.73066185375427</v>
      </c>
    </row>
    <row r="2520" spans="1:9" x14ac:dyDescent="0.45">
      <c r="A2520" t="s">
        <v>9</v>
      </c>
      <c r="B2520" t="s">
        <v>44</v>
      </c>
      <c r="C2520" t="str">
        <f t="shared" si="78"/>
        <v>Alabama St.Missouri</v>
      </c>
      <c r="D2520" t="s">
        <v>44</v>
      </c>
      <c r="E2520">
        <v>2.5</v>
      </c>
      <c r="F2520">
        <v>23.9283018867925</v>
      </c>
      <c r="G2520">
        <v>3847.5495652140098</v>
      </c>
      <c r="H2520">
        <v>139.17058422699401</v>
      </c>
      <c r="I2520" s="1">
        <f t="shared" si="79"/>
        <v>144.3097378922449</v>
      </c>
    </row>
    <row r="2521" spans="1:9" x14ac:dyDescent="0.45">
      <c r="A2521" t="s">
        <v>10</v>
      </c>
      <c r="B2521" t="s">
        <v>44</v>
      </c>
      <c r="C2521" t="str">
        <f t="shared" si="78"/>
        <v>AmericanMissouri</v>
      </c>
      <c r="D2521" t="s">
        <v>44</v>
      </c>
      <c r="E2521">
        <v>3.1</v>
      </c>
      <c r="F2521">
        <v>22.664150943396201</v>
      </c>
      <c r="G2521">
        <v>3173.1207808182198</v>
      </c>
      <c r="H2521">
        <v>139.261670108598</v>
      </c>
      <c r="I2521" s="1">
        <f t="shared" si="79"/>
        <v>145.59232598122682</v>
      </c>
    </row>
    <row r="2522" spans="1:9" x14ac:dyDescent="0.45">
      <c r="A2522" t="s">
        <v>11</v>
      </c>
      <c r="B2522" t="s">
        <v>44</v>
      </c>
      <c r="C2522" t="str">
        <f t="shared" si="78"/>
        <v>ArizonaMissouri</v>
      </c>
      <c r="D2522" t="s">
        <v>11</v>
      </c>
      <c r="E2522">
        <v>89.6</v>
      </c>
      <c r="F2522">
        <v>-14.147169811320801</v>
      </c>
      <c r="G2522">
        <v>-865.29654088193195</v>
      </c>
      <c r="H2522">
        <v>140.45419820231001</v>
      </c>
      <c r="I2522" s="1">
        <f t="shared" si="79"/>
        <v>162.38441605970061</v>
      </c>
    </row>
    <row r="2523" spans="1:9" x14ac:dyDescent="0.45">
      <c r="A2523" t="s">
        <v>12</v>
      </c>
      <c r="B2523" t="s">
        <v>44</v>
      </c>
      <c r="C2523" t="str">
        <f t="shared" si="78"/>
        <v>ArkansasMissouri</v>
      </c>
      <c r="D2523" t="s">
        <v>44</v>
      </c>
      <c r="E2523">
        <v>34.299999999999997</v>
      </c>
      <c r="F2523">
        <v>4.2452830188679203</v>
      </c>
      <c r="G2523">
        <v>191.127497326986</v>
      </c>
      <c r="H2523">
        <v>138.57180203616801</v>
      </c>
      <c r="I2523" s="1">
        <f t="shared" si="79"/>
        <v>135.87823465240237</v>
      </c>
    </row>
    <row r="2524" spans="1:9" x14ac:dyDescent="0.45">
      <c r="A2524" t="s">
        <v>13</v>
      </c>
      <c r="B2524" t="s">
        <v>44</v>
      </c>
      <c r="C2524" t="str">
        <f t="shared" si="78"/>
        <v>AuburnMissouri</v>
      </c>
      <c r="D2524" t="s">
        <v>13</v>
      </c>
      <c r="E2524">
        <v>96</v>
      </c>
      <c r="F2524">
        <v>-20.796226415094299</v>
      </c>
      <c r="G2524">
        <v>-2386.7366269095501</v>
      </c>
      <c r="H2524">
        <v>141.71052144142999</v>
      </c>
      <c r="I2524" s="1">
        <f t="shared" si="79"/>
        <v>180.07481103674104</v>
      </c>
    </row>
    <row r="2525" spans="1:9" x14ac:dyDescent="0.45">
      <c r="A2525" t="s">
        <v>14</v>
      </c>
      <c r="B2525" t="s">
        <v>44</v>
      </c>
      <c r="C2525" t="str">
        <f t="shared" si="78"/>
        <v>BaylorMissouri</v>
      </c>
      <c r="D2525" t="s">
        <v>14</v>
      </c>
      <c r="E2525">
        <v>71.599999999999994</v>
      </c>
      <c r="F2525">
        <v>-6.0641509433962302</v>
      </c>
      <c r="G2525">
        <v>-252.241650257511</v>
      </c>
      <c r="H2525">
        <v>140.24551945415499</v>
      </c>
      <c r="I2525" s="1">
        <f t="shared" si="79"/>
        <v>159.44599275968858</v>
      </c>
    </row>
    <row r="2526" spans="1:9" x14ac:dyDescent="0.45">
      <c r="A2526" t="s">
        <v>15</v>
      </c>
      <c r="B2526" t="s">
        <v>44</v>
      </c>
      <c r="C2526" t="str">
        <f t="shared" si="78"/>
        <v>BryantMissouri</v>
      </c>
      <c r="D2526" t="s">
        <v>44</v>
      </c>
      <c r="E2526">
        <v>10.3</v>
      </c>
      <c r="F2526">
        <v>14.218867924528301</v>
      </c>
      <c r="G2526">
        <v>875.23231826715903</v>
      </c>
      <c r="H2526">
        <v>139.79451720404899</v>
      </c>
      <c r="I2526" s="1">
        <f t="shared" si="79"/>
        <v>153.09539150399758</v>
      </c>
    </row>
    <row r="2527" spans="1:9" x14ac:dyDescent="0.45">
      <c r="A2527" t="s">
        <v>16</v>
      </c>
      <c r="B2527" t="s">
        <v>44</v>
      </c>
      <c r="C2527" t="str">
        <f t="shared" si="78"/>
        <v>BYUMissouri</v>
      </c>
      <c r="D2527" t="s">
        <v>16</v>
      </c>
      <c r="E2527">
        <v>75.400000000000006</v>
      </c>
      <c r="F2527">
        <v>-7.35849056603774</v>
      </c>
      <c r="G2527">
        <v>-307.29350577448798</v>
      </c>
      <c r="H2527">
        <v>140.055037682272</v>
      </c>
      <c r="I2527" s="1">
        <f t="shared" si="79"/>
        <v>156.76380263885875</v>
      </c>
    </row>
    <row r="2528" spans="1:9" x14ac:dyDescent="0.45">
      <c r="A2528" t="s">
        <v>17</v>
      </c>
      <c r="B2528" t="s">
        <v>44</v>
      </c>
      <c r="C2528" t="str">
        <f t="shared" si="78"/>
        <v>ClemsonMissouri</v>
      </c>
      <c r="D2528" t="s">
        <v>17</v>
      </c>
      <c r="E2528">
        <v>79.7</v>
      </c>
      <c r="F2528">
        <v>-8.9849056603773594</v>
      </c>
      <c r="G2528">
        <v>-393.73580350010099</v>
      </c>
      <c r="H2528">
        <v>140.276949538564</v>
      </c>
      <c r="I2528" s="1">
        <f t="shared" si="79"/>
        <v>159.88856246630849</v>
      </c>
    </row>
    <row r="2529" spans="1:9" x14ac:dyDescent="0.45">
      <c r="A2529" t="s">
        <v>18</v>
      </c>
      <c r="B2529" t="s">
        <v>44</v>
      </c>
      <c r="C2529" t="str">
        <f t="shared" si="78"/>
        <v>Colorado St.Missouri</v>
      </c>
      <c r="D2529" t="s">
        <v>44</v>
      </c>
      <c r="E2529">
        <v>39.299999999999997</v>
      </c>
      <c r="F2529">
        <v>2.8566037735849101</v>
      </c>
      <c r="G2529">
        <v>154.574062728142</v>
      </c>
      <c r="H2529">
        <v>139.584341386669</v>
      </c>
      <c r="I2529" s="1">
        <f t="shared" si="79"/>
        <v>150.13588784419201</v>
      </c>
    </row>
    <row r="2530" spans="1:9" x14ac:dyDescent="0.45">
      <c r="A2530" t="s">
        <v>19</v>
      </c>
      <c r="B2530" t="s">
        <v>44</v>
      </c>
      <c r="C2530" t="str">
        <f t="shared" si="78"/>
        <v>ConnecticutMissouri</v>
      </c>
      <c r="D2530" t="s">
        <v>19</v>
      </c>
      <c r="E2530">
        <v>87</v>
      </c>
      <c r="F2530">
        <v>-12.449056603773601</v>
      </c>
      <c r="G2530">
        <v>-667.82153451991996</v>
      </c>
      <c r="H2530">
        <v>140.219893289005</v>
      </c>
      <c r="I2530" s="1">
        <f t="shared" si="79"/>
        <v>159.08514853653492</v>
      </c>
    </row>
    <row r="2531" spans="1:9" x14ac:dyDescent="0.45">
      <c r="A2531" t="s">
        <v>20</v>
      </c>
      <c r="B2531" t="s">
        <v>44</v>
      </c>
      <c r="C2531" t="str">
        <f t="shared" si="78"/>
        <v>CreightonMissouri</v>
      </c>
      <c r="D2531" t="s">
        <v>20</v>
      </c>
      <c r="E2531">
        <v>67.400000000000006</v>
      </c>
      <c r="F2531">
        <v>-4.7547169811320797</v>
      </c>
      <c r="G2531">
        <v>-206.576251258078</v>
      </c>
      <c r="H2531">
        <v>139.69283565126901</v>
      </c>
      <c r="I2531" s="1">
        <f t="shared" si="79"/>
        <v>151.66360486299217</v>
      </c>
    </row>
    <row r="2532" spans="1:9" x14ac:dyDescent="0.45">
      <c r="A2532" t="s">
        <v>21</v>
      </c>
      <c r="B2532" t="s">
        <v>44</v>
      </c>
      <c r="C2532" t="str">
        <f t="shared" si="78"/>
        <v>DrakeMissouri</v>
      </c>
      <c r="D2532" t="s">
        <v>44</v>
      </c>
      <c r="E2532">
        <v>39.1</v>
      </c>
      <c r="F2532">
        <v>2.9056603773584899</v>
      </c>
      <c r="G2532">
        <v>155.773837657195</v>
      </c>
      <c r="H2532">
        <v>139.74630075542299</v>
      </c>
      <c r="I2532" s="1">
        <f t="shared" si="79"/>
        <v>152.41645156718522</v>
      </c>
    </row>
    <row r="2533" spans="1:9" x14ac:dyDescent="0.45">
      <c r="A2533" t="s">
        <v>22</v>
      </c>
      <c r="B2533" t="s">
        <v>44</v>
      </c>
      <c r="C2533" t="str">
        <f t="shared" si="78"/>
        <v>DukeMissouri</v>
      </c>
      <c r="D2533" t="s">
        <v>22</v>
      </c>
      <c r="E2533">
        <v>97.2</v>
      </c>
      <c r="F2533">
        <v>-23.3056603773585</v>
      </c>
      <c r="G2533">
        <v>-3499.56381259308</v>
      </c>
      <c r="H2533">
        <v>142.033621216879</v>
      </c>
      <c r="I2533" s="1">
        <f t="shared" si="79"/>
        <v>184.62440660793322</v>
      </c>
    </row>
    <row r="2534" spans="1:9" x14ac:dyDescent="0.45">
      <c r="A2534" t="s">
        <v>23</v>
      </c>
      <c r="B2534" t="s">
        <v>44</v>
      </c>
      <c r="C2534" t="str">
        <f t="shared" si="78"/>
        <v>FloridaMissouri</v>
      </c>
      <c r="D2534" t="s">
        <v>23</v>
      </c>
      <c r="E2534">
        <v>95.1</v>
      </c>
      <c r="F2534">
        <v>-19.407547169811298</v>
      </c>
      <c r="G2534">
        <v>-1930.4888230705899</v>
      </c>
      <c r="H2534">
        <v>141.75737749282101</v>
      </c>
      <c r="I2534" s="1">
        <f t="shared" si="79"/>
        <v>180.73459510373979</v>
      </c>
    </row>
    <row r="2535" spans="1:9" x14ac:dyDescent="0.45">
      <c r="A2535" t="s">
        <v>24</v>
      </c>
      <c r="B2535" t="s">
        <v>44</v>
      </c>
      <c r="C2535" t="str">
        <f t="shared" si="78"/>
        <v>GeorgiaMissouri</v>
      </c>
      <c r="D2535" t="s">
        <v>44</v>
      </c>
      <c r="E2535">
        <v>42.1</v>
      </c>
      <c r="F2535">
        <v>2.1018867924528299</v>
      </c>
      <c r="G2535">
        <v>137.774054895825</v>
      </c>
      <c r="H2535">
        <v>138.899191017166</v>
      </c>
      <c r="I2535" s="1">
        <f t="shared" si="79"/>
        <v>140.48822689376394</v>
      </c>
    </row>
    <row r="2536" spans="1:9" x14ac:dyDescent="0.45">
      <c r="A2536" t="s">
        <v>25</v>
      </c>
      <c r="B2536" t="s">
        <v>44</v>
      </c>
      <c r="C2536" t="str">
        <f t="shared" si="78"/>
        <v>GonzagaMissouri</v>
      </c>
      <c r="D2536" t="s">
        <v>25</v>
      </c>
      <c r="E2536">
        <v>80.3</v>
      </c>
      <c r="F2536">
        <v>-9.2264150943396199</v>
      </c>
      <c r="G2536">
        <v>-408.55809199974101</v>
      </c>
      <c r="H2536">
        <v>141.03683213669501</v>
      </c>
      <c r="I2536" s="1">
        <f t="shared" si="79"/>
        <v>170.58853431951846</v>
      </c>
    </row>
    <row r="2537" spans="1:9" x14ac:dyDescent="0.45">
      <c r="A2537" t="s">
        <v>26</v>
      </c>
      <c r="B2537" t="s">
        <v>44</v>
      </c>
      <c r="C2537" t="str">
        <f t="shared" si="78"/>
        <v>Grand CanyonMissouri</v>
      </c>
      <c r="D2537" t="s">
        <v>44</v>
      </c>
      <c r="E2537">
        <v>28.5</v>
      </c>
      <c r="F2537">
        <v>6.02264150943396</v>
      </c>
      <c r="G2537">
        <v>250.62753332611399</v>
      </c>
      <c r="H2537">
        <v>139.68880038299901</v>
      </c>
      <c r="I2537" s="1">
        <f t="shared" si="79"/>
        <v>151.60678390536614</v>
      </c>
    </row>
    <row r="2538" spans="1:9" x14ac:dyDescent="0.45">
      <c r="A2538" t="s">
        <v>27</v>
      </c>
      <c r="B2538" t="s">
        <v>44</v>
      </c>
      <c r="C2538" t="str">
        <f t="shared" si="78"/>
        <v>High PointMissouri</v>
      </c>
      <c r="D2538" t="s">
        <v>44</v>
      </c>
      <c r="E2538">
        <v>20.7</v>
      </c>
      <c r="F2538">
        <v>8.7962264150943401</v>
      </c>
      <c r="G2538">
        <v>382.56465966178399</v>
      </c>
      <c r="H2538">
        <v>139.96969213065401</v>
      </c>
      <c r="I2538" s="1">
        <f t="shared" si="79"/>
        <v>155.56204462735113</v>
      </c>
    </row>
    <row r="2539" spans="1:9" x14ac:dyDescent="0.45">
      <c r="A2539" t="s">
        <v>28</v>
      </c>
      <c r="B2539" t="s">
        <v>44</v>
      </c>
      <c r="C2539" t="str">
        <f t="shared" si="78"/>
        <v>HoustonMissouri</v>
      </c>
      <c r="D2539" t="s">
        <v>28</v>
      </c>
      <c r="E2539">
        <v>98.4</v>
      </c>
      <c r="F2539">
        <v>-26.818867924528298</v>
      </c>
      <c r="G2539">
        <v>-5981.3768180688403</v>
      </c>
      <c r="H2539">
        <v>142.177285566509</v>
      </c>
      <c r="I2539" s="1">
        <f t="shared" si="79"/>
        <v>186.64735660196069</v>
      </c>
    </row>
    <row r="2540" spans="1:9" x14ac:dyDescent="0.45">
      <c r="A2540" t="s">
        <v>29</v>
      </c>
      <c r="B2540" t="s">
        <v>44</v>
      </c>
      <c r="C2540" t="str">
        <f t="shared" si="78"/>
        <v>IllinoisMissouri</v>
      </c>
      <c r="D2540" t="s">
        <v>29</v>
      </c>
      <c r="E2540">
        <v>85.6</v>
      </c>
      <c r="F2540">
        <v>-11.7094339622642</v>
      </c>
      <c r="G2540">
        <v>-596.62097159429197</v>
      </c>
      <c r="H2540">
        <v>140.227530720445</v>
      </c>
      <c r="I2540" s="1">
        <f t="shared" si="79"/>
        <v>159.1926918618326</v>
      </c>
    </row>
    <row r="2541" spans="1:9" x14ac:dyDescent="0.45">
      <c r="A2541" t="s">
        <v>30</v>
      </c>
      <c r="B2541" t="s">
        <v>44</v>
      </c>
      <c r="C2541" t="str">
        <f t="shared" si="78"/>
        <v>Iowa St.Missouri</v>
      </c>
      <c r="D2541" t="s">
        <v>30</v>
      </c>
      <c r="E2541">
        <v>92.6</v>
      </c>
      <c r="F2541">
        <v>-16.592452830188702</v>
      </c>
      <c r="G2541">
        <v>-1256.72106316692</v>
      </c>
      <c r="H2541">
        <v>141.15379929880399</v>
      </c>
      <c r="I2541" s="1">
        <f t="shared" si="79"/>
        <v>172.23555893278657</v>
      </c>
    </row>
    <row r="2542" spans="1:9" x14ac:dyDescent="0.45">
      <c r="A2542" t="s">
        <v>31</v>
      </c>
      <c r="B2542" t="s">
        <v>44</v>
      </c>
      <c r="C2542" t="str">
        <f t="shared" si="78"/>
        <v>KansasMissouri</v>
      </c>
      <c r="D2542" t="s">
        <v>31</v>
      </c>
      <c r="E2542">
        <v>78.5</v>
      </c>
      <c r="F2542">
        <v>-8.4905660377358494</v>
      </c>
      <c r="G2542">
        <v>-365.11309329685099</v>
      </c>
      <c r="H2542">
        <v>140.10918958311501</v>
      </c>
      <c r="I2542" s="1">
        <f t="shared" si="79"/>
        <v>157.52632018596822</v>
      </c>
    </row>
    <row r="2543" spans="1:9" x14ac:dyDescent="0.45">
      <c r="A2543" t="s">
        <v>32</v>
      </c>
      <c r="B2543" t="s">
        <v>44</v>
      </c>
      <c r="C2543" t="str">
        <f t="shared" si="78"/>
        <v>KentuckyMissouri</v>
      </c>
      <c r="D2543" t="s">
        <v>32</v>
      </c>
      <c r="E2543">
        <v>86</v>
      </c>
      <c r="F2543">
        <v>-11.916981132075501</v>
      </c>
      <c r="G2543">
        <v>-615.93767800033402</v>
      </c>
      <c r="H2543">
        <v>140.05622718350801</v>
      </c>
      <c r="I2543" s="1">
        <f t="shared" si="79"/>
        <v>156.78055210749511</v>
      </c>
    </row>
    <row r="2544" spans="1:9" x14ac:dyDescent="0.45">
      <c r="A2544" t="s">
        <v>33</v>
      </c>
      <c r="B2544" t="s">
        <v>44</v>
      </c>
      <c r="C2544" t="str">
        <f t="shared" si="78"/>
        <v>LibertyMissouri</v>
      </c>
      <c r="D2544" t="s">
        <v>44</v>
      </c>
      <c r="E2544">
        <v>14.6</v>
      </c>
      <c r="F2544">
        <v>11.569811320754701</v>
      </c>
      <c r="G2544">
        <v>584.28307573720394</v>
      </c>
      <c r="H2544">
        <v>139.26516343190599</v>
      </c>
      <c r="I2544" s="1">
        <f t="shared" si="79"/>
        <v>145.64151576549301</v>
      </c>
    </row>
    <row r="2545" spans="1:9" x14ac:dyDescent="0.45">
      <c r="A2545" t="s">
        <v>34</v>
      </c>
      <c r="B2545" t="s">
        <v>44</v>
      </c>
      <c r="C2545" t="str">
        <f t="shared" si="78"/>
        <v>LipscombMissouri</v>
      </c>
      <c r="D2545" t="s">
        <v>44</v>
      </c>
      <c r="E2545">
        <v>11.6</v>
      </c>
      <c r="F2545">
        <v>13.313207547169799</v>
      </c>
      <c r="G2545">
        <v>762.17229149905302</v>
      </c>
      <c r="H2545">
        <v>139.69708366316399</v>
      </c>
      <c r="I2545" s="1">
        <f t="shared" si="79"/>
        <v>151.72342148179652</v>
      </c>
    </row>
    <row r="2546" spans="1:9" x14ac:dyDescent="0.45">
      <c r="A2546" t="s">
        <v>35</v>
      </c>
      <c r="B2546" t="s">
        <v>44</v>
      </c>
      <c r="C2546" t="str">
        <f t="shared" si="78"/>
        <v>LouisvilleMissouri</v>
      </c>
      <c r="D2546" t="s">
        <v>44</v>
      </c>
      <c r="E2546">
        <v>25</v>
      </c>
      <c r="F2546">
        <v>7.2075471698113196</v>
      </c>
      <c r="G2546">
        <v>300.22018249105997</v>
      </c>
      <c r="H2546">
        <v>138.98280697513201</v>
      </c>
      <c r="I2546" s="1">
        <f t="shared" si="79"/>
        <v>141.66563034913452</v>
      </c>
    </row>
    <row r="2547" spans="1:9" x14ac:dyDescent="0.45">
      <c r="A2547" t="s">
        <v>36</v>
      </c>
      <c r="B2547" t="s">
        <v>44</v>
      </c>
      <c r="C2547" t="str">
        <f t="shared" si="78"/>
        <v>MarquetteMissouri</v>
      </c>
      <c r="D2547" t="s">
        <v>36</v>
      </c>
      <c r="E2547">
        <v>82.4</v>
      </c>
      <c r="F2547">
        <v>-10.1396226415094</v>
      </c>
      <c r="G2547">
        <v>-469.53235188507398</v>
      </c>
      <c r="H2547">
        <v>140.314563610037</v>
      </c>
      <c r="I2547" s="1">
        <f t="shared" si="79"/>
        <v>160.41820942366172</v>
      </c>
    </row>
    <row r="2548" spans="1:9" x14ac:dyDescent="0.45">
      <c r="A2548" t="s">
        <v>37</v>
      </c>
      <c r="B2548" t="s">
        <v>44</v>
      </c>
      <c r="C2548" t="str">
        <f t="shared" si="78"/>
        <v>MarylandMissouri</v>
      </c>
      <c r="D2548" t="s">
        <v>37</v>
      </c>
      <c r="E2548">
        <v>76.099999999999994</v>
      </c>
      <c r="F2548">
        <v>-7.5924528301886802</v>
      </c>
      <c r="G2548">
        <v>-318.50860020608599</v>
      </c>
      <c r="H2548">
        <v>139.924502921716</v>
      </c>
      <c r="I2548" s="1">
        <f t="shared" si="79"/>
        <v>154.9257315114898</v>
      </c>
    </row>
    <row r="2549" spans="1:9" x14ac:dyDescent="0.45">
      <c r="A2549" t="s">
        <v>38</v>
      </c>
      <c r="B2549" t="s">
        <v>44</v>
      </c>
      <c r="C2549" t="str">
        <f t="shared" si="78"/>
        <v>McNeese St.Missouri</v>
      </c>
      <c r="D2549" t="s">
        <v>44</v>
      </c>
      <c r="E2549">
        <v>36.200000000000003</v>
      </c>
      <c r="F2549">
        <v>3.7132075471698101</v>
      </c>
      <c r="G2549">
        <v>176.20896411811199</v>
      </c>
      <c r="H2549">
        <v>139.75991453591701</v>
      </c>
      <c r="I2549" s="1">
        <f t="shared" si="79"/>
        <v>152.60814837463943</v>
      </c>
    </row>
    <row r="2550" spans="1:9" x14ac:dyDescent="0.45">
      <c r="A2550" t="s">
        <v>39</v>
      </c>
      <c r="B2550" t="s">
        <v>44</v>
      </c>
      <c r="C2550" t="str">
        <f t="shared" si="78"/>
        <v>MemphisMissouri</v>
      </c>
      <c r="D2550" t="s">
        <v>39</v>
      </c>
      <c r="E2550">
        <v>62</v>
      </c>
      <c r="F2550">
        <v>-3.20754716981132</v>
      </c>
      <c r="G2550">
        <v>-163.13782170307601</v>
      </c>
      <c r="H2550">
        <v>138.90213773473499</v>
      </c>
      <c r="I2550" s="1">
        <f t="shared" si="79"/>
        <v>140.52971987587077</v>
      </c>
    </row>
    <row r="2551" spans="1:9" x14ac:dyDescent="0.45">
      <c r="A2551" t="s">
        <v>40</v>
      </c>
      <c r="B2551" t="s">
        <v>44</v>
      </c>
      <c r="C2551" t="str">
        <f t="shared" si="78"/>
        <v>MichiganMissouri</v>
      </c>
      <c r="D2551" t="s">
        <v>44</v>
      </c>
      <c r="E2551">
        <v>46.3</v>
      </c>
      <c r="F2551">
        <v>0.98113207547169801</v>
      </c>
      <c r="G2551">
        <v>116.121966110114</v>
      </c>
      <c r="H2551">
        <v>138.55905881941899</v>
      </c>
      <c r="I2551" s="1">
        <f t="shared" si="79"/>
        <v>135.69879632749641</v>
      </c>
    </row>
    <row r="2552" spans="1:9" x14ac:dyDescent="0.45">
      <c r="A2552" t="s">
        <v>41</v>
      </c>
      <c r="B2552" t="s">
        <v>44</v>
      </c>
      <c r="C2552" t="str">
        <f t="shared" si="78"/>
        <v>Michigan St.Missouri</v>
      </c>
      <c r="D2552" t="s">
        <v>41</v>
      </c>
      <c r="E2552">
        <v>89.2</v>
      </c>
      <c r="F2552">
        <v>-13.845283018867899</v>
      </c>
      <c r="G2552">
        <v>-826.34129181962999</v>
      </c>
      <c r="H2552">
        <v>140.257950780248</v>
      </c>
      <c r="I2552" s="1">
        <f t="shared" si="79"/>
        <v>159.62103932559288</v>
      </c>
    </row>
    <row r="2553" spans="1:9" x14ac:dyDescent="0.45">
      <c r="A2553" t="s">
        <v>42</v>
      </c>
      <c r="B2553" t="s">
        <v>44</v>
      </c>
      <c r="C2553" t="str">
        <f t="shared" si="78"/>
        <v>MississippiMissouri</v>
      </c>
      <c r="D2553" t="s">
        <v>42</v>
      </c>
      <c r="E2553">
        <v>68</v>
      </c>
      <c r="F2553">
        <v>-4.9320754716981101</v>
      </c>
      <c r="G2553">
        <v>-212.246513239286</v>
      </c>
      <c r="H2553">
        <v>139.38887188534201</v>
      </c>
      <c r="I2553" s="1">
        <f t="shared" si="79"/>
        <v>147.38346507848593</v>
      </c>
    </row>
    <row r="2554" spans="1:9" x14ac:dyDescent="0.45">
      <c r="A2554" t="s">
        <v>43</v>
      </c>
      <c r="B2554" t="s">
        <v>44</v>
      </c>
      <c r="C2554" t="str">
        <f t="shared" si="78"/>
        <v>Mississippi St.Missouri</v>
      </c>
      <c r="D2554" t="s">
        <v>43</v>
      </c>
      <c r="E2554">
        <v>61.6</v>
      </c>
      <c r="F2554">
        <v>-3.0830188679245301</v>
      </c>
      <c r="G2554">
        <v>-160.08449947254701</v>
      </c>
      <c r="H2554">
        <v>139.51324323913201</v>
      </c>
      <c r="I2554" s="1">
        <f t="shared" si="79"/>
        <v>149.13474874805763</v>
      </c>
    </row>
    <row r="2555" spans="1:9" x14ac:dyDescent="0.45">
      <c r="A2555" t="s">
        <v>44</v>
      </c>
      <c r="B2555" t="s">
        <v>44</v>
      </c>
      <c r="C2555" t="str">
        <f t="shared" si="78"/>
        <v>MissouriMissouri</v>
      </c>
      <c r="D2555" t="s">
        <v>44</v>
      </c>
      <c r="E2555">
        <v>41.2</v>
      </c>
      <c r="F2555">
        <v>2.3283018867924499</v>
      </c>
      <c r="G2555">
        <v>142.64273539779199</v>
      </c>
      <c r="H2555">
        <v>138.77771517530499</v>
      </c>
      <c r="I2555" s="1">
        <f t="shared" si="79"/>
        <v>138.77771517530277</v>
      </c>
    </row>
    <row r="2556" spans="1:9" x14ac:dyDescent="0.45">
      <c r="A2556" t="s">
        <v>45</v>
      </c>
      <c r="B2556" t="s">
        <v>44</v>
      </c>
      <c r="C2556" t="str">
        <f t="shared" si="78"/>
        <v>MontanaMissouri</v>
      </c>
      <c r="D2556" t="s">
        <v>44</v>
      </c>
      <c r="E2556">
        <v>6.4</v>
      </c>
      <c r="F2556">
        <v>17.584905660377402</v>
      </c>
      <c r="G2556">
        <v>1462.3176789762799</v>
      </c>
      <c r="H2556">
        <v>138.086449900324</v>
      </c>
      <c r="I2556" s="1">
        <f t="shared" si="79"/>
        <v>129.04394971786192</v>
      </c>
    </row>
    <row r="2557" spans="1:9" x14ac:dyDescent="0.45">
      <c r="A2557" t="s">
        <v>46</v>
      </c>
      <c r="B2557" t="s">
        <v>44</v>
      </c>
      <c r="C2557" t="str">
        <f t="shared" si="78"/>
        <v>Mount St. Mary'sMissouri</v>
      </c>
      <c r="D2557" t="s">
        <v>44</v>
      </c>
      <c r="E2557">
        <v>2.6</v>
      </c>
      <c r="F2557">
        <v>23.7018867924528</v>
      </c>
      <c r="G2557">
        <v>3717.4268072620498</v>
      </c>
      <c r="H2557">
        <v>139.43432412227099</v>
      </c>
      <c r="I2557" s="1">
        <f t="shared" si="79"/>
        <v>148.02348191398355</v>
      </c>
    </row>
    <row r="2558" spans="1:9" x14ac:dyDescent="0.45">
      <c r="A2558" t="s">
        <v>47</v>
      </c>
      <c r="B2558" t="s">
        <v>44</v>
      </c>
      <c r="C2558" t="str">
        <f t="shared" si="78"/>
        <v>Nebraska OmahaMissouri</v>
      </c>
      <c r="D2558" t="s">
        <v>44</v>
      </c>
      <c r="E2558">
        <v>3.4</v>
      </c>
      <c r="F2558">
        <v>21.9849056603774</v>
      </c>
      <c r="G2558">
        <v>2861.3571086712</v>
      </c>
      <c r="H2558">
        <v>138.718325302171</v>
      </c>
      <c r="I2558" s="1">
        <f t="shared" si="79"/>
        <v>137.94144129238657</v>
      </c>
    </row>
    <row r="2559" spans="1:9" x14ac:dyDescent="0.45">
      <c r="A2559" t="s">
        <v>48</v>
      </c>
      <c r="B2559" t="s">
        <v>44</v>
      </c>
      <c r="C2559" t="str">
        <f t="shared" si="78"/>
        <v>New MexicoMissouri</v>
      </c>
      <c r="D2559" t="s">
        <v>44</v>
      </c>
      <c r="E2559">
        <v>47.2</v>
      </c>
      <c r="F2559">
        <v>0.73962264150943402</v>
      </c>
      <c r="G2559">
        <v>111.927431047618</v>
      </c>
      <c r="H2559">
        <v>139.596069649447</v>
      </c>
      <c r="I2559" s="1">
        <f t="shared" si="79"/>
        <v>150.30103451542831</v>
      </c>
    </row>
    <row r="2560" spans="1:9" x14ac:dyDescent="0.45">
      <c r="A2560" t="s">
        <v>49</v>
      </c>
      <c r="B2560" t="s">
        <v>44</v>
      </c>
      <c r="C2560" t="str">
        <f t="shared" si="78"/>
        <v>Norfolk St.Missouri</v>
      </c>
      <c r="D2560" t="s">
        <v>44</v>
      </c>
      <c r="E2560">
        <v>4.9000000000000004</v>
      </c>
      <c r="F2560">
        <v>19.452830188679201</v>
      </c>
      <c r="G2560">
        <v>1944.41707973095</v>
      </c>
      <c r="H2560">
        <v>138.60843331164801</v>
      </c>
      <c r="I2560" s="1">
        <f t="shared" si="79"/>
        <v>136.39404277532464</v>
      </c>
    </row>
    <row r="2561" spans="1:9" x14ac:dyDescent="0.45">
      <c r="A2561" t="s">
        <v>50</v>
      </c>
      <c r="B2561" t="s">
        <v>44</v>
      </c>
      <c r="C2561" t="str">
        <f t="shared" si="78"/>
        <v>North CarolinaMissouri</v>
      </c>
      <c r="D2561" t="s">
        <v>50</v>
      </c>
      <c r="E2561">
        <v>75.3</v>
      </c>
      <c r="F2561">
        <v>-7.3018867924528301</v>
      </c>
      <c r="G2561">
        <v>-304.61865556700002</v>
      </c>
      <c r="H2561">
        <v>140.680364743604</v>
      </c>
      <c r="I2561" s="1">
        <f t="shared" si="79"/>
        <v>165.56908647054522</v>
      </c>
    </row>
    <row r="2562" spans="1:9" x14ac:dyDescent="0.45">
      <c r="A2562" t="s">
        <v>51</v>
      </c>
      <c r="B2562" t="s">
        <v>44</v>
      </c>
      <c r="C2562" t="str">
        <f t="shared" si="78"/>
        <v>OklahomaMissouri</v>
      </c>
      <c r="D2562" t="s">
        <v>44</v>
      </c>
      <c r="E2562">
        <v>50</v>
      </c>
      <c r="F2562">
        <v>3.77358490566038E-3</v>
      </c>
      <c r="G2562">
        <v>100.058047726187</v>
      </c>
      <c r="H2562">
        <v>139.022968039109</v>
      </c>
      <c r="I2562" s="1">
        <f t="shared" si="79"/>
        <v>142.23114172576788</v>
      </c>
    </row>
    <row r="2563" spans="1:9" x14ac:dyDescent="0.45">
      <c r="A2563" t="s">
        <v>52</v>
      </c>
      <c r="B2563" t="s">
        <v>44</v>
      </c>
      <c r="C2563" t="str">
        <f t="shared" ref="C2563:C2626" si="80">A2563&amp;B2563</f>
        <v>OregonMissouri</v>
      </c>
      <c r="D2563" t="s">
        <v>52</v>
      </c>
      <c r="E2563">
        <v>76.7</v>
      </c>
      <c r="F2563">
        <v>-7.8226415094339599</v>
      </c>
      <c r="G2563">
        <v>-329.74056799258</v>
      </c>
      <c r="H2563">
        <v>139.61734582724901</v>
      </c>
      <c r="I2563" s="1">
        <f t="shared" ref="I2563:I2626" si="81">18*(H2563-AVERAGE($H$2:$H$4625))/_xlfn.STDEV.P($H$2:$H$4625)+AVERAGE($H$2:$H$4625)</f>
        <v>150.60062619470258</v>
      </c>
    </row>
    <row r="2564" spans="1:9" x14ac:dyDescent="0.45">
      <c r="A2564" t="s">
        <v>53</v>
      </c>
      <c r="B2564" t="s">
        <v>44</v>
      </c>
      <c r="C2564" t="str">
        <f t="shared" si="80"/>
        <v>PurdueMissouri</v>
      </c>
      <c r="D2564" t="s">
        <v>53</v>
      </c>
      <c r="E2564">
        <v>94.6</v>
      </c>
      <c r="F2564">
        <v>-18.732075471698099</v>
      </c>
      <c r="G2564">
        <v>-1741.7268709898999</v>
      </c>
      <c r="H2564">
        <v>140.96533315603801</v>
      </c>
      <c r="I2564" s="1">
        <f t="shared" si="81"/>
        <v>169.58175105793998</v>
      </c>
    </row>
    <row r="2565" spans="1:9" x14ac:dyDescent="0.45">
      <c r="A2565" t="s">
        <v>54</v>
      </c>
      <c r="B2565" t="s">
        <v>44</v>
      </c>
      <c r="C2565" t="str">
        <f t="shared" si="80"/>
        <v>Robert MorrisMissouri</v>
      </c>
      <c r="D2565" t="s">
        <v>44</v>
      </c>
      <c r="E2565">
        <v>2.1</v>
      </c>
      <c r="F2565">
        <v>25.211320754717001</v>
      </c>
      <c r="G2565">
        <v>4679.5159232239603</v>
      </c>
      <c r="H2565">
        <v>138.02397000480099</v>
      </c>
      <c r="I2565" s="1">
        <f t="shared" si="81"/>
        <v>128.16416496541197</v>
      </c>
    </row>
    <row r="2566" spans="1:9" x14ac:dyDescent="0.45">
      <c r="A2566" t="s">
        <v>55</v>
      </c>
      <c r="B2566" t="s">
        <v>44</v>
      </c>
      <c r="C2566" t="str">
        <f t="shared" si="80"/>
        <v>Saint FrancisMissouri</v>
      </c>
      <c r="D2566" t="s">
        <v>44</v>
      </c>
      <c r="E2566">
        <v>1.4</v>
      </c>
      <c r="F2566">
        <v>27.9358490566038</v>
      </c>
      <c r="G2566">
        <v>7092.7695560123002</v>
      </c>
      <c r="H2566">
        <v>139.07682553800799</v>
      </c>
      <c r="I2566" s="1">
        <f t="shared" si="81"/>
        <v>142.98951377392493</v>
      </c>
    </row>
    <row r="2567" spans="1:9" x14ac:dyDescent="0.45">
      <c r="A2567" t="s">
        <v>56</v>
      </c>
      <c r="B2567" t="s">
        <v>44</v>
      </c>
      <c r="C2567" t="str">
        <f t="shared" si="80"/>
        <v>Saint Mary'sMissouri</v>
      </c>
      <c r="D2567" t="s">
        <v>56</v>
      </c>
      <c r="E2567">
        <v>73.8</v>
      </c>
      <c r="F2567">
        <v>-6.7773584905660398</v>
      </c>
      <c r="G2567">
        <v>-281.23400085685603</v>
      </c>
      <c r="H2567">
        <v>140.32808073909899</v>
      </c>
      <c r="I2567" s="1">
        <f t="shared" si="81"/>
        <v>160.60854527403555</v>
      </c>
    </row>
    <row r="2568" spans="1:9" x14ac:dyDescent="0.45">
      <c r="A2568" t="s">
        <v>57</v>
      </c>
      <c r="B2568" t="s">
        <v>44</v>
      </c>
      <c r="C2568" t="str">
        <f t="shared" si="80"/>
        <v>San Diego St.Missouri</v>
      </c>
      <c r="D2568" t="s">
        <v>44</v>
      </c>
      <c r="E2568">
        <v>45</v>
      </c>
      <c r="F2568">
        <v>1.3132075471698099</v>
      </c>
      <c r="G2568">
        <v>122.20057820261</v>
      </c>
      <c r="H2568">
        <v>139.47433561889599</v>
      </c>
      <c r="I2568" s="1">
        <f t="shared" si="81"/>
        <v>148.5868872199417</v>
      </c>
    </row>
    <row r="2569" spans="1:9" x14ac:dyDescent="0.45">
      <c r="A2569" t="s">
        <v>58</v>
      </c>
      <c r="B2569" t="s">
        <v>44</v>
      </c>
      <c r="C2569" t="str">
        <f t="shared" si="80"/>
        <v>SIU EdwardsvilleMissouri</v>
      </c>
      <c r="D2569" t="s">
        <v>44</v>
      </c>
      <c r="E2569">
        <v>4</v>
      </c>
      <c r="F2569">
        <v>20.913207547169801</v>
      </c>
      <c r="G2569">
        <v>2429.12704727349</v>
      </c>
      <c r="H2569">
        <v>139.622023385745</v>
      </c>
      <c r="I2569" s="1">
        <f t="shared" si="81"/>
        <v>150.66649129593256</v>
      </c>
    </row>
    <row r="2570" spans="1:9" x14ac:dyDescent="0.45">
      <c r="A2570" t="s">
        <v>59</v>
      </c>
      <c r="B2570" t="s">
        <v>44</v>
      </c>
      <c r="C2570" t="str">
        <f t="shared" si="80"/>
        <v>St. John'sMissouri</v>
      </c>
      <c r="D2570" t="s">
        <v>59</v>
      </c>
      <c r="E2570">
        <v>89.8</v>
      </c>
      <c r="F2570">
        <v>-14.2452830188679</v>
      </c>
      <c r="G2570">
        <v>-878.53137870414696</v>
      </c>
      <c r="H2570">
        <v>140.599706158289</v>
      </c>
      <c r="I2570" s="1">
        <f t="shared" si="81"/>
        <v>164.43332603240248</v>
      </c>
    </row>
    <row r="2571" spans="1:9" x14ac:dyDescent="0.45">
      <c r="A2571" t="s">
        <v>60</v>
      </c>
      <c r="B2571" t="s">
        <v>44</v>
      </c>
      <c r="C2571" t="str">
        <f t="shared" si="80"/>
        <v>TennesseeMissouri</v>
      </c>
      <c r="D2571" t="s">
        <v>60</v>
      </c>
      <c r="E2571">
        <v>94.6</v>
      </c>
      <c r="F2571">
        <v>-18.792452830188701</v>
      </c>
      <c r="G2571">
        <v>-1757.50563503836</v>
      </c>
      <c r="H2571">
        <v>141.19368903498099</v>
      </c>
      <c r="I2571" s="1">
        <f t="shared" si="81"/>
        <v>172.79724971946297</v>
      </c>
    </row>
    <row r="2572" spans="1:9" x14ac:dyDescent="0.45">
      <c r="A2572" t="s">
        <v>61</v>
      </c>
      <c r="B2572" t="s">
        <v>44</v>
      </c>
      <c r="C2572" t="str">
        <f t="shared" si="80"/>
        <v>TexasMissouri</v>
      </c>
      <c r="D2572" t="s">
        <v>44</v>
      </c>
      <c r="E2572">
        <v>41.8</v>
      </c>
      <c r="F2572">
        <v>2.1622641509434</v>
      </c>
      <c r="G2572">
        <v>139.08169944963601</v>
      </c>
      <c r="H2572">
        <v>138.94940356605301</v>
      </c>
      <c r="I2572" s="1">
        <f t="shared" si="81"/>
        <v>141.19527408906796</v>
      </c>
    </row>
    <row r="2573" spans="1:9" x14ac:dyDescent="0.45">
      <c r="A2573" t="s">
        <v>62</v>
      </c>
      <c r="B2573" t="s">
        <v>44</v>
      </c>
      <c r="C2573" t="str">
        <f t="shared" si="80"/>
        <v>Texas A&amp;MMissouri</v>
      </c>
      <c r="D2573" t="s">
        <v>62</v>
      </c>
      <c r="E2573">
        <v>80.599999999999994</v>
      </c>
      <c r="F2573">
        <v>-9.3320754716981096</v>
      </c>
      <c r="G2573">
        <v>-415.27031225056402</v>
      </c>
      <c r="H2573">
        <v>139.74720259364599</v>
      </c>
      <c r="I2573" s="1">
        <f t="shared" si="81"/>
        <v>152.42915042833297</v>
      </c>
    </row>
    <row r="2574" spans="1:9" x14ac:dyDescent="0.45">
      <c r="A2574" t="s">
        <v>63</v>
      </c>
      <c r="B2574" t="s">
        <v>44</v>
      </c>
      <c r="C2574" t="str">
        <f t="shared" si="80"/>
        <v>Texas TechMissouri</v>
      </c>
      <c r="D2574" t="s">
        <v>63</v>
      </c>
      <c r="E2574">
        <v>89.1</v>
      </c>
      <c r="F2574">
        <v>-13.784905660377399</v>
      </c>
      <c r="G2574">
        <v>-818.93120003423303</v>
      </c>
      <c r="H2574">
        <v>140.78698671270999</v>
      </c>
      <c r="I2574" s="1">
        <f t="shared" si="81"/>
        <v>167.07043953636602</v>
      </c>
    </row>
    <row r="2575" spans="1:9" x14ac:dyDescent="0.45">
      <c r="A2575" t="s">
        <v>64</v>
      </c>
      <c r="B2575" t="s">
        <v>44</v>
      </c>
      <c r="C2575" t="str">
        <f t="shared" si="80"/>
        <v>TroyMissouri</v>
      </c>
      <c r="D2575" t="s">
        <v>44</v>
      </c>
      <c r="E2575">
        <v>10.3</v>
      </c>
      <c r="F2575">
        <v>14.1622641509434</v>
      </c>
      <c r="G2575">
        <v>867.38815592224898</v>
      </c>
      <c r="H2575">
        <v>139.49055113244</v>
      </c>
      <c r="I2575" s="1">
        <f t="shared" si="81"/>
        <v>148.81521925298605</v>
      </c>
    </row>
    <row r="2576" spans="1:9" x14ac:dyDescent="0.45">
      <c r="A2576" t="s">
        <v>65</v>
      </c>
      <c r="B2576" t="s">
        <v>44</v>
      </c>
      <c r="C2576" t="str">
        <f t="shared" si="80"/>
        <v>UC San DiegoMissouri</v>
      </c>
      <c r="D2576" t="s">
        <v>44</v>
      </c>
      <c r="E2576">
        <v>22.8</v>
      </c>
      <c r="F2576">
        <v>8</v>
      </c>
      <c r="G2576">
        <v>338.896675578241</v>
      </c>
      <c r="H2576">
        <v>139.57867287583099</v>
      </c>
      <c r="I2576" s="1">
        <f t="shared" si="81"/>
        <v>150.0560690582829</v>
      </c>
    </row>
    <row r="2577" spans="1:9" x14ac:dyDescent="0.45">
      <c r="A2577" t="s">
        <v>66</v>
      </c>
      <c r="B2577" t="s">
        <v>44</v>
      </c>
      <c r="C2577" t="str">
        <f t="shared" si="80"/>
        <v>UCLAMissouri</v>
      </c>
      <c r="D2577" t="s">
        <v>66</v>
      </c>
      <c r="E2577">
        <v>54</v>
      </c>
      <c r="F2577">
        <v>-1.0452830188679201</v>
      </c>
      <c r="G2577">
        <v>-117.25610265153</v>
      </c>
      <c r="H2577">
        <v>139.05012738893899</v>
      </c>
      <c r="I2577" s="1">
        <f t="shared" si="81"/>
        <v>142.61357485352616</v>
      </c>
    </row>
    <row r="2578" spans="1:9" x14ac:dyDescent="0.45">
      <c r="A2578" t="s">
        <v>67</v>
      </c>
      <c r="B2578" t="s">
        <v>44</v>
      </c>
      <c r="C2578" t="str">
        <f t="shared" si="80"/>
        <v>UNC WilmingtonMissouri</v>
      </c>
      <c r="D2578" t="s">
        <v>44</v>
      </c>
      <c r="E2578">
        <v>15</v>
      </c>
      <c r="F2578">
        <v>11.3622641509434</v>
      </c>
      <c r="G2578">
        <v>565.85544380097599</v>
      </c>
      <c r="H2578">
        <v>140.16514306285899</v>
      </c>
      <c r="I2578" s="1">
        <f t="shared" si="81"/>
        <v>158.31420591966216</v>
      </c>
    </row>
    <row r="2579" spans="1:9" x14ac:dyDescent="0.45">
      <c r="A2579" t="s">
        <v>68</v>
      </c>
      <c r="B2579" t="s">
        <v>44</v>
      </c>
      <c r="C2579" t="str">
        <f t="shared" si="80"/>
        <v>Utah St.Missouri</v>
      </c>
      <c r="D2579" t="s">
        <v>44</v>
      </c>
      <c r="E2579">
        <v>47.3</v>
      </c>
      <c r="F2579">
        <v>0.71698113207547198</v>
      </c>
      <c r="G2579">
        <v>111.564620508763</v>
      </c>
      <c r="H2579">
        <v>139.53651346668599</v>
      </c>
      <c r="I2579" s="1">
        <f t="shared" si="81"/>
        <v>149.46241881243046</v>
      </c>
    </row>
    <row r="2580" spans="1:9" x14ac:dyDescent="0.45">
      <c r="A2580" t="s">
        <v>69</v>
      </c>
      <c r="B2580" t="s">
        <v>44</v>
      </c>
      <c r="C2580" t="str">
        <f t="shared" si="80"/>
        <v>VanderbiltMissouri</v>
      </c>
      <c r="D2580" t="s">
        <v>44</v>
      </c>
      <c r="E2580">
        <v>16.100000000000001</v>
      </c>
      <c r="F2580">
        <v>10.8377358490566</v>
      </c>
      <c r="G2580">
        <v>522.53631914440302</v>
      </c>
      <c r="H2580">
        <v>138.11108395528399</v>
      </c>
      <c r="I2580" s="1">
        <f t="shared" si="81"/>
        <v>129.39082395258004</v>
      </c>
    </row>
    <row r="2581" spans="1:9" x14ac:dyDescent="0.45">
      <c r="A2581" t="s">
        <v>70</v>
      </c>
      <c r="B2581" t="s">
        <v>44</v>
      </c>
      <c r="C2581" t="str">
        <f t="shared" si="80"/>
        <v>VCUMissouri</v>
      </c>
      <c r="D2581" t="s">
        <v>44</v>
      </c>
      <c r="E2581">
        <v>37</v>
      </c>
      <c r="F2581">
        <v>3.49433962264151</v>
      </c>
      <c r="G2581">
        <v>170.36737004991301</v>
      </c>
      <c r="H2581">
        <v>139.95599511716</v>
      </c>
      <c r="I2581" s="1">
        <f t="shared" si="81"/>
        <v>155.36917580890548</v>
      </c>
    </row>
    <row r="2582" spans="1:9" x14ac:dyDescent="0.45">
      <c r="A2582" t="s">
        <v>71</v>
      </c>
      <c r="B2582" t="s">
        <v>44</v>
      </c>
      <c r="C2582" t="str">
        <f t="shared" si="80"/>
        <v>WisconsinMissouri</v>
      </c>
      <c r="D2582" t="s">
        <v>71</v>
      </c>
      <c r="E2582">
        <v>87.9</v>
      </c>
      <c r="F2582">
        <v>-12.969811320754699</v>
      </c>
      <c r="G2582">
        <v>-723.19332764193496</v>
      </c>
      <c r="H2582">
        <v>140.756673972426</v>
      </c>
      <c r="I2582" s="1">
        <f t="shared" si="81"/>
        <v>166.64360324793134</v>
      </c>
    </row>
    <row r="2583" spans="1:9" x14ac:dyDescent="0.45">
      <c r="A2583" t="s">
        <v>80</v>
      </c>
      <c r="B2583" t="s">
        <v>44</v>
      </c>
      <c r="C2583" t="str">
        <f t="shared" si="80"/>
        <v>WoffordMissouri</v>
      </c>
      <c r="D2583" t="s">
        <v>44</v>
      </c>
      <c r="E2583">
        <v>5.7</v>
      </c>
      <c r="F2583">
        <v>18.415094339622598</v>
      </c>
      <c r="G2583">
        <v>1659.6659033988699</v>
      </c>
      <c r="H2583">
        <v>138.786129711521</v>
      </c>
      <c r="I2583" s="1">
        <f t="shared" si="81"/>
        <v>138.89620097941324</v>
      </c>
    </row>
    <row r="2584" spans="1:9" x14ac:dyDescent="0.45">
      <c r="A2584" t="s">
        <v>72</v>
      </c>
      <c r="B2584" t="s">
        <v>44</v>
      </c>
      <c r="C2584" t="str">
        <f t="shared" si="80"/>
        <v>XavierMissouri</v>
      </c>
      <c r="D2584" t="s">
        <v>44</v>
      </c>
      <c r="E2584">
        <v>36.700000000000003</v>
      </c>
      <c r="F2584">
        <v>3.5698113207547202</v>
      </c>
      <c r="G2584">
        <v>172.36184246285401</v>
      </c>
      <c r="H2584">
        <v>139.36204328167301</v>
      </c>
      <c r="I2584" s="1">
        <f t="shared" si="81"/>
        <v>147.00568921570749</v>
      </c>
    </row>
    <row r="2585" spans="1:9" x14ac:dyDescent="0.45">
      <c r="A2585" t="s">
        <v>73</v>
      </c>
      <c r="B2585" t="s">
        <v>44</v>
      </c>
      <c r="C2585" t="str">
        <f t="shared" si="80"/>
        <v>YaleMissouri</v>
      </c>
      <c r="D2585" t="s">
        <v>44</v>
      </c>
      <c r="E2585">
        <v>24.5</v>
      </c>
      <c r="F2585">
        <v>7.39245283018868</v>
      </c>
      <c r="G2585">
        <v>308.85362853758301</v>
      </c>
      <c r="H2585">
        <v>140.16127791573501</v>
      </c>
      <c r="I2585" s="1">
        <f t="shared" si="81"/>
        <v>158.25978045244293</v>
      </c>
    </row>
    <row r="2586" spans="1:9" x14ac:dyDescent="0.45">
      <c r="A2586" t="s">
        <v>7</v>
      </c>
      <c r="B2586" t="s">
        <v>45</v>
      </c>
      <c r="C2586" t="str">
        <f t="shared" si="80"/>
        <v>AkronMontana</v>
      </c>
      <c r="D2586" t="s">
        <v>7</v>
      </c>
      <c r="E2586">
        <v>62.9</v>
      </c>
      <c r="F2586">
        <v>-3.4679245283018898</v>
      </c>
      <c r="G2586">
        <v>-169.77415441651601</v>
      </c>
      <c r="H2586">
        <v>139.63500864616199</v>
      </c>
      <c r="I2586" s="1">
        <f t="shared" si="81"/>
        <v>150.84933785842813</v>
      </c>
    </row>
    <row r="2587" spans="1:9" x14ac:dyDescent="0.45">
      <c r="A2587" t="s">
        <v>8</v>
      </c>
      <c r="B2587" t="s">
        <v>45</v>
      </c>
      <c r="C2587" t="str">
        <f t="shared" si="80"/>
        <v>AlabamaMontana</v>
      </c>
      <c r="D2587" t="s">
        <v>8</v>
      </c>
      <c r="E2587">
        <v>99.2</v>
      </c>
      <c r="F2587">
        <v>-31.6452830188679</v>
      </c>
      <c r="G2587">
        <v>-12485.192677753599</v>
      </c>
      <c r="H2587">
        <v>141.38310465830099</v>
      </c>
      <c r="I2587" s="1">
        <f t="shared" si="81"/>
        <v>175.4644273111951</v>
      </c>
    </row>
    <row r="2588" spans="1:9" x14ac:dyDescent="0.45">
      <c r="A2588" t="s">
        <v>9</v>
      </c>
      <c r="B2588" t="s">
        <v>45</v>
      </c>
      <c r="C2588" t="str">
        <f t="shared" si="80"/>
        <v>Alabama St.Montana</v>
      </c>
      <c r="D2588" t="s">
        <v>45</v>
      </c>
      <c r="E2588">
        <v>21</v>
      </c>
      <c r="F2588">
        <v>8.6716981132075492</v>
      </c>
      <c r="G2588">
        <v>375.31174138913798</v>
      </c>
      <c r="H2588">
        <v>139.861849501975</v>
      </c>
      <c r="I2588" s="1">
        <f t="shared" si="81"/>
        <v>154.04350334968572</v>
      </c>
    </row>
    <row r="2589" spans="1:9" x14ac:dyDescent="0.45">
      <c r="A2589" t="s">
        <v>10</v>
      </c>
      <c r="B2589" t="s">
        <v>45</v>
      </c>
      <c r="C2589" t="str">
        <f t="shared" si="80"/>
        <v>AmericanMontana</v>
      </c>
      <c r="D2589" t="s">
        <v>45</v>
      </c>
      <c r="E2589">
        <v>24.4</v>
      </c>
      <c r="F2589">
        <v>7.4075471698113198</v>
      </c>
      <c r="G2589">
        <v>309.52414405627201</v>
      </c>
      <c r="H2589">
        <v>139.95293538357899</v>
      </c>
      <c r="I2589" s="1">
        <f t="shared" si="81"/>
        <v>155.32609143866767</v>
      </c>
    </row>
    <row r="2590" spans="1:9" x14ac:dyDescent="0.45">
      <c r="A2590" t="s">
        <v>11</v>
      </c>
      <c r="B2590" t="s">
        <v>45</v>
      </c>
      <c r="C2590" t="str">
        <f t="shared" si="80"/>
        <v>ArizonaMontana</v>
      </c>
      <c r="D2590" t="s">
        <v>11</v>
      </c>
      <c r="E2590">
        <v>98.9</v>
      </c>
      <c r="F2590">
        <v>-29.4037735849057</v>
      </c>
      <c r="G2590">
        <v>-8870.6825886364004</v>
      </c>
      <c r="H2590">
        <v>141.145463477291</v>
      </c>
      <c r="I2590" s="1">
        <f t="shared" si="81"/>
        <v>172.11818151714144</v>
      </c>
    </row>
    <row r="2591" spans="1:9" x14ac:dyDescent="0.45">
      <c r="A2591" t="s">
        <v>12</v>
      </c>
      <c r="B2591" t="s">
        <v>45</v>
      </c>
      <c r="C2591" t="str">
        <f t="shared" si="80"/>
        <v>ArkansasMontana</v>
      </c>
      <c r="D2591" t="s">
        <v>12</v>
      </c>
      <c r="E2591">
        <v>84.3</v>
      </c>
      <c r="F2591">
        <v>-11.011320754717</v>
      </c>
      <c r="G2591">
        <v>-536.37545866736696</v>
      </c>
      <c r="H2591">
        <v>139.263067311149</v>
      </c>
      <c r="I2591" s="1">
        <f t="shared" si="81"/>
        <v>145.61200010984322</v>
      </c>
    </row>
    <row r="2592" spans="1:9" x14ac:dyDescent="0.45">
      <c r="A2592" t="s">
        <v>13</v>
      </c>
      <c r="B2592" t="s">
        <v>45</v>
      </c>
      <c r="C2592" t="str">
        <f t="shared" si="80"/>
        <v>AuburnMontana</v>
      </c>
      <c r="D2592" t="s">
        <v>13</v>
      </c>
      <c r="E2592">
        <v>99.6</v>
      </c>
      <c r="F2592">
        <v>-36.052830188679202</v>
      </c>
      <c r="G2592">
        <v>-24467.8928433117</v>
      </c>
      <c r="H2592">
        <v>142.40178671641101</v>
      </c>
      <c r="I2592" s="1">
        <f t="shared" si="81"/>
        <v>189.80857649418229</v>
      </c>
    </row>
    <row r="2593" spans="1:9" x14ac:dyDescent="0.45">
      <c r="A2593" t="s">
        <v>14</v>
      </c>
      <c r="B2593" t="s">
        <v>45</v>
      </c>
      <c r="C2593" t="str">
        <f t="shared" si="80"/>
        <v>BaylorMontana</v>
      </c>
      <c r="D2593" t="s">
        <v>14</v>
      </c>
      <c r="E2593">
        <v>96.3</v>
      </c>
      <c r="F2593">
        <v>-21.320754716981099</v>
      </c>
      <c r="G2593">
        <v>-2585.88300004951</v>
      </c>
      <c r="H2593">
        <v>140.93678472913601</v>
      </c>
      <c r="I2593" s="1">
        <f t="shared" si="81"/>
        <v>169.17975821712983</v>
      </c>
    </row>
    <row r="2594" spans="1:9" x14ac:dyDescent="0.45">
      <c r="A2594" t="s">
        <v>15</v>
      </c>
      <c r="B2594" t="s">
        <v>45</v>
      </c>
      <c r="C2594" t="str">
        <f t="shared" si="80"/>
        <v>BryantMontana</v>
      </c>
      <c r="D2594" t="s">
        <v>15</v>
      </c>
      <c r="E2594">
        <v>53.9</v>
      </c>
      <c r="F2594">
        <v>-1.0377358490566</v>
      </c>
      <c r="G2594">
        <v>-117.130157220058</v>
      </c>
      <c r="H2594">
        <v>140.48578247903001</v>
      </c>
      <c r="I2594" s="1">
        <f t="shared" si="81"/>
        <v>162.8291569614388</v>
      </c>
    </row>
    <row r="2595" spans="1:9" x14ac:dyDescent="0.45">
      <c r="A2595" t="s">
        <v>16</v>
      </c>
      <c r="B2595" t="s">
        <v>45</v>
      </c>
      <c r="C2595" t="str">
        <f t="shared" si="80"/>
        <v>BYUMontana</v>
      </c>
      <c r="D2595" t="s">
        <v>16</v>
      </c>
      <c r="E2595">
        <v>96.9</v>
      </c>
      <c r="F2595">
        <v>-22.615094339622601</v>
      </c>
      <c r="G2595">
        <v>-3150.2531473158401</v>
      </c>
      <c r="H2595">
        <v>140.74630295725299</v>
      </c>
      <c r="I2595" s="1">
        <f t="shared" si="81"/>
        <v>166.49756809629957</v>
      </c>
    </row>
    <row r="2596" spans="1:9" x14ac:dyDescent="0.45">
      <c r="A2596" t="s">
        <v>17</v>
      </c>
      <c r="B2596" t="s">
        <v>45</v>
      </c>
      <c r="C2596" t="str">
        <f t="shared" si="80"/>
        <v>ClemsonMontana</v>
      </c>
      <c r="D2596" t="s">
        <v>17</v>
      </c>
      <c r="E2596">
        <v>97.6</v>
      </c>
      <c r="F2596">
        <v>-24.2415094339623</v>
      </c>
      <c r="G2596">
        <v>-4036.4258628276598</v>
      </c>
      <c r="H2596">
        <v>140.96821481354499</v>
      </c>
      <c r="I2596" s="1">
        <f t="shared" si="81"/>
        <v>169.62232792374934</v>
      </c>
    </row>
    <row r="2597" spans="1:9" x14ac:dyDescent="0.45">
      <c r="A2597" t="s">
        <v>18</v>
      </c>
      <c r="B2597" t="s">
        <v>45</v>
      </c>
      <c r="C2597" t="str">
        <f t="shared" si="80"/>
        <v>Colorado St.Montana</v>
      </c>
      <c r="D2597" t="s">
        <v>18</v>
      </c>
      <c r="E2597">
        <v>86.9</v>
      </c>
      <c r="F2597">
        <v>-12.4037735849057</v>
      </c>
      <c r="G2597">
        <v>-663.21669517743703</v>
      </c>
      <c r="H2597">
        <v>140.27560666164999</v>
      </c>
      <c r="I2597" s="1">
        <f t="shared" si="81"/>
        <v>159.86965330163284</v>
      </c>
    </row>
    <row r="2598" spans="1:9" x14ac:dyDescent="0.45">
      <c r="A2598" t="s">
        <v>19</v>
      </c>
      <c r="B2598" t="s">
        <v>45</v>
      </c>
      <c r="C2598" t="str">
        <f t="shared" si="80"/>
        <v>ConnecticutMontana</v>
      </c>
      <c r="D2598" t="s">
        <v>19</v>
      </c>
      <c r="E2598">
        <v>98.6</v>
      </c>
      <c r="F2598">
        <v>-27.705660377358502</v>
      </c>
      <c r="G2598">
        <v>-6846.2458575697601</v>
      </c>
      <c r="H2598">
        <v>140.91115856398599</v>
      </c>
      <c r="I2598" s="1">
        <f t="shared" si="81"/>
        <v>168.81891399397577</v>
      </c>
    </row>
    <row r="2599" spans="1:9" x14ac:dyDescent="0.45">
      <c r="A2599" t="s">
        <v>20</v>
      </c>
      <c r="B2599" t="s">
        <v>45</v>
      </c>
      <c r="C2599" t="str">
        <f t="shared" si="80"/>
        <v>CreightonMontana</v>
      </c>
      <c r="D2599" t="s">
        <v>20</v>
      </c>
      <c r="E2599">
        <v>95.5</v>
      </c>
      <c r="F2599">
        <v>-20.011320754717001</v>
      </c>
      <c r="G2599">
        <v>-2117.73914338444</v>
      </c>
      <c r="H2599">
        <v>140.38410092625</v>
      </c>
      <c r="I2599" s="1">
        <f t="shared" si="81"/>
        <v>161.39737032043303</v>
      </c>
    </row>
    <row r="2600" spans="1:9" x14ac:dyDescent="0.45">
      <c r="A2600" t="s">
        <v>21</v>
      </c>
      <c r="B2600" t="s">
        <v>45</v>
      </c>
      <c r="C2600" t="str">
        <f t="shared" si="80"/>
        <v>DrakeMontana</v>
      </c>
      <c r="D2600" t="s">
        <v>21</v>
      </c>
      <c r="E2600">
        <v>86.8</v>
      </c>
      <c r="F2600">
        <v>-12.3509433962264</v>
      </c>
      <c r="G2600">
        <v>-658.108579621123</v>
      </c>
      <c r="H2600">
        <v>140.43756603040401</v>
      </c>
      <c r="I2600" s="1">
        <f t="shared" si="81"/>
        <v>162.15021702462647</v>
      </c>
    </row>
    <row r="2601" spans="1:9" x14ac:dyDescent="0.45">
      <c r="A2601" t="s">
        <v>22</v>
      </c>
      <c r="B2601" t="s">
        <v>45</v>
      </c>
      <c r="C2601" t="str">
        <f t="shared" si="80"/>
        <v>DukeMontana</v>
      </c>
      <c r="D2601" t="s">
        <v>22</v>
      </c>
      <c r="E2601">
        <v>99.7</v>
      </c>
      <c r="F2601">
        <v>-38.562264150943399</v>
      </c>
      <c r="G2601">
        <v>-35876.163041806198</v>
      </c>
      <c r="H2601">
        <v>142.72488649185999</v>
      </c>
      <c r="I2601" s="1">
        <f t="shared" si="81"/>
        <v>194.35817206537405</v>
      </c>
    </row>
    <row r="2602" spans="1:9" x14ac:dyDescent="0.45">
      <c r="A2602" t="s">
        <v>23</v>
      </c>
      <c r="B2602" t="s">
        <v>45</v>
      </c>
      <c r="C2602" t="str">
        <f t="shared" si="80"/>
        <v>FloridaMontana</v>
      </c>
      <c r="D2602" t="s">
        <v>23</v>
      </c>
      <c r="E2602">
        <v>99.5</v>
      </c>
      <c r="F2602">
        <v>-34.664150943396201</v>
      </c>
      <c r="G2602">
        <v>-19790.6183386749</v>
      </c>
      <c r="H2602">
        <v>142.44864276780299</v>
      </c>
      <c r="I2602" s="1">
        <f t="shared" si="81"/>
        <v>190.46836056119463</v>
      </c>
    </row>
    <row r="2603" spans="1:9" x14ac:dyDescent="0.45">
      <c r="A2603" t="s">
        <v>24</v>
      </c>
      <c r="B2603" t="s">
        <v>45</v>
      </c>
      <c r="C2603" t="str">
        <f t="shared" si="80"/>
        <v>GeorgiaMontana</v>
      </c>
      <c r="D2603" t="s">
        <v>24</v>
      </c>
      <c r="E2603">
        <v>88.2</v>
      </c>
      <c r="F2603">
        <v>-13.154716981132101</v>
      </c>
      <c r="G2603">
        <v>-744.08856674954802</v>
      </c>
      <c r="H2603">
        <v>139.590456292147</v>
      </c>
      <c r="I2603" s="1">
        <f t="shared" si="81"/>
        <v>150.22199235120476</v>
      </c>
    </row>
    <row r="2604" spans="1:9" x14ac:dyDescent="0.45">
      <c r="A2604" t="s">
        <v>25</v>
      </c>
      <c r="B2604" t="s">
        <v>45</v>
      </c>
      <c r="C2604" t="str">
        <f t="shared" si="80"/>
        <v>GonzagaMontana</v>
      </c>
      <c r="D2604" t="s">
        <v>25</v>
      </c>
      <c r="E2604">
        <v>97.7</v>
      </c>
      <c r="F2604">
        <v>-24.4830188679245</v>
      </c>
      <c r="G2604">
        <v>-4188.3781824145299</v>
      </c>
      <c r="H2604">
        <v>141.728097411676</v>
      </c>
      <c r="I2604" s="1">
        <f t="shared" si="81"/>
        <v>180.32229977695928</v>
      </c>
    </row>
    <row r="2605" spans="1:9" x14ac:dyDescent="0.45">
      <c r="A2605" t="s">
        <v>26</v>
      </c>
      <c r="B2605" t="s">
        <v>45</v>
      </c>
      <c r="C2605" t="str">
        <f t="shared" si="80"/>
        <v>Grand CanyonMontana</v>
      </c>
      <c r="D2605" t="s">
        <v>26</v>
      </c>
      <c r="E2605">
        <v>80.400000000000006</v>
      </c>
      <c r="F2605">
        <v>-9.2339622641509393</v>
      </c>
      <c r="G2605">
        <v>-409.03765712490502</v>
      </c>
      <c r="H2605">
        <v>140.38006565798</v>
      </c>
      <c r="I2605" s="1">
        <f t="shared" si="81"/>
        <v>161.34054936280697</v>
      </c>
    </row>
    <row r="2606" spans="1:9" x14ac:dyDescent="0.45">
      <c r="A2606" t="s">
        <v>27</v>
      </c>
      <c r="B2606" t="s">
        <v>45</v>
      </c>
      <c r="C2606" t="str">
        <f t="shared" si="80"/>
        <v>High PointMontana</v>
      </c>
      <c r="D2606" t="s">
        <v>27</v>
      </c>
      <c r="E2606">
        <v>72.8</v>
      </c>
      <c r="F2606">
        <v>-6.4603773584905699</v>
      </c>
      <c r="G2606">
        <v>-267.97064614734597</v>
      </c>
      <c r="H2606">
        <v>140.660957405635</v>
      </c>
      <c r="I2606" s="1">
        <f t="shared" si="81"/>
        <v>165.29581008479195</v>
      </c>
    </row>
    <row r="2607" spans="1:9" x14ac:dyDescent="0.45">
      <c r="A2607" t="s">
        <v>28</v>
      </c>
      <c r="B2607" t="s">
        <v>45</v>
      </c>
      <c r="C2607" t="str">
        <f t="shared" si="80"/>
        <v>HoustonMontana</v>
      </c>
      <c r="D2607" t="s">
        <v>28</v>
      </c>
      <c r="E2607">
        <v>99.8</v>
      </c>
      <c r="F2607">
        <v>-42.075471698113198</v>
      </c>
      <c r="G2607">
        <v>-61318.741829290098</v>
      </c>
      <c r="H2607">
        <v>142.86855084148999</v>
      </c>
      <c r="I2607" s="1">
        <f t="shared" si="81"/>
        <v>196.38112205940152</v>
      </c>
    </row>
    <row r="2608" spans="1:9" x14ac:dyDescent="0.45">
      <c r="A2608" t="s">
        <v>29</v>
      </c>
      <c r="B2608" t="s">
        <v>45</v>
      </c>
      <c r="C2608" t="str">
        <f t="shared" si="80"/>
        <v>IllinoisMontana</v>
      </c>
      <c r="D2608" t="s">
        <v>29</v>
      </c>
      <c r="E2608">
        <v>98.4</v>
      </c>
      <c r="F2608">
        <v>-26.966037735849099</v>
      </c>
      <c r="G2608">
        <v>-6116.3254614916896</v>
      </c>
      <c r="H2608">
        <v>140.918795995426</v>
      </c>
      <c r="I2608" s="1">
        <f t="shared" si="81"/>
        <v>168.92645731927345</v>
      </c>
    </row>
    <row r="2609" spans="1:9" x14ac:dyDescent="0.45">
      <c r="A2609" t="s">
        <v>30</v>
      </c>
      <c r="B2609" t="s">
        <v>45</v>
      </c>
      <c r="C2609" t="str">
        <f t="shared" si="80"/>
        <v>Iowa St.Montana</v>
      </c>
      <c r="D2609" t="s">
        <v>30</v>
      </c>
      <c r="E2609">
        <v>99.2</v>
      </c>
      <c r="F2609">
        <v>-31.849056603773601</v>
      </c>
      <c r="G2609">
        <v>-12883.4140980677</v>
      </c>
      <c r="H2609">
        <v>141.84506457378501</v>
      </c>
      <c r="I2609" s="1">
        <f t="shared" si="81"/>
        <v>181.96932439022783</v>
      </c>
    </row>
    <row r="2610" spans="1:9" x14ac:dyDescent="0.45">
      <c r="A2610" t="s">
        <v>31</v>
      </c>
      <c r="B2610" t="s">
        <v>45</v>
      </c>
      <c r="C2610" t="str">
        <f t="shared" si="80"/>
        <v>KansasMontana</v>
      </c>
      <c r="D2610" t="s">
        <v>31</v>
      </c>
      <c r="E2610">
        <v>97.4</v>
      </c>
      <c r="F2610">
        <v>-23.747169811320799</v>
      </c>
      <c r="G2610">
        <v>-3742.99700342095</v>
      </c>
      <c r="H2610">
        <v>140.800454858096</v>
      </c>
      <c r="I2610" s="1">
        <f t="shared" si="81"/>
        <v>167.26008564340904</v>
      </c>
    </row>
    <row r="2611" spans="1:9" x14ac:dyDescent="0.45">
      <c r="A2611" t="s">
        <v>32</v>
      </c>
      <c r="B2611" t="s">
        <v>45</v>
      </c>
      <c r="C2611" t="str">
        <f t="shared" si="80"/>
        <v>KentuckyMontana</v>
      </c>
      <c r="D2611" t="s">
        <v>32</v>
      </c>
      <c r="E2611">
        <v>98.4</v>
      </c>
      <c r="F2611">
        <v>-27.173584905660402</v>
      </c>
      <c r="G2611">
        <v>-6314.3528002017802</v>
      </c>
      <c r="H2611">
        <v>140.74749245848901</v>
      </c>
      <c r="I2611" s="1">
        <f t="shared" si="81"/>
        <v>166.51431756493594</v>
      </c>
    </row>
    <row r="2612" spans="1:9" x14ac:dyDescent="0.45">
      <c r="A2612" t="s">
        <v>33</v>
      </c>
      <c r="B2612" t="s">
        <v>45</v>
      </c>
      <c r="C2612" t="str">
        <f t="shared" si="80"/>
        <v>LibertyMontana</v>
      </c>
      <c r="D2612" t="s">
        <v>33</v>
      </c>
      <c r="E2612">
        <v>63.7</v>
      </c>
      <c r="F2612">
        <v>-3.6867924528301899</v>
      </c>
      <c r="G2612">
        <v>-175.45621856898899</v>
      </c>
      <c r="H2612">
        <v>139.95642870688701</v>
      </c>
      <c r="I2612" s="1">
        <f t="shared" si="81"/>
        <v>155.37528122293423</v>
      </c>
    </row>
    <row r="2613" spans="1:9" x14ac:dyDescent="0.45">
      <c r="A2613" t="s">
        <v>34</v>
      </c>
      <c r="B2613" t="s">
        <v>45</v>
      </c>
      <c r="C2613" t="str">
        <f t="shared" si="80"/>
        <v>LipscombMontana</v>
      </c>
      <c r="D2613" t="s">
        <v>34</v>
      </c>
      <c r="E2613">
        <v>57.4</v>
      </c>
      <c r="F2613">
        <v>-1.9433962264150899</v>
      </c>
      <c r="G2613">
        <v>-134.50515085123001</v>
      </c>
      <c r="H2613">
        <v>140.38834893814499</v>
      </c>
      <c r="I2613" s="1">
        <f t="shared" si="81"/>
        <v>161.45718693923735</v>
      </c>
    </row>
    <row r="2614" spans="1:9" x14ac:dyDescent="0.45">
      <c r="A2614" t="s">
        <v>35</v>
      </c>
      <c r="B2614" t="s">
        <v>45</v>
      </c>
      <c r="C2614" t="str">
        <f t="shared" si="80"/>
        <v>LouisvilleMontana</v>
      </c>
      <c r="D2614" t="s">
        <v>35</v>
      </c>
      <c r="E2614">
        <v>77.3</v>
      </c>
      <c r="F2614">
        <v>-8.0490566037735896</v>
      </c>
      <c r="G2614">
        <v>-341.46971130350499</v>
      </c>
      <c r="H2614">
        <v>139.674072250113</v>
      </c>
      <c r="I2614" s="1">
        <f t="shared" si="81"/>
        <v>151.39939580657534</v>
      </c>
    </row>
    <row r="2615" spans="1:9" x14ac:dyDescent="0.45">
      <c r="A2615" t="s">
        <v>36</v>
      </c>
      <c r="B2615" t="s">
        <v>45</v>
      </c>
      <c r="C2615" t="str">
        <f t="shared" si="80"/>
        <v>MarquetteMontana</v>
      </c>
      <c r="D2615" t="s">
        <v>36</v>
      </c>
      <c r="E2615">
        <v>98</v>
      </c>
      <c r="F2615">
        <v>-25.396226415094301</v>
      </c>
      <c r="G2615">
        <v>-4813.4625089605897</v>
      </c>
      <c r="H2615">
        <v>141.00582888501799</v>
      </c>
      <c r="I2615" s="1">
        <f t="shared" si="81"/>
        <v>170.15197488110255</v>
      </c>
    </row>
    <row r="2616" spans="1:9" x14ac:dyDescent="0.45">
      <c r="A2616" t="s">
        <v>37</v>
      </c>
      <c r="B2616" t="s">
        <v>45</v>
      </c>
      <c r="C2616" t="str">
        <f t="shared" si="80"/>
        <v>MarylandMontana</v>
      </c>
      <c r="D2616" t="s">
        <v>37</v>
      </c>
      <c r="E2616">
        <v>97</v>
      </c>
      <c r="F2616">
        <v>-22.852830188679199</v>
      </c>
      <c r="G2616">
        <v>-3265.22592046813</v>
      </c>
      <c r="H2616">
        <v>140.61576819669699</v>
      </c>
      <c r="I2616" s="1">
        <f t="shared" si="81"/>
        <v>164.65949696893063</v>
      </c>
    </row>
    <row r="2617" spans="1:9" x14ac:dyDescent="0.45">
      <c r="A2617" t="s">
        <v>38</v>
      </c>
      <c r="B2617" t="s">
        <v>45</v>
      </c>
      <c r="C2617" t="str">
        <f t="shared" si="80"/>
        <v>McNeese St.Montana</v>
      </c>
      <c r="D2617" t="s">
        <v>38</v>
      </c>
      <c r="E2617">
        <v>85.3</v>
      </c>
      <c r="F2617">
        <v>-11.5433962264151</v>
      </c>
      <c r="G2617">
        <v>-581.78708192162105</v>
      </c>
      <c r="H2617">
        <v>140.451179810898</v>
      </c>
      <c r="I2617" s="1">
        <f t="shared" si="81"/>
        <v>162.34191383208025</v>
      </c>
    </row>
    <row r="2618" spans="1:9" x14ac:dyDescent="0.45">
      <c r="A2618" t="s">
        <v>39</v>
      </c>
      <c r="B2618" t="s">
        <v>45</v>
      </c>
      <c r="C2618" t="str">
        <f t="shared" si="80"/>
        <v>MemphisMontana</v>
      </c>
      <c r="D2618" t="s">
        <v>39</v>
      </c>
      <c r="E2618">
        <v>94.4</v>
      </c>
      <c r="F2618">
        <v>-18.464150943396199</v>
      </c>
      <c r="G2618">
        <v>-1672.42530873241</v>
      </c>
      <c r="H2618">
        <v>139.59340300971701</v>
      </c>
      <c r="I2618" s="1">
        <f t="shared" si="81"/>
        <v>150.263485333326</v>
      </c>
    </row>
    <row r="2619" spans="1:9" x14ac:dyDescent="0.45">
      <c r="A2619" t="s">
        <v>40</v>
      </c>
      <c r="B2619" t="s">
        <v>45</v>
      </c>
      <c r="C2619" t="str">
        <f t="shared" si="80"/>
        <v>MichiganMontana</v>
      </c>
      <c r="D2619" t="s">
        <v>40</v>
      </c>
      <c r="E2619">
        <v>89.8</v>
      </c>
      <c r="F2619">
        <v>-14.2792452830189</v>
      </c>
      <c r="G2619">
        <v>-882.83123750674599</v>
      </c>
      <c r="H2619">
        <v>139.25032409440001</v>
      </c>
      <c r="I2619" s="1">
        <f t="shared" si="81"/>
        <v>145.43256178493766</v>
      </c>
    </row>
    <row r="2620" spans="1:9" x14ac:dyDescent="0.45">
      <c r="A2620" t="s">
        <v>41</v>
      </c>
      <c r="B2620" t="s">
        <v>45</v>
      </c>
      <c r="C2620" t="str">
        <f t="shared" si="80"/>
        <v>Michigan St.Montana</v>
      </c>
      <c r="D2620" t="s">
        <v>41</v>
      </c>
      <c r="E2620">
        <v>98.8</v>
      </c>
      <c r="F2620">
        <v>-29.101886792452799</v>
      </c>
      <c r="G2620">
        <v>-8471.3285715260809</v>
      </c>
      <c r="H2620">
        <v>140.94921605522899</v>
      </c>
      <c r="I2620" s="1">
        <f t="shared" si="81"/>
        <v>169.3548047830337</v>
      </c>
    </row>
    <row r="2621" spans="1:9" x14ac:dyDescent="0.45">
      <c r="A2621" t="s">
        <v>42</v>
      </c>
      <c r="B2621" t="s">
        <v>45</v>
      </c>
      <c r="C2621" t="str">
        <f t="shared" si="80"/>
        <v>MississippiMontana</v>
      </c>
      <c r="D2621" t="s">
        <v>42</v>
      </c>
      <c r="E2621">
        <v>95.6</v>
      </c>
      <c r="F2621">
        <v>-20.192452830188699</v>
      </c>
      <c r="G2621">
        <v>-2175.8684572708098</v>
      </c>
      <c r="H2621">
        <v>140.080137160324</v>
      </c>
      <c r="I2621" s="1">
        <f t="shared" si="81"/>
        <v>157.11723053594076</v>
      </c>
    </row>
    <row r="2622" spans="1:9" x14ac:dyDescent="0.45">
      <c r="A2622" t="s">
        <v>43</v>
      </c>
      <c r="B2622" t="s">
        <v>45</v>
      </c>
      <c r="C2622" t="str">
        <f t="shared" si="80"/>
        <v>Mississippi St.Montana</v>
      </c>
      <c r="D2622" t="s">
        <v>43</v>
      </c>
      <c r="E2622">
        <v>94.3</v>
      </c>
      <c r="F2622">
        <v>-18.343396226415098</v>
      </c>
      <c r="G2622">
        <v>-1641.1238403130001</v>
      </c>
      <c r="H2622">
        <v>140.204508514113</v>
      </c>
      <c r="I2622" s="1">
        <f t="shared" si="81"/>
        <v>158.86851420549846</v>
      </c>
    </row>
    <row r="2623" spans="1:9" x14ac:dyDescent="0.45">
      <c r="A2623" t="s">
        <v>44</v>
      </c>
      <c r="B2623" t="s">
        <v>45</v>
      </c>
      <c r="C2623" t="str">
        <f t="shared" si="80"/>
        <v>MissouriMontana</v>
      </c>
      <c r="D2623" t="s">
        <v>44</v>
      </c>
      <c r="E2623">
        <v>87.8</v>
      </c>
      <c r="F2623">
        <v>-12.9283018867925</v>
      </c>
      <c r="G2623">
        <v>-718.69134279301704</v>
      </c>
      <c r="H2623">
        <v>139.46898045028601</v>
      </c>
      <c r="I2623" s="1">
        <f t="shared" si="81"/>
        <v>148.511480632744</v>
      </c>
    </row>
    <row r="2624" spans="1:9" x14ac:dyDescent="0.45">
      <c r="A2624" t="s">
        <v>45</v>
      </c>
      <c r="B2624" t="s">
        <v>45</v>
      </c>
      <c r="C2624" t="str">
        <f t="shared" si="80"/>
        <v>MontanaMontana</v>
      </c>
      <c r="D2624" t="s">
        <v>45</v>
      </c>
      <c r="E2624">
        <v>41.2</v>
      </c>
      <c r="F2624">
        <v>2.3283018867924499</v>
      </c>
      <c r="G2624">
        <v>142.64273539779199</v>
      </c>
      <c r="H2624">
        <v>138.77771517530499</v>
      </c>
      <c r="I2624" s="1">
        <f t="shared" si="81"/>
        <v>138.77771517530277</v>
      </c>
    </row>
    <row r="2625" spans="1:9" x14ac:dyDescent="0.45">
      <c r="A2625" t="s">
        <v>46</v>
      </c>
      <c r="B2625" t="s">
        <v>45</v>
      </c>
      <c r="C2625" t="str">
        <f t="shared" si="80"/>
        <v>Mount St. Mary'sMontana</v>
      </c>
      <c r="D2625" t="s">
        <v>45</v>
      </c>
      <c r="E2625">
        <v>21.6</v>
      </c>
      <c r="F2625">
        <v>8.4452830188679293</v>
      </c>
      <c r="G2625">
        <v>362.61883177132802</v>
      </c>
      <c r="H2625">
        <v>140.12558939725201</v>
      </c>
      <c r="I2625" s="1">
        <f t="shared" si="81"/>
        <v>157.75724737142477</v>
      </c>
    </row>
    <row r="2626" spans="1:9" x14ac:dyDescent="0.45">
      <c r="A2626" t="s">
        <v>47</v>
      </c>
      <c r="B2626" t="s">
        <v>45</v>
      </c>
      <c r="C2626" t="str">
        <f t="shared" si="80"/>
        <v>Nebraska OmahaMontana</v>
      </c>
      <c r="D2626" t="s">
        <v>45</v>
      </c>
      <c r="E2626">
        <v>26.4</v>
      </c>
      <c r="F2626">
        <v>6.7283018867924502</v>
      </c>
      <c r="G2626">
        <v>279.11295254018199</v>
      </c>
      <c r="H2626">
        <v>139.40959057715199</v>
      </c>
      <c r="I2626" s="1">
        <f t="shared" si="81"/>
        <v>147.67520674982742</v>
      </c>
    </row>
    <row r="2627" spans="1:9" x14ac:dyDescent="0.45">
      <c r="A2627" t="s">
        <v>48</v>
      </c>
      <c r="B2627" t="s">
        <v>45</v>
      </c>
      <c r="C2627" t="str">
        <f t="shared" ref="C2627:C2690" si="82">A2627&amp;B2627</f>
        <v>New MexicoMontana</v>
      </c>
      <c r="D2627" t="s">
        <v>48</v>
      </c>
      <c r="E2627">
        <v>90.2</v>
      </c>
      <c r="F2627">
        <v>-14.5169811320755</v>
      </c>
      <c r="G2627">
        <v>-915.915768665266</v>
      </c>
      <c r="H2627">
        <v>140.287334924428</v>
      </c>
      <c r="I2627" s="1">
        <f t="shared" ref="I2627:I2690" si="83">18*(H2627-AVERAGE($H$2:$H$4625))/_xlfn.STDEV.P($H$2:$H$4625)+AVERAGE($H$2:$H$4625)</f>
        <v>160.03479997286914</v>
      </c>
    </row>
    <row r="2628" spans="1:9" x14ac:dyDescent="0.45">
      <c r="A2628" t="s">
        <v>49</v>
      </c>
      <c r="B2628" t="s">
        <v>45</v>
      </c>
      <c r="C2628" t="str">
        <f t="shared" si="82"/>
        <v>Norfolk St.Montana</v>
      </c>
      <c r="D2628" t="s">
        <v>45</v>
      </c>
      <c r="E2628">
        <v>34.5</v>
      </c>
      <c r="F2628">
        <v>4.1962264150943396</v>
      </c>
      <c r="G2628">
        <v>189.66943708235601</v>
      </c>
      <c r="H2628">
        <v>139.29969858662901</v>
      </c>
      <c r="I2628" s="1">
        <f t="shared" si="83"/>
        <v>146.12780823276546</v>
      </c>
    </row>
    <row r="2629" spans="1:9" x14ac:dyDescent="0.45">
      <c r="A2629" t="s">
        <v>50</v>
      </c>
      <c r="B2629" t="s">
        <v>45</v>
      </c>
      <c r="C2629" t="str">
        <f t="shared" si="82"/>
        <v>North CarolinaMontana</v>
      </c>
      <c r="D2629" t="s">
        <v>50</v>
      </c>
      <c r="E2629">
        <v>96.9</v>
      </c>
      <c r="F2629">
        <v>-22.558490566037701</v>
      </c>
      <c r="G2629">
        <v>-3122.8316264363002</v>
      </c>
      <c r="H2629">
        <v>141.37163001858499</v>
      </c>
      <c r="I2629" s="1">
        <f t="shared" si="83"/>
        <v>175.30285192798604</v>
      </c>
    </row>
    <row r="2630" spans="1:9" x14ac:dyDescent="0.45">
      <c r="A2630" t="s">
        <v>51</v>
      </c>
      <c r="B2630" t="s">
        <v>45</v>
      </c>
      <c r="C2630" t="str">
        <f t="shared" si="82"/>
        <v>OklahomaMontana</v>
      </c>
      <c r="D2630" t="s">
        <v>51</v>
      </c>
      <c r="E2630">
        <v>91.1</v>
      </c>
      <c r="F2630">
        <v>-15.2528301886792</v>
      </c>
      <c r="G2630">
        <v>-1024.56625301393</v>
      </c>
      <c r="H2630">
        <v>139.71423331409</v>
      </c>
      <c r="I2630" s="1">
        <f t="shared" si="83"/>
        <v>151.96490718320871</v>
      </c>
    </row>
    <row r="2631" spans="1:9" x14ac:dyDescent="0.45">
      <c r="A2631" t="s">
        <v>52</v>
      </c>
      <c r="B2631" t="s">
        <v>45</v>
      </c>
      <c r="C2631" t="str">
        <f t="shared" si="82"/>
        <v>OregonMontana</v>
      </c>
      <c r="D2631" t="s">
        <v>52</v>
      </c>
      <c r="E2631">
        <v>97.1</v>
      </c>
      <c r="F2631">
        <v>-23.079245283018899</v>
      </c>
      <c r="G2631">
        <v>-3380.3716726726102</v>
      </c>
      <c r="H2631">
        <v>140.30861110223</v>
      </c>
      <c r="I2631" s="1">
        <f t="shared" si="83"/>
        <v>160.33439165214344</v>
      </c>
    </row>
    <row r="2632" spans="1:9" x14ac:dyDescent="0.45">
      <c r="A2632" t="s">
        <v>53</v>
      </c>
      <c r="B2632" t="s">
        <v>45</v>
      </c>
      <c r="C2632" t="str">
        <f t="shared" si="82"/>
        <v>PurdueMontana</v>
      </c>
      <c r="D2632" t="s">
        <v>53</v>
      </c>
      <c r="E2632">
        <v>99.4</v>
      </c>
      <c r="F2632">
        <v>-33.988679245283002</v>
      </c>
      <c r="G2632">
        <v>-17855.5044411747</v>
      </c>
      <c r="H2632">
        <v>141.65659843101901</v>
      </c>
      <c r="I2632" s="1">
        <f t="shared" si="83"/>
        <v>179.31551651538081</v>
      </c>
    </row>
    <row r="2633" spans="1:9" x14ac:dyDescent="0.45">
      <c r="A2633" t="s">
        <v>54</v>
      </c>
      <c r="B2633" t="s">
        <v>45</v>
      </c>
      <c r="C2633" t="str">
        <f t="shared" si="82"/>
        <v>Robert MorrisMontana</v>
      </c>
      <c r="D2633" t="s">
        <v>45</v>
      </c>
      <c r="E2633">
        <v>18</v>
      </c>
      <c r="F2633">
        <v>9.9547169811320799</v>
      </c>
      <c r="G2633">
        <v>456.46644448248901</v>
      </c>
      <c r="H2633">
        <v>138.71523527978201</v>
      </c>
      <c r="I2633" s="1">
        <f t="shared" si="83"/>
        <v>137.89793042285319</v>
      </c>
    </row>
    <row r="2634" spans="1:9" x14ac:dyDescent="0.45">
      <c r="A2634" t="s">
        <v>55</v>
      </c>
      <c r="B2634" t="s">
        <v>45</v>
      </c>
      <c r="C2634" t="str">
        <f t="shared" si="82"/>
        <v>Saint FrancisMontana</v>
      </c>
      <c r="D2634" t="s">
        <v>45</v>
      </c>
      <c r="E2634">
        <v>12.6</v>
      </c>
      <c r="F2634">
        <v>12.679245283018901</v>
      </c>
      <c r="G2634">
        <v>691.86885008738705</v>
      </c>
      <c r="H2634">
        <v>139.76809081298899</v>
      </c>
      <c r="I2634" s="1">
        <f t="shared" si="83"/>
        <v>152.72327923136575</v>
      </c>
    </row>
    <row r="2635" spans="1:9" x14ac:dyDescent="0.45">
      <c r="A2635" t="s">
        <v>56</v>
      </c>
      <c r="B2635" t="s">
        <v>45</v>
      </c>
      <c r="C2635" t="str">
        <f t="shared" si="82"/>
        <v>Saint Mary'sMontana</v>
      </c>
      <c r="D2635" t="s">
        <v>56</v>
      </c>
      <c r="E2635">
        <v>96.6</v>
      </c>
      <c r="F2635">
        <v>-22.033962264150901</v>
      </c>
      <c r="G2635">
        <v>-2883.1012686018398</v>
      </c>
      <c r="H2635">
        <v>141.01934601408001</v>
      </c>
      <c r="I2635" s="1">
        <f t="shared" si="83"/>
        <v>170.3423107314768</v>
      </c>
    </row>
    <row r="2636" spans="1:9" x14ac:dyDescent="0.45">
      <c r="A2636" t="s">
        <v>57</v>
      </c>
      <c r="B2636" t="s">
        <v>45</v>
      </c>
      <c r="C2636" t="str">
        <f t="shared" si="82"/>
        <v>San Diego St.Montana</v>
      </c>
      <c r="D2636" t="s">
        <v>57</v>
      </c>
      <c r="E2636">
        <v>89.3</v>
      </c>
      <c r="F2636">
        <v>-13.9433962264151</v>
      </c>
      <c r="G2636">
        <v>-838.91664467197097</v>
      </c>
      <c r="H2636">
        <v>140.16560089387701</v>
      </c>
      <c r="I2636" s="1">
        <f t="shared" si="83"/>
        <v>158.32065267738292</v>
      </c>
    </row>
    <row r="2637" spans="1:9" x14ac:dyDescent="0.45">
      <c r="A2637" t="s">
        <v>58</v>
      </c>
      <c r="B2637" t="s">
        <v>45</v>
      </c>
      <c r="C2637" t="str">
        <f t="shared" si="82"/>
        <v>SIU EdwardsvilleMontana</v>
      </c>
      <c r="D2637" t="s">
        <v>45</v>
      </c>
      <c r="E2637">
        <v>29.7</v>
      </c>
      <c r="F2637">
        <v>5.6566037735849104</v>
      </c>
      <c r="G2637">
        <v>236.95078821342199</v>
      </c>
      <c r="H2637">
        <v>140.31328866072599</v>
      </c>
      <c r="I2637" s="1">
        <f t="shared" si="83"/>
        <v>160.40025675337338</v>
      </c>
    </row>
    <row r="2638" spans="1:9" x14ac:dyDescent="0.45">
      <c r="A2638" t="s">
        <v>59</v>
      </c>
      <c r="B2638" t="s">
        <v>45</v>
      </c>
      <c r="C2638" t="str">
        <f t="shared" si="82"/>
        <v>St. John'sMontana</v>
      </c>
      <c r="D2638" t="s">
        <v>59</v>
      </c>
      <c r="E2638">
        <v>98.9</v>
      </c>
      <c r="F2638">
        <v>-29.501886792452801</v>
      </c>
      <c r="G2638">
        <v>-9006.3609831360609</v>
      </c>
      <c r="H2638">
        <v>141.29097143326999</v>
      </c>
      <c r="I2638" s="1">
        <f t="shared" si="83"/>
        <v>174.16709148984333</v>
      </c>
    </row>
    <row r="2639" spans="1:9" x14ac:dyDescent="0.45">
      <c r="A2639" t="s">
        <v>60</v>
      </c>
      <c r="B2639" t="s">
        <v>45</v>
      </c>
      <c r="C2639" t="str">
        <f t="shared" si="82"/>
        <v>TennesseeMontana</v>
      </c>
      <c r="D2639" t="s">
        <v>60</v>
      </c>
      <c r="E2639">
        <v>99.4</v>
      </c>
      <c r="F2639">
        <v>-34.0490566037736</v>
      </c>
      <c r="G2639">
        <v>-18017.262174971002</v>
      </c>
      <c r="H2639">
        <v>141.88495430996201</v>
      </c>
      <c r="I2639" s="1">
        <f t="shared" si="83"/>
        <v>182.53101517690419</v>
      </c>
    </row>
    <row r="2640" spans="1:9" x14ac:dyDescent="0.45">
      <c r="A2640" t="s">
        <v>61</v>
      </c>
      <c r="B2640" t="s">
        <v>45</v>
      </c>
      <c r="C2640" t="str">
        <f t="shared" si="82"/>
        <v>TexasMontana</v>
      </c>
      <c r="D2640" t="s">
        <v>61</v>
      </c>
      <c r="E2640">
        <v>88.1</v>
      </c>
      <c r="F2640">
        <v>-13.094339622641501</v>
      </c>
      <c r="G2640">
        <v>-737.09265452160605</v>
      </c>
      <c r="H2640">
        <v>139.640668841034</v>
      </c>
      <c r="I2640" s="1">
        <f t="shared" si="83"/>
        <v>150.92903954650879</v>
      </c>
    </row>
    <row r="2641" spans="1:9" x14ac:dyDescent="0.45">
      <c r="A2641" t="s">
        <v>62</v>
      </c>
      <c r="B2641" t="s">
        <v>45</v>
      </c>
      <c r="C2641" t="str">
        <f t="shared" si="82"/>
        <v>Texas A&amp;MMontana</v>
      </c>
      <c r="D2641" t="s">
        <v>62</v>
      </c>
      <c r="E2641">
        <v>97.7</v>
      </c>
      <c r="F2641">
        <v>-24.588679245283</v>
      </c>
      <c r="G2641">
        <v>-4257.1892460175104</v>
      </c>
      <c r="H2641">
        <v>140.43846786862699</v>
      </c>
      <c r="I2641" s="1">
        <f t="shared" si="83"/>
        <v>162.16291588577383</v>
      </c>
    </row>
    <row r="2642" spans="1:9" x14ac:dyDescent="0.45">
      <c r="A2642" t="s">
        <v>63</v>
      </c>
      <c r="B2642" t="s">
        <v>45</v>
      </c>
      <c r="C2642" t="str">
        <f t="shared" si="82"/>
        <v>Texas TechMontana</v>
      </c>
      <c r="D2642" t="s">
        <v>63</v>
      </c>
      <c r="E2642">
        <v>98.8</v>
      </c>
      <c r="F2642">
        <v>-29.0415094339623</v>
      </c>
      <c r="G2642">
        <v>-8395.3632011873106</v>
      </c>
      <c r="H2642">
        <v>141.47825198769101</v>
      </c>
      <c r="I2642" s="1">
        <f t="shared" si="83"/>
        <v>176.80420499380725</v>
      </c>
    </row>
    <row r="2643" spans="1:9" x14ac:dyDescent="0.45">
      <c r="A2643" t="s">
        <v>64</v>
      </c>
      <c r="B2643" t="s">
        <v>45</v>
      </c>
      <c r="C2643" t="str">
        <f t="shared" si="82"/>
        <v>TroyMontana</v>
      </c>
      <c r="D2643" t="s">
        <v>64</v>
      </c>
      <c r="E2643">
        <v>54.2</v>
      </c>
      <c r="F2643">
        <v>-1.0943396226415101</v>
      </c>
      <c r="G2643">
        <v>-118.189415364691</v>
      </c>
      <c r="H2643">
        <v>140.181816407421</v>
      </c>
      <c r="I2643" s="1">
        <f t="shared" si="83"/>
        <v>158.54898471042688</v>
      </c>
    </row>
    <row r="2644" spans="1:9" x14ac:dyDescent="0.45">
      <c r="A2644" t="s">
        <v>65</v>
      </c>
      <c r="B2644" t="s">
        <v>45</v>
      </c>
      <c r="C2644" t="str">
        <f t="shared" si="82"/>
        <v>UC San DiegoMontana</v>
      </c>
      <c r="D2644" t="s">
        <v>65</v>
      </c>
      <c r="E2644">
        <v>75.2</v>
      </c>
      <c r="F2644">
        <v>-7.25660377358491</v>
      </c>
      <c r="G2644">
        <v>-302.49957119759398</v>
      </c>
      <c r="H2644">
        <v>140.26993815081201</v>
      </c>
      <c r="I2644" s="1">
        <f t="shared" si="83"/>
        <v>159.78983451572412</v>
      </c>
    </row>
    <row r="2645" spans="1:9" x14ac:dyDescent="0.45">
      <c r="A2645" t="s">
        <v>66</v>
      </c>
      <c r="B2645" t="s">
        <v>45</v>
      </c>
      <c r="C2645" t="str">
        <f t="shared" si="82"/>
        <v>UCLAMontana</v>
      </c>
      <c r="D2645" t="s">
        <v>66</v>
      </c>
      <c r="E2645">
        <v>92.3</v>
      </c>
      <c r="F2645">
        <v>-16.301886792452802</v>
      </c>
      <c r="G2645">
        <v>-1202.06382327862</v>
      </c>
      <c r="H2645">
        <v>139.74139266392001</v>
      </c>
      <c r="I2645" s="1">
        <f t="shared" si="83"/>
        <v>152.34734031096741</v>
      </c>
    </row>
    <row r="2646" spans="1:9" x14ac:dyDescent="0.45">
      <c r="A2646" t="s">
        <v>67</v>
      </c>
      <c r="B2646" t="s">
        <v>45</v>
      </c>
      <c r="C2646" t="str">
        <f t="shared" si="82"/>
        <v>UNC WilmingtonMontana</v>
      </c>
      <c r="D2646" t="s">
        <v>67</v>
      </c>
      <c r="E2646">
        <v>64.400000000000006</v>
      </c>
      <c r="F2646">
        <v>-3.8943396226415099</v>
      </c>
      <c r="G2646">
        <v>-181.17012068327</v>
      </c>
      <c r="H2646">
        <v>140.85640833784001</v>
      </c>
      <c r="I2646" s="1">
        <f t="shared" si="83"/>
        <v>168.04797137710338</v>
      </c>
    </row>
    <row r="2647" spans="1:9" x14ac:dyDescent="0.45">
      <c r="A2647" t="s">
        <v>68</v>
      </c>
      <c r="B2647" t="s">
        <v>45</v>
      </c>
      <c r="C2647" t="str">
        <f t="shared" si="82"/>
        <v>Utah St.Montana</v>
      </c>
      <c r="D2647" t="s">
        <v>68</v>
      </c>
      <c r="E2647">
        <v>90.2</v>
      </c>
      <c r="F2647">
        <v>-14.5396226415094</v>
      </c>
      <c r="G2647">
        <v>-918.89434639053604</v>
      </c>
      <c r="H2647">
        <v>140.22777874166701</v>
      </c>
      <c r="I2647" s="1">
        <f t="shared" si="83"/>
        <v>159.19618426987168</v>
      </c>
    </row>
    <row r="2648" spans="1:9" x14ac:dyDescent="0.45">
      <c r="A2648" t="s">
        <v>69</v>
      </c>
      <c r="B2648" t="s">
        <v>45</v>
      </c>
      <c r="C2648" t="str">
        <f t="shared" si="82"/>
        <v>VanderbiltMontana</v>
      </c>
      <c r="D2648" t="s">
        <v>69</v>
      </c>
      <c r="E2648">
        <v>66.2</v>
      </c>
      <c r="F2648">
        <v>-4.4188679245282998</v>
      </c>
      <c r="G2648">
        <v>-196.189423178406</v>
      </c>
      <c r="H2648">
        <v>138.80234923026501</v>
      </c>
      <c r="I2648" s="1">
        <f t="shared" si="83"/>
        <v>139.12458941002129</v>
      </c>
    </row>
    <row r="2649" spans="1:9" x14ac:dyDescent="0.45">
      <c r="A2649" t="s">
        <v>70</v>
      </c>
      <c r="B2649" t="s">
        <v>45</v>
      </c>
      <c r="C2649" t="str">
        <f t="shared" si="82"/>
        <v>VCUMontana</v>
      </c>
      <c r="D2649" t="s">
        <v>70</v>
      </c>
      <c r="E2649">
        <v>85.7</v>
      </c>
      <c r="F2649">
        <v>-11.7660377358491</v>
      </c>
      <c r="G2649">
        <v>-601.73552607329395</v>
      </c>
      <c r="H2649">
        <v>140.64726039214099</v>
      </c>
      <c r="I2649" s="1">
        <f t="shared" si="83"/>
        <v>165.10294126634631</v>
      </c>
    </row>
    <row r="2650" spans="1:9" x14ac:dyDescent="0.45">
      <c r="A2650" t="s">
        <v>71</v>
      </c>
      <c r="B2650" t="s">
        <v>45</v>
      </c>
      <c r="C2650" t="str">
        <f t="shared" si="82"/>
        <v>WisconsinMontana</v>
      </c>
      <c r="D2650" t="s">
        <v>71</v>
      </c>
      <c r="E2650">
        <v>98.7</v>
      </c>
      <c r="F2650">
        <v>-28.2264150943396</v>
      </c>
      <c r="G2650">
        <v>-7413.8958803566802</v>
      </c>
      <c r="H2650">
        <v>141.44793924740799</v>
      </c>
      <c r="I2650" s="1">
        <f t="shared" si="83"/>
        <v>176.37736870538617</v>
      </c>
    </row>
    <row r="2651" spans="1:9" x14ac:dyDescent="0.45">
      <c r="A2651" t="s">
        <v>80</v>
      </c>
      <c r="B2651" t="s">
        <v>45</v>
      </c>
      <c r="C2651" t="str">
        <f t="shared" si="82"/>
        <v>WoffordMontana</v>
      </c>
      <c r="D2651" t="s">
        <v>45</v>
      </c>
      <c r="E2651">
        <v>38.200000000000003</v>
      </c>
      <c r="F2651">
        <v>3.1584905660377398</v>
      </c>
      <c r="G2651">
        <v>161.893197156035</v>
      </c>
      <c r="H2651">
        <v>139.47739498650199</v>
      </c>
      <c r="I2651" s="1">
        <f t="shared" si="83"/>
        <v>148.62996643685406</v>
      </c>
    </row>
    <row r="2652" spans="1:9" x14ac:dyDescent="0.45">
      <c r="A2652" t="s">
        <v>72</v>
      </c>
      <c r="B2652" t="s">
        <v>45</v>
      </c>
      <c r="C2652" t="str">
        <f t="shared" si="82"/>
        <v>XavierMontana</v>
      </c>
      <c r="D2652" t="s">
        <v>72</v>
      </c>
      <c r="E2652">
        <v>85.6</v>
      </c>
      <c r="F2652">
        <v>-11.686792452830201</v>
      </c>
      <c r="G2652">
        <v>-594.77258758591802</v>
      </c>
      <c r="H2652">
        <v>140.053308556654</v>
      </c>
      <c r="I2652" s="1">
        <f t="shared" si="83"/>
        <v>156.73945467314832</v>
      </c>
    </row>
    <row r="2653" spans="1:9" x14ac:dyDescent="0.45">
      <c r="A2653" t="s">
        <v>73</v>
      </c>
      <c r="B2653" t="s">
        <v>45</v>
      </c>
      <c r="C2653" t="str">
        <f t="shared" si="82"/>
        <v>YaleMontana</v>
      </c>
      <c r="D2653" t="s">
        <v>73</v>
      </c>
      <c r="E2653">
        <v>76.8</v>
      </c>
      <c r="F2653">
        <v>-7.86415094339623</v>
      </c>
      <c r="G2653">
        <v>-331.92454149922202</v>
      </c>
      <c r="H2653">
        <v>140.85254319071601</v>
      </c>
      <c r="I2653" s="1">
        <f t="shared" si="83"/>
        <v>167.99354590988375</v>
      </c>
    </row>
    <row r="2654" spans="1:9" x14ac:dyDescent="0.45">
      <c r="A2654" t="s">
        <v>7</v>
      </c>
      <c r="B2654" t="s">
        <v>46</v>
      </c>
      <c r="C2654" t="str">
        <f t="shared" si="82"/>
        <v>AkronMount St. Mary's</v>
      </c>
      <c r="D2654" t="s">
        <v>7</v>
      </c>
      <c r="E2654">
        <v>81.2</v>
      </c>
      <c r="F2654">
        <v>-9.5849056603773608</v>
      </c>
      <c r="G2654">
        <v>-431.590892924191</v>
      </c>
      <c r="H2654">
        <v>138.287134424215</v>
      </c>
      <c r="I2654" s="1">
        <f t="shared" si="83"/>
        <v>131.86980566230653</v>
      </c>
    </row>
    <row r="2655" spans="1:9" x14ac:dyDescent="0.45">
      <c r="A2655" t="s">
        <v>8</v>
      </c>
      <c r="B2655" t="s">
        <v>46</v>
      </c>
      <c r="C2655" t="str">
        <f t="shared" si="82"/>
        <v>AlabamaMount St. Mary's</v>
      </c>
      <c r="D2655" t="s">
        <v>8</v>
      </c>
      <c r="E2655">
        <v>99.7</v>
      </c>
      <c r="F2655">
        <v>-37.7584905660377</v>
      </c>
      <c r="G2655">
        <v>-31739.197727955001</v>
      </c>
      <c r="H2655">
        <v>140.035230436354</v>
      </c>
      <c r="I2655" s="1">
        <f t="shared" si="83"/>
        <v>156.4848951150735</v>
      </c>
    </row>
    <row r="2656" spans="1:9" x14ac:dyDescent="0.45">
      <c r="A2656" t="s">
        <v>9</v>
      </c>
      <c r="B2656" t="s">
        <v>46</v>
      </c>
      <c r="C2656" t="str">
        <f t="shared" si="82"/>
        <v>Alabama St.Mount St. Mary's</v>
      </c>
      <c r="D2656" t="s">
        <v>46</v>
      </c>
      <c r="E2656">
        <v>40.4</v>
      </c>
      <c r="F2656">
        <v>2.55471698113208</v>
      </c>
      <c r="G2656">
        <v>147.63572304599899</v>
      </c>
      <c r="H2656">
        <v>138.51397528002801</v>
      </c>
      <c r="I2656" s="1">
        <f t="shared" si="83"/>
        <v>135.06397115356413</v>
      </c>
    </row>
    <row r="2657" spans="1:9" x14ac:dyDescent="0.45">
      <c r="A2657" t="s">
        <v>10</v>
      </c>
      <c r="B2657" t="s">
        <v>46</v>
      </c>
      <c r="C2657" t="str">
        <f t="shared" si="82"/>
        <v>AmericanMount St. Mary's</v>
      </c>
      <c r="D2657" t="s">
        <v>46</v>
      </c>
      <c r="E2657">
        <v>45.1</v>
      </c>
      <c r="F2657">
        <v>1.2905660377358501</v>
      </c>
      <c r="G2657">
        <v>121.756970988449</v>
      </c>
      <c r="H2657">
        <v>138.60506116163199</v>
      </c>
      <c r="I2657" s="1">
        <f t="shared" si="83"/>
        <v>136.34655924254605</v>
      </c>
    </row>
    <row r="2658" spans="1:9" x14ac:dyDescent="0.45">
      <c r="A2658" t="s">
        <v>11</v>
      </c>
      <c r="B2658" t="s">
        <v>46</v>
      </c>
      <c r="C2658" t="str">
        <f t="shared" si="82"/>
        <v>ArizonaMount St. Mary's</v>
      </c>
      <c r="D2658" t="s">
        <v>11</v>
      </c>
      <c r="E2658">
        <v>99.6</v>
      </c>
      <c r="F2658">
        <v>-35.520754716981102</v>
      </c>
      <c r="G2658">
        <v>-22550.580990578899</v>
      </c>
      <c r="H2658">
        <v>139.79758925534401</v>
      </c>
      <c r="I2658" s="1">
        <f t="shared" si="83"/>
        <v>153.13864932101984</v>
      </c>
    </row>
    <row r="2659" spans="1:9" x14ac:dyDescent="0.45">
      <c r="A2659" t="s">
        <v>12</v>
      </c>
      <c r="B2659" t="s">
        <v>46</v>
      </c>
      <c r="C2659" t="str">
        <f t="shared" si="82"/>
        <v>ArkansasMount St. Mary's</v>
      </c>
      <c r="D2659" t="s">
        <v>12</v>
      </c>
      <c r="E2659">
        <v>93.2</v>
      </c>
      <c r="F2659">
        <v>-17.128301886792499</v>
      </c>
      <c r="G2659">
        <v>-1363.54537558722</v>
      </c>
      <c r="H2659">
        <v>137.91519308920201</v>
      </c>
      <c r="I2659" s="1">
        <f t="shared" si="83"/>
        <v>126.63246791372161</v>
      </c>
    </row>
    <row r="2660" spans="1:9" x14ac:dyDescent="0.45">
      <c r="A2660" t="s">
        <v>13</v>
      </c>
      <c r="B2660" t="s">
        <v>46</v>
      </c>
      <c r="C2660" t="str">
        <f t="shared" si="82"/>
        <v>AuburnMount St. Mary's</v>
      </c>
      <c r="D2660" t="s">
        <v>13</v>
      </c>
      <c r="E2660">
        <v>99.8</v>
      </c>
      <c r="F2660">
        <v>-42.169811320754697</v>
      </c>
      <c r="G2660">
        <v>-62200.985518151298</v>
      </c>
      <c r="H2660">
        <v>141.05391249446399</v>
      </c>
      <c r="I2660" s="1">
        <f t="shared" si="83"/>
        <v>170.82904429806027</v>
      </c>
    </row>
    <row r="2661" spans="1:9" x14ac:dyDescent="0.45">
      <c r="A2661" t="s">
        <v>14</v>
      </c>
      <c r="B2661" t="s">
        <v>46</v>
      </c>
      <c r="C2661" t="str">
        <f t="shared" si="82"/>
        <v>BaylorMount St. Mary's</v>
      </c>
      <c r="D2661" t="s">
        <v>14</v>
      </c>
      <c r="E2661">
        <v>98.5</v>
      </c>
      <c r="F2661">
        <v>-27.437735849056601</v>
      </c>
      <c r="G2661">
        <v>-6573.6952531113802</v>
      </c>
      <c r="H2661">
        <v>139.58891050718901</v>
      </c>
      <c r="I2661" s="1">
        <f t="shared" si="83"/>
        <v>150.20022602100821</v>
      </c>
    </row>
    <row r="2662" spans="1:9" x14ac:dyDescent="0.45">
      <c r="A2662" t="s">
        <v>15</v>
      </c>
      <c r="B2662" t="s">
        <v>46</v>
      </c>
      <c r="C2662" t="str">
        <f t="shared" si="82"/>
        <v>BryantMount St. Mary's</v>
      </c>
      <c r="D2662" t="s">
        <v>15</v>
      </c>
      <c r="E2662">
        <v>74.900000000000006</v>
      </c>
      <c r="F2662">
        <v>-7.1509433962264204</v>
      </c>
      <c r="G2662">
        <v>-297.76210234528901</v>
      </c>
      <c r="H2662">
        <v>139.13790825708301</v>
      </c>
      <c r="I2662" s="1">
        <f t="shared" si="83"/>
        <v>143.8496247653172</v>
      </c>
    </row>
    <row r="2663" spans="1:9" x14ac:dyDescent="0.45">
      <c r="A2663" t="s">
        <v>16</v>
      </c>
      <c r="B2663" t="s">
        <v>46</v>
      </c>
      <c r="C2663" t="str">
        <f t="shared" si="82"/>
        <v>BYUMount St. Mary's</v>
      </c>
      <c r="D2663" t="s">
        <v>16</v>
      </c>
      <c r="E2663">
        <v>98.8</v>
      </c>
      <c r="F2663">
        <v>-28.732075471698099</v>
      </c>
      <c r="G2663">
        <v>-8008.4072482060901</v>
      </c>
      <c r="H2663">
        <v>139.398428735306</v>
      </c>
      <c r="I2663" s="1">
        <f t="shared" si="83"/>
        <v>147.51803590017798</v>
      </c>
    </row>
    <row r="2664" spans="1:9" x14ac:dyDescent="0.45">
      <c r="A2664" t="s">
        <v>17</v>
      </c>
      <c r="B2664" t="s">
        <v>46</v>
      </c>
      <c r="C2664" t="str">
        <f t="shared" si="82"/>
        <v>ClemsonMount St. Mary's</v>
      </c>
      <c r="D2664" t="s">
        <v>17</v>
      </c>
      <c r="E2664">
        <v>99</v>
      </c>
      <c r="F2664">
        <v>-30.358490566037698</v>
      </c>
      <c r="G2664">
        <v>-10261.1887442309</v>
      </c>
      <c r="H2664">
        <v>139.62034059159799</v>
      </c>
      <c r="I2664" s="1">
        <f t="shared" si="83"/>
        <v>150.64279572762771</v>
      </c>
    </row>
    <row r="2665" spans="1:9" x14ac:dyDescent="0.45">
      <c r="A2665" t="s">
        <v>18</v>
      </c>
      <c r="B2665" t="s">
        <v>46</v>
      </c>
      <c r="C2665" t="str">
        <f t="shared" si="82"/>
        <v>Colorado St.Mount St. Mary's</v>
      </c>
      <c r="D2665" t="s">
        <v>18</v>
      </c>
      <c r="E2665">
        <v>94.4</v>
      </c>
      <c r="F2665">
        <v>-18.5169811320755</v>
      </c>
      <c r="G2665">
        <v>-1685.9944710525101</v>
      </c>
      <c r="H2665">
        <v>138.92773243970299</v>
      </c>
      <c r="I2665" s="1">
        <f t="shared" si="83"/>
        <v>140.89012110551124</v>
      </c>
    </row>
    <row r="2666" spans="1:9" x14ac:dyDescent="0.45">
      <c r="A2666" t="s">
        <v>19</v>
      </c>
      <c r="B2666" t="s">
        <v>46</v>
      </c>
      <c r="C2666" t="str">
        <f t="shared" si="82"/>
        <v>ConnecticutMount St. Mary's</v>
      </c>
      <c r="D2666" t="s">
        <v>19</v>
      </c>
      <c r="E2666">
        <v>99.4</v>
      </c>
      <c r="F2666">
        <v>-33.822641509434</v>
      </c>
      <c r="G2666">
        <v>-17404.164803542099</v>
      </c>
      <c r="H2666">
        <v>139.563284342039</v>
      </c>
      <c r="I2666" s="1">
        <f t="shared" si="83"/>
        <v>149.83938179785414</v>
      </c>
    </row>
    <row r="2667" spans="1:9" x14ac:dyDescent="0.45">
      <c r="A2667" t="s">
        <v>20</v>
      </c>
      <c r="B2667" t="s">
        <v>46</v>
      </c>
      <c r="C2667" t="str">
        <f t="shared" si="82"/>
        <v>CreightonMount St. Mary's</v>
      </c>
      <c r="D2667" t="s">
        <v>20</v>
      </c>
      <c r="E2667">
        <v>98.2</v>
      </c>
      <c r="F2667">
        <v>-26.128301886792499</v>
      </c>
      <c r="G2667">
        <v>-5383.6046541657097</v>
      </c>
      <c r="H2667">
        <v>139.036226704303</v>
      </c>
      <c r="I2667" s="1">
        <f t="shared" si="83"/>
        <v>142.4178381243114</v>
      </c>
    </row>
    <row r="2668" spans="1:9" x14ac:dyDescent="0.45">
      <c r="A2668" t="s">
        <v>21</v>
      </c>
      <c r="B2668" t="s">
        <v>46</v>
      </c>
      <c r="C2668" t="str">
        <f t="shared" si="82"/>
        <v>DrakeMount St. Mary's</v>
      </c>
      <c r="D2668" t="s">
        <v>21</v>
      </c>
      <c r="E2668">
        <v>94.4</v>
      </c>
      <c r="F2668">
        <v>-18.4679245283019</v>
      </c>
      <c r="G2668">
        <v>-1673.0088893443501</v>
      </c>
      <c r="H2668">
        <v>139.08969180845699</v>
      </c>
      <c r="I2668" s="1">
        <f t="shared" si="83"/>
        <v>143.17068482850445</v>
      </c>
    </row>
    <row r="2669" spans="1:9" x14ac:dyDescent="0.45">
      <c r="A2669" t="s">
        <v>22</v>
      </c>
      <c r="B2669" t="s">
        <v>46</v>
      </c>
      <c r="C2669" t="str">
        <f t="shared" si="82"/>
        <v>DukeMount St. Mary's</v>
      </c>
      <c r="D2669" t="s">
        <v>22</v>
      </c>
      <c r="E2669">
        <v>99.9</v>
      </c>
      <c r="F2669">
        <v>-44.679245283018901</v>
      </c>
      <c r="G2669">
        <v>-91202.487770416497</v>
      </c>
      <c r="H2669">
        <v>141.377012269913</v>
      </c>
      <c r="I2669" s="1">
        <f t="shared" si="83"/>
        <v>175.37863986925242</v>
      </c>
    </row>
    <row r="2670" spans="1:9" x14ac:dyDescent="0.45">
      <c r="A2670" t="s">
        <v>23</v>
      </c>
      <c r="B2670" t="s">
        <v>46</v>
      </c>
      <c r="C2670" t="str">
        <f t="shared" si="82"/>
        <v>FloridaMount St. Mary's</v>
      </c>
      <c r="D2670" t="s">
        <v>23</v>
      </c>
      <c r="E2670">
        <v>99.8</v>
      </c>
      <c r="F2670">
        <v>-40.781132075471703</v>
      </c>
      <c r="G2670">
        <v>-50310.6651873261</v>
      </c>
      <c r="H2670">
        <v>141.100768545855</v>
      </c>
      <c r="I2670" s="1">
        <f t="shared" si="83"/>
        <v>171.48882836505902</v>
      </c>
    </row>
    <row r="2671" spans="1:9" x14ac:dyDescent="0.45">
      <c r="A2671" t="s">
        <v>24</v>
      </c>
      <c r="B2671" t="s">
        <v>46</v>
      </c>
      <c r="C2671" t="str">
        <f t="shared" si="82"/>
        <v>GeorgiaMount St. Mary's</v>
      </c>
      <c r="D2671" t="s">
        <v>24</v>
      </c>
      <c r="E2671">
        <v>95</v>
      </c>
      <c r="F2671">
        <v>-19.271698113207499</v>
      </c>
      <c r="G2671">
        <v>-1891.5826737104101</v>
      </c>
      <c r="H2671">
        <v>138.2425820702</v>
      </c>
      <c r="I2671" s="1">
        <f t="shared" si="83"/>
        <v>131.24246015508317</v>
      </c>
    </row>
    <row r="2672" spans="1:9" x14ac:dyDescent="0.45">
      <c r="A2672" t="s">
        <v>25</v>
      </c>
      <c r="B2672" t="s">
        <v>46</v>
      </c>
      <c r="C2672" t="str">
        <f t="shared" si="82"/>
        <v>GonzagaMount St. Mary's</v>
      </c>
      <c r="D2672" t="s">
        <v>25</v>
      </c>
      <c r="E2672">
        <v>99.1</v>
      </c>
      <c r="F2672">
        <v>-30.6</v>
      </c>
      <c r="G2672">
        <v>-10647.473909471801</v>
      </c>
      <c r="H2672">
        <v>140.38022318972901</v>
      </c>
      <c r="I2672" s="1">
        <f t="shared" si="83"/>
        <v>161.34276758083769</v>
      </c>
    </row>
    <row r="2673" spans="1:9" x14ac:dyDescent="0.45">
      <c r="A2673" t="s">
        <v>26</v>
      </c>
      <c r="B2673" t="s">
        <v>46</v>
      </c>
      <c r="C2673" t="str">
        <f t="shared" si="82"/>
        <v>Grand CanyonMount St. Mary's</v>
      </c>
      <c r="D2673" t="s">
        <v>26</v>
      </c>
      <c r="E2673">
        <v>91.2</v>
      </c>
      <c r="F2673">
        <v>-15.3509433962264</v>
      </c>
      <c r="G2673">
        <v>-1039.8339387104199</v>
      </c>
      <c r="H2673">
        <v>139.032191436033</v>
      </c>
      <c r="I2673" s="1">
        <f t="shared" si="83"/>
        <v>142.36101716668537</v>
      </c>
    </row>
    <row r="2674" spans="1:9" x14ac:dyDescent="0.45">
      <c r="A2674" t="s">
        <v>27</v>
      </c>
      <c r="B2674" t="s">
        <v>46</v>
      </c>
      <c r="C2674" t="str">
        <f t="shared" si="82"/>
        <v>High PointMount St. Mary's</v>
      </c>
      <c r="D2674" t="s">
        <v>27</v>
      </c>
      <c r="E2674">
        <v>87.2</v>
      </c>
      <c r="F2674">
        <v>-12.577358490566001</v>
      </c>
      <c r="G2674">
        <v>-681.22083037719699</v>
      </c>
      <c r="H2674">
        <v>139.31308318368801</v>
      </c>
      <c r="I2674" s="1">
        <f t="shared" si="83"/>
        <v>146.31627788867036</v>
      </c>
    </row>
    <row r="2675" spans="1:9" x14ac:dyDescent="0.45">
      <c r="A2675" t="s">
        <v>28</v>
      </c>
      <c r="B2675" t="s">
        <v>46</v>
      </c>
      <c r="C2675" t="str">
        <f t="shared" si="82"/>
        <v>HoustonMount St. Mary's</v>
      </c>
      <c r="D2675" t="s">
        <v>28</v>
      </c>
      <c r="E2675">
        <v>99.9</v>
      </c>
      <c r="F2675">
        <v>-48.192452830188699</v>
      </c>
      <c r="G2675">
        <v>-155881.268441864</v>
      </c>
      <c r="H2675">
        <v>141.520676619543</v>
      </c>
      <c r="I2675" s="1">
        <f t="shared" si="83"/>
        <v>177.40158986327992</v>
      </c>
    </row>
    <row r="2676" spans="1:9" x14ac:dyDescent="0.45">
      <c r="A2676" t="s">
        <v>29</v>
      </c>
      <c r="B2676" t="s">
        <v>46</v>
      </c>
      <c r="C2676" t="str">
        <f t="shared" si="82"/>
        <v>IllinoisMount St. Mary's</v>
      </c>
      <c r="D2676" t="s">
        <v>29</v>
      </c>
      <c r="E2676">
        <v>99.4</v>
      </c>
      <c r="F2676">
        <v>-33.083018867924501</v>
      </c>
      <c r="G2676">
        <v>-15548.5997053706</v>
      </c>
      <c r="H2676">
        <v>139.570921773479</v>
      </c>
      <c r="I2676" s="1">
        <f t="shared" si="83"/>
        <v>149.94692512315183</v>
      </c>
    </row>
    <row r="2677" spans="1:9" x14ac:dyDescent="0.45">
      <c r="A2677" t="s">
        <v>30</v>
      </c>
      <c r="B2677" t="s">
        <v>46</v>
      </c>
      <c r="C2677" t="str">
        <f t="shared" si="82"/>
        <v>Iowa St.Mount St. Mary's</v>
      </c>
      <c r="D2677" t="s">
        <v>30</v>
      </c>
      <c r="E2677">
        <v>99.7</v>
      </c>
      <c r="F2677">
        <v>-37.966037735849099</v>
      </c>
      <c r="G2677">
        <v>-32751.535200438298</v>
      </c>
      <c r="H2677">
        <v>140.49719035183799</v>
      </c>
      <c r="I2677" s="1">
        <f t="shared" si="83"/>
        <v>162.9897921941058</v>
      </c>
    </row>
    <row r="2678" spans="1:9" x14ac:dyDescent="0.45">
      <c r="A2678" t="s">
        <v>31</v>
      </c>
      <c r="B2678" t="s">
        <v>46</v>
      </c>
      <c r="C2678" t="str">
        <f t="shared" si="82"/>
        <v>KansasMount St. Mary's</v>
      </c>
      <c r="D2678" t="s">
        <v>31</v>
      </c>
      <c r="E2678">
        <v>99</v>
      </c>
      <c r="F2678">
        <v>-29.864150943396201</v>
      </c>
      <c r="G2678">
        <v>-9515.2493880532693</v>
      </c>
      <c r="H2678">
        <v>139.45258063614901</v>
      </c>
      <c r="I2678" s="1">
        <f t="shared" si="83"/>
        <v>148.28055344728745</v>
      </c>
    </row>
    <row r="2679" spans="1:9" x14ac:dyDescent="0.45">
      <c r="A2679" t="s">
        <v>32</v>
      </c>
      <c r="B2679" t="s">
        <v>46</v>
      </c>
      <c r="C2679" t="str">
        <f t="shared" si="82"/>
        <v>KentuckyMount St. Mary's</v>
      </c>
      <c r="D2679" t="s">
        <v>32</v>
      </c>
      <c r="E2679">
        <v>99.4</v>
      </c>
      <c r="F2679">
        <v>-33.2905660377359</v>
      </c>
      <c r="G2679">
        <v>-16052.014351910801</v>
      </c>
      <c r="H2679">
        <v>139.39961823654201</v>
      </c>
      <c r="I2679" s="1">
        <f t="shared" si="83"/>
        <v>147.53478536881431</v>
      </c>
    </row>
    <row r="2680" spans="1:9" x14ac:dyDescent="0.45">
      <c r="A2680" t="s">
        <v>33</v>
      </c>
      <c r="B2680" t="s">
        <v>46</v>
      </c>
      <c r="C2680" t="str">
        <f t="shared" si="82"/>
        <v>LibertyMount St. Mary's</v>
      </c>
      <c r="D2680" t="s">
        <v>33</v>
      </c>
      <c r="E2680">
        <v>81.7</v>
      </c>
      <c r="F2680">
        <v>-9.8000000000000007</v>
      </c>
      <c r="G2680">
        <v>-446.03553645456998</v>
      </c>
      <c r="H2680">
        <v>138.60855448493999</v>
      </c>
      <c r="I2680" s="1">
        <f t="shared" si="83"/>
        <v>136.39574902681224</v>
      </c>
    </row>
    <row r="2681" spans="1:9" x14ac:dyDescent="0.45">
      <c r="A2681" t="s">
        <v>34</v>
      </c>
      <c r="B2681" t="s">
        <v>46</v>
      </c>
      <c r="C2681" t="str">
        <f t="shared" si="82"/>
        <v>LipscombMount St. Mary's</v>
      </c>
      <c r="D2681" t="s">
        <v>34</v>
      </c>
      <c r="E2681">
        <v>77.400000000000006</v>
      </c>
      <c r="F2681">
        <v>-8.0603773584905696</v>
      </c>
      <c r="G2681">
        <v>-341.931893922825</v>
      </c>
      <c r="H2681">
        <v>139.04047471619799</v>
      </c>
      <c r="I2681" s="1">
        <f t="shared" si="83"/>
        <v>142.47765474311575</v>
      </c>
    </row>
    <row r="2682" spans="1:9" x14ac:dyDescent="0.45">
      <c r="A2682" t="s">
        <v>35</v>
      </c>
      <c r="B2682" t="s">
        <v>46</v>
      </c>
      <c r="C2682" t="str">
        <f t="shared" si="82"/>
        <v>LouisvilleMount St. Mary's</v>
      </c>
      <c r="D2682" t="s">
        <v>35</v>
      </c>
      <c r="E2682">
        <v>89.7</v>
      </c>
      <c r="F2682">
        <v>-14.1660377358491</v>
      </c>
      <c r="G2682">
        <v>-868.06627377735003</v>
      </c>
      <c r="H2682">
        <v>138.326198028166</v>
      </c>
      <c r="I2682" s="1">
        <f t="shared" si="83"/>
        <v>132.41986361045375</v>
      </c>
    </row>
    <row r="2683" spans="1:9" x14ac:dyDescent="0.45">
      <c r="A2683" t="s">
        <v>36</v>
      </c>
      <c r="B2683" t="s">
        <v>46</v>
      </c>
      <c r="C2683" t="str">
        <f t="shared" si="82"/>
        <v>MarquetteMount St. Mary's</v>
      </c>
      <c r="D2683" t="s">
        <v>36</v>
      </c>
      <c r="E2683">
        <v>99.2</v>
      </c>
      <c r="F2683">
        <v>-31.513207547169799</v>
      </c>
      <c r="G2683">
        <v>-12236.5302860099</v>
      </c>
      <c r="H2683">
        <v>139.657954663071</v>
      </c>
      <c r="I2683" s="1">
        <f t="shared" si="83"/>
        <v>151.17244268498092</v>
      </c>
    </row>
    <row r="2684" spans="1:9" x14ac:dyDescent="0.45">
      <c r="A2684" t="s">
        <v>37</v>
      </c>
      <c r="B2684" t="s">
        <v>46</v>
      </c>
      <c r="C2684" t="str">
        <f t="shared" si="82"/>
        <v>MarylandMount St. Mary's</v>
      </c>
      <c r="D2684" t="s">
        <v>37</v>
      </c>
      <c r="E2684">
        <v>98.8</v>
      </c>
      <c r="F2684">
        <v>-28.966037735849099</v>
      </c>
      <c r="G2684">
        <v>-8300.6849626632993</v>
      </c>
      <c r="H2684">
        <v>139.26789397475</v>
      </c>
      <c r="I2684" s="1">
        <f t="shared" si="83"/>
        <v>145.679964772809</v>
      </c>
    </row>
    <row r="2685" spans="1:9" x14ac:dyDescent="0.45">
      <c r="A2685" t="s">
        <v>38</v>
      </c>
      <c r="B2685" t="s">
        <v>46</v>
      </c>
      <c r="C2685" t="str">
        <f t="shared" si="82"/>
        <v>McNeese St.Mount St. Mary's</v>
      </c>
      <c r="D2685" t="s">
        <v>38</v>
      </c>
      <c r="E2685">
        <v>93.7</v>
      </c>
      <c r="F2685">
        <v>-17.660377358490599</v>
      </c>
      <c r="G2685">
        <v>-1478.98840692965</v>
      </c>
      <c r="H2685">
        <v>139.103305588951</v>
      </c>
      <c r="I2685" s="1">
        <f t="shared" si="83"/>
        <v>143.36238163595866</v>
      </c>
    </row>
    <row r="2686" spans="1:9" x14ac:dyDescent="0.45">
      <c r="A2686" t="s">
        <v>39</v>
      </c>
      <c r="B2686" t="s">
        <v>46</v>
      </c>
      <c r="C2686" t="str">
        <f t="shared" si="82"/>
        <v>MemphisMount St. Mary's</v>
      </c>
      <c r="D2686" t="s">
        <v>39</v>
      </c>
      <c r="E2686">
        <v>97.7</v>
      </c>
      <c r="F2686">
        <v>-24.5811320754717</v>
      </c>
      <c r="G2686">
        <v>-4251.5513319771699</v>
      </c>
      <c r="H2686">
        <v>138.24552878776899</v>
      </c>
      <c r="I2686" s="1">
        <f t="shared" si="83"/>
        <v>131.28395313719</v>
      </c>
    </row>
    <row r="2687" spans="1:9" x14ac:dyDescent="0.45">
      <c r="A2687" t="s">
        <v>40</v>
      </c>
      <c r="B2687" t="s">
        <v>46</v>
      </c>
      <c r="C2687" t="str">
        <f t="shared" si="82"/>
        <v>MichiganMount St. Mary's</v>
      </c>
      <c r="D2687" t="s">
        <v>40</v>
      </c>
      <c r="E2687">
        <v>95.7</v>
      </c>
      <c r="F2687">
        <v>-20.392452830188699</v>
      </c>
      <c r="G2687">
        <v>-2244.2869670381201</v>
      </c>
      <c r="H2687">
        <v>137.90244987245299</v>
      </c>
      <c r="I2687" s="1">
        <f t="shared" si="83"/>
        <v>126.45302958881564</v>
      </c>
    </row>
    <row r="2688" spans="1:9" x14ac:dyDescent="0.45">
      <c r="A2688" t="s">
        <v>41</v>
      </c>
      <c r="B2688" t="s">
        <v>46</v>
      </c>
      <c r="C2688" t="str">
        <f t="shared" si="82"/>
        <v>Michigan St.Mount St. Mary's</v>
      </c>
      <c r="D2688" t="s">
        <v>41</v>
      </c>
      <c r="E2688">
        <v>99.5</v>
      </c>
      <c r="F2688">
        <v>-35.218867924528297</v>
      </c>
      <c r="G2688">
        <v>-21535.364290310601</v>
      </c>
      <c r="H2688">
        <v>139.60134183328199</v>
      </c>
      <c r="I2688" s="1">
        <f t="shared" si="83"/>
        <v>150.3752725869121</v>
      </c>
    </row>
    <row r="2689" spans="1:9" x14ac:dyDescent="0.45">
      <c r="A2689" t="s">
        <v>42</v>
      </c>
      <c r="B2689" t="s">
        <v>46</v>
      </c>
      <c r="C2689" t="str">
        <f t="shared" si="82"/>
        <v>MississippiMount St. Mary's</v>
      </c>
      <c r="D2689" t="s">
        <v>42</v>
      </c>
      <c r="E2689">
        <v>98.2</v>
      </c>
      <c r="F2689">
        <v>-26.3056603773585</v>
      </c>
      <c r="G2689">
        <v>-5531.3779272620204</v>
      </c>
      <c r="H2689">
        <v>138.73226293837601</v>
      </c>
      <c r="I2689" s="1">
        <f t="shared" si="83"/>
        <v>138.13769833980513</v>
      </c>
    </row>
    <row r="2690" spans="1:9" x14ac:dyDescent="0.45">
      <c r="A2690" t="s">
        <v>43</v>
      </c>
      <c r="B2690" t="s">
        <v>46</v>
      </c>
      <c r="C2690" t="str">
        <f t="shared" si="82"/>
        <v>Mississippi St.Mount St. Mary's</v>
      </c>
      <c r="D2690" t="s">
        <v>43</v>
      </c>
      <c r="E2690">
        <v>97.7</v>
      </c>
      <c r="F2690">
        <v>-24.456603773584899</v>
      </c>
      <c r="G2690">
        <v>-4171.9783913761503</v>
      </c>
      <c r="H2690">
        <v>138.85663429216601</v>
      </c>
      <c r="I2690" s="1">
        <f t="shared" si="83"/>
        <v>139.88898200937686</v>
      </c>
    </row>
    <row r="2691" spans="1:9" x14ac:dyDescent="0.45">
      <c r="A2691" t="s">
        <v>44</v>
      </c>
      <c r="B2691" t="s">
        <v>46</v>
      </c>
      <c r="C2691" t="str">
        <f t="shared" ref="C2691:C2754" si="84">A2691&amp;B2691</f>
        <v>MissouriMount St. Mary's</v>
      </c>
      <c r="D2691" t="s">
        <v>44</v>
      </c>
      <c r="E2691">
        <v>94.8</v>
      </c>
      <c r="F2691">
        <v>-19.045283018867899</v>
      </c>
      <c r="G2691">
        <v>-1827.01919169593</v>
      </c>
      <c r="H2691">
        <v>138.12110622833899</v>
      </c>
      <c r="I2691" s="1">
        <f t="shared" ref="I2691:I2754" si="85">18*(H2691-AVERAGE($H$2:$H$4625))/_xlfn.STDEV.P($H$2:$H$4625)+AVERAGE($H$2:$H$4625)</f>
        <v>129.53194843662197</v>
      </c>
    </row>
    <row r="2692" spans="1:9" x14ac:dyDescent="0.45">
      <c r="A2692" t="s">
        <v>45</v>
      </c>
      <c r="B2692" t="s">
        <v>46</v>
      </c>
      <c r="C2692" t="str">
        <f t="shared" si="84"/>
        <v>MontanaMount St. Mary's</v>
      </c>
      <c r="D2692" t="s">
        <v>45</v>
      </c>
      <c r="E2692">
        <v>64.099999999999994</v>
      </c>
      <c r="F2692">
        <v>-3.7886792452830198</v>
      </c>
      <c r="G2692">
        <v>-178.21778323176301</v>
      </c>
      <c r="H2692">
        <v>137.429840953358</v>
      </c>
      <c r="I2692" s="1">
        <f t="shared" si="85"/>
        <v>119.79818297918115</v>
      </c>
    </row>
    <row r="2693" spans="1:9" x14ac:dyDescent="0.45">
      <c r="A2693" t="s">
        <v>46</v>
      </c>
      <c r="B2693" t="s">
        <v>46</v>
      </c>
      <c r="C2693" t="str">
        <f t="shared" si="84"/>
        <v>Mount St. Mary'sMount St. Mary's</v>
      </c>
      <c r="D2693" t="s">
        <v>46</v>
      </c>
      <c r="E2693">
        <v>41.2</v>
      </c>
      <c r="F2693">
        <v>2.3283018867924499</v>
      </c>
      <c r="G2693">
        <v>142.64273539779199</v>
      </c>
      <c r="H2693">
        <v>138.77771517530499</v>
      </c>
      <c r="I2693" s="1">
        <f t="shared" si="85"/>
        <v>138.77771517530277</v>
      </c>
    </row>
    <row r="2694" spans="1:9" x14ac:dyDescent="0.45">
      <c r="A2694" t="s">
        <v>47</v>
      </c>
      <c r="B2694" t="s">
        <v>46</v>
      </c>
      <c r="C2694" t="str">
        <f t="shared" si="84"/>
        <v>Nebraska OmahaMount St. Mary's</v>
      </c>
      <c r="D2694" t="s">
        <v>46</v>
      </c>
      <c r="E2694">
        <v>47.7</v>
      </c>
      <c r="F2694">
        <v>0.611320754716981</v>
      </c>
      <c r="G2694">
        <v>109.794173790711</v>
      </c>
      <c r="H2694">
        <v>138.06171635520499</v>
      </c>
      <c r="I2694" s="1">
        <f t="shared" si="85"/>
        <v>128.6956745537058</v>
      </c>
    </row>
    <row r="2695" spans="1:9" x14ac:dyDescent="0.45">
      <c r="A2695" t="s">
        <v>48</v>
      </c>
      <c r="B2695" t="s">
        <v>46</v>
      </c>
      <c r="C2695" t="str">
        <f t="shared" si="84"/>
        <v>New MexicoMount St. Mary's</v>
      </c>
      <c r="D2695" t="s">
        <v>48</v>
      </c>
      <c r="E2695">
        <v>95.9</v>
      </c>
      <c r="F2695">
        <v>-20.633962264150899</v>
      </c>
      <c r="G2695">
        <v>-2328.3927156060199</v>
      </c>
      <c r="H2695">
        <v>138.939460702481</v>
      </c>
      <c r="I2695" s="1">
        <f t="shared" si="85"/>
        <v>141.05526777674754</v>
      </c>
    </row>
    <row r="2696" spans="1:9" x14ac:dyDescent="0.45">
      <c r="A2696" t="s">
        <v>49</v>
      </c>
      <c r="B2696" t="s">
        <v>46</v>
      </c>
      <c r="C2696" t="str">
        <f t="shared" si="84"/>
        <v>Norfolk St.Mount St. Mary's</v>
      </c>
      <c r="D2696" t="s">
        <v>49</v>
      </c>
      <c r="E2696">
        <v>57.3</v>
      </c>
      <c r="F2696">
        <v>-1.9207547169811301</v>
      </c>
      <c r="G2696">
        <v>-134.03040831333999</v>
      </c>
      <c r="H2696">
        <v>137.95182436468201</v>
      </c>
      <c r="I2696" s="1">
        <f t="shared" si="85"/>
        <v>127.14827603664385</v>
      </c>
    </row>
    <row r="2697" spans="1:9" x14ac:dyDescent="0.45">
      <c r="A2697" t="s">
        <v>50</v>
      </c>
      <c r="B2697" t="s">
        <v>46</v>
      </c>
      <c r="C2697" t="str">
        <f t="shared" si="84"/>
        <v>North CarolinaMount St. Mary's</v>
      </c>
      <c r="D2697" t="s">
        <v>50</v>
      </c>
      <c r="E2697">
        <v>98.8</v>
      </c>
      <c r="F2697">
        <v>-28.675471698113199</v>
      </c>
      <c r="G2697">
        <v>-7938.6977054172903</v>
      </c>
      <c r="H2697">
        <v>140.023755796638</v>
      </c>
      <c r="I2697" s="1">
        <f t="shared" si="85"/>
        <v>156.32331973186444</v>
      </c>
    </row>
    <row r="2698" spans="1:9" x14ac:dyDescent="0.45">
      <c r="A2698" t="s">
        <v>51</v>
      </c>
      <c r="B2698" t="s">
        <v>46</v>
      </c>
      <c r="C2698" t="str">
        <f t="shared" si="84"/>
        <v>OklahomaMount St. Mary's</v>
      </c>
      <c r="D2698" t="s">
        <v>51</v>
      </c>
      <c r="E2698">
        <v>96.3</v>
      </c>
      <c r="F2698">
        <v>-21.3698113207547</v>
      </c>
      <c r="G2698">
        <v>-2604.5982412223698</v>
      </c>
      <c r="H2698">
        <v>138.366359092143</v>
      </c>
      <c r="I2698" s="1">
        <f t="shared" si="85"/>
        <v>132.98537498708711</v>
      </c>
    </row>
    <row r="2699" spans="1:9" x14ac:dyDescent="0.45">
      <c r="A2699" t="s">
        <v>52</v>
      </c>
      <c r="B2699" t="s">
        <v>46</v>
      </c>
      <c r="C2699" t="str">
        <f t="shared" si="84"/>
        <v>OregonMount St. Mary's</v>
      </c>
      <c r="D2699" t="s">
        <v>52</v>
      </c>
      <c r="E2699">
        <v>98.8</v>
      </c>
      <c r="F2699">
        <v>-29.196226415094301</v>
      </c>
      <c r="G2699">
        <v>-8593.4024153353603</v>
      </c>
      <c r="H2699">
        <v>138.96073688028301</v>
      </c>
      <c r="I2699" s="1">
        <f t="shared" si="85"/>
        <v>141.35485945602181</v>
      </c>
    </row>
    <row r="2700" spans="1:9" x14ac:dyDescent="0.45">
      <c r="A2700" t="s">
        <v>53</v>
      </c>
      <c r="B2700" t="s">
        <v>46</v>
      </c>
      <c r="C2700" t="str">
        <f t="shared" si="84"/>
        <v>PurdueMount St. Mary's</v>
      </c>
      <c r="D2700" t="s">
        <v>53</v>
      </c>
      <c r="E2700">
        <v>99.8</v>
      </c>
      <c r="F2700">
        <v>-40.105660377358497</v>
      </c>
      <c r="G2700">
        <v>-45391.3207923999</v>
      </c>
      <c r="H2700">
        <v>140.30872420907201</v>
      </c>
      <c r="I2700" s="1">
        <f t="shared" si="85"/>
        <v>160.33598431925921</v>
      </c>
    </row>
    <row r="2701" spans="1:9" x14ac:dyDescent="0.45">
      <c r="A2701" t="s">
        <v>54</v>
      </c>
      <c r="B2701" t="s">
        <v>46</v>
      </c>
      <c r="C2701" t="str">
        <f t="shared" si="84"/>
        <v>Robert MorrisMount St. Mary's</v>
      </c>
      <c r="D2701" t="s">
        <v>46</v>
      </c>
      <c r="E2701">
        <v>35.799999999999997</v>
      </c>
      <c r="F2701">
        <v>3.8377358490566</v>
      </c>
      <c r="G2701">
        <v>179.55940660949099</v>
      </c>
      <c r="H2701">
        <v>137.36736105783501</v>
      </c>
      <c r="I2701" s="1">
        <f t="shared" si="85"/>
        <v>118.9183982267316</v>
      </c>
    </row>
    <row r="2702" spans="1:9" x14ac:dyDescent="0.45">
      <c r="A2702" t="s">
        <v>55</v>
      </c>
      <c r="B2702" t="s">
        <v>46</v>
      </c>
      <c r="C2702" t="str">
        <f t="shared" si="84"/>
        <v>Saint FrancisMount St. Mary's</v>
      </c>
      <c r="D2702" t="s">
        <v>46</v>
      </c>
      <c r="E2702">
        <v>26.9</v>
      </c>
      <c r="F2702">
        <v>6.5622641509433999</v>
      </c>
      <c r="G2702">
        <v>272.15923903043398</v>
      </c>
      <c r="H2702">
        <v>138.42021659104199</v>
      </c>
      <c r="I2702" s="1">
        <f t="shared" si="85"/>
        <v>133.74374703524413</v>
      </c>
    </row>
    <row r="2703" spans="1:9" x14ac:dyDescent="0.45">
      <c r="A2703" t="s">
        <v>56</v>
      </c>
      <c r="B2703" t="s">
        <v>46</v>
      </c>
      <c r="C2703" t="str">
        <f t="shared" si="84"/>
        <v>Saint Mary'sMount St. Mary's</v>
      </c>
      <c r="D2703" t="s">
        <v>56</v>
      </c>
      <c r="E2703">
        <v>98.7</v>
      </c>
      <c r="F2703">
        <v>-28.150943396226399</v>
      </c>
      <c r="G2703">
        <v>-7329.2678451749698</v>
      </c>
      <c r="H2703">
        <v>139.67147179213299</v>
      </c>
      <c r="I2703" s="1">
        <f t="shared" si="85"/>
        <v>151.36277853535478</v>
      </c>
    </row>
    <row r="2704" spans="1:9" x14ac:dyDescent="0.45">
      <c r="A2704" t="s">
        <v>57</v>
      </c>
      <c r="B2704" t="s">
        <v>46</v>
      </c>
      <c r="C2704" t="str">
        <f t="shared" si="84"/>
        <v>San Diego St.Mount St. Mary's</v>
      </c>
      <c r="D2704" t="s">
        <v>57</v>
      </c>
      <c r="E2704">
        <v>95.5</v>
      </c>
      <c r="F2704">
        <v>-20.060377358490602</v>
      </c>
      <c r="G2704">
        <v>-2132.6496073993599</v>
      </c>
      <c r="H2704">
        <v>138.81772667192999</v>
      </c>
      <c r="I2704" s="1">
        <f t="shared" si="85"/>
        <v>139.34112048126093</v>
      </c>
    </row>
    <row r="2705" spans="1:9" x14ac:dyDescent="0.45">
      <c r="A2705" t="s">
        <v>58</v>
      </c>
      <c r="B2705" t="s">
        <v>46</v>
      </c>
      <c r="C2705" t="str">
        <f t="shared" si="84"/>
        <v>SIU EdwardsvilleMount St. Mary's</v>
      </c>
      <c r="D2705" t="s">
        <v>58</v>
      </c>
      <c r="E2705">
        <v>51.8</v>
      </c>
      <c r="F2705">
        <v>-0.46037735849056599</v>
      </c>
      <c r="G2705">
        <v>-107.28587268429899</v>
      </c>
      <c r="H2705">
        <v>138.96541443877899</v>
      </c>
      <c r="I2705" s="1">
        <f t="shared" si="85"/>
        <v>141.42072455725176</v>
      </c>
    </row>
    <row r="2706" spans="1:9" x14ac:dyDescent="0.45">
      <c r="A2706" t="s">
        <v>59</v>
      </c>
      <c r="B2706" t="s">
        <v>46</v>
      </c>
      <c r="C2706" t="str">
        <f t="shared" si="84"/>
        <v>St. John'sMount St. Mary's</v>
      </c>
      <c r="D2706" t="s">
        <v>59</v>
      </c>
      <c r="E2706">
        <v>99.6</v>
      </c>
      <c r="F2706">
        <v>-35.618867924528303</v>
      </c>
      <c r="G2706">
        <v>-22895.495442568801</v>
      </c>
      <c r="H2706">
        <v>139.94309721132299</v>
      </c>
      <c r="I2706" s="1">
        <f t="shared" si="85"/>
        <v>155.1875592937217</v>
      </c>
    </row>
    <row r="2707" spans="1:9" x14ac:dyDescent="0.45">
      <c r="A2707" t="s">
        <v>60</v>
      </c>
      <c r="B2707" t="s">
        <v>46</v>
      </c>
      <c r="C2707" t="str">
        <f t="shared" si="84"/>
        <v>TennesseeMount St. Mary's</v>
      </c>
      <c r="D2707" t="s">
        <v>60</v>
      </c>
      <c r="E2707">
        <v>99.8</v>
      </c>
      <c r="F2707">
        <v>-40.166037735849102</v>
      </c>
      <c r="G2707">
        <v>-45802.532764012802</v>
      </c>
      <c r="H2707">
        <v>140.53708008801499</v>
      </c>
      <c r="I2707" s="1">
        <f t="shared" si="85"/>
        <v>163.55148298078217</v>
      </c>
    </row>
    <row r="2708" spans="1:9" x14ac:dyDescent="0.45">
      <c r="A2708" t="s">
        <v>61</v>
      </c>
      <c r="B2708" t="s">
        <v>46</v>
      </c>
      <c r="C2708" t="str">
        <f t="shared" si="84"/>
        <v>TexasMount St. Mary's</v>
      </c>
      <c r="D2708" t="s">
        <v>61</v>
      </c>
      <c r="E2708">
        <v>94.9</v>
      </c>
      <c r="F2708">
        <v>-19.211320754717001</v>
      </c>
      <c r="G2708">
        <v>-1873.79803496105</v>
      </c>
      <c r="H2708">
        <v>138.292794619087</v>
      </c>
      <c r="I2708" s="1">
        <f t="shared" si="85"/>
        <v>131.94950735038719</v>
      </c>
    </row>
    <row r="2709" spans="1:9" x14ac:dyDescent="0.45">
      <c r="A2709" t="s">
        <v>62</v>
      </c>
      <c r="B2709" t="s">
        <v>46</v>
      </c>
      <c r="C2709" t="str">
        <f t="shared" si="84"/>
        <v>Texas A&amp;MMount St. Mary's</v>
      </c>
      <c r="D2709" t="s">
        <v>62</v>
      </c>
      <c r="E2709">
        <v>99.1</v>
      </c>
      <c r="F2709">
        <v>-30.705660377358502</v>
      </c>
      <c r="G2709">
        <v>-10822.4017628045</v>
      </c>
      <c r="H2709">
        <v>139.09059364667999</v>
      </c>
      <c r="I2709" s="1">
        <f t="shared" si="85"/>
        <v>143.1833836896522</v>
      </c>
    </row>
    <row r="2710" spans="1:9" x14ac:dyDescent="0.45">
      <c r="A2710" t="s">
        <v>63</v>
      </c>
      <c r="B2710" t="s">
        <v>46</v>
      </c>
      <c r="C2710" t="str">
        <f t="shared" si="84"/>
        <v>Texas TechMount St. Mary's</v>
      </c>
      <c r="D2710" t="s">
        <v>63</v>
      </c>
      <c r="E2710">
        <v>99.5</v>
      </c>
      <c r="F2710">
        <v>-35.158490566037699</v>
      </c>
      <c r="G2710">
        <v>-21342.2491360725</v>
      </c>
      <c r="H2710">
        <v>140.13037776574399</v>
      </c>
      <c r="I2710" s="1">
        <f t="shared" si="85"/>
        <v>157.82467279768525</v>
      </c>
    </row>
    <row r="2711" spans="1:9" x14ac:dyDescent="0.45">
      <c r="A2711" t="s">
        <v>64</v>
      </c>
      <c r="B2711" t="s">
        <v>46</v>
      </c>
      <c r="C2711" t="str">
        <f t="shared" si="84"/>
        <v>TroyMount St. Mary's</v>
      </c>
      <c r="D2711" t="s">
        <v>64</v>
      </c>
      <c r="E2711">
        <v>75</v>
      </c>
      <c r="F2711">
        <v>-7.2113207547169802</v>
      </c>
      <c r="G2711">
        <v>-300.45489248198902</v>
      </c>
      <c r="H2711">
        <v>138.833942185474</v>
      </c>
      <c r="I2711" s="1">
        <f t="shared" si="85"/>
        <v>139.56945251430525</v>
      </c>
    </row>
    <row r="2712" spans="1:9" x14ac:dyDescent="0.45">
      <c r="A2712" t="s">
        <v>65</v>
      </c>
      <c r="B2712" t="s">
        <v>46</v>
      </c>
      <c r="C2712" t="str">
        <f t="shared" si="84"/>
        <v>UC San DiegoMount St. Mary's</v>
      </c>
      <c r="D2712" t="s">
        <v>65</v>
      </c>
      <c r="E2712">
        <v>88.5</v>
      </c>
      <c r="F2712">
        <v>-13.373584905660399</v>
      </c>
      <c r="G2712">
        <v>-768.99844084661902</v>
      </c>
      <c r="H2712">
        <v>138.92206392886499</v>
      </c>
      <c r="I2712" s="1">
        <f t="shared" si="85"/>
        <v>140.81030231960213</v>
      </c>
    </row>
    <row r="2713" spans="1:9" x14ac:dyDescent="0.45">
      <c r="A2713" t="s">
        <v>66</v>
      </c>
      <c r="B2713" t="s">
        <v>46</v>
      </c>
      <c r="C2713" t="str">
        <f t="shared" si="84"/>
        <v>UCLAMount St. Mary's</v>
      </c>
      <c r="D2713" t="s">
        <v>66</v>
      </c>
      <c r="E2713">
        <v>96.8</v>
      </c>
      <c r="F2713">
        <v>-22.4188679245283</v>
      </c>
      <c r="G2713">
        <v>-3055.8231941941499</v>
      </c>
      <c r="H2713">
        <v>138.39351844197299</v>
      </c>
      <c r="I2713" s="1">
        <f t="shared" si="85"/>
        <v>133.36780811484539</v>
      </c>
    </row>
    <row r="2714" spans="1:9" x14ac:dyDescent="0.45">
      <c r="A2714" t="s">
        <v>67</v>
      </c>
      <c r="B2714" t="s">
        <v>46</v>
      </c>
      <c r="C2714" t="str">
        <f t="shared" si="84"/>
        <v>UNC WilmingtonMount St. Mary's</v>
      </c>
      <c r="D2714" t="s">
        <v>67</v>
      </c>
      <c r="E2714">
        <v>82.2</v>
      </c>
      <c r="F2714">
        <v>-10.011320754717</v>
      </c>
      <c r="G2714">
        <v>-460.56111677072198</v>
      </c>
      <c r="H2714">
        <v>139.50853411589301</v>
      </c>
      <c r="I2714" s="1">
        <f t="shared" si="85"/>
        <v>149.06843918098178</v>
      </c>
    </row>
    <row r="2715" spans="1:9" x14ac:dyDescent="0.45">
      <c r="A2715" t="s">
        <v>68</v>
      </c>
      <c r="B2715" t="s">
        <v>46</v>
      </c>
      <c r="C2715" t="str">
        <f t="shared" si="84"/>
        <v>Utah St.Mount St. Mary's</v>
      </c>
      <c r="D2715" t="s">
        <v>68</v>
      </c>
      <c r="E2715">
        <v>95.9</v>
      </c>
      <c r="F2715">
        <v>-20.656603773584902</v>
      </c>
      <c r="G2715">
        <v>-2335.9646986591101</v>
      </c>
      <c r="H2715">
        <v>138.87990451971999</v>
      </c>
      <c r="I2715" s="1">
        <f t="shared" si="85"/>
        <v>140.21665207374969</v>
      </c>
    </row>
    <row r="2716" spans="1:9" x14ac:dyDescent="0.45">
      <c r="A2716" t="s">
        <v>69</v>
      </c>
      <c r="B2716" t="s">
        <v>46</v>
      </c>
      <c r="C2716" t="str">
        <f t="shared" si="84"/>
        <v>VanderbiltMount St. Mary's</v>
      </c>
      <c r="D2716" t="s">
        <v>69</v>
      </c>
      <c r="E2716">
        <v>83.3</v>
      </c>
      <c r="F2716">
        <v>-10.5358490566038</v>
      </c>
      <c r="G2716">
        <v>-498.74239469993802</v>
      </c>
      <c r="H2716">
        <v>137.45447500831801</v>
      </c>
      <c r="I2716" s="1">
        <f t="shared" si="85"/>
        <v>120.14505721389968</v>
      </c>
    </row>
    <row r="2717" spans="1:9" x14ac:dyDescent="0.45">
      <c r="A2717" t="s">
        <v>70</v>
      </c>
      <c r="B2717" t="s">
        <v>46</v>
      </c>
      <c r="C2717" t="str">
        <f t="shared" si="84"/>
        <v>VCUMount St. Mary's</v>
      </c>
      <c r="D2717" t="s">
        <v>70</v>
      </c>
      <c r="E2717">
        <v>93.9</v>
      </c>
      <c r="F2717">
        <v>-17.8792452830189</v>
      </c>
      <c r="G2717">
        <v>-1529.70028856711</v>
      </c>
      <c r="H2717">
        <v>139.299386170194</v>
      </c>
      <c r="I2717" s="1">
        <f t="shared" si="85"/>
        <v>146.12340907022471</v>
      </c>
    </row>
    <row r="2718" spans="1:9" x14ac:dyDescent="0.45">
      <c r="A2718" t="s">
        <v>71</v>
      </c>
      <c r="B2718" t="s">
        <v>46</v>
      </c>
      <c r="C2718" t="str">
        <f t="shared" si="84"/>
        <v>WisconsinMount St. Mary's</v>
      </c>
      <c r="D2718" t="s">
        <v>71</v>
      </c>
      <c r="E2718">
        <v>99.5</v>
      </c>
      <c r="F2718">
        <v>-34.343396226415102</v>
      </c>
      <c r="G2718">
        <v>-18847.214725039801</v>
      </c>
      <c r="H2718">
        <v>140.10006502546</v>
      </c>
      <c r="I2718" s="1">
        <f t="shared" si="85"/>
        <v>157.39783650925057</v>
      </c>
    </row>
    <row r="2719" spans="1:9" x14ac:dyDescent="0.45">
      <c r="A2719" t="s">
        <v>80</v>
      </c>
      <c r="B2719" t="s">
        <v>46</v>
      </c>
      <c r="C2719" t="str">
        <f t="shared" si="84"/>
        <v>WoffordMount St. Mary's</v>
      </c>
      <c r="D2719" t="s">
        <v>80</v>
      </c>
      <c r="E2719">
        <v>61.1</v>
      </c>
      <c r="F2719">
        <v>-2.9584905660377401</v>
      </c>
      <c r="G2719">
        <v>-157.02619099064401</v>
      </c>
      <c r="H2719">
        <v>138.129520764555</v>
      </c>
      <c r="I2719" s="1">
        <f t="shared" si="85"/>
        <v>129.65043424073247</v>
      </c>
    </row>
    <row r="2720" spans="1:9" x14ac:dyDescent="0.45">
      <c r="A2720" t="s">
        <v>72</v>
      </c>
      <c r="B2720" t="s">
        <v>46</v>
      </c>
      <c r="C2720" t="str">
        <f t="shared" si="84"/>
        <v>XavierMount St. Mary's</v>
      </c>
      <c r="D2720" t="s">
        <v>72</v>
      </c>
      <c r="E2720">
        <v>93.8</v>
      </c>
      <c r="F2720">
        <v>-17.803773584905699</v>
      </c>
      <c r="G2720">
        <v>-1511.99947392031</v>
      </c>
      <c r="H2720">
        <v>138.70543433470701</v>
      </c>
      <c r="I2720" s="1">
        <f t="shared" si="85"/>
        <v>137.75992247702672</v>
      </c>
    </row>
    <row r="2721" spans="1:9" x14ac:dyDescent="0.45">
      <c r="A2721" t="s">
        <v>73</v>
      </c>
      <c r="B2721" t="s">
        <v>46</v>
      </c>
      <c r="C2721" t="str">
        <f t="shared" si="84"/>
        <v>YaleMount St. Mary's</v>
      </c>
      <c r="D2721" t="s">
        <v>73</v>
      </c>
      <c r="E2721">
        <v>89.4</v>
      </c>
      <c r="F2721">
        <v>-13.981132075471701</v>
      </c>
      <c r="G2721">
        <v>-843.80104699355297</v>
      </c>
      <c r="H2721">
        <v>139.50466896876901</v>
      </c>
      <c r="I2721" s="1">
        <f t="shared" si="85"/>
        <v>149.01401371376215</v>
      </c>
    </row>
    <row r="2722" spans="1:9" x14ac:dyDescent="0.45">
      <c r="A2722" t="s">
        <v>7</v>
      </c>
      <c r="B2722" t="s">
        <v>47</v>
      </c>
      <c r="C2722" t="str">
        <f t="shared" si="84"/>
        <v>AkronNebraska Omaha</v>
      </c>
      <c r="D2722" t="s">
        <v>7</v>
      </c>
      <c r="E2722">
        <v>76.900000000000006</v>
      </c>
      <c r="F2722">
        <v>-7.8716981132075503</v>
      </c>
      <c r="G2722">
        <v>-332.20174425328901</v>
      </c>
      <c r="H2722">
        <v>139.00313324431499</v>
      </c>
      <c r="I2722" s="1">
        <f t="shared" si="85"/>
        <v>141.95184628390348</v>
      </c>
    </row>
    <row r="2723" spans="1:9" x14ac:dyDescent="0.45">
      <c r="A2723" t="s">
        <v>8</v>
      </c>
      <c r="B2723" t="s">
        <v>47</v>
      </c>
      <c r="C2723" t="str">
        <f t="shared" si="84"/>
        <v>AlabamaNebraska Omaha</v>
      </c>
      <c r="D2723" t="s">
        <v>8</v>
      </c>
      <c r="E2723">
        <v>99.6</v>
      </c>
      <c r="F2723">
        <v>-36.045283018867899</v>
      </c>
      <c r="G2723">
        <v>-24430.118937377199</v>
      </c>
      <c r="H2723">
        <v>140.75122925645499</v>
      </c>
      <c r="I2723" s="1">
        <f t="shared" si="85"/>
        <v>166.56693573668446</v>
      </c>
    </row>
    <row r="2724" spans="1:9" x14ac:dyDescent="0.45">
      <c r="A2724" t="s">
        <v>9</v>
      </c>
      <c r="B2724" t="s">
        <v>47</v>
      </c>
      <c r="C2724" t="str">
        <f t="shared" si="84"/>
        <v>Alabama St.Nebraska Omaha</v>
      </c>
      <c r="D2724" t="s">
        <v>47</v>
      </c>
      <c r="E2724">
        <v>34.299999999999997</v>
      </c>
      <c r="F2724">
        <v>4.2679245283018901</v>
      </c>
      <c r="G2724">
        <v>191.805836781968</v>
      </c>
      <c r="H2724">
        <v>139.229974100128</v>
      </c>
      <c r="I2724" s="1">
        <f t="shared" si="85"/>
        <v>145.14601177516107</v>
      </c>
    </row>
    <row r="2725" spans="1:9" x14ac:dyDescent="0.45">
      <c r="A2725" t="s">
        <v>10</v>
      </c>
      <c r="B2725" t="s">
        <v>47</v>
      </c>
      <c r="C2725" t="str">
        <f t="shared" si="84"/>
        <v>AmericanNebraska Omaha</v>
      </c>
      <c r="D2725" t="s">
        <v>47</v>
      </c>
      <c r="E2725">
        <v>38.700000000000003</v>
      </c>
      <c r="F2725">
        <v>3.0075471698113199</v>
      </c>
      <c r="G2725">
        <v>158.184599381824</v>
      </c>
      <c r="H2725">
        <v>139.32105998173199</v>
      </c>
      <c r="I2725" s="1">
        <f t="shared" si="85"/>
        <v>146.428599864143</v>
      </c>
    </row>
    <row r="2726" spans="1:9" x14ac:dyDescent="0.45">
      <c r="A2726" t="s">
        <v>11</v>
      </c>
      <c r="B2726" t="s">
        <v>47</v>
      </c>
      <c r="C2726" t="str">
        <f t="shared" si="84"/>
        <v>ArizonaNebraska Omaha</v>
      </c>
      <c r="D2726" t="s">
        <v>11</v>
      </c>
      <c r="E2726">
        <v>99.4</v>
      </c>
      <c r="F2726">
        <v>-33.803773584905699</v>
      </c>
      <c r="G2726">
        <v>-17357.507912733501</v>
      </c>
      <c r="H2726">
        <v>140.513588075445</v>
      </c>
      <c r="I2726" s="1">
        <f t="shared" si="85"/>
        <v>163.22068994263077</v>
      </c>
    </row>
    <row r="2727" spans="1:9" x14ac:dyDescent="0.45">
      <c r="A2727" t="s">
        <v>12</v>
      </c>
      <c r="B2727" t="s">
        <v>47</v>
      </c>
      <c r="C2727" t="str">
        <f t="shared" si="84"/>
        <v>ArkansasNebraska Omaha</v>
      </c>
      <c r="D2727" t="s">
        <v>12</v>
      </c>
      <c r="E2727">
        <v>91.3</v>
      </c>
      <c r="F2727">
        <v>-15.411320754717</v>
      </c>
      <c r="G2727">
        <v>-1049.54057086219</v>
      </c>
      <c r="H2727">
        <v>138.631191909303</v>
      </c>
      <c r="I2727" s="1">
        <f t="shared" si="85"/>
        <v>136.71450853533256</v>
      </c>
    </row>
    <row r="2728" spans="1:9" x14ac:dyDescent="0.45">
      <c r="A2728" t="s">
        <v>13</v>
      </c>
      <c r="B2728" t="s">
        <v>47</v>
      </c>
      <c r="C2728" t="str">
        <f t="shared" si="84"/>
        <v>AuburnNebraska Omaha</v>
      </c>
      <c r="D2728" t="s">
        <v>13</v>
      </c>
      <c r="E2728">
        <v>99.8</v>
      </c>
      <c r="F2728">
        <v>-40.456603773584902</v>
      </c>
      <c r="G2728">
        <v>-47876.996994540103</v>
      </c>
      <c r="H2728">
        <v>141.76991131456401</v>
      </c>
      <c r="I2728" s="1">
        <f t="shared" si="85"/>
        <v>180.91108491965764</v>
      </c>
    </row>
    <row r="2729" spans="1:9" x14ac:dyDescent="0.45">
      <c r="A2729" t="s">
        <v>14</v>
      </c>
      <c r="B2729" t="s">
        <v>47</v>
      </c>
      <c r="C2729" t="str">
        <f t="shared" si="84"/>
        <v>BaylorNebraska Omaha</v>
      </c>
      <c r="D2729" t="s">
        <v>14</v>
      </c>
      <c r="E2729">
        <v>98.1</v>
      </c>
      <c r="F2729">
        <v>-25.724528301886799</v>
      </c>
      <c r="G2729">
        <v>-5059.8681878506504</v>
      </c>
      <c r="H2729">
        <v>140.30490932728901</v>
      </c>
      <c r="I2729" s="1">
        <f t="shared" si="85"/>
        <v>160.28226664260518</v>
      </c>
    </row>
    <row r="2730" spans="1:9" x14ac:dyDescent="0.45">
      <c r="A2730" t="s">
        <v>15</v>
      </c>
      <c r="B2730" t="s">
        <v>47</v>
      </c>
      <c r="C2730" t="str">
        <f t="shared" si="84"/>
        <v>BryantNebraska Omaha</v>
      </c>
      <c r="D2730" t="s">
        <v>15</v>
      </c>
      <c r="E2730">
        <v>69.599999999999994</v>
      </c>
      <c r="F2730">
        <v>-5.4377358490566001</v>
      </c>
      <c r="G2730">
        <v>-229.19179109973899</v>
      </c>
      <c r="H2730">
        <v>139.85390707718301</v>
      </c>
      <c r="I2730" s="1">
        <f t="shared" si="85"/>
        <v>153.93166538691415</v>
      </c>
    </row>
    <row r="2731" spans="1:9" x14ac:dyDescent="0.45">
      <c r="A2731" t="s">
        <v>16</v>
      </c>
      <c r="B2731" t="s">
        <v>47</v>
      </c>
      <c r="C2731" t="str">
        <f t="shared" si="84"/>
        <v>BYUNebraska Omaha</v>
      </c>
      <c r="D2731" t="s">
        <v>16</v>
      </c>
      <c r="E2731">
        <v>98.4</v>
      </c>
      <c r="F2731">
        <v>-27.018867924528301</v>
      </c>
      <c r="G2731">
        <v>-6164.1867336900305</v>
      </c>
      <c r="H2731">
        <v>140.11442755540699</v>
      </c>
      <c r="I2731" s="1">
        <f t="shared" si="85"/>
        <v>157.60007652178894</v>
      </c>
    </row>
    <row r="2732" spans="1:9" x14ac:dyDescent="0.45">
      <c r="A2732" t="s">
        <v>17</v>
      </c>
      <c r="B2732" t="s">
        <v>47</v>
      </c>
      <c r="C2732" t="str">
        <f t="shared" si="84"/>
        <v>ClemsonNebraska Omaha</v>
      </c>
      <c r="D2732" t="s">
        <v>17</v>
      </c>
      <c r="E2732">
        <v>98.7</v>
      </c>
      <c r="F2732">
        <v>-28.641509433962302</v>
      </c>
      <c r="G2732">
        <v>-7898.1851907252003</v>
      </c>
      <c r="H2732">
        <v>140.33633941169799</v>
      </c>
      <c r="I2732" s="1">
        <f t="shared" si="85"/>
        <v>160.72483634922469</v>
      </c>
    </row>
    <row r="2733" spans="1:9" x14ac:dyDescent="0.45">
      <c r="A2733" t="s">
        <v>18</v>
      </c>
      <c r="B2733" t="s">
        <v>47</v>
      </c>
      <c r="C2733" t="str">
        <f t="shared" si="84"/>
        <v>Colorado St.Nebraska Omaha</v>
      </c>
      <c r="D2733" t="s">
        <v>18</v>
      </c>
      <c r="E2733">
        <v>92.8</v>
      </c>
      <c r="F2733">
        <v>-16.803773584905699</v>
      </c>
      <c r="G2733">
        <v>-1297.7342971493699</v>
      </c>
      <c r="H2733">
        <v>139.64373125980401</v>
      </c>
      <c r="I2733" s="1">
        <f t="shared" si="85"/>
        <v>150.9721617271226</v>
      </c>
    </row>
    <row r="2734" spans="1:9" x14ac:dyDescent="0.45">
      <c r="A2734" t="s">
        <v>19</v>
      </c>
      <c r="B2734" t="s">
        <v>47</v>
      </c>
      <c r="C2734" t="str">
        <f t="shared" si="84"/>
        <v>ConnecticutNebraska Omaha</v>
      </c>
      <c r="D2734" t="s">
        <v>19</v>
      </c>
      <c r="E2734">
        <v>99.3</v>
      </c>
      <c r="F2734">
        <v>-32.105660377358497</v>
      </c>
      <c r="G2734">
        <v>-13396.237037893199</v>
      </c>
      <c r="H2734">
        <v>140.279283162139</v>
      </c>
      <c r="I2734" s="1">
        <f t="shared" si="85"/>
        <v>159.92142241945112</v>
      </c>
    </row>
    <row r="2735" spans="1:9" x14ac:dyDescent="0.45">
      <c r="A2735" t="s">
        <v>20</v>
      </c>
      <c r="B2735" t="s">
        <v>47</v>
      </c>
      <c r="C2735" t="str">
        <f t="shared" si="84"/>
        <v>CreightonNebraska Omaha</v>
      </c>
      <c r="D2735" t="s">
        <v>20</v>
      </c>
      <c r="E2735">
        <v>97.6</v>
      </c>
      <c r="F2735">
        <v>-24.415094339622598</v>
      </c>
      <c r="G2735">
        <v>-4143.8382639786396</v>
      </c>
      <c r="H2735">
        <v>139.752225524403</v>
      </c>
      <c r="I2735" s="1">
        <f t="shared" si="85"/>
        <v>152.49987874590835</v>
      </c>
    </row>
    <row r="2736" spans="1:9" x14ac:dyDescent="0.45">
      <c r="A2736" t="s">
        <v>21</v>
      </c>
      <c r="B2736" t="s">
        <v>47</v>
      </c>
      <c r="C2736" t="str">
        <f t="shared" si="84"/>
        <v>DrakeNebraska Omaha</v>
      </c>
      <c r="D2736" t="s">
        <v>21</v>
      </c>
      <c r="E2736">
        <v>92.8</v>
      </c>
      <c r="F2736">
        <v>-16.7509433962264</v>
      </c>
      <c r="G2736">
        <v>-1287.73910734273</v>
      </c>
      <c r="H2736">
        <v>139.80569062855699</v>
      </c>
      <c r="I2736" s="1">
        <f t="shared" si="85"/>
        <v>153.25272545010139</v>
      </c>
    </row>
    <row r="2737" spans="1:9" x14ac:dyDescent="0.45">
      <c r="A2737" t="s">
        <v>22</v>
      </c>
      <c r="B2737" t="s">
        <v>47</v>
      </c>
      <c r="C2737" t="str">
        <f t="shared" si="84"/>
        <v>DukeNebraska Omaha</v>
      </c>
      <c r="D2737" t="s">
        <v>22</v>
      </c>
      <c r="E2737">
        <v>99.9</v>
      </c>
      <c r="F2737">
        <v>-42.962264150943398</v>
      </c>
      <c r="G2737">
        <v>-70199.872180571299</v>
      </c>
      <c r="H2737">
        <v>142.09301109001299</v>
      </c>
      <c r="I2737" s="1">
        <f t="shared" si="85"/>
        <v>185.4606804908494</v>
      </c>
    </row>
    <row r="2738" spans="1:9" x14ac:dyDescent="0.45">
      <c r="A2738" t="s">
        <v>23</v>
      </c>
      <c r="B2738" t="s">
        <v>47</v>
      </c>
      <c r="C2738" t="str">
        <f t="shared" si="84"/>
        <v>FloridaNebraska Omaha</v>
      </c>
      <c r="D2738" t="s">
        <v>23</v>
      </c>
      <c r="E2738">
        <v>99.7</v>
      </c>
      <c r="F2738">
        <v>-39.0641509433962</v>
      </c>
      <c r="G2738">
        <v>-38724.845690169801</v>
      </c>
      <c r="H2738">
        <v>141.816767365956</v>
      </c>
      <c r="I2738" s="1">
        <f t="shared" si="85"/>
        <v>181.57086898666998</v>
      </c>
    </row>
    <row r="2739" spans="1:9" x14ac:dyDescent="0.45">
      <c r="A2739" t="s">
        <v>24</v>
      </c>
      <c r="B2739" t="s">
        <v>47</v>
      </c>
      <c r="C2739" t="str">
        <f t="shared" si="84"/>
        <v>GeorgiaNebraska Omaha</v>
      </c>
      <c r="D2739" t="s">
        <v>24</v>
      </c>
      <c r="E2739">
        <v>93.6</v>
      </c>
      <c r="F2739">
        <v>-17.558490566037701</v>
      </c>
      <c r="G2739">
        <v>-1455.97850628483</v>
      </c>
      <c r="H2739">
        <v>138.9585808903</v>
      </c>
      <c r="I2739" s="1">
        <f t="shared" si="85"/>
        <v>141.32450077668011</v>
      </c>
    </row>
    <row r="2740" spans="1:9" x14ac:dyDescent="0.45">
      <c r="A2740" t="s">
        <v>25</v>
      </c>
      <c r="B2740" t="s">
        <v>47</v>
      </c>
      <c r="C2740" t="str">
        <f t="shared" si="84"/>
        <v>GonzagaNebraska Omaha</v>
      </c>
      <c r="D2740" t="s">
        <v>25</v>
      </c>
      <c r="E2740">
        <v>98.8</v>
      </c>
      <c r="F2740">
        <v>-28.883018867924498</v>
      </c>
      <c r="G2740">
        <v>-8195.5144619773491</v>
      </c>
      <c r="H2740">
        <v>141.09622200982901</v>
      </c>
      <c r="I2740" s="1">
        <f t="shared" si="85"/>
        <v>171.42480820243463</v>
      </c>
    </row>
    <row r="2741" spans="1:9" x14ac:dyDescent="0.45">
      <c r="A2741" t="s">
        <v>26</v>
      </c>
      <c r="B2741" t="s">
        <v>47</v>
      </c>
      <c r="C2741" t="str">
        <f t="shared" si="84"/>
        <v>Grand CanyonNebraska Omaha</v>
      </c>
      <c r="D2741" t="s">
        <v>26</v>
      </c>
      <c r="E2741">
        <v>88.9</v>
      </c>
      <c r="F2741">
        <v>-13.633962264150901</v>
      </c>
      <c r="G2741">
        <v>-800.37520215711299</v>
      </c>
      <c r="H2741">
        <v>139.748190256133</v>
      </c>
      <c r="I2741" s="1">
        <f t="shared" si="85"/>
        <v>152.44305778828232</v>
      </c>
    </row>
    <row r="2742" spans="1:9" x14ac:dyDescent="0.45">
      <c r="A2742" t="s">
        <v>27</v>
      </c>
      <c r="B2742" t="s">
        <v>47</v>
      </c>
      <c r="C2742" t="str">
        <f t="shared" si="84"/>
        <v>High PointNebraska Omaha</v>
      </c>
      <c r="D2742" t="s">
        <v>27</v>
      </c>
      <c r="E2742">
        <v>84</v>
      </c>
      <c r="F2742">
        <v>-10.8603773584906</v>
      </c>
      <c r="G2742">
        <v>-524.34551280656501</v>
      </c>
      <c r="H2742">
        <v>140.029082003789</v>
      </c>
      <c r="I2742" s="1">
        <f t="shared" si="85"/>
        <v>156.39831851028131</v>
      </c>
    </row>
    <row r="2743" spans="1:9" x14ac:dyDescent="0.45">
      <c r="A2743" t="s">
        <v>28</v>
      </c>
      <c r="B2743" t="s">
        <v>47</v>
      </c>
      <c r="C2743" t="str">
        <f t="shared" si="84"/>
        <v>HoustonNebraska Omaha</v>
      </c>
      <c r="D2743" t="s">
        <v>28</v>
      </c>
      <c r="E2743">
        <v>99.9</v>
      </c>
      <c r="F2743">
        <v>-46.475471698113203</v>
      </c>
      <c r="G2743">
        <v>-119984.063894265</v>
      </c>
      <c r="H2743">
        <v>142.23667543964299</v>
      </c>
      <c r="I2743" s="1">
        <f t="shared" si="85"/>
        <v>187.48363048487687</v>
      </c>
    </row>
    <row r="2744" spans="1:9" x14ac:dyDescent="0.45">
      <c r="A2744" t="s">
        <v>29</v>
      </c>
      <c r="B2744" t="s">
        <v>47</v>
      </c>
      <c r="C2744" t="str">
        <f t="shared" si="84"/>
        <v>IllinoisNebraska Omaha</v>
      </c>
      <c r="D2744" t="s">
        <v>29</v>
      </c>
      <c r="E2744">
        <v>99.2</v>
      </c>
      <c r="F2744">
        <v>-31.366037735849101</v>
      </c>
      <c r="G2744">
        <v>-11967.981779744199</v>
      </c>
      <c r="H2744">
        <v>140.28692059357999</v>
      </c>
      <c r="I2744" s="1">
        <f t="shared" si="85"/>
        <v>160.02896574476279</v>
      </c>
    </row>
    <row r="2745" spans="1:9" x14ac:dyDescent="0.45">
      <c r="A2745" t="s">
        <v>30</v>
      </c>
      <c r="B2745" t="s">
        <v>47</v>
      </c>
      <c r="C2745" t="str">
        <f t="shared" si="84"/>
        <v>Iowa St.Nebraska Omaha</v>
      </c>
      <c r="D2745" t="s">
        <v>30</v>
      </c>
      <c r="E2745">
        <v>99.6</v>
      </c>
      <c r="F2745">
        <v>-36.249056603773603</v>
      </c>
      <c r="G2745">
        <v>-25209.329712315099</v>
      </c>
      <c r="H2745">
        <v>141.21318917193801</v>
      </c>
      <c r="I2745" s="1">
        <f t="shared" si="85"/>
        <v>173.07183281570315</v>
      </c>
    </row>
    <row r="2746" spans="1:9" x14ac:dyDescent="0.45">
      <c r="A2746" t="s">
        <v>31</v>
      </c>
      <c r="B2746" t="s">
        <v>47</v>
      </c>
      <c r="C2746" t="str">
        <f t="shared" si="84"/>
        <v>KansasNebraska Omaha</v>
      </c>
      <c r="D2746" t="s">
        <v>31</v>
      </c>
      <c r="E2746">
        <v>98.7</v>
      </c>
      <c r="F2746">
        <v>-28.147169811320801</v>
      </c>
      <c r="G2746">
        <v>-7324.02489380507</v>
      </c>
      <c r="H2746">
        <v>140.16857945625</v>
      </c>
      <c r="I2746" s="1">
        <f t="shared" si="85"/>
        <v>158.3625940688984</v>
      </c>
    </row>
    <row r="2747" spans="1:9" x14ac:dyDescent="0.45">
      <c r="A2747" t="s">
        <v>32</v>
      </c>
      <c r="B2747" t="s">
        <v>47</v>
      </c>
      <c r="C2747" t="str">
        <f t="shared" si="84"/>
        <v>KentuckyNebraska Omaha</v>
      </c>
      <c r="D2747" t="s">
        <v>32</v>
      </c>
      <c r="E2747">
        <v>99.2</v>
      </c>
      <c r="F2747">
        <v>-31.5735849056604</v>
      </c>
      <c r="G2747">
        <v>-12355.4673045899</v>
      </c>
      <c r="H2747">
        <v>140.11561705664201</v>
      </c>
      <c r="I2747" s="1">
        <f t="shared" si="85"/>
        <v>157.61682599041126</v>
      </c>
    </row>
    <row r="2748" spans="1:9" x14ac:dyDescent="0.45">
      <c r="A2748" t="s">
        <v>33</v>
      </c>
      <c r="B2748" t="s">
        <v>47</v>
      </c>
      <c r="C2748" t="str">
        <f t="shared" si="84"/>
        <v>LibertyNebraska Omaha</v>
      </c>
      <c r="D2748" t="s">
        <v>33</v>
      </c>
      <c r="E2748">
        <v>77.400000000000006</v>
      </c>
      <c r="F2748">
        <v>-8.0867924528301902</v>
      </c>
      <c r="G2748">
        <v>-343.319995019418</v>
      </c>
      <c r="H2748">
        <v>139.32455330504101</v>
      </c>
      <c r="I2748" s="1">
        <f t="shared" si="85"/>
        <v>146.4777896484236</v>
      </c>
    </row>
    <row r="2749" spans="1:9" x14ac:dyDescent="0.45">
      <c r="A2749" t="s">
        <v>34</v>
      </c>
      <c r="B2749" t="s">
        <v>47</v>
      </c>
      <c r="C2749" t="str">
        <f t="shared" si="84"/>
        <v>LipscombNebraska Omaha</v>
      </c>
      <c r="D2749" t="s">
        <v>34</v>
      </c>
      <c r="E2749">
        <v>72.5</v>
      </c>
      <c r="F2749">
        <v>-6.3433962264150896</v>
      </c>
      <c r="G2749">
        <v>-263.18991767267198</v>
      </c>
      <c r="H2749">
        <v>139.75647353629799</v>
      </c>
      <c r="I2749" s="1">
        <f t="shared" si="85"/>
        <v>152.5596953647127</v>
      </c>
    </row>
    <row r="2750" spans="1:9" x14ac:dyDescent="0.45">
      <c r="A2750" t="s">
        <v>35</v>
      </c>
      <c r="B2750" t="s">
        <v>47</v>
      </c>
      <c r="C2750" t="str">
        <f t="shared" si="84"/>
        <v>LouisvilleNebraska Omaha</v>
      </c>
      <c r="D2750" t="s">
        <v>35</v>
      </c>
      <c r="E2750">
        <v>87</v>
      </c>
      <c r="F2750">
        <v>-12.452830188679201</v>
      </c>
      <c r="G2750">
        <v>-668.16314941784594</v>
      </c>
      <c r="H2750">
        <v>139.042196848266</v>
      </c>
      <c r="I2750" s="1">
        <f t="shared" si="85"/>
        <v>142.50190423205069</v>
      </c>
    </row>
    <row r="2751" spans="1:9" x14ac:dyDescent="0.45">
      <c r="A2751" t="s">
        <v>36</v>
      </c>
      <c r="B2751" t="s">
        <v>47</v>
      </c>
      <c r="C2751" t="str">
        <f t="shared" si="84"/>
        <v>MarquetteNebraska Omaha</v>
      </c>
      <c r="D2751" t="s">
        <v>36</v>
      </c>
      <c r="E2751">
        <v>98.9</v>
      </c>
      <c r="F2751">
        <v>-29.796226415094299</v>
      </c>
      <c r="G2751">
        <v>-9418.6341075891305</v>
      </c>
      <c r="H2751">
        <v>140.37395348317099</v>
      </c>
      <c r="I2751" s="1">
        <f t="shared" si="85"/>
        <v>161.25448330657787</v>
      </c>
    </row>
    <row r="2752" spans="1:9" x14ac:dyDescent="0.45">
      <c r="A2752" t="s">
        <v>37</v>
      </c>
      <c r="B2752" t="s">
        <v>47</v>
      </c>
      <c r="C2752" t="str">
        <f t="shared" si="84"/>
        <v>MarylandNebraska Omaha</v>
      </c>
      <c r="D2752" t="s">
        <v>37</v>
      </c>
      <c r="E2752">
        <v>98.5</v>
      </c>
      <c r="F2752">
        <v>-27.252830188679201</v>
      </c>
      <c r="G2752">
        <v>-6389.1571122150299</v>
      </c>
      <c r="H2752">
        <v>139.98389279484999</v>
      </c>
      <c r="I2752" s="1">
        <f t="shared" si="85"/>
        <v>155.76200539440597</v>
      </c>
    </row>
    <row r="2753" spans="1:9" x14ac:dyDescent="0.45">
      <c r="A2753" t="s">
        <v>38</v>
      </c>
      <c r="B2753" t="s">
        <v>47</v>
      </c>
      <c r="C2753" t="str">
        <f t="shared" si="84"/>
        <v>McNeese St.Nebraska Omaha</v>
      </c>
      <c r="D2753" t="s">
        <v>38</v>
      </c>
      <c r="E2753">
        <v>91.9</v>
      </c>
      <c r="F2753">
        <v>-15.9433962264151</v>
      </c>
      <c r="G2753">
        <v>-1138.3987395645099</v>
      </c>
      <c r="H2753">
        <v>139.819304409051</v>
      </c>
      <c r="I2753" s="1">
        <f t="shared" si="85"/>
        <v>153.4444222575556</v>
      </c>
    </row>
    <row r="2754" spans="1:9" x14ac:dyDescent="0.45">
      <c r="A2754" t="s">
        <v>39</v>
      </c>
      <c r="B2754" t="s">
        <v>47</v>
      </c>
      <c r="C2754" t="str">
        <f t="shared" si="84"/>
        <v>MemphisNebraska Omaha</v>
      </c>
      <c r="D2754" t="s">
        <v>39</v>
      </c>
      <c r="E2754">
        <v>97</v>
      </c>
      <c r="F2754">
        <v>-22.867924528301899</v>
      </c>
      <c r="G2754">
        <v>-3272.4804703265399</v>
      </c>
      <c r="H2754">
        <v>138.96152760787001</v>
      </c>
      <c r="I2754" s="1">
        <f t="shared" si="85"/>
        <v>141.36599375880135</v>
      </c>
    </row>
    <row r="2755" spans="1:9" x14ac:dyDescent="0.45">
      <c r="A2755" t="s">
        <v>40</v>
      </c>
      <c r="B2755" t="s">
        <v>47</v>
      </c>
      <c r="C2755" t="str">
        <f t="shared" ref="C2755:C2818" si="86">A2755&amp;B2755</f>
        <v>MichiganNebraska Omaha</v>
      </c>
      <c r="D2755" t="s">
        <v>40</v>
      </c>
      <c r="E2755">
        <v>94.5</v>
      </c>
      <c r="F2755">
        <v>-18.679245283018901</v>
      </c>
      <c r="G2755">
        <v>-1727.4600953777399</v>
      </c>
      <c r="H2755">
        <v>138.61844869255299</v>
      </c>
      <c r="I2755" s="1">
        <f t="shared" ref="I2755:I2818" si="87">18*(H2755-AVERAGE($H$2:$H$4625))/_xlfn.STDEV.P($H$2:$H$4625)+AVERAGE($H$2:$H$4625)</f>
        <v>136.53507021041258</v>
      </c>
    </row>
    <row r="2756" spans="1:9" x14ac:dyDescent="0.45">
      <c r="A2756" t="s">
        <v>41</v>
      </c>
      <c r="B2756" t="s">
        <v>47</v>
      </c>
      <c r="C2756" t="str">
        <f t="shared" si="86"/>
        <v>Michigan St.Nebraska Omaha</v>
      </c>
      <c r="D2756" t="s">
        <v>41</v>
      </c>
      <c r="E2756">
        <v>99.4</v>
      </c>
      <c r="F2756">
        <v>-33.501886792452801</v>
      </c>
      <c r="G2756">
        <v>-16576.080954580601</v>
      </c>
      <c r="H2756">
        <v>140.31734065338199</v>
      </c>
      <c r="I2756" s="1">
        <f t="shared" si="87"/>
        <v>160.45731320850905</v>
      </c>
    </row>
    <row r="2757" spans="1:9" x14ac:dyDescent="0.45">
      <c r="A2757" t="s">
        <v>42</v>
      </c>
      <c r="B2757" t="s">
        <v>47</v>
      </c>
      <c r="C2757" t="str">
        <f t="shared" si="86"/>
        <v>MississippiNebraska Omaha</v>
      </c>
      <c r="D2757" t="s">
        <v>42</v>
      </c>
      <c r="E2757">
        <v>97.7</v>
      </c>
      <c r="F2757">
        <v>-24.592452830188702</v>
      </c>
      <c r="G2757">
        <v>-4257.5814867422296</v>
      </c>
      <c r="H2757">
        <v>139.448261758477</v>
      </c>
      <c r="I2757" s="1">
        <f t="shared" si="87"/>
        <v>148.21973896141608</v>
      </c>
    </row>
    <row r="2758" spans="1:9" x14ac:dyDescent="0.45">
      <c r="A2758" t="s">
        <v>43</v>
      </c>
      <c r="B2758" t="s">
        <v>47</v>
      </c>
      <c r="C2758" t="str">
        <f t="shared" si="86"/>
        <v>Mississippi St.Nebraska Omaha</v>
      </c>
      <c r="D2758" t="s">
        <v>43</v>
      </c>
      <c r="E2758">
        <v>97</v>
      </c>
      <c r="F2758">
        <v>-22.743396226415101</v>
      </c>
      <c r="G2758">
        <v>-3211.2320285813698</v>
      </c>
      <c r="H2758">
        <v>139.572633112266</v>
      </c>
      <c r="I2758" s="1">
        <f t="shared" si="87"/>
        <v>149.97102263097381</v>
      </c>
    </row>
    <row r="2759" spans="1:9" x14ac:dyDescent="0.45">
      <c r="A2759" t="s">
        <v>44</v>
      </c>
      <c r="B2759" t="s">
        <v>47</v>
      </c>
      <c r="C2759" t="str">
        <f t="shared" si="86"/>
        <v>MissouriNebraska Omaha</v>
      </c>
      <c r="D2759" t="s">
        <v>44</v>
      </c>
      <c r="E2759">
        <v>93.4</v>
      </c>
      <c r="F2759">
        <v>-17.328301886792499</v>
      </c>
      <c r="G2759">
        <v>-1406.2830616127701</v>
      </c>
      <c r="H2759">
        <v>138.83710504844001</v>
      </c>
      <c r="I2759" s="1">
        <f t="shared" si="87"/>
        <v>139.61398905823333</v>
      </c>
    </row>
    <row r="2760" spans="1:9" x14ac:dyDescent="0.45">
      <c r="A2760" t="s">
        <v>45</v>
      </c>
      <c r="B2760" t="s">
        <v>47</v>
      </c>
      <c r="C2760" t="str">
        <f t="shared" si="86"/>
        <v>MontanaNebraska Omaha</v>
      </c>
      <c r="D2760" t="s">
        <v>45</v>
      </c>
      <c r="E2760">
        <v>57.8</v>
      </c>
      <c r="F2760">
        <v>-2.07169811320755</v>
      </c>
      <c r="G2760">
        <v>-137.17680196033601</v>
      </c>
      <c r="H2760">
        <v>138.14583977345899</v>
      </c>
      <c r="I2760" s="1">
        <f t="shared" si="87"/>
        <v>129.88022360079211</v>
      </c>
    </row>
    <row r="2761" spans="1:9" x14ac:dyDescent="0.45">
      <c r="A2761" t="s">
        <v>46</v>
      </c>
      <c r="B2761" t="s">
        <v>47</v>
      </c>
      <c r="C2761" t="str">
        <f t="shared" si="86"/>
        <v>Mount St. Mary'sNebraska Omaha</v>
      </c>
      <c r="D2761" t="s">
        <v>47</v>
      </c>
      <c r="E2761">
        <v>35</v>
      </c>
      <c r="F2761">
        <v>4.0452830188679201</v>
      </c>
      <c r="G2761">
        <v>185.319031595881</v>
      </c>
      <c r="H2761">
        <v>139.49371399540601</v>
      </c>
      <c r="I2761" s="1">
        <f t="shared" si="87"/>
        <v>148.85975579691413</v>
      </c>
    </row>
    <row r="2762" spans="1:9" x14ac:dyDescent="0.45">
      <c r="A2762" t="s">
        <v>47</v>
      </c>
      <c r="B2762" t="s">
        <v>47</v>
      </c>
      <c r="C2762" t="str">
        <f t="shared" si="86"/>
        <v>Nebraska OmahaNebraska Omaha</v>
      </c>
      <c r="D2762" t="s">
        <v>47</v>
      </c>
      <c r="E2762">
        <v>41.2</v>
      </c>
      <c r="F2762">
        <v>2.3283018867924499</v>
      </c>
      <c r="G2762">
        <v>142.64273539779199</v>
      </c>
      <c r="H2762">
        <v>138.77771517530499</v>
      </c>
      <c r="I2762" s="1">
        <f t="shared" si="87"/>
        <v>138.77771517530277</v>
      </c>
    </row>
    <row r="2763" spans="1:9" x14ac:dyDescent="0.45">
      <c r="A2763" t="s">
        <v>48</v>
      </c>
      <c r="B2763" t="s">
        <v>47</v>
      </c>
      <c r="C2763" t="str">
        <f t="shared" si="86"/>
        <v>New MexicoNebraska Omaha</v>
      </c>
      <c r="D2763" t="s">
        <v>48</v>
      </c>
      <c r="E2763">
        <v>94.7</v>
      </c>
      <c r="F2763">
        <v>-18.920754716981101</v>
      </c>
      <c r="G2763">
        <v>-1792.19750488766</v>
      </c>
      <c r="H2763">
        <v>139.655459522581</v>
      </c>
      <c r="I2763" s="1">
        <f t="shared" si="87"/>
        <v>151.13730839834449</v>
      </c>
    </row>
    <row r="2764" spans="1:9" x14ac:dyDescent="0.45">
      <c r="A2764" t="s">
        <v>49</v>
      </c>
      <c r="B2764" t="s">
        <v>47</v>
      </c>
      <c r="C2764" t="str">
        <f t="shared" si="86"/>
        <v>Norfolk St.Nebraska Omaha</v>
      </c>
      <c r="D2764" t="s">
        <v>49</v>
      </c>
      <c r="E2764">
        <v>50.8</v>
      </c>
      <c r="F2764">
        <v>-0.20377358490566</v>
      </c>
      <c r="G2764">
        <v>-103.165141235945</v>
      </c>
      <c r="H2764">
        <v>138.667823184783</v>
      </c>
      <c r="I2764" s="1">
        <f t="shared" si="87"/>
        <v>137.23031665825479</v>
      </c>
    </row>
    <row r="2765" spans="1:9" x14ac:dyDescent="0.45">
      <c r="A2765" t="s">
        <v>50</v>
      </c>
      <c r="B2765" t="s">
        <v>47</v>
      </c>
      <c r="C2765" t="str">
        <f t="shared" si="86"/>
        <v>North CarolinaNebraska Omaha</v>
      </c>
      <c r="D2765" t="s">
        <v>50</v>
      </c>
      <c r="E2765">
        <v>98.4</v>
      </c>
      <c r="F2765">
        <v>-26.9584905660377</v>
      </c>
      <c r="G2765">
        <v>-6110.5302917094295</v>
      </c>
      <c r="H2765">
        <v>140.73975461673899</v>
      </c>
      <c r="I2765" s="1">
        <f t="shared" si="87"/>
        <v>166.40536035347537</v>
      </c>
    </row>
    <row r="2766" spans="1:9" x14ac:dyDescent="0.45">
      <c r="A2766" t="s">
        <v>51</v>
      </c>
      <c r="B2766" t="s">
        <v>47</v>
      </c>
      <c r="C2766" t="str">
        <f t="shared" si="86"/>
        <v>OklahomaNebraska Omaha</v>
      </c>
      <c r="D2766" t="s">
        <v>51</v>
      </c>
      <c r="E2766">
        <v>95.2</v>
      </c>
      <c r="F2766">
        <v>-19.6528301886792</v>
      </c>
      <c r="G2766">
        <v>-2004.79688751241</v>
      </c>
      <c r="H2766">
        <v>139.082357912243</v>
      </c>
      <c r="I2766" s="1">
        <f t="shared" si="87"/>
        <v>143.06741560868406</v>
      </c>
    </row>
    <row r="2767" spans="1:9" x14ac:dyDescent="0.45">
      <c r="A2767" t="s">
        <v>52</v>
      </c>
      <c r="B2767" t="s">
        <v>47</v>
      </c>
      <c r="C2767" t="str">
        <f t="shared" si="86"/>
        <v>OregonNebraska Omaha</v>
      </c>
      <c r="D2767" t="s">
        <v>52</v>
      </c>
      <c r="E2767">
        <v>98.5</v>
      </c>
      <c r="F2767">
        <v>-27.479245283018901</v>
      </c>
      <c r="G2767">
        <v>-6614.4659635955104</v>
      </c>
      <c r="H2767">
        <v>139.676735700384</v>
      </c>
      <c r="I2767" s="1">
        <f t="shared" si="87"/>
        <v>151.43690007763277</v>
      </c>
    </row>
    <row r="2768" spans="1:9" x14ac:dyDescent="0.45">
      <c r="A2768" t="s">
        <v>53</v>
      </c>
      <c r="B2768" t="s">
        <v>47</v>
      </c>
      <c r="C2768" t="str">
        <f t="shared" si="86"/>
        <v>PurdueNebraska Omaha</v>
      </c>
      <c r="D2768" t="s">
        <v>53</v>
      </c>
      <c r="E2768">
        <v>99.7</v>
      </c>
      <c r="F2768">
        <v>-38.388679245283001</v>
      </c>
      <c r="G2768">
        <v>-34938.3552535813</v>
      </c>
      <c r="H2768">
        <v>141.024723029173</v>
      </c>
      <c r="I2768" s="1">
        <f t="shared" si="87"/>
        <v>170.41802494087017</v>
      </c>
    </row>
    <row r="2769" spans="1:9" x14ac:dyDescent="0.45">
      <c r="A2769" t="s">
        <v>54</v>
      </c>
      <c r="B2769" t="s">
        <v>47</v>
      </c>
      <c r="C2769" t="str">
        <f t="shared" si="86"/>
        <v>Robert MorrisNebraska Omaha</v>
      </c>
      <c r="D2769" t="s">
        <v>47</v>
      </c>
      <c r="E2769">
        <v>30</v>
      </c>
      <c r="F2769">
        <v>5.5547169811320796</v>
      </c>
      <c r="G2769">
        <v>233.28054705348299</v>
      </c>
      <c r="H2769">
        <v>138.083359877936</v>
      </c>
      <c r="I2769" s="1">
        <f t="shared" si="87"/>
        <v>129.00043884834255</v>
      </c>
    </row>
    <row r="2770" spans="1:9" x14ac:dyDescent="0.45">
      <c r="A2770" t="s">
        <v>55</v>
      </c>
      <c r="B2770" t="s">
        <v>47</v>
      </c>
      <c r="C2770" t="str">
        <f t="shared" si="86"/>
        <v>Saint FrancisNebraska Omaha</v>
      </c>
      <c r="D2770" t="s">
        <v>47</v>
      </c>
      <c r="E2770">
        <v>22</v>
      </c>
      <c r="F2770">
        <v>8.2792452830188701</v>
      </c>
      <c r="G2770">
        <v>353.58468467629302</v>
      </c>
      <c r="H2770">
        <v>139.13621541114301</v>
      </c>
      <c r="I2770" s="1">
        <f t="shared" si="87"/>
        <v>143.82578765685551</v>
      </c>
    </row>
    <row r="2771" spans="1:9" x14ac:dyDescent="0.45">
      <c r="A2771" t="s">
        <v>56</v>
      </c>
      <c r="B2771" t="s">
        <v>47</v>
      </c>
      <c r="C2771" t="str">
        <f t="shared" si="86"/>
        <v>Saint Mary'sNebraska Omaha</v>
      </c>
      <c r="D2771" t="s">
        <v>56</v>
      </c>
      <c r="E2771">
        <v>98.3</v>
      </c>
      <c r="F2771">
        <v>-26.437735849056601</v>
      </c>
      <c r="G2771">
        <v>-5641.4433255762297</v>
      </c>
      <c r="H2771">
        <v>140.38747061223299</v>
      </c>
      <c r="I2771" s="1">
        <f t="shared" si="87"/>
        <v>161.44481915695172</v>
      </c>
    </row>
    <row r="2772" spans="1:9" x14ac:dyDescent="0.45">
      <c r="A2772" t="s">
        <v>57</v>
      </c>
      <c r="B2772" t="s">
        <v>47</v>
      </c>
      <c r="C2772" t="str">
        <f t="shared" si="86"/>
        <v>San Diego St.Nebraska Omaha</v>
      </c>
      <c r="D2772" t="s">
        <v>57</v>
      </c>
      <c r="E2772">
        <v>94.3</v>
      </c>
      <c r="F2772">
        <v>-18.343396226415098</v>
      </c>
      <c r="G2772">
        <v>-1641.5312071554799</v>
      </c>
      <c r="H2772">
        <v>139.53372549203101</v>
      </c>
      <c r="I2772" s="1">
        <f t="shared" si="87"/>
        <v>149.42316110287229</v>
      </c>
    </row>
    <row r="2773" spans="1:9" x14ac:dyDescent="0.45">
      <c r="A2773" t="s">
        <v>58</v>
      </c>
      <c r="B2773" t="s">
        <v>47</v>
      </c>
      <c r="C2773" t="str">
        <f t="shared" si="86"/>
        <v>SIU EdwardsvilleNebraska Omaha</v>
      </c>
      <c r="D2773" t="s">
        <v>47</v>
      </c>
      <c r="E2773">
        <v>45.2</v>
      </c>
      <c r="F2773">
        <v>1.25660377358491</v>
      </c>
      <c r="G2773">
        <v>121.09544998833201</v>
      </c>
      <c r="H2773">
        <v>139.68141325887899</v>
      </c>
      <c r="I2773" s="1">
        <f t="shared" si="87"/>
        <v>151.50276517884873</v>
      </c>
    </row>
    <row r="2774" spans="1:9" x14ac:dyDescent="0.45">
      <c r="A2774" t="s">
        <v>59</v>
      </c>
      <c r="B2774" t="s">
        <v>47</v>
      </c>
      <c r="C2774" t="str">
        <f t="shared" si="86"/>
        <v>St. John'sNebraska Omaha</v>
      </c>
      <c r="D2774" t="s">
        <v>59</v>
      </c>
      <c r="E2774">
        <v>99.4</v>
      </c>
      <c r="F2774">
        <v>-33.9018867924528</v>
      </c>
      <c r="G2774">
        <v>-17622.993548430601</v>
      </c>
      <c r="H2774">
        <v>140.65909603142401</v>
      </c>
      <c r="I2774" s="1">
        <f t="shared" si="87"/>
        <v>165.26959991533306</v>
      </c>
    </row>
    <row r="2775" spans="1:9" x14ac:dyDescent="0.45">
      <c r="A2775" t="s">
        <v>60</v>
      </c>
      <c r="B2775" t="s">
        <v>47</v>
      </c>
      <c r="C2775" t="str">
        <f t="shared" si="86"/>
        <v>TennesseeNebraska Omaha</v>
      </c>
      <c r="D2775" t="s">
        <v>60</v>
      </c>
      <c r="E2775">
        <v>99.7</v>
      </c>
      <c r="F2775">
        <v>-38.449056603773599</v>
      </c>
      <c r="G2775">
        <v>-35254.871047744098</v>
      </c>
      <c r="H2775">
        <v>141.25307890811499</v>
      </c>
      <c r="I2775" s="1">
        <f t="shared" si="87"/>
        <v>173.63352360237911</v>
      </c>
    </row>
    <row r="2776" spans="1:9" x14ac:dyDescent="0.45">
      <c r="A2776" t="s">
        <v>61</v>
      </c>
      <c r="B2776" t="s">
        <v>47</v>
      </c>
      <c r="C2776" t="str">
        <f t="shared" si="86"/>
        <v>TexasNebraska Omaha</v>
      </c>
      <c r="D2776" t="s">
        <v>61</v>
      </c>
      <c r="E2776">
        <v>93.5</v>
      </c>
      <c r="F2776">
        <v>-17.494339622641501</v>
      </c>
      <c r="G2776">
        <v>-1442.2894129552001</v>
      </c>
      <c r="H2776">
        <v>139.008793439187</v>
      </c>
      <c r="I2776" s="1">
        <f t="shared" si="87"/>
        <v>142.03154797198414</v>
      </c>
    </row>
    <row r="2777" spans="1:9" x14ac:dyDescent="0.45">
      <c r="A2777" t="s">
        <v>62</v>
      </c>
      <c r="B2777" t="s">
        <v>47</v>
      </c>
      <c r="C2777" t="str">
        <f t="shared" si="86"/>
        <v>Texas A&amp;MNebraska Omaha</v>
      </c>
      <c r="D2777" t="s">
        <v>62</v>
      </c>
      <c r="E2777">
        <v>98.8</v>
      </c>
      <c r="F2777">
        <v>-28.9924528301887</v>
      </c>
      <c r="G2777">
        <v>-8330.1589573740803</v>
      </c>
      <c r="H2777">
        <v>139.80659246678101</v>
      </c>
      <c r="I2777" s="1">
        <f t="shared" si="87"/>
        <v>153.26542431126356</v>
      </c>
    </row>
    <row r="2778" spans="1:9" x14ac:dyDescent="0.45">
      <c r="A2778" t="s">
        <v>63</v>
      </c>
      <c r="B2778" t="s">
        <v>47</v>
      </c>
      <c r="C2778" t="str">
        <f t="shared" si="86"/>
        <v>Texas TechNebraska Omaha</v>
      </c>
      <c r="D2778" t="s">
        <v>63</v>
      </c>
      <c r="E2778">
        <v>99.4</v>
      </c>
      <c r="F2778">
        <v>-33.441509433962302</v>
      </c>
      <c r="G2778">
        <v>-16427.437430976701</v>
      </c>
      <c r="H2778">
        <v>140.84637658584401</v>
      </c>
      <c r="I2778" s="1">
        <f t="shared" si="87"/>
        <v>167.9067134192826</v>
      </c>
    </row>
    <row r="2779" spans="1:9" x14ac:dyDescent="0.45">
      <c r="A2779" t="s">
        <v>64</v>
      </c>
      <c r="B2779" t="s">
        <v>47</v>
      </c>
      <c r="C2779" t="str">
        <f t="shared" si="86"/>
        <v>TroyNebraska Omaha</v>
      </c>
      <c r="D2779" t="s">
        <v>64</v>
      </c>
      <c r="E2779">
        <v>69.8</v>
      </c>
      <c r="F2779">
        <v>-5.49433962264151</v>
      </c>
      <c r="G2779">
        <v>-231.26447056305901</v>
      </c>
      <c r="H2779">
        <v>139.549941005574</v>
      </c>
      <c r="I2779" s="1">
        <f t="shared" si="87"/>
        <v>149.65149313590223</v>
      </c>
    </row>
    <row r="2780" spans="1:9" x14ac:dyDescent="0.45">
      <c r="A2780" t="s">
        <v>65</v>
      </c>
      <c r="B2780" t="s">
        <v>47</v>
      </c>
      <c r="C2780" t="str">
        <f t="shared" si="86"/>
        <v>UC San DiegoNebraska Omaha</v>
      </c>
      <c r="D2780" t="s">
        <v>65</v>
      </c>
      <c r="E2780">
        <v>85.5</v>
      </c>
      <c r="F2780">
        <v>-11.6566037735849</v>
      </c>
      <c r="G2780">
        <v>-591.90920745906101</v>
      </c>
      <c r="H2780">
        <v>139.63806274896501</v>
      </c>
      <c r="I2780" s="1">
        <f t="shared" si="87"/>
        <v>150.89234294119947</v>
      </c>
    </row>
    <row r="2781" spans="1:9" x14ac:dyDescent="0.45">
      <c r="A2781" t="s">
        <v>66</v>
      </c>
      <c r="B2781" t="s">
        <v>47</v>
      </c>
      <c r="C2781" t="str">
        <f t="shared" si="86"/>
        <v>UCLANebraska Omaha</v>
      </c>
      <c r="D2781" t="s">
        <v>66</v>
      </c>
      <c r="E2781">
        <v>95.9</v>
      </c>
      <c r="F2781">
        <v>-20.7018867924528</v>
      </c>
      <c r="G2781">
        <v>-2352.1112513818898</v>
      </c>
      <c r="H2781">
        <v>139.10951726207401</v>
      </c>
      <c r="I2781" s="1">
        <f t="shared" si="87"/>
        <v>143.44984873645674</v>
      </c>
    </row>
    <row r="2782" spans="1:9" x14ac:dyDescent="0.45">
      <c r="A2782" t="s">
        <v>67</v>
      </c>
      <c r="B2782" t="s">
        <v>47</v>
      </c>
      <c r="C2782" t="str">
        <f t="shared" si="86"/>
        <v>UNC WilmingtonNebraska Omaha</v>
      </c>
      <c r="D2782" t="s">
        <v>67</v>
      </c>
      <c r="E2782">
        <v>78</v>
      </c>
      <c r="F2782">
        <v>-8.2943396226415107</v>
      </c>
      <c r="G2782">
        <v>-354.50054399862103</v>
      </c>
      <c r="H2782">
        <v>140.22453293599301</v>
      </c>
      <c r="I2782" s="1">
        <f t="shared" si="87"/>
        <v>159.15047980257873</v>
      </c>
    </row>
    <row r="2783" spans="1:9" x14ac:dyDescent="0.45">
      <c r="A2783" t="s">
        <v>68</v>
      </c>
      <c r="B2783" t="s">
        <v>47</v>
      </c>
      <c r="C2783" t="str">
        <f t="shared" si="86"/>
        <v>Utah St.Nebraska Omaha</v>
      </c>
      <c r="D2783" t="s">
        <v>68</v>
      </c>
      <c r="E2783">
        <v>94.7</v>
      </c>
      <c r="F2783">
        <v>-18.939622641509398</v>
      </c>
      <c r="G2783">
        <v>-1798.02576961458</v>
      </c>
      <c r="H2783">
        <v>139.59590333982001</v>
      </c>
      <c r="I2783" s="1">
        <f t="shared" si="87"/>
        <v>150.29869269534703</v>
      </c>
    </row>
    <row r="2784" spans="1:9" x14ac:dyDescent="0.45">
      <c r="A2784" t="s">
        <v>69</v>
      </c>
      <c r="B2784" t="s">
        <v>47</v>
      </c>
      <c r="C2784" t="str">
        <f t="shared" si="86"/>
        <v>VanderbiltNebraska Omaha</v>
      </c>
      <c r="D2784" t="s">
        <v>69</v>
      </c>
      <c r="E2784">
        <v>79.3</v>
      </c>
      <c r="F2784">
        <v>-8.8188679245283002</v>
      </c>
      <c r="G2784">
        <v>-383.88922511737002</v>
      </c>
      <c r="H2784">
        <v>138.17047382841801</v>
      </c>
      <c r="I2784" s="1">
        <f t="shared" si="87"/>
        <v>130.22709783549664</v>
      </c>
    </row>
    <row r="2785" spans="1:9" x14ac:dyDescent="0.45">
      <c r="A2785" t="s">
        <v>70</v>
      </c>
      <c r="B2785" t="s">
        <v>47</v>
      </c>
      <c r="C2785" t="str">
        <f t="shared" si="86"/>
        <v>VCUNebraska Omaha</v>
      </c>
      <c r="D2785" t="s">
        <v>70</v>
      </c>
      <c r="E2785">
        <v>92.2</v>
      </c>
      <c r="F2785">
        <v>-16.166037735849098</v>
      </c>
      <c r="G2785">
        <v>-1177.43240735159</v>
      </c>
      <c r="H2785">
        <v>140.015384990294</v>
      </c>
      <c r="I2785" s="1">
        <f t="shared" si="87"/>
        <v>156.20544969182166</v>
      </c>
    </row>
    <row r="2786" spans="1:9" x14ac:dyDescent="0.45">
      <c r="A2786" t="s">
        <v>71</v>
      </c>
      <c r="B2786" t="s">
        <v>47</v>
      </c>
      <c r="C2786" t="str">
        <f t="shared" si="86"/>
        <v>WisconsinNebraska Omaha</v>
      </c>
      <c r="D2786" t="s">
        <v>71</v>
      </c>
      <c r="E2786">
        <v>99.3</v>
      </c>
      <c r="F2786">
        <v>-32.626415094339599</v>
      </c>
      <c r="G2786">
        <v>-14506.973406118899</v>
      </c>
      <c r="H2786">
        <v>140.81606384556099</v>
      </c>
      <c r="I2786" s="1">
        <f t="shared" si="87"/>
        <v>167.47987713086152</v>
      </c>
    </row>
    <row r="2787" spans="1:9" x14ac:dyDescent="0.45">
      <c r="A2787" t="s">
        <v>80</v>
      </c>
      <c r="B2787" t="s">
        <v>47</v>
      </c>
      <c r="C2787" t="str">
        <f t="shared" si="86"/>
        <v>WoffordNebraska Omaha</v>
      </c>
      <c r="D2787" t="s">
        <v>80</v>
      </c>
      <c r="E2787">
        <v>54.7</v>
      </c>
      <c r="F2787">
        <v>-1.2415094339622601</v>
      </c>
      <c r="G2787">
        <v>-120.865327317517</v>
      </c>
      <c r="H2787">
        <v>138.84551958465599</v>
      </c>
      <c r="I2787" s="1">
        <f t="shared" si="87"/>
        <v>139.73247486234342</v>
      </c>
    </row>
    <row r="2788" spans="1:9" x14ac:dyDescent="0.45">
      <c r="A2788" t="s">
        <v>72</v>
      </c>
      <c r="B2788" t="s">
        <v>47</v>
      </c>
      <c r="C2788" t="str">
        <f t="shared" si="86"/>
        <v>XavierNebraska Omaha</v>
      </c>
      <c r="D2788" t="s">
        <v>72</v>
      </c>
      <c r="E2788">
        <v>92.1</v>
      </c>
      <c r="F2788">
        <v>-16.090566037735801</v>
      </c>
      <c r="G2788">
        <v>-1163.80783464448</v>
      </c>
      <c r="H2788">
        <v>139.421433154807</v>
      </c>
      <c r="I2788" s="1">
        <f t="shared" si="87"/>
        <v>147.84196309862367</v>
      </c>
    </row>
    <row r="2789" spans="1:9" x14ac:dyDescent="0.45">
      <c r="A2789" t="s">
        <v>73</v>
      </c>
      <c r="B2789" t="s">
        <v>47</v>
      </c>
      <c r="C2789" t="str">
        <f t="shared" si="86"/>
        <v>YaleNebraska Omaha</v>
      </c>
      <c r="D2789" t="s">
        <v>73</v>
      </c>
      <c r="E2789">
        <v>86.7</v>
      </c>
      <c r="F2789">
        <v>-12.264150943396199</v>
      </c>
      <c r="G2789">
        <v>-649.48585387144999</v>
      </c>
      <c r="H2789">
        <v>140.22066778887</v>
      </c>
      <c r="I2789" s="1">
        <f t="shared" si="87"/>
        <v>159.09605433537308</v>
      </c>
    </row>
    <row r="2790" spans="1:9" x14ac:dyDescent="0.45">
      <c r="A2790" t="s">
        <v>7</v>
      </c>
      <c r="B2790" t="s">
        <v>48</v>
      </c>
      <c r="C2790" t="str">
        <f t="shared" si="86"/>
        <v>AkronNew Mexico</v>
      </c>
      <c r="D2790" t="s">
        <v>48</v>
      </c>
      <c r="E2790">
        <v>11.5</v>
      </c>
      <c r="F2790">
        <v>13.377358490565999</v>
      </c>
      <c r="G2790">
        <v>769.54428714665801</v>
      </c>
      <c r="H2790">
        <v>138.12538889703899</v>
      </c>
      <c r="I2790" s="1">
        <f t="shared" si="87"/>
        <v>129.59225306086174</v>
      </c>
    </row>
    <row r="2791" spans="1:9" x14ac:dyDescent="0.45">
      <c r="A2791" t="s">
        <v>8</v>
      </c>
      <c r="B2791" t="s">
        <v>48</v>
      </c>
      <c r="C2791" t="str">
        <f t="shared" si="86"/>
        <v>AlabamaNew Mexico</v>
      </c>
      <c r="D2791" t="s">
        <v>8</v>
      </c>
      <c r="E2791">
        <v>90.5</v>
      </c>
      <c r="F2791">
        <v>-14.796226415094299</v>
      </c>
      <c r="G2791">
        <v>-955.63061477434303</v>
      </c>
      <c r="H2791">
        <v>139.87348490917901</v>
      </c>
      <c r="I2791" s="1">
        <f t="shared" si="87"/>
        <v>154.20734251364311</v>
      </c>
    </row>
    <row r="2792" spans="1:9" x14ac:dyDescent="0.45">
      <c r="A2792" t="s">
        <v>9</v>
      </c>
      <c r="B2792" t="s">
        <v>48</v>
      </c>
      <c r="C2792" t="str">
        <f t="shared" si="86"/>
        <v>Alabama St.New Mexico</v>
      </c>
      <c r="D2792" t="s">
        <v>48</v>
      </c>
      <c r="E2792">
        <v>2</v>
      </c>
      <c r="F2792">
        <v>25.5169811320755</v>
      </c>
      <c r="G2792">
        <v>4903.4002605421902</v>
      </c>
      <c r="H2792">
        <v>138.35222975285299</v>
      </c>
      <c r="I2792" s="1">
        <f t="shared" si="87"/>
        <v>132.78641855213337</v>
      </c>
    </row>
    <row r="2793" spans="1:9" x14ac:dyDescent="0.45">
      <c r="A2793" t="s">
        <v>10</v>
      </c>
      <c r="B2793" t="s">
        <v>48</v>
      </c>
      <c r="C2793" t="str">
        <f t="shared" si="86"/>
        <v>AmericanNew Mexico</v>
      </c>
      <c r="D2793" t="s">
        <v>48</v>
      </c>
      <c r="E2793">
        <v>2.4</v>
      </c>
      <c r="F2793">
        <v>24.252830188679201</v>
      </c>
      <c r="G2793">
        <v>4043.8936522265299</v>
      </c>
      <c r="H2793">
        <v>138.44331563445701</v>
      </c>
      <c r="I2793" s="1">
        <f t="shared" si="87"/>
        <v>134.06900664111569</v>
      </c>
    </row>
    <row r="2794" spans="1:9" x14ac:dyDescent="0.45">
      <c r="A2794" t="s">
        <v>11</v>
      </c>
      <c r="B2794" t="s">
        <v>48</v>
      </c>
      <c r="C2794" t="str">
        <f t="shared" si="86"/>
        <v>ArizonaNew Mexico</v>
      </c>
      <c r="D2794" t="s">
        <v>11</v>
      </c>
      <c r="E2794">
        <v>87.2</v>
      </c>
      <c r="F2794">
        <v>-12.554716981132101</v>
      </c>
      <c r="G2794">
        <v>-678.97196899103096</v>
      </c>
      <c r="H2794">
        <v>139.63584372816899</v>
      </c>
      <c r="I2794" s="1">
        <f t="shared" si="87"/>
        <v>150.86109671958906</v>
      </c>
    </row>
    <row r="2795" spans="1:9" x14ac:dyDescent="0.45">
      <c r="A2795" t="s">
        <v>12</v>
      </c>
      <c r="B2795" t="s">
        <v>48</v>
      </c>
      <c r="C2795" t="str">
        <f t="shared" si="86"/>
        <v>ArkansasNew Mexico</v>
      </c>
      <c r="D2795" t="s">
        <v>48</v>
      </c>
      <c r="E2795">
        <v>29.1</v>
      </c>
      <c r="F2795">
        <v>5.8377358490565996</v>
      </c>
      <c r="G2795">
        <v>243.57701032963601</v>
      </c>
      <c r="H2795">
        <v>137.75344756202699</v>
      </c>
      <c r="I2795" s="1">
        <f t="shared" si="87"/>
        <v>124.35491531229084</v>
      </c>
    </row>
    <row r="2796" spans="1:9" x14ac:dyDescent="0.45">
      <c r="A2796" t="s">
        <v>13</v>
      </c>
      <c r="B2796" t="s">
        <v>48</v>
      </c>
      <c r="C2796" t="str">
        <f t="shared" si="86"/>
        <v>AuburnNew Mexico</v>
      </c>
      <c r="D2796" t="s">
        <v>13</v>
      </c>
      <c r="E2796">
        <v>94.9</v>
      </c>
      <c r="F2796">
        <v>-19.207547169811299</v>
      </c>
      <c r="G2796">
        <v>-1872.7998905255099</v>
      </c>
      <c r="H2796">
        <v>140.89216696728801</v>
      </c>
      <c r="I2796" s="1">
        <f t="shared" si="87"/>
        <v>168.5514916966159</v>
      </c>
    </row>
    <row r="2797" spans="1:9" x14ac:dyDescent="0.45">
      <c r="A2797" t="s">
        <v>14</v>
      </c>
      <c r="B2797" t="s">
        <v>48</v>
      </c>
      <c r="C2797" t="str">
        <f t="shared" si="86"/>
        <v>BaylorNew Mexico</v>
      </c>
      <c r="D2797" t="s">
        <v>14</v>
      </c>
      <c r="E2797">
        <v>66.400000000000006</v>
      </c>
      <c r="F2797">
        <v>-4.4754716981132097</v>
      </c>
      <c r="G2797">
        <v>-197.92637765815101</v>
      </c>
      <c r="H2797">
        <v>139.427164980013</v>
      </c>
      <c r="I2797" s="1">
        <f t="shared" si="87"/>
        <v>147.92267341956344</v>
      </c>
    </row>
    <row r="2798" spans="1:9" x14ac:dyDescent="0.45">
      <c r="A2798" t="s">
        <v>15</v>
      </c>
      <c r="B2798" t="s">
        <v>48</v>
      </c>
      <c r="C2798" t="str">
        <f t="shared" si="86"/>
        <v>BryantNew Mexico</v>
      </c>
      <c r="D2798" t="s">
        <v>48</v>
      </c>
      <c r="E2798">
        <v>8.1999999999999993</v>
      </c>
      <c r="F2798">
        <v>15.811320754717</v>
      </c>
      <c r="G2798">
        <v>1115.41496858857</v>
      </c>
      <c r="H2798">
        <v>138.976162729907</v>
      </c>
      <c r="I2798" s="1">
        <f t="shared" si="87"/>
        <v>141.57207216387243</v>
      </c>
    </row>
    <row r="2799" spans="1:9" x14ac:dyDescent="0.45">
      <c r="A2799" t="s">
        <v>16</v>
      </c>
      <c r="B2799" t="s">
        <v>48</v>
      </c>
      <c r="C2799" t="str">
        <f t="shared" si="86"/>
        <v>BYUNew Mexico</v>
      </c>
      <c r="D2799" t="s">
        <v>16</v>
      </c>
      <c r="E2799">
        <v>70.7</v>
      </c>
      <c r="F2799">
        <v>-5.7698113207547204</v>
      </c>
      <c r="G2799">
        <v>-241.123900092338</v>
      </c>
      <c r="H2799">
        <v>139.23668320813101</v>
      </c>
      <c r="I2799" s="1">
        <f t="shared" si="87"/>
        <v>145.24048329874762</v>
      </c>
    </row>
    <row r="2800" spans="1:9" x14ac:dyDescent="0.45">
      <c r="A2800" t="s">
        <v>17</v>
      </c>
      <c r="B2800" t="s">
        <v>48</v>
      </c>
      <c r="C2800" t="str">
        <f t="shared" si="86"/>
        <v>ClemsonNew Mexico</v>
      </c>
      <c r="D2800" t="s">
        <v>17</v>
      </c>
      <c r="E2800">
        <v>75.5</v>
      </c>
      <c r="F2800">
        <v>-7.3962264150943398</v>
      </c>
      <c r="G2800">
        <v>-308.95255110144501</v>
      </c>
      <c r="H2800">
        <v>139.45859506442201</v>
      </c>
      <c r="I2800" s="1">
        <f t="shared" si="87"/>
        <v>148.36524312618334</v>
      </c>
    </row>
    <row r="2801" spans="1:9" x14ac:dyDescent="0.45">
      <c r="A2801" t="s">
        <v>18</v>
      </c>
      <c r="B2801" t="s">
        <v>48</v>
      </c>
      <c r="C2801" t="str">
        <f t="shared" si="86"/>
        <v>Colorado St.New Mexico</v>
      </c>
      <c r="D2801" t="s">
        <v>48</v>
      </c>
      <c r="E2801">
        <v>33.700000000000003</v>
      </c>
      <c r="F2801">
        <v>4.4452830188679204</v>
      </c>
      <c r="G2801">
        <v>196.99252384083999</v>
      </c>
      <c r="H2801">
        <v>138.76598691252801</v>
      </c>
      <c r="I2801" s="1">
        <f t="shared" si="87"/>
        <v>138.61256850408088</v>
      </c>
    </row>
    <row r="2802" spans="1:9" x14ac:dyDescent="0.45">
      <c r="A2802" t="s">
        <v>19</v>
      </c>
      <c r="B2802" t="s">
        <v>48</v>
      </c>
      <c r="C2802" t="str">
        <f t="shared" si="86"/>
        <v>ConnecticutNew Mexico</v>
      </c>
      <c r="D2802" t="s">
        <v>19</v>
      </c>
      <c r="E2802">
        <v>84</v>
      </c>
      <c r="F2802">
        <v>-10.856603773584901</v>
      </c>
      <c r="G2802">
        <v>-524.01931685229204</v>
      </c>
      <c r="H2802">
        <v>139.40153881486401</v>
      </c>
      <c r="I2802" s="1">
        <f t="shared" si="87"/>
        <v>147.56182919642379</v>
      </c>
    </row>
    <row r="2803" spans="1:9" x14ac:dyDescent="0.45">
      <c r="A2803" t="s">
        <v>20</v>
      </c>
      <c r="B2803" t="s">
        <v>48</v>
      </c>
      <c r="C2803" t="str">
        <f t="shared" si="86"/>
        <v>CreightonNew Mexico</v>
      </c>
      <c r="D2803" t="s">
        <v>20</v>
      </c>
      <c r="E2803">
        <v>61.8</v>
      </c>
      <c r="F2803">
        <v>-3.1660377358490601</v>
      </c>
      <c r="G2803">
        <v>-162.09412315519799</v>
      </c>
      <c r="H2803">
        <v>138.874481177127</v>
      </c>
      <c r="I2803" s="1">
        <f t="shared" si="87"/>
        <v>140.14028552286663</v>
      </c>
    </row>
    <row r="2804" spans="1:9" x14ac:dyDescent="0.45">
      <c r="A2804" t="s">
        <v>21</v>
      </c>
      <c r="B2804" t="s">
        <v>48</v>
      </c>
      <c r="C2804" t="str">
        <f t="shared" si="86"/>
        <v>DrakeNew Mexico</v>
      </c>
      <c r="D2804" t="s">
        <v>48</v>
      </c>
      <c r="E2804">
        <v>33.5</v>
      </c>
      <c r="F2804">
        <v>4.49433962264151</v>
      </c>
      <c r="G2804">
        <v>198.52154292168601</v>
      </c>
      <c r="H2804">
        <v>138.92794628128101</v>
      </c>
      <c r="I2804" s="1">
        <f t="shared" si="87"/>
        <v>140.89313222706008</v>
      </c>
    </row>
    <row r="2805" spans="1:9" x14ac:dyDescent="0.45">
      <c r="A2805" t="s">
        <v>22</v>
      </c>
      <c r="B2805" t="s">
        <v>48</v>
      </c>
      <c r="C2805" t="str">
        <f t="shared" si="86"/>
        <v>DukeNew Mexico</v>
      </c>
      <c r="D2805" t="s">
        <v>22</v>
      </c>
      <c r="E2805">
        <v>96.5</v>
      </c>
      <c r="F2805">
        <v>-21.7169811320755</v>
      </c>
      <c r="G2805">
        <v>-2746.0016539813</v>
      </c>
      <c r="H2805">
        <v>141.21526674273801</v>
      </c>
      <c r="I2805" s="1">
        <f t="shared" si="87"/>
        <v>173.10108726782207</v>
      </c>
    </row>
    <row r="2806" spans="1:9" x14ac:dyDescent="0.45">
      <c r="A2806" t="s">
        <v>23</v>
      </c>
      <c r="B2806" t="s">
        <v>48</v>
      </c>
      <c r="C2806" t="str">
        <f t="shared" si="86"/>
        <v>FloridaNew Mexico</v>
      </c>
      <c r="D2806" t="s">
        <v>23</v>
      </c>
      <c r="E2806">
        <v>93.8</v>
      </c>
      <c r="F2806">
        <v>-17.8150943396226</v>
      </c>
      <c r="G2806">
        <v>-1514.79606746083</v>
      </c>
      <c r="H2806">
        <v>140.93902301867999</v>
      </c>
      <c r="I2806" s="1">
        <f t="shared" si="87"/>
        <v>169.21127576362824</v>
      </c>
    </row>
    <row r="2807" spans="1:9" x14ac:dyDescent="0.45">
      <c r="A2807" t="s">
        <v>24</v>
      </c>
      <c r="B2807" t="s">
        <v>48</v>
      </c>
      <c r="C2807" t="str">
        <f t="shared" si="86"/>
        <v>GeorgiaNew Mexico</v>
      </c>
      <c r="D2807" t="s">
        <v>48</v>
      </c>
      <c r="E2807">
        <v>36.299999999999997</v>
      </c>
      <c r="F2807">
        <v>3.69056603773585</v>
      </c>
      <c r="G2807">
        <v>175.58223103347299</v>
      </c>
      <c r="H2807">
        <v>138.08083654302399</v>
      </c>
      <c r="I2807" s="1">
        <f t="shared" si="87"/>
        <v>128.9649075536384</v>
      </c>
    </row>
    <row r="2808" spans="1:9" x14ac:dyDescent="0.45">
      <c r="A2808" t="s">
        <v>25</v>
      </c>
      <c r="B2808" t="s">
        <v>48</v>
      </c>
      <c r="C2808" t="str">
        <f t="shared" si="86"/>
        <v>GonzagaNew Mexico</v>
      </c>
      <c r="D2808" t="s">
        <v>25</v>
      </c>
      <c r="E2808">
        <v>76.2</v>
      </c>
      <c r="F2808">
        <v>-7.6377358490566003</v>
      </c>
      <c r="G2808">
        <v>-320.58315163209801</v>
      </c>
      <c r="H2808">
        <v>140.218477662553</v>
      </c>
      <c r="I2808" s="1">
        <f t="shared" si="87"/>
        <v>159.06521497939292</v>
      </c>
    </row>
    <row r="2809" spans="1:9" x14ac:dyDescent="0.45">
      <c r="A2809" t="s">
        <v>26</v>
      </c>
      <c r="B2809" t="s">
        <v>48</v>
      </c>
      <c r="C2809" t="str">
        <f t="shared" si="86"/>
        <v>Grand CanyonNew Mexico</v>
      </c>
      <c r="D2809" t="s">
        <v>48</v>
      </c>
      <c r="E2809">
        <v>23.8</v>
      </c>
      <c r="F2809">
        <v>7.6113207547169797</v>
      </c>
      <c r="G2809">
        <v>319.40514121537001</v>
      </c>
      <c r="H2809">
        <v>138.87044590885699</v>
      </c>
      <c r="I2809" s="1">
        <f t="shared" si="87"/>
        <v>140.08346456524058</v>
      </c>
    </row>
    <row r="2810" spans="1:9" x14ac:dyDescent="0.45">
      <c r="A2810" t="s">
        <v>27</v>
      </c>
      <c r="B2810" t="s">
        <v>48</v>
      </c>
      <c r="C2810" t="str">
        <f t="shared" si="86"/>
        <v>High PointNew Mexico</v>
      </c>
      <c r="D2810" t="s">
        <v>48</v>
      </c>
      <c r="E2810">
        <v>17</v>
      </c>
      <c r="F2810">
        <v>10.384905660377401</v>
      </c>
      <c r="G2810">
        <v>487.54866443299198</v>
      </c>
      <c r="H2810">
        <v>139.15133765651299</v>
      </c>
      <c r="I2810" s="1">
        <f t="shared" si="87"/>
        <v>144.03872528723957</v>
      </c>
    </row>
    <row r="2811" spans="1:9" x14ac:dyDescent="0.45">
      <c r="A2811" t="s">
        <v>28</v>
      </c>
      <c r="B2811" t="s">
        <v>48</v>
      </c>
      <c r="C2811" t="str">
        <f t="shared" si="86"/>
        <v>HoustonNew Mexico</v>
      </c>
      <c r="D2811" t="s">
        <v>28</v>
      </c>
      <c r="E2811">
        <v>97.9</v>
      </c>
      <c r="F2811">
        <v>-25.230188679245298</v>
      </c>
      <c r="G2811">
        <v>-4693.4050970575199</v>
      </c>
      <c r="H2811">
        <v>141.35893109236699</v>
      </c>
      <c r="I2811" s="1">
        <f t="shared" si="87"/>
        <v>175.12403726183516</v>
      </c>
    </row>
    <row r="2812" spans="1:9" x14ac:dyDescent="0.45">
      <c r="A2812" t="s">
        <v>29</v>
      </c>
      <c r="B2812" t="s">
        <v>48</v>
      </c>
      <c r="C2812" t="str">
        <f t="shared" si="86"/>
        <v>IllinoisNew Mexico</v>
      </c>
      <c r="D2812" t="s">
        <v>29</v>
      </c>
      <c r="E2812">
        <v>82.4</v>
      </c>
      <c r="F2812">
        <v>-10.1207547169811</v>
      </c>
      <c r="G2812">
        <v>-468.15039317254298</v>
      </c>
      <c r="H2812">
        <v>139.40917624630401</v>
      </c>
      <c r="I2812" s="1">
        <f t="shared" si="87"/>
        <v>147.66937252172147</v>
      </c>
    </row>
    <row r="2813" spans="1:9" x14ac:dyDescent="0.45">
      <c r="A2813" t="s">
        <v>30</v>
      </c>
      <c r="B2813" t="s">
        <v>48</v>
      </c>
      <c r="C2813" t="str">
        <f t="shared" si="86"/>
        <v>Iowa St.New Mexico</v>
      </c>
      <c r="D2813" t="s">
        <v>30</v>
      </c>
      <c r="E2813">
        <v>90.8</v>
      </c>
      <c r="F2813">
        <v>-15.0037735849057</v>
      </c>
      <c r="G2813">
        <v>-986.11092777657905</v>
      </c>
      <c r="H2813">
        <v>140.33544482466201</v>
      </c>
      <c r="I2813" s="1">
        <f t="shared" si="87"/>
        <v>160.71223959266143</v>
      </c>
    </row>
    <row r="2814" spans="1:9" x14ac:dyDescent="0.45">
      <c r="A2814" t="s">
        <v>31</v>
      </c>
      <c r="B2814" t="s">
        <v>48</v>
      </c>
      <c r="C2814" t="str">
        <f t="shared" si="86"/>
        <v>KansasNew Mexico</v>
      </c>
      <c r="D2814" t="s">
        <v>31</v>
      </c>
      <c r="E2814">
        <v>74.099999999999994</v>
      </c>
      <c r="F2814">
        <v>-6.8981132075471701</v>
      </c>
      <c r="G2814">
        <v>-286.49317794279</v>
      </c>
      <c r="H2814">
        <v>139.29083510897399</v>
      </c>
      <c r="I2814" s="1">
        <f t="shared" si="87"/>
        <v>146.00300084585666</v>
      </c>
    </row>
    <row r="2815" spans="1:9" x14ac:dyDescent="0.45">
      <c r="A2815" t="s">
        <v>32</v>
      </c>
      <c r="B2815" t="s">
        <v>48</v>
      </c>
      <c r="C2815" t="str">
        <f t="shared" si="86"/>
        <v>KentuckyNew Mexico</v>
      </c>
      <c r="D2815" t="s">
        <v>32</v>
      </c>
      <c r="E2815">
        <v>82.9</v>
      </c>
      <c r="F2815">
        <v>-10.3283018867925</v>
      </c>
      <c r="G2815">
        <v>-483.30762721113598</v>
      </c>
      <c r="H2815">
        <v>139.237872709366</v>
      </c>
      <c r="I2815" s="1">
        <f t="shared" si="87"/>
        <v>145.25723276736954</v>
      </c>
    </row>
    <row r="2816" spans="1:9" x14ac:dyDescent="0.45">
      <c r="A2816" t="s">
        <v>33</v>
      </c>
      <c r="B2816" t="s">
        <v>48</v>
      </c>
      <c r="C2816" t="str">
        <f t="shared" si="86"/>
        <v>LibertyNew Mexico</v>
      </c>
      <c r="D2816" t="s">
        <v>48</v>
      </c>
      <c r="E2816">
        <v>11.8</v>
      </c>
      <c r="F2816">
        <v>13.1622641509434</v>
      </c>
      <c r="G2816">
        <v>744.62297034524295</v>
      </c>
      <c r="H2816">
        <v>138.446808957765</v>
      </c>
      <c r="I2816" s="1">
        <f t="shared" si="87"/>
        <v>134.11819642538185</v>
      </c>
    </row>
    <row r="2817" spans="1:9" x14ac:dyDescent="0.45">
      <c r="A2817" t="s">
        <v>34</v>
      </c>
      <c r="B2817" t="s">
        <v>48</v>
      </c>
      <c r="C2817" t="str">
        <f t="shared" si="86"/>
        <v>LipscombNew Mexico</v>
      </c>
      <c r="D2817" t="s">
        <v>48</v>
      </c>
      <c r="E2817">
        <v>9.3000000000000007</v>
      </c>
      <c r="F2817">
        <v>14.9018867924528</v>
      </c>
      <c r="G2817">
        <v>971.32882874417896</v>
      </c>
      <c r="H2817">
        <v>138.87872918902201</v>
      </c>
      <c r="I2817" s="1">
        <f t="shared" si="87"/>
        <v>140.20010214167138</v>
      </c>
    </row>
    <row r="2818" spans="1:9" x14ac:dyDescent="0.45">
      <c r="A2818" t="s">
        <v>35</v>
      </c>
      <c r="B2818" t="s">
        <v>48</v>
      </c>
      <c r="C2818" t="str">
        <f t="shared" si="86"/>
        <v>LouisvilleNew Mexico</v>
      </c>
      <c r="D2818" t="s">
        <v>48</v>
      </c>
      <c r="E2818">
        <v>20.7</v>
      </c>
      <c r="F2818">
        <v>8.7962264150943401</v>
      </c>
      <c r="G2818">
        <v>382.60708435209102</v>
      </c>
      <c r="H2818">
        <v>138.16445250099</v>
      </c>
      <c r="I2818" s="1">
        <f t="shared" si="87"/>
        <v>130.14231100900895</v>
      </c>
    </row>
    <row r="2819" spans="1:9" x14ac:dyDescent="0.45">
      <c r="A2819" t="s">
        <v>36</v>
      </c>
      <c r="B2819" t="s">
        <v>48</v>
      </c>
      <c r="C2819" t="str">
        <f t="shared" ref="C2819:C2882" si="88">A2819&amp;B2819</f>
        <v>MarquetteNew Mexico</v>
      </c>
      <c r="D2819" t="s">
        <v>36</v>
      </c>
      <c r="E2819">
        <v>78.7</v>
      </c>
      <c r="F2819">
        <v>-8.5471698113207495</v>
      </c>
      <c r="G2819">
        <v>-368.42780526947399</v>
      </c>
      <c r="H2819">
        <v>139.49620913589601</v>
      </c>
      <c r="I2819" s="1">
        <f t="shared" ref="I2819:I2882" si="89">18*(H2819-AVERAGE($H$2:$H$4625))/_xlfn.STDEV.P($H$2:$H$4625)+AVERAGE($H$2:$H$4625)</f>
        <v>148.89489008355056</v>
      </c>
    </row>
    <row r="2820" spans="1:9" x14ac:dyDescent="0.45">
      <c r="A2820" t="s">
        <v>37</v>
      </c>
      <c r="B2820" t="s">
        <v>48</v>
      </c>
      <c r="C2820" t="str">
        <f t="shared" si="88"/>
        <v>MarylandNew Mexico</v>
      </c>
      <c r="D2820" t="s">
        <v>37</v>
      </c>
      <c r="E2820">
        <v>71.400000000000006</v>
      </c>
      <c r="F2820">
        <v>-6.0037735849056597</v>
      </c>
      <c r="G2820">
        <v>-249.92404476976901</v>
      </c>
      <c r="H2820">
        <v>139.10614844757399</v>
      </c>
      <c r="I2820" s="1">
        <f t="shared" si="89"/>
        <v>143.40241217136423</v>
      </c>
    </row>
    <row r="2821" spans="1:9" x14ac:dyDescent="0.45">
      <c r="A2821" t="s">
        <v>38</v>
      </c>
      <c r="B2821" t="s">
        <v>48</v>
      </c>
      <c r="C2821" t="str">
        <f t="shared" si="88"/>
        <v>McNeese St.New Mexico</v>
      </c>
      <c r="D2821" t="s">
        <v>48</v>
      </c>
      <c r="E2821">
        <v>30.8</v>
      </c>
      <c r="F2821">
        <v>5.3018867924528301</v>
      </c>
      <c r="G2821">
        <v>224.56450941615401</v>
      </c>
      <c r="H2821">
        <v>138.94156006177499</v>
      </c>
      <c r="I2821" s="1">
        <f t="shared" si="89"/>
        <v>141.08482903451386</v>
      </c>
    </row>
    <row r="2822" spans="1:9" x14ac:dyDescent="0.45">
      <c r="A2822" t="s">
        <v>39</v>
      </c>
      <c r="B2822" t="s">
        <v>48</v>
      </c>
      <c r="C2822" t="str">
        <f t="shared" si="88"/>
        <v>MemphisNew Mexico</v>
      </c>
      <c r="D2822" t="s">
        <v>39</v>
      </c>
      <c r="E2822">
        <v>56.1</v>
      </c>
      <c r="F2822">
        <v>-1.6188679245283</v>
      </c>
      <c r="G2822">
        <v>-128.00930407713099</v>
      </c>
      <c r="H2822">
        <v>138.083783260594</v>
      </c>
      <c r="I2822" s="1">
        <f t="shared" si="89"/>
        <v>129.00640053575961</v>
      </c>
    </row>
    <row r="2823" spans="1:9" x14ac:dyDescent="0.45">
      <c r="A2823" t="s">
        <v>40</v>
      </c>
      <c r="B2823" t="s">
        <v>48</v>
      </c>
      <c r="C2823" t="str">
        <f t="shared" si="88"/>
        <v>MichiganNew Mexico</v>
      </c>
      <c r="D2823" t="s">
        <v>48</v>
      </c>
      <c r="E2823">
        <v>40.299999999999997</v>
      </c>
      <c r="F2823">
        <v>2.5698113207547202</v>
      </c>
      <c r="G2823">
        <v>147.98834146983401</v>
      </c>
      <c r="H2823">
        <v>137.74070434527701</v>
      </c>
      <c r="I2823" s="1">
        <f t="shared" si="89"/>
        <v>124.17547698737127</v>
      </c>
    </row>
    <row r="2824" spans="1:9" x14ac:dyDescent="0.45">
      <c r="A2824" t="s">
        <v>41</v>
      </c>
      <c r="B2824" t="s">
        <v>48</v>
      </c>
      <c r="C2824" t="str">
        <f t="shared" si="88"/>
        <v>Michigan St.New Mexico</v>
      </c>
      <c r="D2824" t="s">
        <v>41</v>
      </c>
      <c r="E2824">
        <v>86.6</v>
      </c>
      <c r="F2824">
        <v>-12.2528301886792</v>
      </c>
      <c r="G2824">
        <v>-648.40496576297005</v>
      </c>
      <c r="H2824">
        <v>139.43959630610601</v>
      </c>
      <c r="I2824" s="1">
        <f t="shared" si="89"/>
        <v>148.09771998546773</v>
      </c>
    </row>
    <row r="2825" spans="1:9" x14ac:dyDescent="0.45">
      <c r="A2825" t="s">
        <v>42</v>
      </c>
      <c r="B2825" t="s">
        <v>48</v>
      </c>
      <c r="C2825" t="str">
        <f t="shared" si="88"/>
        <v>MississippiNew Mexico</v>
      </c>
      <c r="D2825" t="s">
        <v>42</v>
      </c>
      <c r="E2825">
        <v>62.5</v>
      </c>
      <c r="F2825">
        <v>-3.34339622641509</v>
      </c>
      <c r="G2825">
        <v>-166.543405869482</v>
      </c>
      <c r="H2825">
        <v>138.570517411201</v>
      </c>
      <c r="I2825" s="1">
        <f t="shared" si="89"/>
        <v>135.86014573837437</v>
      </c>
    </row>
    <row r="2826" spans="1:9" x14ac:dyDescent="0.45">
      <c r="A2826" t="s">
        <v>43</v>
      </c>
      <c r="B2826" t="s">
        <v>48</v>
      </c>
      <c r="C2826" t="str">
        <f t="shared" si="88"/>
        <v>Mississippi St.New Mexico</v>
      </c>
      <c r="D2826" t="s">
        <v>43</v>
      </c>
      <c r="E2826">
        <v>55.7</v>
      </c>
      <c r="F2826">
        <v>-1.49433962264151</v>
      </c>
      <c r="G2826">
        <v>-125.613454667271</v>
      </c>
      <c r="H2826">
        <v>138.69488876499</v>
      </c>
      <c r="I2826" s="1">
        <f t="shared" si="89"/>
        <v>137.61142940793209</v>
      </c>
    </row>
    <row r="2827" spans="1:9" x14ac:dyDescent="0.45">
      <c r="A2827" t="s">
        <v>44</v>
      </c>
      <c r="B2827" t="s">
        <v>48</v>
      </c>
      <c r="C2827" t="str">
        <f t="shared" si="88"/>
        <v>MissouriNew Mexico</v>
      </c>
      <c r="D2827" t="s">
        <v>48</v>
      </c>
      <c r="E2827">
        <v>35.5</v>
      </c>
      <c r="F2827">
        <v>3.9169811320754699</v>
      </c>
      <c r="G2827">
        <v>181.78698261293999</v>
      </c>
      <c r="H2827">
        <v>137.959360701164</v>
      </c>
      <c r="I2827" s="1">
        <f t="shared" si="89"/>
        <v>127.25439583519162</v>
      </c>
    </row>
    <row r="2828" spans="1:9" x14ac:dyDescent="0.45">
      <c r="A2828" t="s">
        <v>45</v>
      </c>
      <c r="B2828" t="s">
        <v>48</v>
      </c>
      <c r="C2828" t="str">
        <f t="shared" si="88"/>
        <v>MontanaNew Mexico</v>
      </c>
      <c r="D2828" t="s">
        <v>48</v>
      </c>
      <c r="E2828">
        <v>5.0999999999999996</v>
      </c>
      <c r="F2828">
        <v>19.173584905660402</v>
      </c>
      <c r="G2828">
        <v>1863.6092314223199</v>
      </c>
      <c r="H2828">
        <v>137.26809542618301</v>
      </c>
      <c r="I2828" s="1">
        <f t="shared" si="89"/>
        <v>117.52063037775079</v>
      </c>
    </row>
    <row r="2829" spans="1:9" x14ac:dyDescent="0.45">
      <c r="A2829" t="s">
        <v>46</v>
      </c>
      <c r="B2829" t="s">
        <v>48</v>
      </c>
      <c r="C2829" t="str">
        <f t="shared" si="88"/>
        <v>Mount St. Mary'sNew Mexico</v>
      </c>
      <c r="D2829" t="s">
        <v>48</v>
      </c>
      <c r="E2829">
        <v>2.1</v>
      </c>
      <c r="F2829">
        <v>25.2905660377359</v>
      </c>
      <c r="G2829">
        <v>4737.56900757726</v>
      </c>
      <c r="H2829">
        <v>138.61596964813</v>
      </c>
      <c r="I2829" s="1">
        <f t="shared" si="89"/>
        <v>136.50016257387239</v>
      </c>
    </row>
    <row r="2830" spans="1:9" x14ac:dyDescent="0.45">
      <c r="A2830" t="s">
        <v>47</v>
      </c>
      <c r="B2830" t="s">
        <v>48</v>
      </c>
      <c r="C2830" t="str">
        <f t="shared" si="88"/>
        <v>Nebraska OmahaNew Mexico</v>
      </c>
      <c r="D2830" t="s">
        <v>48</v>
      </c>
      <c r="E2830">
        <v>2.7</v>
      </c>
      <c r="F2830">
        <v>23.577358490565999</v>
      </c>
      <c r="G2830">
        <v>3646.5752953548299</v>
      </c>
      <c r="H2830">
        <v>137.89997082803001</v>
      </c>
      <c r="I2830" s="1">
        <f t="shared" si="89"/>
        <v>126.41812195227544</v>
      </c>
    </row>
    <row r="2831" spans="1:9" x14ac:dyDescent="0.45">
      <c r="A2831" t="s">
        <v>48</v>
      </c>
      <c r="B2831" t="s">
        <v>48</v>
      </c>
      <c r="C2831" t="str">
        <f t="shared" si="88"/>
        <v>New MexicoNew Mexico</v>
      </c>
      <c r="D2831" t="s">
        <v>48</v>
      </c>
      <c r="E2831">
        <v>41.2</v>
      </c>
      <c r="F2831">
        <v>2.3283018867924499</v>
      </c>
      <c r="G2831">
        <v>142.64273539779199</v>
      </c>
      <c r="H2831">
        <v>138.77771517530499</v>
      </c>
      <c r="I2831" s="1">
        <f t="shared" si="89"/>
        <v>138.77771517530277</v>
      </c>
    </row>
    <row r="2832" spans="1:9" x14ac:dyDescent="0.45">
      <c r="A2832" t="s">
        <v>49</v>
      </c>
      <c r="B2832" t="s">
        <v>48</v>
      </c>
      <c r="C2832" t="str">
        <f t="shared" si="88"/>
        <v>Norfolk St.New Mexico</v>
      </c>
      <c r="D2832" t="s">
        <v>48</v>
      </c>
      <c r="E2832">
        <v>3.9</v>
      </c>
      <c r="F2832">
        <v>21.0415094339623</v>
      </c>
      <c r="G2832">
        <v>2478.00711953274</v>
      </c>
      <c r="H2832">
        <v>137.790078837507</v>
      </c>
      <c r="I2832" s="1">
        <f t="shared" si="89"/>
        <v>124.87072343521308</v>
      </c>
    </row>
    <row r="2833" spans="1:9" x14ac:dyDescent="0.45">
      <c r="A2833" t="s">
        <v>50</v>
      </c>
      <c r="B2833" t="s">
        <v>48</v>
      </c>
      <c r="C2833" t="str">
        <f t="shared" si="88"/>
        <v>North CarolinaNew Mexico</v>
      </c>
      <c r="D2833" t="s">
        <v>50</v>
      </c>
      <c r="E2833">
        <v>70.5</v>
      </c>
      <c r="F2833">
        <v>-5.7132075471698096</v>
      </c>
      <c r="G2833">
        <v>-239.025026207689</v>
      </c>
      <c r="H2833">
        <v>139.86201026946301</v>
      </c>
      <c r="I2833" s="1">
        <f t="shared" si="89"/>
        <v>154.04576713043406</v>
      </c>
    </row>
    <row r="2834" spans="1:9" x14ac:dyDescent="0.45">
      <c r="A2834" t="s">
        <v>51</v>
      </c>
      <c r="B2834" t="s">
        <v>48</v>
      </c>
      <c r="C2834" t="str">
        <f t="shared" si="88"/>
        <v>OklahomaNew Mexico</v>
      </c>
      <c r="D2834" t="s">
        <v>48</v>
      </c>
      <c r="E2834">
        <v>44</v>
      </c>
      <c r="F2834">
        <v>1.59245283018868</v>
      </c>
      <c r="G2834">
        <v>127.516136952647</v>
      </c>
      <c r="H2834">
        <v>138.20461356496699</v>
      </c>
      <c r="I2834" s="1">
        <f t="shared" si="89"/>
        <v>130.70782238564234</v>
      </c>
    </row>
    <row r="2835" spans="1:9" x14ac:dyDescent="0.45">
      <c r="A2835" t="s">
        <v>52</v>
      </c>
      <c r="B2835" t="s">
        <v>48</v>
      </c>
      <c r="C2835" t="str">
        <f t="shared" si="88"/>
        <v>OregonNew Mexico</v>
      </c>
      <c r="D2835" t="s">
        <v>52</v>
      </c>
      <c r="E2835">
        <v>72.099999999999994</v>
      </c>
      <c r="F2835">
        <v>-6.2301886792452796</v>
      </c>
      <c r="G2835">
        <v>-258.737429457367</v>
      </c>
      <c r="H2835">
        <v>138.79899135310799</v>
      </c>
      <c r="I2835" s="1">
        <f t="shared" si="89"/>
        <v>139.07730685459106</v>
      </c>
    </row>
    <row r="2836" spans="1:9" x14ac:dyDescent="0.45">
      <c r="A2836" t="s">
        <v>53</v>
      </c>
      <c r="B2836" t="s">
        <v>48</v>
      </c>
      <c r="C2836" t="str">
        <f t="shared" si="88"/>
        <v>PurdueNew Mexico</v>
      </c>
      <c r="D2836" t="s">
        <v>53</v>
      </c>
      <c r="E2836">
        <v>93.2</v>
      </c>
      <c r="F2836">
        <v>-17.143396226415099</v>
      </c>
      <c r="G2836">
        <v>-1366.680284929</v>
      </c>
      <c r="H2836">
        <v>140.146978681897</v>
      </c>
      <c r="I2836" s="1">
        <f t="shared" si="89"/>
        <v>158.05843171782843</v>
      </c>
    </row>
    <row r="2837" spans="1:9" x14ac:dyDescent="0.45">
      <c r="A2837" t="s">
        <v>54</v>
      </c>
      <c r="B2837" t="s">
        <v>48</v>
      </c>
      <c r="C2837" t="str">
        <f t="shared" si="88"/>
        <v>Robert MorrisNew Mexico</v>
      </c>
      <c r="D2837" t="s">
        <v>48</v>
      </c>
      <c r="E2837">
        <v>1.6</v>
      </c>
      <c r="F2837">
        <v>26.8</v>
      </c>
      <c r="G2837">
        <v>5963.6761549741004</v>
      </c>
      <c r="H2837">
        <v>137.20561553066</v>
      </c>
      <c r="I2837" s="1">
        <f t="shared" si="89"/>
        <v>116.64084562530083</v>
      </c>
    </row>
    <row r="2838" spans="1:9" x14ac:dyDescent="0.45">
      <c r="A2838" t="s">
        <v>55</v>
      </c>
      <c r="B2838" t="s">
        <v>48</v>
      </c>
      <c r="C2838" t="str">
        <f t="shared" si="88"/>
        <v>Saint FrancisNew Mexico</v>
      </c>
      <c r="D2838" t="s">
        <v>48</v>
      </c>
      <c r="E2838">
        <v>1.1000000000000001</v>
      </c>
      <c r="F2838">
        <v>29.528301886792502</v>
      </c>
      <c r="G2838">
        <v>9039.1787030772102</v>
      </c>
      <c r="H2838">
        <v>138.25847106386701</v>
      </c>
      <c r="I2838" s="1">
        <f t="shared" si="89"/>
        <v>131.46619443381377</v>
      </c>
    </row>
    <row r="2839" spans="1:9" x14ac:dyDescent="0.45">
      <c r="A2839" t="s">
        <v>56</v>
      </c>
      <c r="B2839" t="s">
        <v>48</v>
      </c>
      <c r="C2839" t="str">
        <f t="shared" si="88"/>
        <v>Saint Mary'sNew Mexico</v>
      </c>
      <c r="D2839" t="s">
        <v>56</v>
      </c>
      <c r="E2839">
        <v>68.8</v>
      </c>
      <c r="F2839">
        <v>-5.1886792452830202</v>
      </c>
      <c r="G2839">
        <v>-220.67579643203399</v>
      </c>
      <c r="H2839">
        <v>139.50972626495701</v>
      </c>
      <c r="I2839" s="1">
        <f t="shared" si="89"/>
        <v>149.08522593391041</v>
      </c>
    </row>
    <row r="2840" spans="1:9" x14ac:dyDescent="0.45">
      <c r="A2840" t="s">
        <v>57</v>
      </c>
      <c r="B2840" t="s">
        <v>48</v>
      </c>
      <c r="C2840" t="str">
        <f t="shared" si="88"/>
        <v>San Diego St.New Mexico</v>
      </c>
      <c r="D2840" t="s">
        <v>48</v>
      </c>
      <c r="E2840">
        <v>39.1</v>
      </c>
      <c r="F2840">
        <v>2.9056603773584899</v>
      </c>
      <c r="G2840">
        <v>155.73505599888301</v>
      </c>
      <c r="H2840">
        <v>138.655981144755</v>
      </c>
      <c r="I2840" s="1">
        <f t="shared" si="89"/>
        <v>137.06356787983057</v>
      </c>
    </row>
    <row r="2841" spans="1:9" x14ac:dyDescent="0.45">
      <c r="A2841" t="s">
        <v>58</v>
      </c>
      <c r="B2841" t="s">
        <v>48</v>
      </c>
      <c r="C2841" t="str">
        <f t="shared" si="88"/>
        <v>SIU EdwardsvilleNew Mexico</v>
      </c>
      <c r="D2841" t="s">
        <v>48</v>
      </c>
      <c r="E2841">
        <v>3.1</v>
      </c>
      <c r="F2841">
        <v>22.501886792452801</v>
      </c>
      <c r="G2841">
        <v>3095.7319703374401</v>
      </c>
      <c r="H2841">
        <v>138.80366891160301</v>
      </c>
      <c r="I2841" s="1">
        <f t="shared" si="89"/>
        <v>139.14317195580739</v>
      </c>
    </row>
    <row r="2842" spans="1:9" x14ac:dyDescent="0.45">
      <c r="A2842" t="s">
        <v>59</v>
      </c>
      <c r="B2842" t="s">
        <v>48</v>
      </c>
      <c r="C2842" t="str">
        <f t="shared" si="88"/>
        <v>St. John'sNew Mexico</v>
      </c>
      <c r="D2842" t="s">
        <v>59</v>
      </c>
      <c r="E2842">
        <v>87.3</v>
      </c>
      <c r="F2842">
        <v>-12.6566037735849</v>
      </c>
      <c r="G2842">
        <v>-689.35694508982101</v>
      </c>
      <c r="H2842">
        <v>139.78135168414801</v>
      </c>
      <c r="I2842" s="1">
        <f t="shared" si="89"/>
        <v>152.91000669229135</v>
      </c>
    </row>
    <row r="2843" spans="1:9" x14ac:dyDescent="0.45">
      <c r="A2843" t="s">
        <v>60</v>
      </c>
      <c r="B2843" t="s">
        <v>48</v>
      </c>
      <c r="C2843" t="str">
        <f t="shared" si="88"/>
        <v>TennesseeNew Mexico</v>
      </c>
      <c r="D2843" t="s">
        <v>60</v>
      </c>
      <c r="E2843">
        <v>93.2</v>
      </c>
      <c r="F2843">
        <v>-17.2</v>
      </c>
      <c r="G2843">
        <v>-1379.0614028325899</v>
      </c>
      <c r="H2843">
        <v>140.37533456083901</v>
      </c>
      <c r="I2843" s="1">
        <f t="shared" si="89"/>
        <v>161.2739303793378</v>
      </c>
    </row>
    <row r="2844" spans="1:9" x14ac:dyDescent="0.45">
      <c r="A2844" t="s">
        <v>61</v>
      </c>
      <c r="B2844" t="s">
        <v>48</v>
      </c>
      <c r="C2844" t="str">
        <f t="shared" si="88"/>
        <v>TexasNew Mexico</v>
      </c>
      <c r="D2844" t="s">
        <v>48</v>
      </c>
      <c r="E2844">
        <v>36.1</v>
      </c>
      <c r="F2844">
        <v>3.75094339622642</v>
      </c>
      <c r="G2844">
        <v>177.248721493744</v>
      </c>
      <c r="H2844">
        <v>138.131049091911</v>
      </c>
      <c r="I2844" s="1">
        <f t="shared" si="89"/>
        <v>129.6719547489424</v>
      </c>
    </row>
    <row r="2845" spans="1:9" x14ac:dyDescent="0.45">
      <c r="A2845" t="s">
        <v>62</v>
      </c>
      <c r="B2845" t="s">
        <v>48</v>
      </c>
      <c r="C2845" t="str">
        <f t="shared" si="88"/>
        <v>Texas A&amp;MNew Mexico</v>
      </c>
      <c r="D2845" t="s">
        <v>62</v>
      </c>
      <c r="E2845">
        <v>76.5</v>
      </c>
      <c r="F2845">
        <v>-7.74339622641509</v>
      </c>
      <c r="G2845">
        <v>-325.85002741939502</v>
      </c>
      <c r="H2845">
        <v>138.92884811950501</v>
      </c>
      <c r="I2845" s="1">
        <f t="shared" si="89"/>
        <v>140.90583108822184</v>
      </c>
    </row>
    <row r="2846" spans="1:9" x14ac:dyDescent="0.45">
      <c r="A2846" t="s">
        <v>63</v>
      </c>
      <c r="B2846" t="s">
        <v>48</v>
      </c>
      <c r="C2846" t="str">
        <f t="shared" si="88"/>
        <v>Texas TechNew Mexico</v>
      </c>
      <c r="D2846" t="s">
        <v>63</v>
      </c>
      <c r="E2846">
        <v>86.5</v>
      </c>
      <c r="F2846">
        <v>-12.1962264150943</v>
      </c>
      <c r="G2846">
        <v>-642.59049133457597</v>
      </c>
      <c r="H2846">
        <v>139.968632238569</v>
      </c>
      <c r="I2846" s="1">
        <f t="shared" si="89"/>
        <v>155.54712019625487</v>
      </c>
    </row>
    <row r="2847" spans="1:9" x14ac:dyDescent="0.45">
      <c r="A2847" t="s">
        <v>64</v>
      </c>
      <c r="B2847" t="s">
        <v>48</v>
      </c>
      <c r="C2847" t="str">
        <f t="shared" si="88"/>
        <v>TroyNew Mexico</v>
      </c>
      <c r="D2847" t="s">
        <v>48</v>
      </c>
      <c r="E2847">
        <v>8.3000000000000007</v>
      </c>
      <c r="F2847">
        <v>15.7509433962264</v>
      </c>
      <c r="G2847">
        <v>1105.4181986876599</v>
      </c>
      <c r="H2847">
        <v>138.67219665829799</v>
      </c>
      <c r="I2847" s="1">
        <f t="shared" si="89"/>
        <v>137.29189991286049</v>
      </c>
    </row>
    <row r="2848" spans="1:9" x14ac:dyDescent="0.45">
      <c r="A2848" t="s">
        <v>65</v>
      </c>
      <c r="B2848" t="s">
        <v>48</v>
      </c>
      <c r="C2848" t="str">
        <f t="shared" si="88"/>
        <v>UC San DiegoNew Mexico</v>
      </c>
      <c r="D2848" t="s">
        <v>48</v>
      </c>
      <c r="E2848">
        <v>18.8</v>
      </c>
      <c r="F2848">
        <v>9.5924528301886802</v>
      </c>
      <c r="G2848">
        <v>431.89724242962399</v>
      </c>
      <c r="H2848">
        <v>138.76031840168901</v>
      </c>
      <c r="I2848" s="1">
        <f t="shared" si="89"/>
        <v>138.53274971815773</v>
      </c>
    </row>
    <row r="2849" spans="1:9" x14ac:dyDescent="0.45">
      <c r="A2849" t="s">
        <v>66</v>
      </c>
      <c r="B2849" t="s">
        <v>48</v>
      </c>
      <c r="C2849" t="str">
        <f t="shared" si="88"/>
        <v>UCLANew Mexico</v>
      </c>
      <c r="D2849" t="s">
        <v>48</v>
      </c>
      <c r="E2849">
        <v>47.9</v>
      </c>
      <c r="F2849">
        <v>0.54716981132075504</v>
      </c>
      <c r="G2849">
        <v>108.687016534647</v>
      </c>
      <c r="H2849">
        <v>138.231772914798</v>
      </c>
      <c r="I2849" s="1">
        <f t="shared" si="89"/>
        <v>131.09025551341503</v>
      </c>
    </row>
    <row r="2850" spans="1:9" x14ac:dyDescent="0.45">
      <c r="A2850" t="s">
        <v>67</v>
      </c>
      <c r="B2850" t="s">
        <v>48</v>
      </c>
      <c r="C2850" t="str">
        <f t="shared" si="88"/>
        <v>UNC WilmingtonNew Mexico</v>
      </c>
      <c r="D2850" t="s">
        <v>48</v>
      </c>
      <c r="E2850">
        <v>12.2</v>
      </c>
      <c r="F2850">
        <v>12.9509433962264</v>
      </c>
      <c r="G2850">
        <v>721.13839822843102</v>
      </c>
      <c r="H2850">
        <v>139.346788588718</v>
      </c>
      <c r="I2850" s="1">
        <f t="shared" si="89"/>
        <v>146.790886579551</v>
      </c>
    </row>
    <row r="2851" spans="1:9" x14ac:dyDescent="0.45">
      <c r="A2851" t="s">
        <v>68</v>
      </c>
      <c r="B2851" t="s">
        <v>48</v>
      </c>
      <c r="C2851" t="str">
        <f t="shared" si="88"/>
        <v>Utah St.New Mexico</v>
      </c>
      <c r="D2851" t="s">
        <v>48</v>
      </c>
      <c r="E2851">
        <v>41.3</v>
      </c>
      <c r="F2851">
        <v>2.3056603773584898</v>
      </c>
      <c r="G2851">
        <v>142.18036181154</v>
      </c>
      <c r="H2851">
        <v>138.71815899254401</v>
      </c>
      <c r="I2851" s="1">
        <f t="shared" si="89"/>
        <v>137.93909947230532</v>
      </c>
    </row>
    <row r="2852" spans="1:9" x14ac:dyDescent="0.45">
      <c r="A2852" t="s">
        <v>69</v>
      </c>
      <c r="B2852" t="s">
        <v>48</v>
      </c>
      <c r="C2852" t="str">
        <f t="shared" si="88"/>
        <v>VanderbiltNew Mexico</v>
      </c>
      <c r="D2852" t="s">
        <v>48</v>
      </c>
      <c r="E2852">
        <v>13.1</v>
      </c>
      <c r="F2852">
        <v>12.430188679245299</v>
      </c>
      <c r="G2852">
        <v>665.93157021303</v>
      </c>
      <c r="H2852">
        <v>137.292729481143</v>
      </c>
      <c r="I2852" s="1">
        <f t="shared" si="89"/>
        <v>117.86750461246891</v>
      </c>
    </row>
    <row r="2853" spans="1:9" x14ac:dyDescent="0.45">
      <c r="A2853" t="s">
        <v>70</v>
      </c>
      <c r="B2853" t="s">
        <v>48</v>
      </c>
      <c r="C2853" t="str">
        <f t="shared" si="88"/>
        <v>VCUNew Mexico</v>
      </c>
      <c r="D2853" t="s">
        <v>48</v>
      </c>
      <c r="E2853">
        <v>31.5</v>
      </c>
      <c r="F2853">
        <v>5.0830188679245296</v>
      </c>
      <c r="G2853">
        <v>217.11985577609201</v>
      </c>
      <c r="H2853">
        <v>139.13764064301799</v>
      </c>
      <c r="I2853" s="1">
        <f t="shared" si="89"/>
        <v>143.84585646877991</v>
      </c>
    </row>
    <row r="2854" spans="1:9" x14ac:dyDescent="0.45">
      <c r="A2854" t="s">
        <v>71</v>
      </c>
      <c r="B2854" t="s">
        <v>48</v>
      </c>
      <c r="C2854" t="str">
        <f t="shared" si="88"/>
        <v>WisconsinNew Mexico</v>
      </c>
      <c r="D2854" t="s">
        <v>71</v>
      </c>
      <c r="E2854">
        <v>85</v>
      </c>
      <c r="F2854">
        <v>-11.381132075471699</v>
      </c>
      <c r="G2854">
        <v>-567.46788462802704</v>
      </c>
      <c r="H2854">
        <v>139.93831949828501</v>
      </c>
      <c r="I2854" s="1">
        <f t="shared" si="89"/>
        <v>155.12028390782018</v>
      </c>
    </row>
    <row r="2855" spans="1:9" x14ac:dyDescent="0.45">
      <c r="A2855" t="s">
        <v>80</v>
      </c>
      <c r="B2855" t="s">
        <v>48</v>
      </c>
      <c r="C2855" t="str">
        <f t="shared" si="88"/>
        <v>WoffordNew Mexico</v>
      </c>
      <c r="D2855" t="s">
        <v>48</v>
      </c>
      <c r="E2855">
        <v>4.5</v>
      </c>
      <c r="F2855">
        <v>20.003773584905701</v>
      </c>
      <c r="G2855">
        <v>2115.1140707101899</v>
      </c>
      <c r="H2855">
        <v>137.96777523738001</v>
      </c>
      <c r="I2855" s="1">
        <f t="shared" si="89"/>
        <v>127.37288163930209</v>
      </c>
    </row>
    <row r="2856" spans="1:9" x14ac:dyDescent="0.45">
      <c r="A2856" t="s">
        <v>72</v>
      </c>
      <c r="B2856" t="s">
        <v>48</v>
      </c>
      <c r="C2856" t="str">
        <f t="shared" si="88"/>
        <v>XavierNew Mexico</v>
      </c>
      <c r="D2856" t="s">
        <v>48</v>
      </c>
      <c r="E2856">
        <v>31.3</v>
      </c>
      <c r="F2856">
        <v>5.1584905660377398</v>
      </c>
      <c r="G2856">
        <v>219.661654493301</v>
      </c>
      <c r="H2856">
        <v>138.543688807531</v>
      </c>
      <c r="I2856" s="1">
        <f t="shared" si="89"/>
        <v>135.48236987558195</v>
      </c>
    </row>
    <row r="2857" spans="1:9" x14ac:dyDescent="0.45">
      <c r="A2857" t="s">
        <v>73</v>
      </c>
      <c r="B2857" t="s">
        <v>48</v>
      </c>
      <c r="C2857" t="str">
        <f t="shared" si="88"/>
        <v>YaleNew Mexico</v>
      </c>
      <c r="D2857" t="s">
        <v>48</v>
      </c>
      <c r="E2857">
        <v>20.3</v>
      </c>
      <c r="F2857">
        <v>8.9811320754717006</v>
      </c>
      <c r="G2857">
        <v>393.60973444830699</v>
      </c>
      <c r="H2857">
        <v>139.342923441594</v>
      </c>
      <c r="I2857" s="1">
        <f t="shared" si="89"/>
        <v>146.73646111233137</v>
      </c>
    </row>
    <row r="2858" spans="1:9" x14ac:dyDescent="0.45">
      <c r="A2858" t="s">
        <v>7</v>
      </c>
      <c r="B2858" t="s">
        <v>49</v>
      </c>
      <c r="C2858" t="str">
        <f t="shared" si="88"/>
        <v>AkronNorfolk St.</v>
      </c>
      <c r="D2858" t="s">
        <v>7</v>
      </c>
      <c r="E2858">
        <v>69.3</v>
      </c>
      <c r="F2858">
        <v>-5.3358490566037702</v>
      </c>
      <c r="G2858">
        <v>-225.745588862369</v>
      </c>
      <c r="H2858">
        <v>139.11302523483801</v>
      </c>
      <c r="I2858" s="1">
        <f t="shared" si="89"/>
        <v>143.49924480096584</v>
      </c>
    </row>
    <row r="2859" spans="1:9" x14ac:dyDescent="0.45">
      <c r="A2859" t="s">
        <v>8</v>
      </c>
      <c r="B2859" t="s">
        <v>49</v>
      </c>
      <c r="C2859" t="str">
        <f t="shared" si="88"/>
        <v>AlabamaNorfolk St.</v>
      </c>
      <c r="D2859" t="s">
        <v>8</v>
      </c>
      <c r="E2859">
        <v>99.4</v>
      </c>
      <c r="F2859">
        <v>-33.513207547169799</v>
      </c>
      <c r="G2859">
        <v>-16601.3324159162</v>
      </c>
      <c r="H2859">
        <v>140.86112124697701</v>
      </c>
      <c r="I2859" s="1">
        <f t="shared" si="89"/>
        <v>168.11433425373281</v>
      </c>
    </row>
    <row r="2860" spans="1:9" x14ac:dyDescent="0.45">
      <c r="A2860" t="s">
        <v>9</v>
      </c>
      <c r="B2860" t="s">
        <v>49</v>
      </c>
      <c r="C2860" t="str">
        <f t="shared" si="88"/>
        <v>Alabama St.Norfolk St.</v>
      </c>
      <c r="D2860" t="s">
        <v>49</v>
      </c>
      <c r="E2860">
        <v>26.2</v>
      </c>
      <c r="F2860">
        <v>6.8037735849056604</v>
      </c>
      <c r="G2860">
        <v>282.25682662520802</v>
      </c>
      <c r="H2860">
        <v>139.33986609065099</v>
      </c>
      <c r="I2860" s="1">
        <f t="shared" si="89"/>
        <v>146.69341029222304</v>
      </c>
    </row>
    <row r="2861" spans="1:9" x14ac:dyDescent="0.45">
      <c r="A2861" t="s">
        <v>10</v>
      </c>
      <c r="B2861" t="s">
        <v>49</v>
      </c>
      <c r="C2861" t="str">
        <f t="shared" si="88"/>
        <v>AmericanNorfolk St.</v>
      </c>
      <c r="D2861" t="s">
        <v>49</v>
      </c>
      <c r="E2861">
        <v>30</v>
      </c>
      <c r="F2861">
        <v>5.5396226415094301</v>
      </c>
      <c r="G2861">
        <v>232.780627490743</v>
      </c>
      <c r="H2861">
        <v>139.430951972255</v>
      </c>
      <c r="I2861" s="1">
        <f t="shared" si="89"/>
        <v>147.97599838120539</v>
      </c>
    </row>
    <row r="2862" spans="1:9" x14ac:dyDescent="0.45">
      <c r="A2862" t="s">
        <v>11</v>
      </c>
      <c r="B2862" t="s">
        <v>49</v>
      </c>
      <c r="C2862" t="str">
        <f t="shared" si="88"/>
        <v>ArizonaNorfolk St.</v>
      </c>
      <c r="D2862" t="s">
        <v>11</v>
      </c>
      <c r="E2862">
        <v>99.2</v>
      </c>
      <c r="F2862">
        <v>-31.271698113207499</v>
      </c>
      <c r="G2862">
        <v>-11795.18444056</v>
      </c>
      <c r="H2862">
        <v>140.62348006596801</v>
      </c>
      <c r="I2862" s="1">
        <f t="shared" si="89"/>
        <v>164.76808845969316</v>
      </c>
    </row>
    <row r="2863" spans="1:9" x14ac:dyDescent="0.45">
      <c r="A2863" t="s">
        <v>12</v>
      </c>
      <c r="B2863" t="s">
        <v>49</v>
      </c>
      <c r="C2863" t="str">
        <f t="shared" si="88"/>
        <v>ArkansasNorfolk St.</v>
      </c>
      <c r="D2863" t="s">
        <v>12</v>
      </c>
      <c r="E2863">
        <v>87.7</v>
      </c>
      <c r="F2863">
        <v>-12.8792452830189</v>
      </c>
      <c r="G2863">
        <v>-713.20863993894602</v>
      </c>
      <c r="H2863">
        <v>138.74108389982499</v>
      </c>
      <c r="I2863" s="1">
        <f t="shared" si="89"/>
        <v>138.26190705238051</v>
      </c>
    </row>
    <row r="2864" spans="1:9" x14ac:dyDescent="0.45">
      <c r="A2864" t="s">
        <v>13</v>
      </c>
      <c r="B2864" t="s">
        <v>49</v>
      </c>
      <c r="C2864" t="str">
        <f t="shared" si="88"/>
        <v>AuburnNorfolk St.</v>
      </c>
      <c r="D2864" t="s">
        <v>13</v>
      </c>
      <c r="E2864">
        <v>99.7</v>
      </c>
      <c r="F2864">
        <v>-37.920754716981101</v>
      </c>
      <c r="G2864">
        <v>-32534.509726279699</v>
      </c>
      <c r="H2864">
        <v>141.87980330508699</v>
      </c>
      <c r="I2864" s="1">
        <f t="shared" si="89"/>
        <v>182.45848343671958</v>
      </c>
    </row>
    <row r="2865" spans="1:9" x14ac:dyDescent="0.45">
      <c r="A2865" t="s">
        <v>14</v>
      </c>
      <c r="B2865" t="s">
        <v>49</v>
      </c>
      <c r="C2865" t="str">
        <f t="shared" si="88"/>
        <v>BaylorNorfolk St.</v>
      </c>
      <c r="D2865" t="s">
        <v>14</v>
      </c>
      <c r="E2865">
        <v>97.2</v>
      </c>
      <c r="F2865">
        <v>-23.188679245283002</v>
      </c>
      <c r="G2865">
        <v>-3438.40134313504</v>
      </c>
      <c r="H2865">
        <v>140.41480131781199</v>
      </c>
      <c r="I2865" s="1">
        <f t="shared" si="89"/>
        <v>161.82966515966712</v>
      </c>
    </row>
    <row r="2866" spans="1:9" x14ac:dyDescent="0.45">
      <c r="A2866" t="s">
        <v>15</v>
      </c>
      <c r="B2866" t="s">
        <v>49</v>
      </c>
      <c r="C2866" t="str">
        <f t="shared" si="88"/>
        <v>BryantNorfolk St.</v>
      </c>
      <c r="D2866" t="s">
        <v>15</v>
      </c>
      <c r="E2866">
        <v>60.9</v>
      </c>
      <c r="F2866">
        <v>-2.9056603773584899</v>
      </c>
      <c r="G2866">
        <v>-155.74582836862899</v>
      </c>
      <c r="H2866">
        <v>139.96379906770599</v>
      </c>
      <c r="I2866" s="1">
        <f t="shared" si="89"/>
        <v>155.47906390397611</v>
      </c>
    </row>
    <row r="2867" spans="1:9" x14ac:dyDescent="0.45">
      <c r="A2867" t="s">
        <v>16</v>
      </c>
      <c r="B2867" t="s">
        <v>49</v>
      </c>
      <c r="C2867" t="str">
        <f t="shared" si="88"/>
        <v>BYUNorfolk St.</v>
      </c>
      <c r="D2867" t="s">
        <v>16</v>
      </c>
      <c r="E2867">
        <v>97.7</v>
      </c>
      <c r="F2867">
        <v>-24.4830188679245</v>
      </c>
      <c r="G2867">
        <v>-4188.8340086302396</v>
      </c>
      <c r="H2867">
        <v>140.22431954592901</v>
      </c>
      <c r="I2867" s="1">
        <f t="shared" si="89"/>
        <v>159.14747503883729</v>
      </c>
    </row>
    <row r="2868" spans="1:9" x14ac:dyDescent="0.45">
      <c r="A2868" t="s">
        <v>17</v>
      </c>
      <c r="B2868" t="s">
        <v>49</v>
      </c>
      <c r="C2868" t="str">
        <f t="shared" si="88"/>
        <v>ClemsonNorfolk St.</v>
      </c>
      <c r="D2868" t="s">
        <v>17</v>
      </c>
      <c r="E2868">
        <v>98.2</v>
      </c>
      <c r="F2868">
        <v>-26.109433962264099</v>
      </c>
      <c r="G2868">
        <v>-5367.1616650660699</v>
      </c>
      <c r="H2868">
        <v>140.446231402221</v>
      </c>
      <c r="I2868" s="1">
        <f t="shared" si="89"/>
        <v>162.27223486628705</v>
      </c>
    </row>
    <row r="2869" spans="1:9" x14ac:dyDescent="0.45">
      <c r="A2869" t="s">
        <v>18</v>
      </c>
      <c r="B2869" t="s">
        <v>49</v>
      </c>
      <c r="C2869" t="str">
        <f t="shared" si="88"/>
        <v>Colorado St.Norfolk St.</v>
      </c>
      <c r="D2869" t="s">
        <v>18</v>
      </c>
      <c r="E2869">
        <v>89.8</v>
      </c>
      <c r="F2869">
        <v>-14.271698113207499</v>
      </c>
      <c r="G2869">
        <v>-881.86711287557296</v>
      </c>
      <c r="H2869">
        <v>139.753623250326</v>
      </c>
      <c r="I2869" s="1">
        <f t="shared" si="89"/>
        <v>152.51956024417055</v>
      </c>
    </row>
    <row r="2870" spans="1:9" x14ac:dyDescent="0.45">
      <c r="A2870" t="s">
        <v>19</v>
      </c>
      <c r="B2870" t="s">
        <v>49</v>
      </c>
      <c r="C2870" t="str">
        <f t="shared" si="88"/>
        <v>ConnecticutNorfolk St.</v>
      </c>
      <c r="D2870" t="s">
        <v>19</v>
      </c>
      <c r="E2870">
        <v>98.9</v>
      </c>
      <c r="F2870">
        <v>-29.5735849056604</v>
      </c>
      <c r="G2870">
        <v>-9103.3279354285205</v>
      </c>
      <c r="H2870">
        <v>140.38917515266201</v>
      </c>
      <c r="I2870" s="1">
        <f t="shared" si="89"/>
        <v>161.46882093651345</v>
      </c>
    </row>
    <row r="2871" spans="1:9" x14ac:dyDescent="0.45">
      <c r="A2871" t="s">
        <v>20</v>
      </c>
      <c r="B2871" t="s">
        <v>49</v>
      </c>
      <c r="C2871" t="str">
        <f t="shared" si="88"/>
        <v>CreightonNorfolk St.</v>
      </c>
      <c r="D2871" t="s">
        <v>20</v>
      </c>
      <c r="E2871">
        <v>96.6</v>
      </c>
      <c r="F2871">
        <v>-21.8792452830189</v>
      </c>
      <c r="G2871">
        <v>-2815.9190167858801</v>
      </c>
      <c r="H2871">
        <v>139.86211751492601</v>
      </c>
      <c r="I2871" s="1">
        <f t="shared" si="89"/>
        <v>154.04727726297071</v>
      </c>
    </row>
    <row r="2872" spans="1:9" x14ac:dyDescent="0.45">
      <c r="A2872" t="s">
        <v>21</v>
      </c>
      <c r="B2872" t="s">
        <v>49</v>
      </c>
      <c r="C2872" t="str">
        <f t="shared" si="88"/>
        <v>DrakeNorfolk St.</v>
      </c>
      <c r="D2872" t="s">
        <v>21</v>
      </c>
      <c r="E2872">
        <v>89.7</v>
      </c>
      <c r="F2872">
        <v>-14.218867924528301</v>
      </c>
      <c r="G2872">
        <v>-875.074945020575</v>
      </c>
      <c r="H2872">
        <v>139.91558261908</v>
      </c>
      <c r="I2872" s="1">
        <f t="shared" si="89"/>
        <v>154.80012396716376</v>
      </c>
    </row>
    <row r="2873" spans="1:9" x14ac:dyDescent="0.45">
      <c r="A2873" t="s">
        <v>22</v>
      </c>
      <c r="B2873" t="s">
        <v>49</v>
      </c>
      <c r="C2873" t="str">
        <f t="shared" si="88"/>
        <v>DukeNorfolk St.</v>
      </c>
      <c r="D2873" t="s">
        <v>22</v>
      </c>
      <c r="E2873">
        <v>99.8</v>
      </c>
      <c r="F2873">
        <v>-40.430188679245298</v>
      </c>
      <c r="G2873">
        <v>-47703.878012701003</v>
      </c>
      <c r="H2873">
        <v>142.202903080536</v>
      </c>
      <c r="I2873" s="1">
        <f t="shared" si="89"/>
        <v>187.00807900791176</v>
      </c>
    </row>
    <row r="2874" spans="1:9" x14ac:dyDescent="0.45">
      <c r="A2874" t="s">
        <v>23</v>
      </c>
      <c r="B2874" t="s">
        <v>49</v>
      </c>
      <c r="C2874" t="str">
        <f t="shared" si="88"/>
        <v>FloridaNorfolk St.</v>
      </c>
      <c r="D2874" t="s">
        <v>23</v>
      </c>
      <c r="E2874">
        <v>99.6</v>
      </c>
      <c r="F2874">
        <v>-36.5320754716981</v>
      </c>
      <c r="G2874">
        <v>-26315.223339905999</v>
      </c>
      <c r="H2874">
        <v>141.92665935647901</v>
      </c>
      <c r="I2874" s="1">
        <f t="shared" si="89"/>
        <v>183.11826750373234</v>
      </c>
    </row>
    <row r="2875" spans="1:9" x14ac:dyDescent="0.45">
      <c r="A2875" t="s">
        <v>24</v>
      </c>
      <c r="B2875" t="s">
        <v>49</v>
      </c>
      <c r="C2875" t="str">
        <f t="shared" si="88"/>
        <v>GeorgiaNorfolk St.</v>
      </c>
      <c r="D2875" t="s">
        <v>24</v>
      </c>
      <c r="E2875">
        <v>90.8</v>
      </c>
      <c r="F2875">
        <v>-15.022641509433999</v>
      </c>
      <c r="G2875">
        <v>-989.40096178910301</v>
      </c>
      <c r="H2875">
        <v>139.06847288082301</v>
      </c>
      <c r="I2875" s="1">
        <f t="shared" si="89"/>
        <v>142.87189929374247</v>
      </c>
    </row>
    <row r="2876" spans="1:9" x14ac:dyDescent="0.45">
      <c r="A2876" t="s">
        <v>25</v>
      </c>
      <c r="B2876" t="s">
        <v>49</v>
      </c>
      <c r="C2876" t="str">
        <f t="shared" si="88"/>
        <v>GonzagaNorfolk St.</v>
      </c>
      <c r="D2876" t="s">
        <v>25</v>
      </c>
      <c r="E2876">
        <v>98.2</v>
      </c>
      <c r="F2876">
        <v>-26.350943396226398</v>
      </c>
      <c r="G2876">
        <v>-5569.2098860219003</v>
      </c>
      <c r="H2876">
        <v>141.20611400035199</v>
      </c>
      <c r="I2876" s="1">
        <f t="shared" si="89"/>
        <v>172.9722067194966</v>
      </c>
    </row>
    <row r="2877" spans="1:9" x14ac:dyDescent="0.45">
      <c r="A2877" t="s">
        <v>26</v>
      </c>
      <c r="B2877" t="s">
        <v>49</v>
      </c>
      <c r="C2877" t="str">
        <f t="shared" si="88"/>
        <v>Grand CanyonNorfolk St.</v>
      </c>
      <c r="D2877" t="s">
        <v>26</v>
      </c>
      <c r="E2877">
        <v>84.5</v>
      </c>
      <c r="F2877">
        <v>-11.101886792452801</v>
      </c>
      <c r="G2877">
        <v>-543.88989355827698</v>
      </c>
      <c r="H2877">
        <v>139.85808224665601</v>
      </c>
      <c r="I2877" s="1">
        <f t="shared" si="89"/>
        <v>153.99045630534468</v>
      </c>
    </row>
    <row r="2878" spans="1:9" x14ac:dyDescent="0.45">
      <c r="A2878" t="s">
        <v>27</v>
      </c>
      <c r="B2878" t="s">
        <v>49</v>
      </c>
      <c r="C2878" t="str">
        <f t="shared" si="88"/>
        <v>High PointNorfolk St.</v>
      </c>
      <c r="D2878" t="s">
        <v>27</v>
      </c>
      <c r="E2878">
        <v>78.099999999999994</v>
      </c>
      <c r="F2878">
        <v>-8.3283018867924508</v>
      </c>
      <c r="G2878">
        <v>-356.31566842589598</v>
      </c>
      <c r="H2878">
        <v>140.13897399431201</v>
      </c>
      <c r="I2878" s="1">
        <f t="shared" si="89"/>
        <v>157.94571702734368</v>
      </c>
    </row>
    <row r="2879" spans="1:9" x14ac:dyDescent="0.45">
      <c r="A2879" t="s">
        <v>28</v>
      </c>
      <c r="B2879" t="s">
        <v>49</v>
      </c>
      <c r="C2879" t="str">
        <f t="shared" si="88"/>
        <v>HoustonNorfolk St.</v>
      </c>
      <c r="D2879" t="s">
        <v>28</v>
      </c>
      <c r="E2879">
        <v>99.9</v>
      </c>
      <c r="F2879">
        <v>-43.943396226415103</v>
      </c>
      <c r="G2879">
        <v>-81534.4098171285</v>
      </c>
      <c r="H2879">
        <v>142.346567430166</v>
      </c>
      <c r="I2879" s="1">
        <f t="shared" si="89"/>
        <v>189.03102900193923</v>
      </c>
    </row>
    <row r="2880" spans="1:9" x14ac:dyDescent="0.45">
      <c r="A2880" t="s">
        <v>29</v>
      </c>
      <c r="B2880" t="s">
        <v>49</v>
      </c>
      <c r="C2880" t="str">
        <f t="shared" si="88"/>
        <v>IllinoisNorfolk St.</v>
      </c>
      <c r="D2880" t="s">
        <v>29</v>
      </c>
      <c r="E2880">
        <v>98.8</v>
      </c>
      <c r="F2880">
        <v>-28.833962264150902</v>
      </c>
      <c r="G2880">
        <v>-8132.7661311209504</v>
      </c>
      <c r="H2880">
        <v>140.39681258410201</v>
      </c>
      <c r="I2880" s="1">
        <f t="shared" si="89"/>
        <v>161.57636426181114</v>
      </c>
    </row>
    <row r="2881" spans="1:9" x14ac:dyDescent="0.45">
      <c r="A2881" t="s">
        <v>30</v>
      </c>
      <c r="B2881" t="s">
        <v>49</v>
      </c>
      <c r="C2881" t="str">
        <f t="shared" si="88"/>
        <v>Iowa St.Norfolk St.</v>
      </c>
      <c r="D2881" t="s">
        <v>30</v>
      </c>
      <c r="E2881">
        <v>99.4</v>
      </c>
      <c r="F2881">
        <v>-33.716981132075503</v>
      </c>
      <c r="G2881">
        <v>-17130.840157158302</v>
      </c>
      <c r="H2881">
        <v>141.32308116246099</v>
      </c>
      <c r="I2881" s="1">
        <f t="shared" si="89"/>
        <v>174.61923133276511</v>
      </c>
    </row>
    <row r="2882" spans="1:9" x14ac:dyDescent="0.45">
      <c r="A2882" t="s">
        <v>31</v>
      </c>
      <c r="B2882" t="s">
        <v>49</v>
      </c>
      <c r="C2882" t="str">
        <f t="shared" si="88"/>
        <v>KansasNorfolk St.</v>
      </c>
      <c r="D2882" t="s">
        <v>31</v>
      </c>
      <c r="E2882">
        <v>98</v>
      </c>
      <c r="F2882">
        <v>-25.615094339622601</v>
      </c>
      <c r="G2882">
        <v>-4976.9946759643199</v>
      </c>
      <c r="H2882">
        <v>140.27847144677199</v>
      </c>
      <c r="I2882" s="1">
        <f t="shared" si="89"/>
        <v>159.90999258594636</v>
      </c>
    </row>
    <row r="2883" spans="1:9" x14ac:dyDescent="0.45">
      <c r="A2883" t="s">
        <v>32</v>
      </c>
      <c r="B2883" t="s">
        <v>49</v>
      </c>
      <c r="C2883" t="str">
        <f t="shared" ref="C2883:C2946" si="90">A2883&amp;B2883</f>
        <v>KentuckyNorfolk St.</v>
      </c>
      <c r="D2883" t="s">
        <v>32</v>
      </c>
      <c r="E2883">
        <v>98.8</v>
      </c>
      <c r="F2883">
        <v>-29.0415094339623</v>
      </c>
      <c r="G2883">
        <v>-8396.0794625381695</v>
      </c>
      <c r="H2883">
        <v>140.22550904716499</v>
      </c>
      <c r="I2883" s="1">
        <f t="shared" ref="I2883:I2946" si="91">18*(H2883-AVERAGE($H$2:$H$4625))/_xlfn.STDEV.P($H$2:$H$4625)+AVERAGE($H$2:$H$4625)</f>
        <v>159.16422450747325</v>
      </c>
    </row>
    <row r="2884" spans="1:9" x14ac:dyDescent="0.45">
      <c r="A2884" t="s">
        <v>33</v>
      </c>
      <c r="B2884" t="s">
        <v>49</v>
      </c>
      <c r="C2884" t="str">
        <f t="shared" si="90"/>
        <v>LibertyNorfolk St.</v>
      </c>
      <c r="D2884" t="s">
        <v>33</v>
      </c>
      <c r="E2884">
        <v>70</v>
      </c>
      <c r="F2884">
        <v>-5.5547169811320796</v>
      </c>
      <c r="G2884">
        <v>-233.300925671214</v>
      </c>
      <c r="H2884">
        <v>139.43444529556299</v>
      </c>
      <c r="I2884" s="1">
        <f t="shared" si="91"/>
        <v>148.02518816547155</v>
      </c>
    </row>
    <row r="2885" spans="1:9" x14ac:dyDescent="0.45">
      <c r="A2885" t="s">
        <v>34</v>
      </c>
      <c r="B2885" t="s">
        <v>49</v>
      </c>
      <c r="C2885" t="str">
        <f t="shared" si="90"/>
        <v>LipscombNorfolk St.</v>
      </c>
      <c r="D2885" t="s">
        <v>34</v>
      </c>
      <c r="E2885">
        <v>64.099999999999994</v>
      </c>
      <c r="F2885">
        <v>-3.8113207547169798</v>
      </c>
      <c r="G2885">
        <v>-178.84903970388399</v>
      </c>
      <c r="H2885">
        <v>139.866365526821</v>
      </c>
      <c r="I2885" s="1">
        <f t="shared" si="91"/>
        <v>154.10709388177506</v>
      </c>
    </row>
    <row r="2886" spans="1:9" x14ac:dyDescent="0.45">
      <c r="A2886" t="s">
        <v>35</v>
      </c>
      <c r="B2886" t="s">
        <v>49</v>
      </c>
      <c r="C2886" t="str">
        <f t="shared" si="90"/>
        <v>LouisvilleNorfolk St.</v>
      </c>
      <c r="D2886" t="s">
        <v>35</v>
      </c>
      <c r="E2886">
        <v>82</v>
      </c>
      <c r="F2886">
        <v>-9.9169811320754704</v>
      </c>
      <c r="G2886">
        <v>-454.04603145750599</v>
      </c>
      <c r="H2886">
        <v>139.15208883878901</v>
      </c>
      <c r="I2886" s="1">
        <f t="shared" si="91"/>
        <v>144.04930274911305</v>
      </c>
    </row>
    <row r="2887" spans="1:9" x14ac:dyDescent="0.45">
      <c r="A2887" t="s">
        <v>36</v>
      </c>
      <c r="B2887" t="s">
        <v>49</v>
      </c>
      <c r="C2887" t="str">
        <f t="shared" si="90"/>
        <v>MarquetteNorfolk St.</v>
      </c>
      <c r="D2887" t="s">
        <v>36</v>
      </c>
      <c r="E2887">
        <v>98.5</v>
      </c>
      <c r="F2887">
        <v>-27.264150943396199</v>
      </c>
      <c r="G2887">
        <v>-6400.3730855662698</v>
      </c>
      <c r="H2887">
        <v>140.483845473694</v>
      </c>
      <c r="I2887" s="1">
        <f t="shared" si="91"/>
        <v>162.80188182364026</v>
      </c>
    </row>
    <row r="2888" spans="1:9" x14ac:dyDescent="0.45">
      <c r="A2888" t="s">
        <v>37</v>
      </c>
      <c r="B2888" t="s">
        <v>49</v>
      </c>
      <c r="C2888" t="str">
        <f t="shared" si="90"/>
        <v>MarylandNorfolk St.</v>
      </c>
      <c r="D2888" t="s">
        <v>37</v>
      </c>
      <c r="E2888">
        <v>97.7</v>
      </c>
      <c r="F2888">
        <v>-24.720754716981101</v>
      </c>
      <c r="G2888">
        <v>-4341.7112028510401</v>
      </c>
      <c r="H2888">
        <v>140.093784785373</v>
      </c>
      <c r="I2888" s="1">
        <f t="shared" si="91"/>
        <v>157.30940391146834</v>
      </c>
    </row>
    <row r="2889" spans="1:9" x14ac:dyDescent="0.45">
      <c r="A2889" t="s">
        <v>38</v>
      </c>
      <c r="B2889" t="s">
        <v>49</v>
      </c>
      <c r="C2889" t="str">
        <f t="shared" si="90"/>
        <v>McNeese St.Norfolk St.</v>
      </c>
      <c r="D2889" t="s">
        <v>38</v>
      </c>
      <c r="E2889">
        <v>88.6</v>
      </c>
      <c r="F2889">
        <v>-13.411320754717</v>
      </c>
      <c r="G2889">
        <v>-773.59164504334501</v>
      </c>
      <c r="H2889">
        <v>139.92919639957401</v>
      </c>
      <c r="I2889" s="1">
        <f t="shared" si="91"/>
        <v>154.99182077461796</v>
      </c>
    </row>
    <row r="2890" spans="1:9" x14ac:dyDescent="0.45">
      <c r="A2890" t="s">
        <v>39</v>
      </c>
      <c r="B2890" t="s">
        <v>49</v>
      </c>
      <c r="C2890" t="str">
        <f t="shared" si="90"/>
        <v>MemphisNorfolk St.</v>
      </c>
      <c r="D2890" t="s">
        <v>39</v>
      </c>
      <c r="E2890">
        <v>95.7</v>
      </c>
      <c r="F2890">
        <v>-20.332075471698101</v>
      </c>
      <c r="G2890">
        <v>-2223.7933532679099</v>
      </c>
      <c r="H2890">
        <v>139.07141959839299</v>
      </c>
      <c r="I2890" s="1">
        <f t="shared" si="91"/>
        <v>142.91339227586332</v>
      </c>
    </row>
    <row r="2891" spans="1:9" x14ac:dyDescent="0.45">
      <c r="A2891" t="s">
        <v>40</v>
      </c>
      <c r="B2891" t="s">
        <v>49</v>
      </c>
      <c r="C2891" t="str">
        <f t="shared" si="90"/>
        <v>MichiganNorfolk St.</v>
      </c>
      <c r="D2891" t="s">
        <v>40</v>
      </c>
      <c r="E2891">
        <v>92.1</v>
      </c>
      <c r="F2891">
        <v>-16.147169811320801</v>
      </c>
      <c r="G2891">
        <v>-1173.8845542302799</v>
      </c>
      <c r="H2891">
        <v>138.728340683076</v>
      </c>
      <c r="I2891" s="1">
        <f t="shared" si="91"/>
        <v>138.08246872747495</v>
      </c>
    </row>
    <row r="2892" spans="1:9" x14ac:dyDescent="0.45">
      <c r="A2892" t="s">
        <v>41</v>
      </c>
      <c r="B2892" t="s">
        <v>49</v>
      </c>
      <c r="C2892" t="str">
        <f t="shared" si="90"/>
        <v>Michigan St.Norfolk St.</v>
      </c>
      <c r="D2892" t="s">
        <v>41</v>
      </c>
      <c r="E2892">
        <v>99.1</v>
      </c>
      <c r="F2892">
        <v>-30.969811320754701</v>
      </c>
      <c r="G2892">
        <v>-11264.170706066699</v>
      </c>
      <c r="H2892">
        <v>140.427232643905</v>
      </c>
      <c r="I2892" s="1">
        <f t="shared" si="91"/>
        <v>162.00471172557141</v>
      </c>
    </row>
    <row r="2893" spans="1:9" x14ac:dyDescent="0.45">
      <c r="A2893" t="s">
        <v>42</v>
      </c>
      <c r="B2893" t="s">
        <v>49</v>
      </c>
      <c r="C2893" t="str">
        <f t="shared" si="90"/>
        <v>MississippiNorfolk St.</v>
      </c>
      <c r="D2893" t="s">
        <v>42</v>
      </c>
      <c r="E2893">
        <v>96.7</v>
      </c>
      <c r="F2893">
        <v>-22.060377358490602</v>
      </c>
      <c r="G2893">
        <v>-2893.21250258497</v>
      </c>
      <c r="H2893">
        <v>139.55815374900001</v>
      </c>
      <c r="I2893" s="1">
        <f t="shared" si="91"/>
        <v>149.76713747847845</v>
      </c>
    </row>
    <row r="2894" spans="1:9" x14ac:dyDescent="0.45">
      <c r="A2894" t="s">
        <v>43</v>
      </c>
      <c r="B2894" t="s">
        <v>49</v>
      </c>
      <c r="C2894" t="str">
        <f t="shared" si="90"/>
        <v>Mississippi St.Norfolk St.</v>
      </c>
      <c r="D2894" t="s">
        <v>43</v>
      </c>
      <c r="E2894">
        <v>95.6</v>
      </c>
      <c r="F2894">
        <v>-20.211320754717001</v>
      </c>
      <c r="G2894">
        <v>-2182.1723630478</v>
      </c>
      <c r="H2894">
        <v>139.68252510278899</v>
      </c>
      <c r="I2894" s="1">
        <f t="shared" si="91"/>
        <v>151.51842114803577</v>
      </c>
    </row>
    <row r="2895" spans="1:9" x14ac:dyDescent="0.45">
      <c r="A2895" t="s">
        <v>44</v>
      </c>
      <c r="B2895" t="s">
        <v>49</v>
      </c>
      <c r="C2895" t="str">
        <f t="shared" si="90"/>
        <v>MissouriNorfolk St.</v>
      </c>
      <c r="D2895" t="s">
        <v>44</v>
      </c>
      <c r="E2895">
        <v>90.5</v>
      </c>
      <c r="F2895">
        <v>-14.796226415094299</v>
      </c>
      <c r="G2895">
        <v>-955.63073747409499</v>
      </c>
      <c r="H2895">
        <v>138.94699703896299</v>
      </c>
      <c r="I2895" s="1">
        <f t="shared" si="91"/>
        <v>141.16138757529529</v>
      </c>
    </row>
    <row r="2896" spans="1:9" x14ac:dyDescent="0.45">
      <c r="A2896" t="s">
        <v>45</v>
      </c>
      <c r="B2896" t="s">
        <v>49</v>
      </c>
      <c r="C2896" t="str">
        <f t="shared" si="90"/>
        <v>MontanaNorfolk St.</v>
      </c>
      <c r="D2896" t="s">
        <v>49</v>
      </c>
      <c r="E2896">
        <v>48.2</v>
      </c>
      <c r="F2896">
        <v>0.46037735849056599</v>
      </c>
      <c r="G2896">
        <v>107.275849365914</v>
      </c>
      <c r="H2896">
        <v>138.255731763982</v>
      </c>
      <c r="I2896" s="1">
        <f t="shared" si="91"/>
        <v>131.42762211785447</v>
      </c>
    </row>
    <row r="2897" spans="1:9" x14ac:dyDescent="0.45">
      <c r="A2897" t="s">
        <v>46</v>
      </c>
      <c r="B2897" t="s">
        <v>49</v>
      </c>
      <c r="C2897" t="str">
        <f t="shared" si="90"/>
        <v>Mount St. Mary'sNorfolk St.</v>
      </c>
      <c r="D2897" t="s">
        <v>49</v>
      </c>
      <c r="E2897">
        <v>26.8</v>
      </c>
      <c r="F2897">
        <v>6.5773584905660396</v>
      </c>
      <c r="G2897">
        <v>272.71100113063801</v>
      </c>
      <c r="H2897">
        <v>139.60360598592899</v>
      </c>
      <c r="I2897" s="1">
        <f t="shared" si="91"/>
        <v>150.40715431397609</v>
      </c>
    </row>
    <row r="2898" spans="1:9" x14ac:dyDescent="0.45">
      <c r="A2898" t="s">
        <v>47</v>
      </c>
      <c r="B2898" t="s">
        <v>49</v>
      </c>
      <c r="C2898" t="str">
        <f t="shared" si="90"/>
        <v>Nebraska OmahaNorfolk St.</v>
      </c>
      <c r="D2898" t="s">
        <v>49</v>
      </c>
      <c r="E2898">
        <v>32.299999999999997</v>
      </c>
      <c r="F2898">
        <v>4.8603773584905703</v>
      </c>
      <c r="G2898">
        <v>209.909596652614</v>
      </c>
      <c r="H2898">
        <v>138.887607165828</v>
      </c>
      <c r="I2898" s="1">
        <f t="shared" si="91"/>
        <v>140.32511369236514</v>
      </c>
    </row>
    <row r="2899" spans="1:9" x14ac:dyDescent="0.45">
      <c r="A2899" t="s">
        <v>48</v>
      </c>
      <c r="B2899" t="s">
        <v>49</v>
      </c>
      <c r="C2899" t="str">
        <f t="shared" si="90"/>
        <v>New MexicoNorfolk St.</v>
      </c>
      <c r="D2899" t="s">
        <v>48</v>
      </c>
      <c r="E2899">
        <v>92.4</v>
      </c>
      <c r="F2899">
        <v>-16.384905660377399</v>
      </c>
      <c r="G2899">
        <v>-1217.8764503718501</v>
      </c>
      <c r="H2899">
        <v>139.76535151310401</v>
      </c>
      <c r="I2899" s="1">
        <f t="shared" si="91"/>
        <v>152.68470691540685</v>
      </c>
    </row>
    <row r="2900" spans="1:9" x14ac:dyDescent="0.45">
      <c r="A2900" t="s">
        <v>49</v>
      </c>
      <c r="B2900" t="s">
        <v>49</v>
      </c>
      <c r="C2900" t="str">
        <f t="shared" si="90"/>
        <v>Norfolk St.Norfolk St.</v>
      </c>
      <c r="D2900" t="s">
        <v>49</v>
      </c>
      <c r="E2900">
        <v>41.2</v>
      </c>
      <c r="F2900">
        <v>2.3283018867924499</v>
      </c>
      <c r="G2900">
        <v>142.64273539779199</v>
      </c>
      <c r="H2900">
        <v>138.77771517530499</v>
      </c>
      <c r="I2900" s="1">
        <f t="shared" si="91"/>
        <v>138.77771517530277</v>
      </c>
    </row>
    <row r="2901" spans="1:9" x14ac:dyDescent="0.45">
      <c r="A2901" t="s">
        <v>50</v>
      </c>
      <c r="B2901" t="s">
        <v>49</v>
      </c>
      <c r="C2901" t="str">
        <f t="shared" si="90"/>
        <v>North CarolinaNorfolk St.</v>
      </c>
      <c r="D2901" t="s">
        <v>50</v>
      </c>
      <c r="E2901">
        <v>97.6</v>
      </c>
      <c r="F2901">
        <v>-24.4264150943396</v>
      </c>
      <c r="G2901">
        <v>-4152.3721137103503</v>
      </c>
      <c r="H2901">
        <v>140.84964660726101</v>
      </c>
      <c r="I2901" s="1">
        <f t="shared" si="91"/>
        <v>167.95275887052375</v>
      </c>
    </row>
    <row r="2902" spans="1:9" x14ac:dyDescent="0.45">
      <c r="A2902" t="s">
        <v>51</v>
      </c>
      <c r="B2902" t="s">
        <v>49</v>
      </c>
      <c r="C2902" t="str">
        <f t="shared" si="90"/>
        <v>OklahomaNorfolk St.</v>
      </c>
      <c r="D2902" t="s">
        <v>51</v>
      </c>
      <c r="E2902">
        <v>93.2</v>
      </c>
      <c r="F2902">
        <v>-17.1207547169811</v>
      </c>
      <c r="G2902">
        <v>-1362.34701277145</v>
      </c>
      <c r="H2902">
        <v>139.19224990276601</v>
      </c>
      <c r="I2902" s="1">
        <f t="shared" si="91"/>
        <v>144.61481412574642</v>
      </c>
    </row>
    <row r="2903" spans="1:9" x14ac:dyDescent="0.45">
      <c r="A2903" t="s">
        <v>52</v>
      </c>
      <c r="B2903" t="s">
        <v>49</v>
      </c>
      <c r="C2903" t="str">
        <f t="shared" si="90"/>
        <v>OregonNorfolk St.</v>
      </c>
      <c r="D2903" t="s">
        <v>52</v>
      </c>
      <c r="E2903">
        <v>97.8</v>
      </c>
      <c r="F2903">
        <v>-24.947169811320801</v>
      </c>
      <c r="G2903">
        <v>-4494.8184041546201</v>
      </c>
      <c r="H2903">
        <v>139.78662769090599</v>
      </c>
      <c r="I2903" s="1">
        <f t="shared" si="91"/>
        <v>152.98429859468072</v>
      </c>
    </row>
    <row r="2904" spans="1:9" x14ac:dyDescent="0.45">
      <c r="A2904" t="s">
        <v>53</v>
      </c>
      <c r="B2904" t="s">
        <v>49</v>
      </c>
      <c r="C2904" t="str">
        <f t="shared" si="90"/>
        <v>PurdueNorfolk St.</v>
      </c>
      <c r="D2904" t="s">
        <v>53</v>
      </c>
      <c r="E2904">
        <v>99.6</v>
      </c>
      <c r="F2904">
        <v>-35.856603773584901</v>
      </c>
      <c r="G2904">
        <v>-23742.137773330898</v>
      </c>
      <c r="H2904">
        <v>141.13461501969601</v>
      </c>
      <c r="I2904" s="1">
        <f t="shared" si="91"/>
        <v>171.9654234579325</v>
      </c>
    </row>
    <row r="2905" spans="1:9" x14ac:dyDescent="0.45">
      <c r="A2905" t="s">
        <v>54</v>
      </c>
      <c r="B2905" t="s">
        <v>49</v>
      </c>
      <c r="C2905" t="str">
        <f t="shared" si="90"/>
        <v>Robert MorrisNorfolk St.</v>
      </c>
      <c r="D2905" t="s">
        <v>49</v>
      </c>
      <c r="E2905">
        <v>22.6</v>
      </c>
      <c r="F2905">
        <v>8.0867924528301902</v>
      </c>
      <c r="G2905">
        <v>343.29000633884198</v>
      </c>
      <c r="H2905">
        <v>138.19325186845799</v>
      </c>
      <c r="I2905" s="1">
        <f t="shared" si="91"/>
        <v>130.54783736539051</v>
      </c>
    </row>
    <row r="2906" spans="1:9" x14ac:dyDescent="0.45">
      <c r="A2906" t="s">
        <v>55</v>
      </c>
      <c r="B2906" t="s">
        <v>49</v>
      </c>
      <c r="C2906" t="str">
        <f t="shared" si="90"/>
        <v>Saint FrancisNorfolk St.</v>
      </c>
      <c r="D2906" t="s">
        <v>49</v>
      </c>
      <c r="E2906">
        <v>16.100000000000001</v>
      </c>
      <c r="F2906">
        <v>10.811320754717</v>
      </c>
      <c r="G2906">
        <v>520.32666322585999</v>
      </c>
      <c r="H2906">
        <v>139.246107401665</v>
      </c>
      <c r="I2906" s="1">
        <f t="shared" si="91"/>
        <v>145.37318617390346</v>
      </c>
    </row>
    <row r="2907" spans="1:9" x14ac:dyDescent="0.45">
      <c r="A2907" t="s">
        <v>56</v>
      </c>
      <c r="B2907" t="s">
        <v>49</v>
      </c>
      <c r="C2907" t="str">
        <f t="shared" si="90"/>
        <v>Saint Mary'sNorfolk St.</v>
      </c>
      <c r="D2907" t="s">
        <v>56</v>
      </c>
      <c r="E2907">
        <v>97.5</v>
      </c>
      <c r="F2907">
        <v>-23.9018867924528</v>
      </c>
      <c r="G2907">
        <v>-3833.6070402895798</v>
      </c>
      <c r="H2907">
        <v>140.497362602756</v>
      </c>
      <c r="I2907" s="1">
        <f t="shared" si="91"/>
        <v>162.99221767401409</v>
      </c>
    </row>
    <row r="2908" spans="1:9" x14ac:dyDescent="0.45">
      <c r="A2908" t="s">
        <v>57</v>
      </c>
      <c r="B2908" t="s">
        <v>49</v>
      </c>
      <c r="C2908" t="str">
        <f t="shared" si="90"/>
        <v>San Diego St.Norfolk St.</v>
      </c>
      <c r="D2908" t="s">
        <v>57</v>
      </c>
      <c r="E2908">
        <v>91.8</v>
      </c>
      <c r="F2908">
        <v>-15.811320754717</v>
      </c>
      <c r="G2908">
        <v>-1115.49212310194</v>
      </c>
      <c r="H2908">
        <v>139.643617482553</v>
      </c>
      <c r="I2908" s="1">
        <f t="shared" si="91"/>
        <v>150.97055961992024</v>
      </c>
    </row>
    <row r="2909" spans="1:9" x14ac:dyDescent="0.45">
      <c r="A2909" t="s">
        <v>58</v>
      </c>
      <c r="B2909" t="s">
        <v>49</v>
      </c>
      <c r="C2909" t="str">
        <f t="shared" si="90"/>
        <v>SIU EdwardsvilleNorfolk St.</v>
      </c>
      <c r="D2909" t="s">
        <v>49</v>
      </c>
      <c r="E2909">
        <v>35.9</v>
      </c>
      <c r="F2909">
        <v>3.7886792452830198</v>
      </c>
      <c r="G2909">
        <v>178.201133009898</v>
      </c>
      <c r="H2909">
        <v>139.791305249402</v>
      </c>
      <c r="I2909" s="1">
        <f t="shared" si="91"/>
        <v>153.0501636959111</v>
      </c>
    </row>
    <row r="2910" spans="1:9" x14ac:dyDescent="0.45">
      <c r="A2910" t="s">
        <v>59</v>
      </c>
      <c r="B2910" t="s">
        <v>49</v>
      </c>
      <c r="C2910" t="str">
        <f t="shared" si="90"/>
        <v>St. John'sNorfolk St.</v>
      </c>
      <c r="D2910" t="s">
        <v>59</v>
      </c>
      <c r="E2910">
        <v>99.2</v>
      </c>
      <c r="F2910">
        <v>-31.3698113207547</v>
      </c>
      <c r="G2910">
        <v>-11975.593520890699</v>
      </c>
      <c r="H2910">
        <v>140.768988021947</v>
      </c>
      <c r="I2910" s="1">
        <f t="shared" si="91"/>
        <v>166.81699843239502</v>
      </c>
    </row>
    <row r="2911" spans="1:9" x14ac:dyDescent="0.45">
      <c r="A2911" t="s">
        <v>60</v>
      </c>
      <c r="B2911" t="s">
        <v>49</v>
      </c>
      <c r="C2911" t="str">
        <f t="shared" si="90"/>
        <v>TennesseeNorfolk St.</v>
      </c>
      <c r="D2911" t="s">
        <v>60</v>
      </c>
      <c r="E2911">
        <v>99.6</v>
      </c>
      <c r="F2911">
        <v>-35.916981132075499</v>
      </c>
      <c r="G2911">
        <v>-23957.224074272199</v>
      </c>
      <c r="H2911">
        <v>141.362970898638</v>
      </c>
      <c r="I2911" s="1">
        <f t="shared" si="91"/>
        <v>175.1809221194415</v>
      </c>
    </row>
    <row r="2912" spans="1:9" x14ac:dyDescent="0.45">
      <c r="A2912" t="s">
        <v>61</v>
      </c>
      <c r="B2912" t="s">
        <v>49</v>
      </c>
      <c r="C2912" t="str">
        <f t="shared" si="90"/>
        <v>TexasNorfolk St.</v>
      </c>
      <c r="D2912" t="s">
        <v>61</v>
      </c>
      <c r="E2912">
        <v>90.7</v>
      </c>
      <c r="F2912">
        <v>-14.962264150943399</v>
      </c>
      <c r="G2912">
        <v>-980.09862521758998</v>
      </c>
      <c r="H2912">
        <v>139.11868542971001</v>
      </c>
      <c r="I2912" s="1">
        <f t="shared" si="91"/>
        <v>143.5789464890465</v>
      </c>
    </row>
    <row r="2913" spans="1:9" x14ac:dyDescent="0.45">
      <c r="A2913" t="s">
        <v>62</v>
      </c>
      <c r="B2913" t="s">
        <v>49</v>
      </c>
      <c r="C2913" t="str">
        <f t="shared" si="90"/>
        <v>Texas A&amp;MNorfolk St.</v>
      </c>
      <c r="D2913" t="s">
        <v>62</v>
      </c>
      <c r="E2913">
        <v>98.3</v>
      </c>
      <c r="F2913">
        <v>-26.456603773584899</v>
      </c>
      <c r="G2913">
        <v>-5660.7066991068104</v>
      </c>
      <c r="H2913">
        <v>139.916484457303</v>
      </c>
      <c r="I2913" s="1">
        <f t="shared" si="91"/>
        <v>154.81282282831154</v>
      </c>
    </row>
    <row r="2914" spans="1:9" x14ac:dyDescent="0.45">
      <c r="A2914" t="s">
        <v>63</v>
      </c>
      <c r="B2914" t="s">
        <v>49</v>
      </c>
      <c r="C2914" t="str">
        <f t="shared" si="90"/>
        <v>Texas TechNorfolk St.</v>
      </c>
      <c r="D2914" t="s">
        <v>63</v>
      </c>
      <c r="E2914">
        <v>99.1</v>
      </c>
      <c r="F2914">
        <v>-30.909433962264199</v>
      </c>
      <c r="G2914">
        <v>-11163.1609421294</v>
      </c>
      <c r="H2914">
        <v>140.95626857636699</v>
      </c>
      <c r="I2914" s="1">
        <f t="shared" si="91"/>
        <v>169.45411193634456</v>
      </c>
    </row>
    <row r="2915" spans="1:9" x14ac:dyDescent="0.45">
      <c r="A2915" t="s">
        <v>64</v>
      </c>
      <c r="B2915" t="s">
        <v>49</v>
      </c>
      <c r="C2915" t="str">
        <f t="shared" si="90"/>
        <v>TroyNorfolk St.</v>
      </c>
      <c r="D2915" t="s">
        <v>64</v>
      </c>
      <c r="E2915">
        <v>61.1</v>
      </c>
      <c r="F2915">
        <v>-2.9622641509433998</v>
      </c>
      <c r="G2915">
        <v>-157.15430455535599</v>
      </c>
      <c r="H2915">
        <v>139.65983299609701</v>
      </c>
      <c r="I2915" s="1">
        <f t="shared" si="91"/>
        <v>151.19889165296459</v>
      </c>
    </row>
    <row r="2916" spans="1:9" x14ac:dyDescent="0.45">
      <c r="A2916" t="s">
        <v>65</v>
      </c>
      <c r="B2916" t="s">
        <v>49</v>
      </c>
      <c r="C2916" t="str">
        <f t="shared" si="90"/>
        <v>UC San DiegoNorfolk St.</v>
      </c>
      <c r="D2916" t="s">
        <v>65</v>
      </c>
      <c r="E2916">
        <v>80.099999999999994</v>
      </c>
      <c r="F2916">
        <v>-9.1245283018867909</v>
      </c>
      <c r="G2916">
        <v>-402.22814871502999</v>
      </c>
      <c r="H2916">
        <v>139.74795473948799</v>
      </c>
      <c r="I2916" s="1">
        <f t="shared" si="91"/>
        <v>152.43974145826144</v>
      </c>
    </row>
    <row r="2917" spans="1:9" x14ac:dyDescent="0.45">
      <c r="A2917" t="s">
        <v>66</v>
      </c>
      <c r="B2917" t="s">
        <v>49</v>
      </c>
      <c r="C2917" t="str">
        <f t="shared" si="90"/>
        <v>UCLANorfolk St.</v>
      </c>
      <c r="D2917" t="s">
        <v>66</v>
      </c>
      <c r="E2917">
        <v>94.1</v>
      </c>
      <c r="F2917">
        <v>-18.1698113207547</v>
      </c>
      <c r="G2917">
        <v>-1598.3622864669901</v>
      </c>
      <c r="H2917">
        <v>139.21940925259599</v>
      </c>
      <c r="I2917" s="1">
        <f t="shared" si="91"/>
        <v>144.99724725350472</v>
      </c>
    </row>
    <row r="2918" spans="1:9" x14ac:dyDescent="0.45">
      <c r="A2918" t="s">
        <v>67</v>
      </c>
      <c r="B2918" t="s">
        <v>49</v>
      </c>
      <c r="C2918" t="str">
        <f t="shared" si="90"/>
        <v>UNC WilmingtonNorfolk St.</v>
      </c>
      <c r="D2918" t="s">
        <v>67</v>
      </c>
      <c r="E2918">
        <v>70.7</v>
      </c>
      <c r="F2918">
        <v>-5.7622641509434001</v>
      </c>
      <c r="G2918">
        <v>-240.89859683572899</v>
      </c>
      <c r="H2918">
        <v>140.33442492651599</v>
      </c>
      <c r="I2918" s="1">
        <f t="shared" si="91"/>
        <v>160.69787831964069</v>
      </c>
    </row>
    <row r="2919" spans="1:9" x14ac:dyDescent="0.45">
      <c r="A2919" t="s">
        <v>68</v>
      </c>
      <c r="B2919" t="s">
        <v>49</v>
      </c>
      <c r="C2919" t="str">
        <f t="shared" si="90"/>
        <v>Utah St.Norfolk St.</v>
      </c>
      <c r="D2919" t="s">
        <v>68</v>
      </c>
      <c r="E2919">
        <v>92.4</v>
      </c>
      <c r="F2919">
        <v>-16.407547169811298</v>
      </c>
      <c r="G2919">
        <v>-1221.8370107108201</v>
      </c>
      <c r="H2919">
        <v>139.70579533034299</v>
      </c>
      <c r="I2919" s="1">
        <f t="shared" si="91"/>
        <v>151.84609121240899</v>
      </c>
    </row>
    <row r="2920" spans="1:9" x14ac:dyDescent="0.45">
      <c r="A2920" t="s">
        <v>69</v>
      </c>
      <c r="B2920" t="s">
        <v>49</v>
      </c>
      <c r="C2920" t="str">
        <f t="shared" si="90"/>
        <v>VanderbiltNorfolk St.</v>
      </c>
      <c r="D2920" t="s">
        <v>69</v>
      </c>
      <c r="E2920">
        <v>72.3</v>
      </c>
      <c r="F2920">
        <v>-6.2867924528301904</v>
      </c>
      <c r="G2920">
        <v>-260.86948874044401</v>
      </c>
      <c r="H2920">
        <v>138.28036581894099</v>
      </c>
      <c r="I2920" s="1">
        <f t="shared" si="91"/>
        <v>131.7744963525586</v>
      </c>
    </row>
    <row r="2921" spans="1:9" x14ac:dyDescent="0.45">
      <c r="A2921" t="s">
        <v>70</v>
      </c>
      <c r="B2921" t="s">
        <v>49</v>
      </c>
      <c r="C2921" t="str">
        <f t="shared" si="90"/>
        <v>VCUNorfolk St.</v>
      </c>
      <c r="D2921" t="s">
        <v>70</v>
      </c>
      <c r="E2921">
        <v>88.9</v>
      </c>
      <c r="F2921">
        <v>-13.633962264150901</v>
      </c>
      <c r="G2921">
        <v>-800.11672648100398</v>
      </c>
      <c r="H2921">
        <v>140.12527698081701</v>
      </c>
      <c r="I2921" s="1">
        <f t="shared" si="91"/>
        <v>157.75284820888402</v>
      </c>
    </row>
    <row r="2922" spans="1:9" x14ac:dyDescent="0.45">
      <c r="A2922" t="s">
        <v>71</v>
      </c>
      <c r="B2922" t="s">
        <v>49</v>
      </c>
      <c r="C2922" t="str">
        <f t="shared" si="90"/>
        <v>WisconsinNorfolk St.</v>
      </c>
      <c r="D2922" t="s">
        <v>71</v>
      </c>
      <c r="E2922">
        <v>99</v>
      </c>
      <c r="F2922">
        <v>-30.094339622641499</v>
      </c>
      <c r="G2922">
        <v>-9858.1217914319295</v>
      </c>
      <c r="H2922">
        <v>140.925955836084</v>
      </c>
      <c r="I2922" s="1">
        <f t="shared" si="91"/>
        <v>169.02727564792389</v>
      </c>
    </row>
    <row r="2923" spans="1:9" x14ac:dyDescent="0.45">
      <c r="A2923" t="s">
        <v>80</v>
      </c>
      <c r="B2923" t="s">
        <v>49</v>
      </c>
      <c r="C2923" t="str">
        <f t="shared" si="90"/>
        <v>WoffordNorfolk St.</v>
      </c>
      <c r="D2923" t="s">
        <v>49</v>
      </c>
      <c r="E2923">
        <v>45.1</v>
      </c>
      <c r="F2923">
        <v>1.2905660377358501</v>
      </c>
      <c r="G2923">
        <v>121.753345398519</v>
      </c>
      <c r="H2923">
        <v>138.955411575178</v>
      </c>
      <c r="I2923" s="1">
        <f t="shared" si="91"/>
        <v>141.27987337939177</v>
      </c>
    </row>
    <row r="2924" spans="1:9" x14ac:dyDescent="0.45">
      <c r="A2924" t="s">
        <v>72</v>
      </c>
      <c r="B2924" t="s">
        <v>49</v>
      </c>
      <c r="C2924" t="str">
        <f t="shared" si="90"/>
        <v>XavierNorfolk St.</v>
      </c>
      <c r="D2924" t="s">
        <v>72</v>
      </c>
      <c r="E2924">
        <v>88.8</v>
      </c>
      <c r="F2924">
        <v>-13.554716981132101</v>
      </c>
      <c r="G2924">
        <v>-790.85823448940903</v>
      </c>
      <c r="H2924">
        <v>139.53132514532999</v>
      </c>
      <c r="I2924" s="1">
        <f t="shared" si="91"/>
        <v>149.38936161568563</v>
      </c>
    </row>
    <row r="2925" spans="1:9" x14ac:dyDescent="0.45">
      <c r="A2925" t="s">
        <v>73</v>
      </c>
      <c r="B2925" t="s">
        <v>49</v>
      </c>
      <c r="C2925" t="str">
        <f t="shared" si="90"/>
        <v>YaleNorfolk St.</v>
      </c>
      <c r="D2925" t="s">
        <v>73</v>
      </c>
      <c r="E2925">
        <v>81.5</v>
      </c>
      <c r="F2925">
        <v>-9.7320754716981099</v>
      </c>
      <c r="G2925">
        <v>-441.35399369907901</v>
      </c>
      <c r="H2925">
        <v>140.33055977939301</v>
      </c>
      <c r="I2925" s="1">
        <f t="shared" si="91"/>
        <v>160.64345285243547</v>
      </c>
    </row>
    <row r="2926" spans="1:9" x14ac:dyDescent="0.45">
      <c r="A2926" t="s">
        <v>7</v>
      </c>
      <c r="B2926" t="s">
        <v>50</v>
      </c>
      <c r="C2926" t="str">
        <f t="shared" si="90"/>
        <v>AkronNorth Carolina</v>
      </c>
      <c r="D2926" t="s">
        <v>50</v>
      </c>
      <c r="E2926">
        <v>3.7</v>
      </c>
      <c r="F2926">
        <v>21.4188679245283</v>
      </c>
      <c r="G2926">
        <v>2623.77537330427</v>
      </c>
      <c r="H2926">
        <v>137.04109380288199</v>
      </c>
      <c r="I2926" s="1">
        <f t="shared" si="91"/>
        <v>114.32420110574485</v>
      </c>
    </row>
    <row r="2927" spans="1:9" x14ac:dyDescent="0.45">
      <c r="A2927" t="s">
        <v>8</v>
      </c>
      <c r="B2927" t="s">
        <v>50</v>
      </c>
      <c r="C2927" t="str">
        <f t="shared" si="90"/>
        <v>AlabamaNorth Carolina</v>
      </c>
      <c r="D2927" t="s">
        <v>8</v>
      </c>
      <c r="E2927">
        <v>73.7</v>
      </c>
      <c r="F2927">
        <v>-6.7547169811320797</v>
      </c>
      <c r="G2927">
        <v>-280.283170466652</v>
      </c>
      <c r="H2927">
        <v>138.78918981502201</v>
      </c>
      <c r="I2927" s="1">
        <f t="shared" si="91"/>
        <v>138.93929055852624</v>
      </c>
    </row>
    <row r="2928" spans="1:9" x14ac:dyDescent="0.45">
      <c r="A2928" t="s">
        <v>9</v>
      </c>
      <c r="B2928" t="s">
        <v>50</v>
      </c>
      <c r="C2928" t="str">
        <f t="shared" si="90"/>
        <v>Alabama St.North Carolina</v>
      </c>
      <c r="D2928" t="s">
        <v>50</v>
      </c>
      <c r="E2928">
        <v>0.6</v>
      </c>
      <c r="F2928">
        <v>33.558490566037698</v>
      </c>
      <c r="G2928">
        <v>16718.233198465001</v>
      </c>
      <c r="H2928">
        <v>137.267934658695</v>
      </c>
      <c r="I2928" s="1">
        <f t="shared" si="91"/>
        <v>117.51836659700245</v>
      </c>
    </row>
    <row r="2929" spans="1:9" x14ac:dyDescent="0.45">
      <c r="A2929" t="s">
        <v>10</v>
      </c>
      <c r="B2929" t="s">
        <v>50</v>
      </c>
      <c r="C2929" t="str">
        <f t="shared" si="90"/>
        <v>AmericanNorth Carolina</v>
      </c>
      <c r="D2929" t="s">
        <v>50</v>
      </c>
      <c r="E2929">
        <v>0.7</v>
      </c>
      <c r="F2929">
        <v>32.294339622641502</v>
      </c>
      <c r="G2929">
        <v>13787.7296397255</v>
      </c>
      <c r="H2929">
        <v>137.35902054029901</v>
      </c>
      <c r="I2929" s="1">
        <f t="shared" si="91"/>
        <v>118.80095468598479</v>
      </c>
    </row>
    <row r="2930" spans="1:9" x14ac:dyDescent="0.45">
      <c r="A2930" t="s">
        <v>11</v>
      </c>
      <c r="B2930" t="s">
        <v>50</v>
      </c>
      <c r="C2930" t="str">
        <f t="shared" si="90"/>
        <v>ArizonaNorth Carolina</v>
      </c>
      <c r="D2930" t="s">
        <v>11</v>
      </c>
      <c r="E2930">
        <v>66.599999999999994</v>
      </c>
      <c r="F2930">
        <v>-4.51698113207547</v>
      </c>
      <c r="G2930">
        <v>-199.14014179184599</v>
      </c>
      <c r="H2930">
        <v>138.55154863401199</v>
      </c>
      <c r="I2930" s="1">
        <f t="shared" si="91"/>
        <v>135.59304476447215</v>
      </c>
    </row>
    <row r="2931" spans="1:9" x14ac:dyDescent="0.45">
      <c r="A2931" t="s">
        <v>12</v>
      </c>
      <c r="B2931" t="s">
        <v>50</v>
      </c>
      <c r="C2931" t="str">
        <f t="shared" si="90"/>
        <v>ArkansasNorth Carolina</v>
      </c>
      <c r="D2931" t="s">
        <v>50</v>
      </c>
      <c r="E2931">
        <v>10.7</v>
      </c>
      <c r="F2931">
        <v>13.8754716981132</v>
      </c>
      <c r="G2931">
        <v>830.48028798397399</v>
      </c>
      <c r="H2931">
        <v>136.66915246786999</v>
      </c>
      <c r="I2931" s="1">
        <f t="shared" si="91"/>
        <v>109.08686335717394</v>
      </c>
    </row>
    <row r="2932" spans="1:9" x14ac:dyDescent="0.45">
      <c r="A2932" t="s">
        <v>13</v>
      </c>
      <c r="B2932" t="s">
        <v>50</v>
      </c>
      <c r="C2932" t="str">
        <f t="shared" si="90"/>
        <v>AuburnNorth Carolina</v>
      </c>
      <c r="D2932" t="s">
        <v>13</v>
      </c>
      <c r="E2932">
        <v>84.6</v>
      </c>
      <c r="F2932">
        <v>-11.1660377358491</v>
      </c>
      <c r="G2932">
        <v>-549.285762564273</v>
      </c>
      <c r="H2932">
        <v>139.80787187313101</v>
      </c>
      <c r="I2932" s="1">
        <f t="shared" si="91"/>
        <v>153.283439741499</v>
      </c>
    </row>
    <row r="2933" spans="1:9" x14ac:dyDescent="0.45">
      <c r="A2933" t="s">
        <v>14</v>
      </c>
      <c r="B2933" t="s">
        <v>50</v>
      </c>
      <c r="C2933" t="str">
        <f t="shared" si="90"/>
        <v>BaylorNorth Carolina</v>
      </c>
      <c r="D2933" t="s">
        <v>50</v>
      </c>
      <c r="E2933">
        <v>36.700000000000003</v>
      </c>
      <c r="F2933">
        <v>3.56603773584906</v>
      </c>
      <c r="G2933">
        <v>172.26194896408001</v>
      </c>
      <c r="H2933">
        <v>138.342869885856</v>
      </c>
      <c r="I2933" s="1">
        <f t="shared" si="91"/>
        <v>132.65462146444654</v>
      </c>
    </row>
    <row r="2934" spans="1:9" x14ac:dyDescent="0.45">
      <c r="A2934" t="s">
        <v>15</v>
      </c>
      <c r="B2934" t="s">
        <v>50</v>
      </c>
      <c r="C2934" t="str">
        <f t="shared" si="90"/>
        <v>BryantNorth Carolina</v>
      </c>
      <c r="D2934" t="s">
        <v>50</v>
      </c>
      <c r="E2934">
        <v>2.6</v>
      </c>
      <c r="F2934">
        <v>23.852830188679199</v>
      </c>
      <c r="G2934">
        <v>3803.02781071766</v>
      </c>
      <c r="H2934">
        <v>137.89186763575</v>
      </c>
      <c r="I2934" s="1">
        <f t="shared" si="91"/>
        <v>126.30402020875553</v>
      </c>
    </row>
    <row r="2935" spans="1:9" x14ac:dyDescent="0.45">
      <c r="A2935" t="s">
        <v>16</v>
      </c>
      <c r="B2935" t="s">
        <v>50</v>
      </c>
      <c r="C2935" t="str">
        <f t="shared" si="90"/>
        <v>BYUNorth Carolina</v>
      </c>
      <c r="D2935" t="s">
        <v>50</v>
      </c>
      <c r="E2935">
        <v>41.4</v>
      </c>
      <c r="F2935">
        <v>2.2716981132075502</v>
      </c>
      <c r="G2935">
        <v>141.401095261552</v>
      </c>
      <c r="H2935">
        <v>138.15238811397401</v>
      </c>
      <c r="I2935" s="1">
        <f t="shared" si="91"/>
        <v>129.97243134363072</v>
      </c>
    </row>
    <row r="2936" spans="1:9" x14ac:dyDescent="0.45">
      <c r="A2936" t="s">
        <v>17</v>
      </c>
      <c r="B2936" t="s">
        <v>50</v>
      </c>
      <c r="C2936" t="str">
        <f t="shared" si="90"/>
        <v>ClemsonNorth Carolina</v>
      </c>
      <c r="D2936" t="s">
        <v>50</v>
      </c>
      <c r="E2936">
        <v>47.5</v>
      </c>
      <c r="F2936">
        <v>0.64528301886792505</v>
      </c>
      <c r="G2936">
        <v>110.357345958922</v>
      </c>
      <c r="H2936">
        <v>138.37429997026501</v>
      </c>
      <c r="I2936" s="1">
        <f t="shared" si="91"/>
        <v>133.09719117106644</v>
      </c>
    </row>
    <row r="2937" spans="1:9" x14ac:dyDescent="0.45">
      <c r="A2937" t="s">
        <v>18</v>
      </c>
      <c r="B2937" t="s">
        <v>50</v>
      </c>
      <c r="C2937" t="str">
        <f t="shared" si="90"/>
        <v>Colorado St.North Carolina</v>
      </c>
      <c r="D2937" t="s">
        <v>50</v>
      </c>
      <c r="E2937">
        <v>13</v>
      </c>
      <c r="F2937">
        <v>12.486792452830199</v>
      </c>
      <c r="G2937">
        <v>671.64962616394303</v>
      </c>
      <c r="H2937">
        <v>137.68169181837101</v>
      </c>
      <c r="I2937" s="1">
        <f t="shared" si="91"/>
        <v>123.34451654896398</v>
      </c>
    </row>
    <row r="2938" spans="1:9" x14ac:dyDescent="0.45">
      <c r="A2938" t="s">
        <v>19</v>
      </c>
      <c r="B2938" t="s">
        <v>50</v>
      </c>
      <c r="C2938" t="str">
        <f t="shared" si="90"/>
        <v>ConnecticutNorth Carolina</v>
      </c>
      <c r="D2938" t="s">
        <v>19</v>
      </c>
      <c r="E2938">
        <v>60.6</v>
      </c>
      <c r="F2938">
        <v>-2.8188679245283002</v>
      </c>
      <c r="G2938">
        <v>-153.69306219622499</v>
      </c>
      <c r="H2938">
        <v>138.31724372070599</v>
      </c>
      <c r="I2938" s="1">
        <f t="shared" si="91"/>
        <v>132.29377724129247</v>
      </c>
    </row>
    <row r="2939" spans="1:9" x14ac:dyDescent="0.45">
      <c r="A2939" t="s">
        <v>20</v>
      </c>
      <c r="B2939" t="s">
        <v>50</v>
      </c>
      <c r="C2939" t="str">
        <f t="shared" si="90"/>
        <v>CreightonNorth Carolina</v>
      </c>
      <c r="D2939" t="s">
        <v>50</v>
      </c>
      <c r="E2939">
        <v>32.200000000000003</v>
      </c>
      <c r="F2939">
        <v>4.87547169811321</v>
      </c>
      <c r="G2939">
        <v>210.34188595566101</v>
      </c>
      <c r="H2939">
        <v>137.79018608297</v>
      </c>
      <c r="I2939" s="1">
        <f t="shared" si="91"/>
        <v>124.87223356774973</v>
      </c>
    </row>
    <row r="2940" spans="1:9" x14ac:dyDescent="0.45">
      <c r="A2940" t="s">
        <v>21</v>
      </c>
      <c r="B2940" t="s">
        <v>50</v>
      </c>
      <c r="C2940" t="str">
        <f t="shared" si="90"/>
        <v>DrakeNorth Carolina</v>
      </c>
      <c r="D2940" t="s">
        <v>50</v>
      </c>
      <c r="E2940">
        <v>12.9</v>
      </c>
      <c r="F2940">
        <v>12.5358490566038</v>
      </c>
      <c r="G2940">
        <v>676.86284478779896</v>
      </c>
      <c r="H2940">
        <v>137.84365118712401</v>
      </c>
      <c r="I2940" s="1">
        <f t="shared" si="91"/>
        <v>125.62508027194319</v>
      </c>
    </row>
    <row r="2941" spans="1:9" x14ac:dyDescent="0.45">
      <c r="A2941" t="s">
        <v>22</v>
      </c>
      <c r="B2941" t="s">
        <v>50</v>
      </c>
      <c r="C2941" t="str">
        <f t="shared" si="90"/>
        <v>DukeNorth Carolina</v>
      </c>
      <c r="D2941" t="s">
        <v>22</v>
      </c>
      <c r="E2941">
        <v>89</v>
      </c>
      <c r="F2941">
        <v>-13.675471698113199</v>
      </c>
      <c r="G2941">
        <v>-805.39283462186802</v>
      </c>
      <c r="H2941">
        <v>140.13097164857999</v>
      </c>
      <c r="I2941" s="1">
        <f t="shared" si="91"/>
        <v>157.83303531269075</v>
      </c>
    </row>
    <row r="2942" spans="1:9" x14ac:dyDescent="0.45">
      <c r="A2942" t="s">
        <v>23</v>
      </c>
      <c r="B2942" t="s">
        <v>50</v>
      </c>
      <c r="C2942" t="str">
        <f t="shared" si="90"/>
        <v>FloridaNorth Carolina</v>
      </c>
      <c r="D2942" t="s">
        <v>23</v>
      </c>
      <c r="E2942">
        <v>81.599999999999994</v>
      </c>
      <c r="F2942">
        <v>-9.7773584905660407</v>
      </c>
      <c r="G2942">
        <v>-444.284473346006</v>
      </c>
      <c r="H2942">
        <v>139.85472792452299</v>
      </c>
      <c r="I2942" s="1">
        <f t="shared" si="91"/>
        <v>153.94322380851136</v>
      </c>
    </row>
    <row r="2943" spans="1:9" x14ac:dyDescent="0.45">
      <c r="A2943" t="s">
        <v>24</v>
      </c>
      <c r="B2943" t="s">
        <v>50</v>
      </c>
      <c r="C2943" t="str">
        <f t="shared" si="90"/>
        <v>GeorgiaNorth Carolina</v>
      </c>
      <c r="D2943" t="s">
        <v>50</v>
      </c>
      <c r="E2943">
        <v>14.3</v>
      </c>
      <c r="F2943">
        <v>11.732075471698099</v>
      </c>
      <c r="G2943">
        <v>598.65083981534201</v>
      </c>
      <c r="H2943">
        <v>136.99654144886699</v>
      </c>
      <c r="I2943" s="1">
        <f t="shared" si="91"/>
        <v>113.69685559852149</v>
      </c>
    </row>
    <row r="2944" spans="1:9" x14ac:dyDescent="0.45">
      <c r="A2944" t="s">
        <v>25</v>
      </c>
      <c r="B2944" t="s">
        <v>50</v>
      </c>
      <c r="C2944" t="str">
        <f t="shared" si="90"/>
        <v>GonzagaNorth Carolina</v>
      </c>
      <c r="D2944" t="s">
        <v>50</v>
      </c>
      <c r="E2944">
        <v>48.5</v>
      </c>
      <c r="F2944">
        <v>0.40377358490566001</v>
      </c>
      <c r="G2944">
        <v>106.353635221359</v>
      </c>
      <c r="H2944">
        <v>139.134182568396</v>
      </c>
      <c r="I2944" s="1">
        <f t="shared" si="91"/>
        <v>143.79716302427602</v>
      </c>
    </row>
    <row r="2945" spans="1:9" x14ac:dyDescent="0.45">
      <c r="A2945" t="s">
        <v>26</v>
      </c>
      <c r="B2945" t="s">
        <v>50</v>
      </c>
      <c r="C2945" t="str">
        <f t="shared" si="90"/>
        <v>Grand CanyonNorth Carolina</v>
      </c>
      <c r="D2945" t="s">
        <v>50</v>
      </c>
      <c r="E2945">
        <v>8.4</v>
      </c>
      <c r="F2945">
        <v>15.6528301886792</v>
      </c>
      <c r="G2945">
        <v>1089.0176921915699</v>
      </c>
      <c r="H2945">
        <v>137.78615081469999</v>
      </c>
      <c r="I2945" s="1">
        <f t="shared" si="91"/>
        <v>124.81541261012369</v>
      </c>
    </row>
    <row r="2946" spans="1:9" x14ac:dyDescent="0.45">
      <c r="A2946" t="s">
        <v>27</v>
      </c>
      <c r="B2946" t="s">
        <v>50</v>
      </c>
      <c r="C2946" t="str">
        <f t="shared" si="90"/>
        <v>High PointNorth Carolina</v>
      </c>
      <c r="D2946" t="s">
        <v>50</v>
      </c>
      <c r="E2946">
        <v>5.7</v>
      </c>
      <c r="F2946">
        <v>18.4264150943396</v>
      </c>
      <c r="G2946">
        <v>1662.3061211587899</v>
      </c>
      <c r="H2946">
        <v>138.06704256235599</v>
      </c>
      <c r="I2946" s="1">
        <f t="shared" si="91"/>
        <v>128.7706733321227</v>
      </c>
    </row>
    <row r="2947" spans="1:9" x14ac:dyDescent="0.45">
      <c r="A2947" t="s">
        <v>28</v>
      </c>
      <c r="B2947" t="s">
        <v>50</v>
      </c>
      <c r="C2947" t="str">
        <f t="shared" ref="C2947:C3010" si="92">A2947&amp;B2947</f>
        <v>HoustonNorth Carolina</v>
      </c>
      <c r="D2947" t="s">
        <v>28</v>
      </c>
      <c r="E2947">
        <v>93.2</v>
      </c>
      <c r="F2947">
        <v>-17.188679245283002</v>
      </c>
      <c r="G2947">
        <v>-1376.5595623977199</v>
      </c>
      <c r="H2947">
        <v>140.27463599820999</v>
      </c>
      <c r="I2947" s="1">
        <f t="shared" ref="I2947:I3010" si="93">18*(H2947-AVERAGE($H$2:$H$4625))/_xlfn.STDEV.P($H$2:$H$4625)+AVERAGE($H$2:$H$4625)</f>
        <v>159.85598530671825</v>
      </c>
    </row>
    <row r="2948" spans="1:9" x14ac:dyDescent="0.45">
      <c r="A2948" t="s">
        <v>29</v>
      </c>
      <c r="B2948" t="s">
        <v>50</v>
      </c>
      <c r="C2948" t="str">
        <f t="shared" si="92"/>
        <v>IllinoisNorth Carolina</v>
      </c>
      <c r="D2948" t="s">
        <v>29</v>
      </c>
      <c r="E2948">
        <v>57.9</v>
      </c>
      <c r="F2948">
        <v>-2.0792452830188699</v>
      </c>
      <c r="G2948">
        <v>-137.30689915642199</v>
      </c>
      <c r="H2948">
        <v>138.32488115214699</v>
      </c>
      <c r="I2948" s="1">
        <f t="shared" si="93"/>
        <v>132.40132056660417</v>
      </c>
    </row>
    <row r="2949" spans="1:9" x14ac:dyDescent="0.45">
      <c r="A2949" t="s">
        <v>30</v>
      </c>
      <c r="B2949" t="s">
        <v>50</v>
      </c>
      <c r="C2949" t="str">
        <f t="shared" si="92"/>
        <v>Iowa St.North Carolina</v>
      </c>
      <c r="D2949" t="s">
        <v>30</v>
      </c>
      <c r="E2949">
        <v>74.3</v>
      </c>
      <c r="F2949">
        <v>-6.9622641509434002</v>
      </c>
      <c r="G2949">
        <v>-289.22294137081099</v>
      </c>
      <c r="H2949">
        <v>139.25114973050501</v>
      </c>
      <c r="I2949" s="1">
        <f t="shared" si="93"/>
        <v>145.44418763754453</v>
      </c>
    </row>
    <row r="2950" spans="1:9" x14ac:dyDescent="0.45">
      <c r="A2950" t="s">
        <v>31</v>
      </c>
      <c r="B2950" t="s">
        <v>50</v>
      </c>
      <c r="C2950" t="str">
        <f t="shared" si="92"/>
        <v>KansasNorth Carolina</v>
      </c>
      <c r="D2950" t="s">
        <v>50</v>
      </c>
      <c r="E2950">
        <v>45.7</v>
      </c>
      <c r="F2950">
        <v>1.1396226415094299</v>
      </c>
      <c r="G2950">
        <v>119.008710125733</v>
      </c>
      <c r="H2950">
        <v>138.20654001481699</v>
      </c>
      <c r="I2950" s="1">
        <f t="shared" si="93"/>
        <v>130.73494889073979</v>
      </c>
    </row>
    <row r="2951" spans="1:9" x14ac:dyDescent="0.45">
      <c r="A2951" t="s">
        <v>32</v>
      </c>
      <c r="B2951" t="s">
        <v>50</v>
      </c>
      <c r="C2951" t="str">
        <f t="shared" si="92"/>
        <v>KentuckyNorth Carolina</v>
      </c>
      <c r="D2951" t="s">
        <v>32</v>
      </c>
      <c r="E2951">
        <v>58.6</v>
      </c>
      <c r="F2951">
        <v>-2.2867924528301899</v>
      </c>
      <c r="G2951">
        <v>-141.75246373562399</v>
      </c>
      <c r="H2951">
        <v>138.153577615209</v>
      </c>
      <c r="I2951" s="1">
        <f t="shared" si="93"/>
        <v>129.98918081225264</v>
      </c>
    </row>
    <row r="2952" spans="1:9" x14ac:dyDescent="0.45">
      <c r="A2952" t="s">
        <v>33</v>
      </c>
      <c r="B2952" t="s">
        <v>50</v>
      </c>
      <c r="C2952" t="str">
        <f t="shared" si="92"/>
        <v>LibertyNorth Carolina</v>
      </c>
      <c r="D2952" t="s">
        <v>50</v>
      </c>
      <c r="E2952">
        <v>3.8</v>
      </c>
      <c r="F2952">
        <v>21.203773584905701</v>
      </c>
      <c r="G2952">
        <v>2538.80568619722</v>
      </c>
      <c r="H2952">
        <v>137.36251386360701</v>
      </c>
      <c r="I2952" s="1">
        <f t="shared" si="93"/>
        <v>118.85014447025097</v>
      </c>
    </row>
    <row r="2953" spans="1:9" x14ac:dyDescent="0.45">
      <c r="A2953" t="s">
        <v>34</v>
      </c>
      <c r="B2953" t="s">
        <v>50</v>
      </c>
      <c r="C2953" t="str">
        <f t="shared" si="92"/>
        <v>LipscombNorth Carolina</v>
      </c>
      <c r="D2953" t="s">
        <v>50</v>
      </c>
      <c r="E2953">
        <v>2.9</v>
      </c>
      <c r="F2953">
        <v>22.9433962264151</v>
      </c>
      <c r="G2953">
        <v>3311.76347197514</v>
      </c>
      <c r="H2953">
        <v>137.79443409486501</v>
      </c>
      <c r="I2953" s="1">
        <f t="shared" si="93"/>
        <v>124.93205018655448</v>
      </c>
    </row>
    <row r="2954" spans="1:9" x14ac:dyDescent="0.45">
      <c r="A2954" t="s">
        <v>35</v>
      </c>
      <c r="B2954" t="s">
        <v>50</v>
      </c>
      <c r="C2954" t="str">
        <f t="shared" si="92"/>
        <v>LouisvilleNorth Carolina</v>
      </c>
      <c r="D2954" t="s">
        <v>50</v>
      </c>
      <c r="E2954">
        <v>7.1</v>
      </c>
      <c r="F2954">
        <v>16.8377358490566</v>
      </c>
      <c r="G2954">
        <v>1304.5058774940301</v>
      </c>
      <c r="H2954">
        <v>137.080157406833</v>
      </c>
      <c r="I2954" s="1">
        <f t="shared" si="93"/>
        <v>114.87425905389206</v>
      </c>
    </row>
    <row r="2955" spans="1:9" x14ac:dyDescent="0.45">
      <c r="A2955" t="s">
        <v>36</v>
      </c>
      <c r="B2955" t="s">
        <v>50</v>
      </c>
      <c r="C2955" t="str">
        <f t="shared" si="92"/>
        <v>MarquetteNorth Carolina</v>
      </c>
      <c r="D2955" t="s">
        <v>36</v>
      </c>
      <c r="E2955">
        <v>51.9</v>
      </c>
      <c r="F2955">
        <v>-0.50943396226415105</v>
      </c>
      <c r="G2955">
        <v>-108.058607324319</v>
      </c>
      <c r="H2955">
        <v>138.41191404173799</v>
      </c>
      <c r="I2955" s="1">
        <f t="shared" si="93"/>
        <v>133.62683812841925</v>
      </c>
    </row>
    <row r="2956" spans="1:9" x14ac:dyDescent="0.45">
      <c r="A2956" t="s">
        <v>37</v>
      </c>
      <c r="B2956" t="s">
        <v>50</v>
      </c>
      <c r="C2956" t="str">
        <f t="shared" si="92"/>
        <v>MarylandNorth Carolina</v>
      </c>
      <c r="D2956" t="s">
        <v>50</v>
      </c>
      <c r="E2956">
        <v>42.3</v>
      </c>
      <c r="F2956">
        <v>2.0377358490566002</v>
      </c>
      <c r="G2956">
        <v>136.422182180199</v>
      </c>
      <c r="H2956">
        <v>138.02185335341699</v>
      </c>
      <c r="I2956" s="1">
        <f t="shared" si="93"/>
        <v>128.13436021624733</v>
      </c>
    </row>
    <row r="2957" spans="1:9" x14ac:dyDescent="0.45">
      <c r="A2957" t="s">
        <v>38</v>
      </c>
      <c r="B2957" t="s">
        <v>50</v>
      </c>
      <c r="C2957" t="str">
        <f t="shared" si="92"/>
        <v>McNeese St.North Carolina</v>
      </c>
      <c r="D2957" t="s">
        <v>50</v>
      </c>
      <c r="E2957">
        <v>11.6</v>
      </c>
      <c r="F2957">
        <v>13.3433962264151</v>
      </c>
      <c r="G2957">
        <v>765.65681711307298</v>
      </c>
      <c r="H2957">
        <v>137.85726496761799</v>
      </c>
      <c r="I2957" s="1">
        <f t="shared" si="93"/>
        <v>125.81677707939697</v>
      </c>
    </row>
    <row r="2958" spans="1:9" x14ac:dyDescent="0.45">
      <c r="A2958" t="s">
        <v>39</v>
      </c>
      <c r="B2958" t="s">
        <v>50</v>
      </c>
      <c r="C2958" t="str">
        <f t="shared" si="92"/>
        <v>MemphisNorth Carolina</v>
      </c>
      <c r="D2958" t="s">
        <v>50</v>
      </c>
      <c r="E2958">
        <v>27.3</v>
      </c>
      <c r="F2958">
        <v>6.4226415094339604</v>
      </c>
      <c r="G2958">
        <v>266.34926119315401</v>
      </c>
      <c r="H2958">
        <v>136.999488166437</v>
      </c>
      <c r="I2958" s="1">
        <f t="shared" si="93"/>
        <v>113.73834858064272</v>
      </c>
    </row>
    <row r="2959" spans="1:9" x14ac:dyDescent="0.45">
      <c r="A2959" t="s">
        <v>40</v>
      </c>
      <c r="B2959" t="s">
        <v>50</v>
      </c>
      <c r="C2959" t="str">
        <f t="shared" si="92"/>
        <v>MichiganNorth Carolina</v>
      </c>
      <c r="D2959" t="s">
        <v>50</v>
      </c>
      <c r="E2959">
        <v>16.5</v>
      </c>
      <c r="F2959">
        <v>10.611320754716999</v>
      </c>
      <c r="G2959">
        <v>504.568966815934</v>
      </c>
      <c r="H2959">
        <v>136.65640925112001</v>
      </c>
      <c r="I2959" s="1">
        <f t="shared" si="93"/>
        <v>108.90742503225437</v>
      </c>
    </row>
    <row r="2960" spans="1:9" x14ac:dyDescent="0.45">
      <c r="A2960" t="s">
        <v>41</v>
      </c>
      <c r="B2960" t="s">
        <v>50</v>
      </c>
      <c r="C2960" t="str">
        <f t="shared" si="92"/>
        <v>Michigan St.North Carolina</v>
      </c>
      <c r="D2960" t="s">
        <v>41</v>
      </c>
      <c r="E2960">
        <v>65.5</v>
      </c>
      <c r="F2960">
        <v>-4.2150943396226399</v>
      </c>
      <c r="G2960">
        <v>-190.174944942802</v>
      </c>
      <c r="H2960">
        <v>138.35530121194901</v>
      </c>
      <c r="I2960" s="1">
        <f t="shared" si="93"/>
        <v>132.82966803035083</v>
      </c>
    </row>
    <row r="2961" spans="1:9" x14ac:dyDescent="0.45">
      <c r="A2961" t="s">
        <v>42</v>
      </c>
      <c r="B2961" t="s">
        <v>50</v>
      </c>
      <c r="C2961" t="str">
        <f t="shared" si="92"/>
        <v>MississippiNorth Carolina</v>
      </c>
      <c r="D2961" t="s">
        <v>50</v>
      </c>
      <c r="E2961">
        <v>32.799999999999997</v>
      </c>
      <c r="F2961">
        <v>4.6981132075471699</v>
      </c>
      <c r="G2961">
        <v>204.72250695721701</v>
      </c>
      <c r="H2961">
        <v>137.486222317044</v>
      </c>
      <c r="I2961" s="1">
        <f t="shared" si="93"/>
        <v>120.59209378325747</v>
      </c>
    </row>
    <row r="2962" spans="1:9" x14ac:dyDescent="0.45">
      <c r="A2962" t="s">
        <v>43</v>
      </c>
      <c r="B2962" t="s">
        <v>50</v>
      </c>
      <c r="C2962" t="str">
        <f t="shared" si="92"/>
        <v>Mississippi St.North Carolina</v>
      </c>
      <c r="D2962" t="s">
        <v>50</v>
      </c>
      <c r="E2962">
        <v>26.9</v>
      </c>
      <c r="F2962">
        <v>6.5471698113207504</v>
      </c>
      <c r="G2962">
        <v>271.42939151785998</v>
      </c>
      <c r="H2962">
        <v>137.610593670833</v>
      </c>
      <c r="I2962" s="1">
        <f t="shared" si="93"/>
        <v>122.34337745281519</v>
      </c>
    </row>
    <row r="2963" spans="1:9" x14ac:dyDescent="0.45">
      <c r="A2963" t="s">
        <v>44</v>
      </c>
      <c r="B2963" t="s">
        <v>50</v>
      </c>
      <c r="C2963" t="str">
        <f t="shared" si="92"/>
        <v>MissouriNorth Carolina</v>
      </c>
      <c r="D2963" t="s">
        <v>50</v>
      </c>
      <c r="E2963">
        <v>13.9</v>
      </c>
      <c r="F2963">
        <v>11.9584905660377</v>
      </c>
      <c r="G2963">
        <v>619.80605422417102</v>
      </c>
      <c r="H2963">
        <v>136.875065607007</v>
      </c>
      <c r="I2963" s="1">
        <f t="shared" si="93"/>
        <v>111.98634388007471</v>
      </c>
    </row>
    <row r="2964" spans="1:9" x14ac:dyDescent="0.45">
      <c r="A2964" t="s">
        <v>45</v>
      </c>
      <c r="B2964" t="s">
        <v>50</v>
      </c>
      <c r="C2964" t="str">
        <f t="shared" si="92"/>
        <v>MontanaNorth Carolina</v>
      </c>
      <c r="D2964" t="s">
        <v>50</v>
      </c>
      <c r="E2964">
        <v>1.5</v>
      </c>
      <c r="F2964">
        <v>27.215094339622599</v>
      </c>
      <c r="G2964">
        <v>6354.0098842115203</v>
      </c>
      <c r="H2964">
        <v>136.18380033202601</v>
      </c>
      <c r="I2964" s="1">
        <f t="shared" si="93"/>
        <v>102.25257842263389</v>
      </c>
    </row>
    <row r="2965" spans="1:9" x14ac:dyDescent="0.45">
      <c r="A2965" t="s">
        <v>46</v>
      </c>
      <c r="B2965" t="s">
        <v>50</v>
      </c>
      <c r="C2965" t="str">
        <f t="shared" si="92"/>
        <v>Mount St. Mary'sNorth Carolina</v>
      </c>
      <c r="D2965" t="s">
        <v>50</v>
      </c>
      <c r="E2965">
        <v>0.6</v>
      </c>
      <c r="F2965">
        <v>33.332075471698097</v>
      </c>
      <c r="G2965">
        <v>16152.828497369899</v>
      </c>
      <c r="H2965">
        <v>137.53167455397301</v>
      </c>
      <c r="I2965" s="1">
        <f t="shared" si="93"/>
        <v>121.2321106187555</v>
      </c>
    </row>
    <row r="2966" spans="1:9" x14ac:dyDescent="0.45">
      <c r="A2966" t="s">
        <v>47</v>
      </c>
      <c r="B2966" t="s">
        <v>50</v>
      </c>
      <c r="C2966" t="str">
        <f t="shared" si="92"/>
        <v>Nebraska OmahaNorth Carolina</v>
      </c>
      <c r="D2966" t="s">
        <v>50</v>
      </c>
      <c r="E2966">
        <v>0.8</v>
      </c>
      <c r="F2966">
        <v>31.615094339622601</v>
      </c>
      <c r="G2966">
        <v>12433.065408525799</v>
      </c>
      <c r="H2966">
        <v>136.81567573387201</v>
      </c>
      <c r="I2966" s="1">
        <f t="shared" si="93"/>
        <v>111.15006999714454</v>
      </c>
    </row>
    <row r="2967" spans="1:9" x14ac:dyDescent="0.45">
      <c r="A2967" t="s">
        <v>48</v>
      </c>
      <c r="B2967" t="s">
        <v>50</v>
      </c>
      <c r="C2967" t="str">
        <f t="shared" si="92"/>
        <v>New MexicoNorth Carolina</v>
      </c>
      <c r="D2967" t="s">
        <v>50</v>
      </c>
      <c r="E2967">
        <v>17.100000000000001</v>
      </c>
      <c r="F2967">
        <v>10.3698113207547</v>
      </c>
      <c r="G2967">
        <v>486.34302478572903</v>
      </c>
      <c r="H2967">
        <v>137.69342008114799</v>
      </c>
      <c r="I2967" s="1">
        <f t="shared" si="93"/>
        <v>123.50966322018587</v>
      </c>
    </row>
    <row r="2968" spans="1:9" x14ac:dyDescent="0.45">
      <c r="A2968" t="s">
        <v>49</v>
      </c>
      <c r="B2968" t="s">
        <v>50</v>
      </c>
      <c r="C2968" t="str">
        <f t="shared" si="92"/>
        <v>Norfolk St.North Carolina</v>
      </c>
      <c r="D2968" t="s">
        <v>50</v>
      </c>
      <c r="E2968">
        <v>1.2</v>
      </c>
      <c r="F2968">
        <v>29.083018867924501</v>
      </c>
      <c r="G2968">
        <v>8448.8107620290393</v>
      </c>
      <c r="H2968">
        <v>136.70578374335</v>
      </c>
      <c r="I2968" s="1">
        <f t="shared" si="93"/>
        <v>109.60267148009618</v>
      </c>
    </row>
    <row r="2969" spans="1:9" x14ac:dyDescent="0.45">
      <c r="A2969" t="s">
        <v>50</v>
      </c>
      <c r="B2969" t="s">
        <v>50</v>
      </c>
      <c r="C2969" t="str">
        <f t="shared" si="92"/>
        <v>North CarolinaNorth Carolina</v>
      </c>
      <c r="D2969" t="s">
        <v>50</v>
      </c>
      <c r="E2969">
        <v>41.2</v>
      </c>
      <c r="F2969">
        <v>2.3283018867924499</v>
      </c>
      <c r="G2969">
        <v>142.64273539779199</v>
      </c>
      <c r="H2969">
        <v>138.77771517530499</v>
      </c>
      <c r="I2969" s="1">
        <f t="shared" si="93"/>
        <v>138.77771517530277</v>
      </c>
    </row>
    <row r="2970" spans="1:9" x14ac:dyDescent="0.45">
      <c r="A2970" t="s">
        <v>51</v>
      </c>
      <c r="B2970" t="s">
        <v>50</v>
      </c>
      <c r="C2970" t="str">
        <f t="shared" si="92"/>
        <v>OklahomaNorth Carolina</v>
      </c>
      <c r="D2970" t="s">
        <v>50</v>
      </c>
      <c r="E2970">
        <v>18.7</v>
      </c>
      <c r="F2970">
        <v>9.6339622641509397</v>
      </c>
      <c r="G2970">
        <v>434.76860971289102</v>
      </c>
      <c r="H2970">
        <v>137.12031847080999</v>
      </c>
      <c r="I2970" s="1">
        <f t="shared" si="93"/>
        <v>115.43977043052544</v>
      </c>
    </row>
    <row r="2971" spans="1:9" x14ac:dyDescent="0.45">
      <c r="A2971" t="s">
        <v>52</v>
      </c>
      <c r="B2971" t="s">
        <v>50</v>
      </c>
      <c r="C2971" t="str">
        <f t="shared" si="92"/>
        <v>OregonNorth Carolina</v>
      </c>
      <c r="D2971" t="s">
        <v>50</v>
      </c>
      <c r="E2971">
        <v>43.1</v>
      </c>
      <c r="F2971">
        <v>1.8075471698113199</v>
      </c>
      <c r="G2971">
        <v>131.77522725760701</v>
      </c>
      <c r="H2971">
        <v>137.71469625895099</v>
      </c>
      <c r="I2971" s="1">
        <f t="shared" si="93"/>
        <v>123.80925489947415</v>
      </c>
    </row>
    <row r="2972" spans="1:9" x14ac:dyDescent="0.45">
      <c r="A2972" t="s">
        <v>53</v>
      </c>
      <c r="B2972" t="s">
        <v>50</v>
      </c>
      <c r="C2972" t="str">
        <f t="shared" si="92"/>
        <v>PurdueNorth Carolina</v>
      </c>
      <c r="D2972" t="s">
        <v>53</v>
      </c>
      <c r="E2972">
        <v>80</v>
      </c>
      <c r="F2972">
        <v>-9.1018867924528308</v>
      </c>
      <c r="G2972">
        <v>-400.84262407668899</v>
      </c>
      <c r="H2972">
        <v>139.06268358774</v>
      </c>
      <c r="I2972" s="1">
        <f t="shared" si="93"/>
        <v>142.79037976271152</v>
      </c>
    </row>
    <row r="2973" spans="1:9" x14ac:dyDescent="0.45">
      <c r="A2973" t="s">
        <v>54</v>
      </c>
      <c r="B2973" t="s">
        <v>50</v>
      </c>
      <c r="C2973" t="str">
        <f t="shared" si="92"/>
        <v>Robert MorrisNorth Carolina</v>
      </c>
      <c r="D2973" t="s">
        <v>50</v>
      </c>
      <c r="E2973">
        <v>0.5</v>
      </c>
      <c r="F2973">
        <v>34.841509433962301</v>
      </c>
      <c r="G2973">
        <v>20333.263323675201</v>
      </c>
      <c r="H2973">
        <v>136.121320436502</v>
      </c>
      <c r="I2973" s="1">
        <f t="shared" si="93"/>
        <v>101.37279367016993</v>
      </c>
    </row>
    <row r="2974" spans="1:9" x14ac:dyDescent="0.45">
      <c r="A2974" t="s">
        <v>55</v>
      </c>
      <c r="B2974" t="s">
        <v>50</v>
      </c>
      <c r="C2974" t="str">
        <f t="shared" si="92"/>
        <v>Saint FrancisNorth Carolina</v>
      </c>
      <c r="D2974" t="s">
        <v>50</v>
      </c>
      <c r="E2974">
        <v>0.3</v>
      </c>
      <c r="F2974">
        <v>37.5660377358491</v>
      </c>
      <c r="G2974">
        <v>30819.245717446898</v>
      </c>
      <c r="H2974">
        <v>137.17417596971001</v>
      </c>
      <c r="I2974" s="1">
        <f t="shared" si="93"/>
        <v>116.19814247869688</v>
      </c>
    </row>
    <row r="2975" spans="1:9" x14ac:dyDescent="0.45">
      <c r="A2975" t="s">
        <v>56</v>
      </c>
      <c r="B2975" t="s">
        <v>50</v>
      </c>
      <c r="C2975" t="str">
        <f t="shared" si="92"/>
        <v>Saint Mary'sNorth Carolina</v>
      </c>
      <c r="D2975" t="s">
        <v>50</v>
      </c>
      <c r="E2975">
        <v>39.299999999999997</v>
      </c>
      <c r="F2975">
        <v>2.85283018867925</v>
      </c>
      <c r="G2975">
        <v>154.50350295799001</v>
      </c>
      <c r="H2975">
        <v>138.42543117080001</v>
      </c>
      <c r="I2975" s="1">
        <f t="shared" si="93"/>
        <v>133.81717397879351</v>
      </c>
    </row>
    <row r="2976" spans="1:9" x14ac:dyDescent="0.45">
      <c r="A2976" t="s">
        <v>57</v>
      </c>
      <c r="B2976" t="s">
        <v>50</v>
      </c>
      <c r="C2976" t="str">
        <f t="shared" si="92"/>
        <v>San Diego St.North Carolina</v>
      </c>
      <c r="D2976" t="s">
        <v>50</v>
      </c>
      <c r="E2976">
        <v>15.8</v>
      </c>
      <c r="F2976">
        <v>10.9433962264151</v>
      </c>
      <c r="G2976">
        <v>530.981532206682</v>
      </c>
      <c r="H2976">
        <v>137.571686050598</v>
      </c>
      <c r="I2976" s="1">
        <f t="shared" si="93"/>
        <v>121.79551592471367</v>
      </c>
    </row>
    <row r="2977" spans="1:9" x14ac:dyDescent="0.45">
      <c r="A2977" t="s">
        <v>58</v>
      </c>
      <c r="B2977" t="s">
        <v>50</v>
      </c>
      <c r="C2977" t="str">
        <f t="shared" si="92"/>
        <v>SIU EdwardsvilleNorth Carolina</v>
      </c>
      <c r="D2977" t="s">
        <v>50</v>
      </c>
      <c r="E2977">
        <v>0.9</v>
      </c>
      <c r="F2977">
        <v>30.543396226415101</v>
      </c>
      <c r="G2977">
        <v>10554.9549802247</v>
      </c>
      <c r="H2977">
        <v>137.71937381744601</v>
      </c>
      <c r="I2977" s="1">
        <f t="shared" si="93"/>
        <v>123.8751200006905</v>
      </c>
    </row>
    <row r="2978" spans="1:9" x14ac:dyDescent="0.45">
      <c r="A2978" t="s">
        <v>59</v>
      </c>
      <c r="B2978" t="s">
        <v>50</v>
      </c>
      <c r="C2978" t="str">
        <f t="shared" si="92"/>
        <v>St. John'sNorth Carolina</v>
      </c>
      <c r="D2978" t="s">
        <v>59</v>
      </c>
      <c r="E2978">
        <v>66.900000000000006</v>
      </c>
      <c r="F2978">
        <v>-4.6150943396226403</v>
      </c>
      <c r="G2978">
        <v>-202.18601954124901</v>
      </c>
      <c r="H2978">
        <v>138.69705658999101</v>
      </c>
      <c r="I2978" s="1">
        <f t="shared" si="93"/>
        <v>137.64195473717444</v>
      </c>
    </row>
    <row r="2979" spans="1:9" x14ac:dyDescent="0.45">
      <c r="A2979" t="s">
        <v>60</v>
      </c>
      <c r="B2979" t="s">
        <v>50</v>
      </c>
      <c r="C2979" t="str">
        <f t="shared" si="92"/>
        <v>TennesseeNorth Carolina</v>
      </c>
      <c r="D2979" t="s">
        <v>60</v>
      </c>
      <c r="E2979">
        <v>80.2</v>
      </c>
      <c r="F2979">
        <v>-9.1622641509434004</v>
      </c>
      <c r="G2979">
        <v>-404.473963347628</v>
      </c>
      <c r="H2979">
        <v>139.29103946668201</v>
      </c>
      <c r="I2979" s="1">
        <f t="shared" si="93"/>
        <v>146.0058784242209</v>
      </c>
    </row>
    <row r="2980" spans="1:9" x14ac:dyDescent="0.45">
      <c r="A2980" t="s">
        <v>61</v>
      </c>
      <c r="B2980" t="s">
        <v>50</v>
      </c>
      <c r="C2980" t="str">
        <f t="shared" si="92"/>
        <v>TexasNorth Carolina</v>
      </c>
      <c r="D2980" t="s">
        <v>50</v>
      </c>
      <c r="E2980">
        <v>14.2</v>
      </c>
      <c r="F2980">
        <v>11.792452830188701</v>
      </c>
      <c r="G2980">
        <v>604.33276963086905</v>
      </c>
      <c r="H2980">
        <v>137.046753997754</v>
      </c>
      <c r="I2980" s="1">
        <f t="shared" si="93"/>
        <v>114.40390279382551</v>
      </c>
    </row>
    <row r="2981" spans="1:9" x14ac:dyDescent="0.45">
      <c r="A2981" t="s">
        <v>62</v>
      </c>
      <c r="B2981" t="s">
        <v>50</v>
      </c>
      <c r="C2981" t="str">
        <f t="shared" si="92"/>
        <v>Texas A&amp;MNorth Carolina</v>
      </c>
      <c r="D2981" t="s">
        <v>50</v>
      </c>
      <c r="E2981">
        <v>48.9</v>
      </c>
      <c r="F2981">
        <v>0.29811320754717002</v>
      </c>
      <c r="G2981">
        <v>104.63458860757</v>
      </c>
      <c r="H2981">
        <v>137.84455302534801</v>
      </c>
      <c r="I2981" s="1">
        <f t="shared" si="93"/>
        <v>125.63777913310494</v>
      </c>
    </row>
    <row r="2982" spans="1:9" x14ac:dyDescent="0.45">
      <c r="A2982" t="s">
        <v>63</v>
      </c>
      <c r="B2982" t="s">
        <v>50</v>
      </c>
      <c r="C2982" t="str">
        <f t="shared" si="92"/>
        <v>Texas TechNorth Carolina</v>
      </c>
      <c r="D2982" t="s">
        <v>63</v>
      </c>
      <c r="E2982">
        <v>65.3</v>
      </c>
      <c r="F2982">
        <v>-4.1547169811320801</v>
      </c>
      <c r="G2982">
        <v>-188.46957960373501</v>
      </c>
      <c r="H2982">
        <v>138.88433714441101</v>
      </c>
      <c r="I2982" s="1">
        <f t="shared" si="93"/>
        <v>140.27906824112398</v>
      </c>
    </row>
    <row r="2983" spans="1:9" x14ac:dyDescent="0.45">
      <c r="A2983" t="s">
        <v>64</v>
      </c>
      <c r="B2983" t="s">
        <v>50</v>
      </c>
      <c r="C2983" t="str">
        <f t="shared" si="92"/>
        <v>TroyNorth Carolina</v>
      </c>
      <c r="D2983" t="s">
        <v>50</v>
      </c>
      <c r="E2983">
        <v>2.6</v>
      </c>
      <c r="F2983">
        <v>23.792452830188701</v>
      </c>
      <c r="G2983">
        <v>3768.9436402330298</v>
      </c>
      <c r="H2983">
        <v>137.58790156414099</v>
      </c>
      <c r="I2983" s="1">
        <f t="shared" si="93"/>
        <v>122.0238479577436</v>
      </c>
    </row>
    <row r="2984" spans="1:9" x14ac:dyDescent="0.45">
      <c r="A2984" t="s">
        <v>65</v>
      </c>
      <c r="B2984" t="s">
        <v>50</v>
      </c>
      <c r="C2984" t="str">
        <f t="shared" si="92"/>
        <v>UC San DiegoNorth Carolina</v>
      </c>
      <c r="D2984" t="s">
        <v>50</v>
      </c>
      <c r="E2984">
        <v>6.4</v>
      </c>
      <c r="F2984">
        <v>17.6301886792453</v>
      </c>
      <c r="G2984">
        <v>1472.561576263</v>
      </c>
      <c r="H2984">
        <v>137.67602330753201</v>
      </c>
      <c r="I2984" s="1">
        <f t="shared" si="93"/>
        <v>123.26469776304084</v>
      </c>
    </row>
    <row r="2985" spans="1:9" x14ac:dyDescent="0.45">
      <c r="A2985" t="s">
        <v>66</v>
      </c>
      <c r="B2985" t="s">
        <v>50</v>
      </c>
      <c r="C2985" t="str">
        <f t="shared" si="92"/>
        <v>UCLANorth Carolina</v>
      </c>
      <c r="D2985" t="s">
        <v>50</v>
      </c>
      <c r="E2985">
        <v>21.3</v>
      </c>
      <c r="F2985">
        <v>8.5849056603773608</v>
      </c>
      <c r="G2985">
        <v>370.57037800759298</v>
      </c>
      <c r="H2985">
        <v>137.14747782064001</v>
      </c>
      <c r="I2985" s="1">
        <f t="shared" si="93"/>
        <v>115.82220355828413</v>
      </c>
    </row>
    <row r="2986" spans="1:9" x14ac:dyDescent="0.45">
      <c r="A2986" t="s">
        <v>67</v>
      </c>
      <c r="B2986" t="s">
        <v>50</v>
      </c>
      <c r="C2986" t="str">
        <f t="shared" si="92"/>
        <v>UNC WilmingtonNorth Carolina</v>
      </c>
      <c r="D2986" t="s">
        <v>50</v>
      </c>
      <c r="E2986">
        <v>3.9</v>
      </c>
      <c r="F2986">
        <v>20.9924528301887</v>
      </c>
      <c r="G2986">
        <v>2458.7346064661901</v>
      </c>
      <c r="H2986">
        <v>138.26249349456</v>
      </c>
      <c r="I2986" s="1">
        <f t="shared" si="93"/>
        <v>131.52283462442011</v>
      </c>
    </row>
    <row r="2987" spans="1:9" x14ac:dyDescent="0.45">
      <c r="A2987" t="s">
        <v>68</v>
      </c>
      <c r="B2987" t="s">
        <v>50</v>
      </c>
      <c r="C2987" t="str">
        <f t="shared" si="92"/>
        <v>Utah St.North Carolina</v>
      </c>
      <c r="D2987" t="s">
        <v>50</v>
      </c>
      <c r="E2987">
        <v>17.100000000000001</v>
      </c>
      <c r="F2987">
        <v>10.3471698113208</v>
      </c>
      <c r="G2987">
        <v>484.76655355575798</v>
      </c>
      <c r="H2987">
        <v>137.63386389838701</v>
      </c>
      <c r="I2987" s="1">
        <f t="shared" si="93"/>
        <v>122.67104751718841</v>
      </c>
    </row>
    <row r="2988" spans="1:9" x14ac:dyDescent="0.45">
      <c r="A2988" t="s">
        <v>69</v>
      </c>
      <c r="B2988" t="s">
        <v>50</v>
      </c>
      <c r="C2988" t="str">
        <f t="shared" si="92"/>
        <v>VanderbiltNorth Carolina</v>
      </c>
      <c r="D2988" t="s">
        <v>50</v>
      </c>
      <c r="E2988">
        <v>4.2</v>
      </c>
      <c r="F2988">
        <v>20.4679245283019</v>
      </c>
      <c r="G2988">
        <v>2270.50591293364</v>
      </c>
      <c r="H2988">
        <v>136.208434386985</v>
      </c>
      <c r="I2988" s="1">
        <f t="shared" si="93"/>
        <v>102.59945265733801</v>
      </c>
    </row>
    <row r="2989" spans="1:9" x14ac:dyDescent="0.45">
      <c r="A2989" t="s">
        <v>70</v>
      </c>
      <c r="B2989" t="s">
        <v>50</v>
      </c>
      <c r="C2989" t="str">
        <f t="shared" si="92"/>
        <v>VCUNorth Carolina</v>
      </c>
      <c r="D2989" t="s">
        <v>50</v>
      </c>
      <c r="E2989">
        <v>11.9</v>
      </c>
      <c r="F2989">
        <v>13.1245283018868</v>
      </c>
      <c r="G2989">
        <v>740.27413386816204</v>
      </c>
      <c r="H2989">
        <v>138.05334554886099</v>
      </c>
      <c r="I2989" s="1">
        <f t="shared" si="93"/>
        <v>128.57780451366304</v>
      </c>
    </row>
    <row r="2990" spans="1:9" x14ac:dyDescent="0.45">
      <c r="A2990" t="s">
        <v>71</v>
      </c>
      <c r="B2990" t="s">
        <v>50</v>
      </c>
      <c r="C2990" t="str">
        <f t="shared" si="92"/>
        <v>WisconsinNorth Carolina</v>
      </c>
      <c r="D2990" t="s">
        <v>71</v>
      </c>
      <c r="E2990">
        <v>62.5</v>
      </c>
      <c r="F2990">
        <v>-3.3396226415094299</v>
      </c>
      <c r="G2990">
        <v>-166.436377594606</v>
      </c>
      <c r="H2990">
        <v>138.85402440412801</v>
      </c>
      <c r="I2990" s="1">
        <f t="shared" si="93"/>
        <v>139.85223195270331</v>
      </c>
    </row>
    <row r="2991" spans="1:9" x14ac:dyDescent="0.45">
      <c r="A2991" t="s">
        <v>80</v>
      </c>
      <c r="B2991" t="s">
        <v>50</v>
      </c>
      <c r="C2991" t="str">
        <f t="shared" si="92"/>
        <v>WoffordNorth Carolina</v>
      </c>
      <c r="D2991" t="s">
        <v>50</v>
      </c>
      <c r="E2991">
        <v>1.4</v>
      </c>
      <c r="F2991">
        <v>28.045283018867899</v>
      </c>
      <c r="G2991">
        <v>7211.5202505572097</v>
      </c>
      <c r="H2991">
        <v>136.88348014322301</v>
      </c>
      <c r="I2991" s="1">
        <f t="shared" si="93"/>
        <v>112.10482968418519</v>
      </c>
    </row>
    <row r="2992" spans="1:9" x14ac:dyDescent="0.45">
      <c r="A2992" t="s">
        <v>72</v>
      </c>
      <c r="B2992" t="s">
        <v>50</v>
      </c>
      <c r="C2992" t="str">
        <f t="shared" si="92"/>
        <v>XavierNorth Carolina</v>
      </c>
      <c r="D2992" t="s">
        <v>50</v>
      </c>
      <c r="E2992">
        <v>11.8</v>
      </c>
      <c r="F2992">
        <v>13.2</v>
      </c>
      <c r="G2992">
        <v>748.94044325346999</v>
      </c>
      <c r="H2992">
        <v>137.459393713374</v>
      </c>
      <c r="I2992" s="1">
        <f t="shared" si="93"/>
        <v>120.21431792046505</v>
      </c>
    </row>
    <row r="2993" spans="1:9" x14ac:dyDescent="0.45">
      <c r="A2993" t="s">
        <v>73</v>
      </c>
      <c r="B2993" t="s">
        <v>50</v>
      </c>
      <c r="C2993" t="str">
        <f t="shared" si="92"/>
        <v>YaleNorth Carolina</v>
      </c>
      <c r="D2993" t="s">
        <v>50</v>
      </c>
      <c r="E2993">
        <v>6.9</v>
      </c>
      <c r="F2993">
        <v>17.022641509433999</v>
      </c>
      <c r="G2993">
        <v>1342.0196149691899</v>
      </c>
      <c r="H2993">
        <v>138.258628347437</v>
      </c>
      <c r="I2993" s="1">
        <f t="shared" si="93"/>
        <v>131.46840915721447</v>
      </c>
    </row>
    <row r="2994" spans="1:9" x14ac:dyDescent="0.45">
      <c r="A2994" t="s">
        <v>7</v>
      </c>
      <c r="B2994" t="s">
        <v>51</v>
      </c>
      <c r="C2994" t="str">
        <f t="shared" si="92"/>
        <v>AkronOklahoma</v>
      </c>
      <c r="D2994" t="s">
        <v>51</v>
      </c>
      <c r="E2994">
        <v>10.4</v>
      </c>
      <c r="F2994">
        <v>14.1132075471698</v>
      </c>
      <c r="G2994">
        <v>860.83145828912302</v>
      </c>
      <c r="H2994">
        <v>138.69849050737699</v>
      </c>
      <c r="I2994" s="1">
        <f t="shared" si="93"/>
        <v>137.66214585052217</v>
      </c>
    </row>
    <row r="2995" spans="1:9" x14ac:dyDescent="0.45">
      <c r="A2995" t="s">
        <v>8</v>
      </c>
      <c r="B2995" t="s">
        <v>51</v>
      </c>
      <c r="C2995" t="str">
        <f t="shared" si="92"/>
        <v>AlabamaOklahoma</v>
      </c>
      <c r="D2995" t="s">
        <v>8</v>
      </c>
      <c r="E2995">
        <v>89.5</v>
      </c>
      <c r="F2995">
        <v>-14.0603773584906</v>
      </c>
      <c r="G2995">
        <v>-854.29043413867396</v>
      </c>
      <c r="H2995">
        <v>140.44658651951701</v>
      </c>
      <c r="I2995" s="1">
        <f t="shared" si="93"/>
        <v>162.27723530330354</v>
      </c>
    </row>
    <row r="2996" spans="1:9" x14ac:dyDescent="0.45">
      <c r="A2996" t="s">
        <v>9</v>
      </c>
      <c r="B2996" t="s">
        <v>51</v>
      </c>
      <c r="C2996" t="str">
        <f t="shared" si="92"/>
        <v>Alabama St.Oklahoma</v>
      </c>
      <c r="D2996" t="s">
        <v>51</v>
      </c>
      <c r="E2996">
        <v>1.8</v>
      </c>
      <c r="F2996">
        <v>26.252830188679201</v>
      </c>
      <c r="G2996">
        <v>5485.0659895203398</v>
      </c>
      <c r="H2996">
        <v>138.92533136319099</v>
      </c>
      <c r="I2996" s="1">
        <f t="shared" si="93"/>
        <v>140.8563113417938</v>
      </c>
    </row>
    <row r="2997" spans="1:9" x14ac:dyDescent="0.45">
      <c r="A2997" t="s">
        <v>10</v>
      </c>
      <c r="B2997" t="s">
        <v>51</v>
      </c>
      <c r="C2997" t="str">
        <f t="shared" si="92"/>
        <v>AmericanOklahoma</v>
      </c>
      <c r="D2997" t="s">
        <v>51</v>
      </c>
      <c r="E2997">
        <v>2.2000000000000002</v>
      </c>
      <c r="F2997">
        <v>24.988679245282999</v>
      </c>
      <c r="G2997">
        <v>4523.6004320422899</v>
      </c>
      <c r="H2997">
        <v>139.01641724479501</v>
      </c>
      <c r="I2997" s="1">
        <f t="shared" si="93"/>
        <v>142.13889943077612</v>
      </c>
    </row>
    <row r="2998" spans="1:9" x14ac:dyDescent="0.45">
      <c r="A2998" t="s">
        <v>11</v>
      </c>
      <c r="B2998" t="s">
        <v>51</v>
      </c>
      <c r="C2998" t="str">
        <f t="shared" si="92"/>
        <v>ArizonaOklahoma</v>
      </c>
      <c r="D2998" t="s">
        <v>11</v>
      </c>
      <c r="E2998">
        <v>85.9</v>
      </c>
      <c r="F2998">
        <v>-11.822641509434</v>
      </c>
      <c r="G2998">
        <v>-606.97015058931095</v>
      </c>
      <c r="H2998">
        <v>140.20894533850699</v>
      </c>
      <c r="I2998" s="1">
        <f t="shared" si="93"/>
        <v>158.93098950924949</v>
      </c>
    </row>
    <row r="2999" spans="1:9" x14ac:dyDescent="0.45">
      <c r="A2999" t="s">
        <v>12</v>
      </c>
      <c r="B2999" t="s">
        <v>51</v>
      </c>
      <c r="C2999" t="str">
        <f t="shared" si="92"/>
        <v>ArkansasOklahoma</v>
      </c>
      <c r="D2999" t="s">
        <v>51</v>
      </c>
      <c r="E2999">
        <v>26.8</v>
      </c>
      <c r="F2999">
        <v>6.5698113207547202</v>
      </c>
      <c r="G2999">
        <v>272.471326874792</v>
      </c>
      <c r="H2999">
        <v>138.32654917236499</v>
      </c>
      <c r="I2999" s="1">
        <f t="shared" si="93"/>
        <v>132.42480810195127</v>
      </c>
    </row>
    <row r="3000" spans="1:9" x14ac:dyDescent="0.45">
      <c r="A3000" t="s">
        <v>13</v>
      </c>
      <c r="B3000" t="s">
        <v>51</v>
      </c>
      <c r="C3000" t="str">
        <f t="shared" si="92"/>
        <v>AuburnOklahoma</v>
      </c>
      <c r="D3000" t="s">
        <v>13</v>
      </c>
      <c r="E3000">
        <v>94.4</v>
      </c>
      <c r="F3000">
        <v>-18.471698113207498</v>
      </c>
      <c r="G3000">
        <v>-1674.1981753166201</v>
      </c>
      <c r="H3000">
        <v>141.46526857762601</v>
      </c>
      <c r="I3000" s="1">
        <f t="shared" si="93"/>
        <v>176.62138448627633</v>
      </c>
    </row>
    <row r="3001" spans="1:9" x14ac:dyDescent="0.45">
      <c r="A3001" t="s">
        <v>14</v>
      </c>
      <c r="B3001" t="s">
        <v>51</v>
      </c>
      <c r="C3001" t="str">
        <f t="shared" si="92"/>
        <v>BaylorOklahoma</v>
      </c>
      <c r="D3001" t="s">
        <v>14</v>
      </c>
      <c r="E3001">
        <v>63.9</v>
      </c>
      <c r="F3001">
        <v>-3.7396226415094298</v>
      </c>
      <c r="G3001">
        <v>-176.93720615784599</v>
      </c>
      <c r="H3001">
        <v>140.000266590351</v>
      </c>
      <c r="I3001" s="1">
        <f t="shared" si="93"/>
        <v>155.99256620922387</v>
      </c>
    </row>
    <row r="3002" spans="1:9" x14ac:dyDescent="0.45">
      <c r="A3002" t="s">
        <v>15</v>
      </c>
      <c r="B3002" t="s">
        <v>51</v>
      </c>
      <c r="C3002" t="str">
        <f t="shared" si="92"/>
        <v>BryantOklahoma</v>
      </c>
      <c r="D3002" t="s">
        <v>51</v>
      </c>
      <c r="E3002">
        <v>7.4</v>
      </c>
      <c r="F3002">
        <v>16.543396226415101</v>
      </c>
      <c r="G3002">
        <v>1247.7310403639201</v>
      </c>
      <c r="H3002">
        <v>139.549264340245</v>
      </c>
      <c r="I3002" s="1">
        <f t="shared" si="93"/>
        <v>149.64196495353286</v>
      </c>
    </row>
    <row r="3003" spans="1:9" x14ac:dyDescent="0.45">
      <c r="A3003" t="s">
        <v>16</v>
      </c>
      <c r="B3003" t="s">
        <v>51</v>
      </c>
      <c r="C3003" t="str">
        <f t="shared" si="92"/>
        <v>BYUOklahoma</v>
      </c>
      <c r="D3003" t="s">
        <v>16</v>
      </c>
      <c r="E3003">
        <v>68.3</v>
      </c>
      <c r="F3003">
        <v>-5.0339622641509401</v>
      </c>
      <c r="G3003">
        <v>-215.55383231389601</v>
      </c>
      <c r="H3003">
        <v>139.80978481846901</v>
      </c>
      <c r="I3003" s="1">
        <f t="shared" si="93"/>
        <v>153.31037608840805</v>
      </c>
    </row>
    <row r="3004" spans="1:9" x14ac:dyDescent="0.45">
      <c r="A3004" t="s">
        <v>17</v>
      </c>
      <c r="B3004" t="s">
        <v>51</v>
      </c>
      <c r="C3004" t="str">
        <f t="shared" si="92"/>
        <v>ClemsonOklahoma</v>
      </c>
      <c r="D3004" t="s">
        <v>17</v>
      </c>
      <c r="E3004">
        <v>73.400000000000006</v>
      </c>
      <c r="F3004">
        <v>-6.6603773584905701</v>
      </c>
      <c r="G3004">
        <v>-276.18957045555601</v>
      </c>
      <c r="H3004">
        <v>140.03169667476001</v>
      </c>
      <c r="I3004" s="1">
        <f t="shared" si="93"/>
        <v>156.43513591584377</v>
      </c>
    </row>
    <row r="3005" spans="1:9" x14ac:dyDescent="0.45">
      <c r="A3005" t="s">
        <v>18</v>
      </c>
      <c r="B3005" t="s">
        <v>51</v>
      </c>
      <c r="C3005" t="str">
        <f t="shared" si="92"/>
        <v>Colorado St.Oklahoma</v>
      </c>
      <c r="D3005" t="s">
        <v>51</v>
      </c>
      <c r="E3005">
        <v>31.2</v>
      </c>
      <c r="F3005">
        <v>5.1811320754716998</v>
      </c>
      <c r="G3005">
        <v>220.360756882141</v>
      </c>
      <c r="H3005">
        <v>139.33908852286601</v>
      </c>
      <c r="I3005" s="1">
        <f t="shared" si="93"/>
        <v>146.68246129374128</v>
      </c>
    </row>
    <row r="3006" spans="1:9" x14ac:dyDescent="0.45">
      <c r="A3006" t="s">
        <v>19</v>
      </c>
      <c r="B3006" t="s">
        <v>51</v>
      </c>
      <c r="C3006" t="str">
        <f t="shared" si="92"/>
        <v>ConnecticutOklahoma</v>
      </c>
      <c r="D3006" t="s">
        <v>19</v>
      </c>
      <c r="E3006">
        <v>82.4</v>
      </c>
      <c r="F3006">
        <v>-10.1245283018868</v>
      </c>
      <c r="G3006">
        <v>-468.44950629433799</v>
      </c>
      <c r="H3006">
        <v>139.97464042520201</v>
      </c>
      <c r="I3006" s="1">
        <f t="shared" si="93"/>
        <v>155.63172198608422</v>
      </c>
    </row>
    <row r="3007" spans="1:9" x14ac:dyDescent="0.45">
      <c r="A3007" t="s">
        <v>20</v>
      </c>
      <c r="B3007" t="s">
        <v>51</v>
      </c>
      <c r="C3007" t="str">
        <f t="shared" si="92"/>
        <v>CreightonOklahoma</v>
      </c>
      <c r="D3007" t="s">
        <v>20</v>
      </c>
      <c r="E3007">
        <v>59.2</v>
      </c>
      <c r="F3007">
        <v>-2.4301886792452798</v>
      </c>
      <c r="G3007">
        <v>-144.90479553575301</v>
      </c>
      <c r="H3007">
        <v>139.447582787465</v>
      </c>
      <c r="I3007" s="1">
        <f t="shared" si="93"/>
        <v>148.21017831252706</v>
      </c>
    </row>
    <row r="3008" spans="1:9" x14ac:dyDescent="0.45">
      <c r="A3008" t="s">
        <v>21</v>
      </c>
      <c r="B3008" t="s">
        <v>51</v>
      </c>
      <c r="C3008" t="str">
        <f t="shared" si="92"/>
        <v>DrakeOklahoma</v>
      </c>
      <c r="D3008" t="s">
        <v>51</v>
      </c>
      <c r="E3008">
        <v>31</v>
      </c>
      <c r="F3008">
        <v>5.2301886792452796</v>
      </c>
      <c r="G3008">
        <v>222.07115581187301</v>
      </c>
      <c r="H3008">
        <v>139.50104789161901</v>
      </c>
      <c r="I3008" s="1">
        <f t="shared" si="93"/>
        <v>148.96302501672051</v>
      </c>
    </row>
    <row r="3009" spans="1:9" x14ac:dyDescent="0.45">
      <c r="A3009" t="s">
        <v>22</v>
      </c>
      <c r="B3009" t="s">
        <v>51</v>
      </c>
      <c r="C3009" t="str">
        <f t="shared" si="92"/>
        <v>DukeOklahoma</v>
      </c>
      <c r="D3009" t="s">
        <v>22</v>
      </c>
      <c r="E3009">
        <v>96.1</v>
      </c>
      <c r="F3009">
        <v>-20.981132075471699</v>
      </c>
      <c r="G3009">
        <v>-2454.8009543197099</v>
      </c>
      <c r="H3009">
        <v>141.78836835307601</v>
      </c>
      <c r="I3009" s="1">
        <f t="shared" si="93"/>
        <v>181.1709800574825</v>
      </c>
    </row>
    <row r="3010" spans="1:9" x14ac:dyDescent="0.45">
      <c r="A3010" t="s">
        <v>23</v>
      </c>
      <c r="B3010" t="s">
        <v>51</v>
      </c>
      <c r="C3010" t="str">
        <f t="shared" si="92"/>
        <v>FloridaOklahoma</v>
      </c>
      <c r="D3010" t="s">
        <v>23</v>
      </c>
      <c r="E3010">
        <v>93.1</v>
      </c>
      <c r="F3010">
        <v>-17.083018867924501</v>
      </c>
      <c r="G3010">
        <v>-1354.15899207901</v>
      </c>
      <c r="H3010">
        <v>141.51212462901799</v>
      </c>
      <c r="I3010" s="1">
        <f t="shared" si="93"/>
        <v>177.28116855328867</v>
      </c>
    </row>
    <row r="3011" spans="1:9" x14ac:dyDescent="0.45">
      <c r="A3011" t="s">
        <v>24</v>
      </c>
      <c r="B3011" t="s">
        <v>51</v>
      </c>
      <c r="C3011" t="str">
        <f t="shared" ref="C3011:C3074" si="94">A3011&amp;B3011</f>
        <v>GeorgiaOklahoma</v>
      </c>
      <c r="D3011" t="s">
        <v>51</v>
      </c>
      <c r="E3011">
        <v>33.700000000000003</v>
      </c>
      <c r="F3011">
        <v>4.4264150943396201</v>
      </c>
      <c r="G3011">
        <v>196.41066864472299</v>
      </c>
      <c r="H3011">
        <v>138.65393815336199</v>
      </c>
      <c r="I3011" s="1">
        <f t="shared" ref="I3011:I3074" si="95">18*(H3011-AVERAGE($H$2:$H$4625))/_xlfn.STDEV.P($H$2:$H$4625)+AVERAGE($H$2:$H$4625)</f>
        <v>137.0348003432988</v>
      </c>
    </row>
    <row r="3012" spans="1:9" x14ac:dyDescent="0.45">
      <c r="A3012" t="s">
        <v>25</v>
      </c>
      <c r="B3012" t="s">
        <v>51</v>
      </c>
      <c r="C3012" t="str">
        <f t="shared" si="94"/>
        <v>GonzagaOklahoma</v>
      </c>
      <c r="D3012" t="s">
        <v>25</v>
      </c>
      <c r="E3012">
        <v>74.099999999999994</v>
      </c>
      <c r="F3012">
        <v>-6.9018867924528298</v>
      </c>
      <c r="G3012">
        <v>-286.58679991117702</v>
      </c>
      <c r="H3012">
        <v>140.791579272891</v>
      </c>
      <c r="I3012" s="1">
        <f t="shared" si="95"/>
        <v>167.13510776905332</v>
      </c>
    </row>
    <row r="3013" spans="1:9" x14ac:dyDescent="0.45">
      <c r="A3013" t="s">
        <v>26</v>
      </c>
      <c r="B3013" t="s">
        <v>51</v>
      </c>
      <c r="C3013" t="str">
        <f t="shared" si="94"/>
        <v>Grand CanyonOklahoma</v>
      </c>
      <c r="D3013" t="s">
        <v>51</v>
      </c>
      <c r="E3013">
        <v>21.9</v>
      </c>
      <c r="F3013">
        <v>8.3471698113207502</v>
      </c>
      <c r="G3013">
        <v>357.29456782397102</v>
      </c>
      <c r="H3013">
        <v>139.44354751919499</v>
      </c>
      <c r="I3013" s="1">
        <f t="shared" si="95"/>
        <v>148.153357354901</v>
      </c>
    </row>
    <row r="3014" spans="1:9" x14ac:dyDescent="0.45">
      <c r="A3014" t="s">
        <v>27</v>
      </c>
      <c r="B3014" t="s">
        <v>51</v>
      </c>
      <c r="C3014" t="str">
        <f t="shared" si="94"/>
        <v>High PointOklahoma</v>
      </c>
      <c r="D3014" t="s">
        <v>51</v>
      </c>
      <c r="E3014">
        <v>15.5</v>
      </c>
      <c r="F3014">
        <v>11.1207547169811</v>
      </c>
      <c r="G3014">
        <v>545.38411213074505</v>
      </c>
      <c r="H3014">
        <v>139.72443926685099</v>
      </c>
      <c r="I3014" s="1">
        <f t="shared" si="95"/>
        <v>152.1086180769</v>
      </c>
    </row>
    <row r="3015" spans="1:9" x14ac:dyDescent="0.45">
      <c r="A3015" t="s">
        <v>28</v>
      </c>
      <c r="B3015" t="s">
        <v>51</v>
      </c>
      <c r="C3015" t="str">
        <f t="shared" si="94"/>
        <v>HoustonOklahoma</v>
      </c>
      <c r="D3015" t="s">
        <v>28</v>
      </c>
      <c r="E3015">
        <v>97.7</v>
      </c>
      <c r="F3015">
        <v>-24.494339622641501</v>
      </c>
      <c r="G3015">
        <v>-4195.6913225312601</v>
      </c>
      <c r="H3015">
        <v>141.93203270270499</v>
      </c>
      <c r="I3015" s="1">
        <f t="shared" si="95"/>
        <v>183.19393005149556</v>
      </c>
    </row>
    <row r="3016" spans="1:9" x14ac:dyDescent="0.45">
      <c r="A3016" t="s">
        <v>29</v>
      </c>
      <c r="B3016" t="s">
        <v>51</v>
      </c>
      <c r="C3016" t="str">
        <f t="shared" si="94"/>
        <v>IllinoisOklahoma</v>
      </c>
      <c r="D3016" t="s">
        <v>29</v>
      </c>
      <c r="E3016">
        <v>80.7</v>
      </c>
      <c r="F3016">
        <v>-9.3849056603773597</v>
      </c>
      <c r="G3016">
        <v>-418.50522204126099</v>
      </c>
      <c r="H3016">
        <v>139.98227785664201</v>
      </c>
      <c r="I3016" s="1">
        <f t="shared" si="95"/>
        <v>155.7392653113819</v>
      </c>
    </row>
    <row r="3017" spans="1:9" x14ac:dyDescent="0.45">
      <c r="A3017" t="s">
        <v>30</v>
      </c>
      <c r="B3017" t="s">
        <v>51</v>
      </c>
      <c r="C3017" t="str">
        <f t="shared" si="94"/>
        <v>Iowa St.Oklahoma</v>
      </c>
      <c r="D3017" t="s">
        <v>30</v>
      </c>
      <c r="E3017">
        <v>89.8</v>
      </c>
      <c r="F3017">
        <v>-14.267924528301901</v>
      </c>
      <c r="G3017">
        <v>-881.53845175635297</v>
      </c>
      <c r="H3017">
        <v>140.90854643500001</v>
      </c>
      <c r="I3017" s="1">
        <f t="shared" si="95"/>
        <v>168.78213238232186</v>
      </c>
    </row>
    <row r="3018" spans="1:9" x14ac:dyDescent="0.45">
      <c r="A3018" t="s">
        <v>31</v>
      </c>
      <c r="B3018" t="s">
        <v>51</v>
      </c>
      <c r="C3018" t="str">
        <f t="shared" si="94"/>
        <v>KansasOklahoma</v>
      </c>
      <c r="D3018" t="s">
        <v>31</v>
      </c>
      <c r="E3018">
        <v>71.900000000000006</v>
      </c>
      <c r="F3018">
        <v>-6.1660377358490601</v>
      </c>
      <c r="G3018">
        <v>-256.11190932838502</v>
      </c>
      <c r="H3018">
        <v>139.86393671931199</v>
      </c>
      <c r="I3018" s="1">
        <f t="shared" si="95"/>
        <v>154.07289363551709</v>
      </c>
    </row>
    <row r="3019" spans="1:9" x14ac:dyDescent="0.45">
      <c r="A3019" t="s">
        <v>32</v>
      </c>
      <c r="B3019" t="s">
        <v>51</v>
      </c>
      <c r="C3019" t="str">
        <f t="shared" si="94"/>
        <v>KentuckyOklahoma</v>
      </c>
      <c r="D3019" t="s">
        <v>32</v>
      </c>
      <c r="E3019">
        <v>81.2</v>
      </c>
      <c r="F3019">
        <v>-9.5924528301886802</v>
      </c>
      <c r="G3019">
        <v>-432.05510192892899</v>
      </c>
      <c r="H3019">
        <v>139.810974319704</v>
      </c>
      <c r="I3019" s="1">
        <f t="shared" si="95"/>
        <v>153.32712555702997</v>
      </c>
    </row>
    <row r="3020" spans="1:9" x14ac:dyDescent="0.45">
      <c r="A3020" t="s">
        <v>33</v>
      </c>
      <c r="B3020" t="s">
        <v>51</v>
      </c>
      <c r="C3020" t="str">
        <f t="shared" si="94"/>
        <v>LibertyOklahoma</v>
      </c>
      <c r="D3020" t="s">
        <v>51</v>
      </c>
      <c r="E3020">
        <v>10.7</v>
      </c>
      <c r="F3020">
        <v>13.8943396226415</v>
      </c>
      <c r="G3020">
        <v>832.95385092725098</v>
      </c>
      <c r="H3020">
        <v>139.019910568103</v>
      </c>
      <c r="I3020" s="1">
        <f t="shared" si="95"/>
        <v>142.18808921504228</v>
      </c>
    </row>
    <row r="3021" spans="1:9" x14ac:dyDescent="0.45">
      <c r="A3021" t="s">
        <v>34</v>
      </c>
      <c r="B3021" t="s">
        <v>51</v>
      </c>
      <c r="C3021" t="str">
        <f t="shared" si="94"/>
        <v>LipscombOklahoma</v>
      </c>
      <c r="D3021" t="s">
        <v>51</v>
      </c>
      <c r="E3021">
        <v>8.4</v>
      </c>
      <c r="F3021">
        <v>15.6377358490566</v>
      </c>
      <c r="G3021">
        <v>1086.5526859102899</v>
      </c>
      <c r="H3021">
        <v>139.45183079936001</v>
      </c>
      <c r="I3021" s="1">
        <f t="shared" si="95"/>
        <v>148.26999493133181</v>
      </c>
    </row>
    <row r="3022" spans="1:9" x14ac:dyDescent="0.45">
      <c r="A3022" t="s">
        <v>35</v>
      </c>
      <c r="B3022" t="s">
        <v>51</v>
      </c>
      <c r="C3022" t="str">
        <f t="shared" si="94"/>
        <v>LouisvilleOklahoma</v>
      </c>
      <c r="D3022" t="s">
        <v>51</v>
      </c>
      <c r="E3022">
        <v>18.899999999999999</v>
      </c>
      <c r="F3022">
        <v>9.5320754716981106</v>
      </c>
      <c r="G3022">
        <v>427.993839829249</v>
      </c>
      <c r="H3022">
        <v>138.73755411132899</v>
      </c>
      <c r="I3022" s="1">
        <f t="shared" si="95"/>
        <v>138.21220379868339</v>
      </c>
    </row>
    <row r="3023" spans="1:9" x14ac:dyDescent="0.45">
      <c r="A3023" t="s">
        <v>36</v>
      </c>
      <c r="B3023" t="s">
        <v>51</v>
      </c>
      <c r="C3023" t="str">
        <f t="shared" si="94"/>
        <v>MarquetteOklahoma</v>
      </c>
      <c r="D3023" t="s">
        <v>36</v>
      </c>
      <c r="E3023">
        <v>76.7</v>
      </c>
      <c r="F3023">
        <v>-7.8150943396226404</v>
      </c>
      <c r="G3023">
        <v>-329.35775062704499</v>
      </c>
      <c r="H3023">
        <v>140.06931074623401</v>
      </c>
      <c r="I3023" s="1">
        <f t="shared" si="95"/>
        <v>156.96478287321099</v>
      </c>
    </row>
    <row r="3024" spans="1:9" x14ac:dyDescent="0.45">
      <c r="A3024" t="s">
        <v>37</v>
      </c>
      <c r="B3024" t="s">
        <v>51</v>
      </c>
      <c r="C3024" t="str">
        <f t="shared" si="94"/>
        <v>MarylandOklahoma</v>
      </c>
      <c r="D3024" t="s">
        <v>37</v>
      </c>
      <c r="E3024">
        <v>69.099999999999994</v>
      </c>
      <c r="F3024">
        <v>-5.2679245283018901</v>
      </c>
      <c r="G3024">
        <v>-223.420762590864</v>
      </c>
      <c r="H3024">
        <v>139.67925005791199</v>
      </c>
      <c r="I3024" s="1">
        <f t="shared" si="95"/>
        <v>151.47230496102466</v>
      </c>
    </row>
    <row r="3025" spans="1:9" x14ac:dyDescent="0.45">
      <c r="A3025" t="s">
        <v>38</v>
      </c>
      <c r="B3025" t="s">
        <v>51</v>
      </c>
      <c r="C3025" t="str">
        <f t="shared" si="94"/>
        <v>McNeese St.Oklahoma</v>
      </c>
      <c r="D3025" t="s">
        <v>51</v>
      </c>
      <c r="E3025">
        <v>28.5</v>
      </c>
      <c r="F3025">
        <v>6.0377358490565998</v>
      </c>
      <c r="G3025">
        <v>251.20346853260199</v>
      </c>
      <c r="H3025">
        <v>139.51466167211299</v>
      </c>
      <c r="I3025" s="1">
        <f t="shared" si="95"/>
        <v>149.15472182417429</v>
      </c>
    </row>
    <row r="3026" spans="1:9" x14ac:dyDescent="0.45">
      <c r="A3026" t="s">
        <v>39</v>
      </c>
      <c r="B3026" t="s">
        <v>51</v>
      </c>
      <c r="C3026" t="str">
        <f t="shared" si="94"/>
        <v>MemphisOklahoma</v>
      </c>
      <c r="D3026" t="s">
        <v>39</v>
      </c>
      <c r="E3026">
        <v>53.4</v>
      </c>
      <c r="F3026">
        <v>-0.88301886792452799</v>
      </c>
      <c r="G3026">
        <v>-114.434512941661</v>
      </c>
      <c r="H3026">
        <v>138.656884870932</v>
      </c>
      <c r="I3026" s="1">
        <f t="shared" si="95"/>
        <v>137.07629332542004</v>
      </c>
    </row>
    <row r="3027" spans="1:9" x14ac:dyDescent="0.45">
      <c r="A3027" t="s">
        <v>40</v>
      </c>
      <c r="B3027" t="s">
        <v>51</v>
      </c>
      <c r="C3027" t="str">
        <f t="shared" si="94"/>
        <v>MichiganOklahoma</v>
      </c>
      <c r="D3027" t="s">
        <v>51</v>
      </c>
      <c r="E3027">
        <v>37.700000000000003</v>
      </c>
      <c r="F3027">
        <v>3.3056603773584898</v>
      </c>
      <c r="G3027">
        <v>165.543454645889</v>
      </c>
      <c r="H3027">
        <v>138.31380595561501</v>
      </c>
      <c r="I3027" s="1">
        <f t="shared" si="95"/>
        <v>132.2453697770317</v>
      </c>
    </row>
    <row r="3028" spans="1:9" x14ac:dyDescent="0.45">
      <c r="A3028" t="s">
        <v>41</v>
      </c>
      <c r="B3028" t="s">
        <v>51</v>
      </c>
      <c r="C3028" t="str">
        <f t="shared" si="94"/>
        <v>Michigan St.Oklahoma</v>
      </c>
      <c r="D3028" t="s">
        <v>41</v>
      </c>
      <c r="E3028">
        <v>85.3</v>
      </c>
      <c r="F3028">
        <v>-11.5207547169811</v>
      </c>
      <c r="G3028">
        <v>-579.64463584093198</v>
      </c>
      <c r="H3028">
        <v>140.01269791644401</v>
      </c>
      <c r="I3028" s="1">
        <f t="shared" si="95"/>
        <v>156.16761277512813</v>
      </c>
    </row>
    <row r="3029" spans="1:9" x14ac:dyDescent="0.45">
      <c r="A3029" t="s">
        <v>42</v>
      </c>
      <c r="B3029" t="s">
        <v>51</v>
      </c>
      <c r="C3029" t="str">
        <f t="shared" si="94"/>
        <v>MississippiOklahoma</v>
      </c>
      <c r="D3029" t="s">
        <v>42</v>
      </c>
      <c r="E3029">
        <v>59.8</v>
      </c>
      <c r="F3029">
        <v>-2.60754716981132</v>
      </c>
      <c r="G3029">
        <v>-148.88225251842701</v>
      </c>
      <c r="H3029">
        <v>139.143619021539</v>
      </c>
      <c r="I3029" s="1">
        <f t="shared" si="95"/>
        <v>143.9300385280348</v>
      </c>
    </row>
    <row r="3030" spans="1:9" x14ac:dyDescent="0.45">
      <c r="A3030" t="s">
        <v>43</v>
      </c>
      <c r="B3030" t="s">
        <v>51</v>
      </c>
      <c r="C3030" t="str">
        <f t="shared" si="94"/>
        <v>Mississippi St.Oklahoma</v>
      </c>
      <c r="D3030" t="s">
        <v>43</v>
      </c>
      <c r="E3030">
        <v>52.9</v>
      </c>
      <c r="F3030">
        <v>-0.75849056603773601</v>
      </c>
      <c r="G3030">
        <v>-112.29273221505299</v>
      </c>
      <c r="H3030">
        <v>139.267990375328</v>
      </c>
      <c r="I3030" s="1">
        <f t="shared" si="95"/>
        <v>145.68132219759252</v>
      </c>
    </row>
    <row r="3031" spans="1:9" x14ac:dyDescent="0.45">
      <c r="A3031" t="s">
        <v>44</v>
      </c>
      <c r="B3031" t="s">
        <v>51</v>
      </c>
      <c r="C3031" t="str">
        <f t="shared" si="94"/>
        <v>MissouriOklahoma</v>
      </c>
      <c r="D3031" t="s">
        <v>51</v>
      </c>
      <c r="E3031">
        <v>33</v>
      </c>
      <c r="F3031">
        <v>4.6528301886792498</v>
      </c>
      <c r="G3031">
        <v>203.35145871968999</v>
      </c>
      <c r="H3031">
        <v>138.532462311502</v>
      </c>
      <c r="I3031" s="1">
        <f t="shared" si="95"/>
        <v>135.32428862485204</v>
      </c>
    </row>
    <row r="3032" spans="1:9" x14ac:dyDescent="0.45">
      <c r="A3032" t="s">
        <v>45</v>
      </c>
      <c r="B3032" t="s">
        <v>51</v>
      </c>
      <c r="C3032" t="str">
        <f t="shared" si="94"/>
        <v>MontanaOklahoma</v>
      </c>
      <c r="D3032" t="s">
        <v>51</v>
      </c>
      <c r="E3032">
        <v>4.5999999999999996</v>
      </c>
      <c r="F3032">
        <v>19.909433962264199</v>
      </c>
      <c r="G3032">
        <v>2084.6798282586901</v>
      </c>
      <c r="H3032">
        <v>137.84119703652101</v>
      </c>
      <c r="I3032" s="1">
        <f t="shared" si="95"/>
        <v>125.59052316741121</v>
      </c>
    </row>
    <row r="3033" spans="1:9" x14ac:dyDescent="0.45">
      <c r="A3033" t="s">
        <v>46</v>
      </c>
      <c r="B3033" t="s">
        <v>51</v>
      </c>
      <c r="C3033" t="str">
        <f t="shared" si="94"/>
        <v>Mount St. Mary'sOklahoma</v>
      </c>
      <c r="D3033" t="s">
        <v>51</v>
      </c>
      <c r="E3033">
        <v>1.9</v>
      </c>
      <c r="F3033">
        <v>26.026415094339601</v>
      </c>
      <c r="G3033">
        <v>5299.5630084651302</v>
      </c>
      <c r="H3033">
        <v>139.189071258468</v>
      </c>
      <c r="I3033" s="1">
        <f t="shared" si="95"/>
        <v>144.57005536353282</v>
      </c>
    </row>
    <row r="3034" spans="1:9" x14ac:dyDescent="0.45">
      <c r="A3034" t="s">
        <v>47</v>
      </c>
      <c r="B3034" t="s">
        <v>51</v>
      </c>
      <c r="C3034" t="str">
        <f t="shared" si="94"/>
        <v>Nebraska OmahaOklahoma</v>
      </c>
      <c r="D3034" t="s">
        <v>51</v>
      </c>
      <c r="E3034">
        <v>2.4</v>
      </c>
      <c r="F3034">
        <v>24.309433962264201</v>
      </c>
      <c r="G3034">
        <v>4079.1501953716001</v>
      </c>
      <c r="H3034">
        <v>138.47307243836801</v>
      </c>
      <c r="I3034" s="1">
        <f t="shared" si="95"/>
        <v>134.48801474193587</v>
      </c>
    </row>
    <row r="3035" spans="1:9" x14ac:dyDescent="0.45">
      <c r="A3035" t="s">
        <v>48</v>
      </c>
      <c r="B3035" t="s">
        <v>51</v>
      </c>
      <c r="C3035" t="str">
        <f t="shared" si="94"/>
        <v>New MexicoOklahoma</v>
      </c>
      <c r="D3035" t="s">
        <v>51</v>
      </c>
      <c r="E3035">
        <v>38.5</v>
      </c>
      <c r="F3035">
        <v>3.0641509433962302</v>
      </c>
      <c r="G3035">
        <v>159.563726191927</v>
      </c>
      <c r="H3035">
        <v>139.35081678564299</v>
      </c>
      <c r="I3035" s="1">
        <f t="shared" si="95"/>
        <v>146.84760796496317</v>
      </c>
    </row>
    <row r="3036" spans="1:9" x14ac:dyDescent="0.45">
      <c r="A3036" t="s">
        <v>49</v>
      </c>
      <c r="B3036" t="s">
        <v>51</v>
      </c>
      <c r="C3036" t="str">
        <f t="shared" si="94"/>
        <v>Norfolk St.Oklahoma</v>
      </c>
      <c r="D3036" t="s">
        <v>51</v>
      </c>
      <c r="E3036">
        <v>3.5</v>
      </c>
      <c r="F3036">
        <v>21.777358490566002</v>
      </c>
      <c r="G3036">
        <v>2771.9606499420001</v>
      </c>
      <c r="H3036">
        <v>138.363180447845</v>
      </c>
      <c r="I3036" s="1">
        <f t="shared" si="95"/>
        <v>132.94061622487351</v>
      </c>
    </row>
    <row r="3037" spans="1:9" x14ac:dyDescent="0.45">
      <c r="A3037" t="s">
        <v>50</v>
      </c>
      <c r="B3037" t="s">
        <v>51</v>
      </c>
      <c r="C3037" t="str">
        <f t="shared" si="94"/>
        <v>North CarolinaOklahoma</v>
      </c>
      <c r="D3037" t="s">
        <v>50</v>
      </c>
      <c r="E3037">
        <v>68.099999999999994</v>
      </c>
      <c r="F3037">
        <v>-4.97735849056604</v>
      </c>
      <c r="G3037">
        <v>-213.67753423972599</v>
      </c>
      <c r="H3037">
        <v>140.43511187980101</v>
      </c>
      <c r="I3037" s="1">
        <f t="shared" si="95"/>
        <v>162.11565992009449</v>
      </c>
    </row>
    <row r="3038" spans="1:9" x14ac:dyDescent="0.45">
      <c r="A3038" t="s">
        <v>51</v>
      </c>
      <c r="B3038" t="s">
        <v>51</v>
      </c>
      <c r="C3038" t="str">
        <f t="shared" si="94"/>
        <v>OklahomaOklahoma</v>
      </c>
      <c r="D3038" t="s">
        <v>51</v>
      </c>
      <c r="E3038">
        <v>41.2</v>
      </c>
      <c r="F3038">
        <v>2.3283018867924499</v>
      </c>
      <c r="G3038">
        <v>142.64273539779199</v>
      </c>
      <c r="H3038">
        <v>138.77771517530499</v>
      </c>
      <c r="I3038" s="1">
        <f t="shared" si="95"/>
        <v>138.77771517530277</v>
      </c>
    </row>
    <row r="3039" spans="1:9" x14ac:dyDescent="0.45">
      <c r="A3039" t="s">
        <v>52</v>
      </c>
      <c r="B3039" t="s">
        <v>51</v>
      </c>
      <c r="C3039" t="str">
        <f t="shared" si="94"/>
        <v>OregonOklahoma</v>
      </c>
      <c r="D3039" t="s">
        <v>52</v>
      </c>
      <c r="E3039">
        <v>69.8</v>
      </c>
      <c r="F3039">
        <v>-5.4981132075471697</v>
      </c>
      <c r="G3039">
        <v>-231.29952883651899</v>
      </c>
      <c r="H3039">
        <v>139.37209296344599</v>
      </c>
      <c r="I3039" s="1">
        <f t="shared" si="95"/>
        <v>147.14719964425149</v>
      </c>
    </row>
    <row r="3040" spans="1:9" x14ac:dyDescent="0.45">
      <c r="A3040" t="s">
        <v>53</v>
      </c>
      <c r="B3040" t="s">
        <v>51</v>
      </c>
      <c r="C3040" t="str">
        <f t="shared" si="94"/>
        <v>PurdueOklahoma</v>
      </c>
      <c r="D3040" t="s">
        <v>53</v>
      </c>
      <c r="E3040">
        <v>92.4</v>
      </c>
      <c r="F3040">
        <v>-16.407547169811298</v>
      </c>
      <c r="G3040">
        <v>-1221.75019917759</v>
      </c>
      <c r="H3040">
        <v>140.720080292235</v>
      </c>
      <c r="I3040" s="1">
        <f t="shared" si="95"/>
        <v>166.12832450748886</v>
      </c>
    </row>
    <row r="3041" spans="1:9" x14ac:dyDescent="0.45">
      <c r="A3041" t="s">
        <v>54</v>
      </c>
      <c r="B3041" t="s">
        <v>51</v>
      </c>
      <c r="C3041" t="str">
        <f t="shared" si="94"/>
        <v>Robert MorrisOklahoma</v>
      </c>
      <c r="D3041" t="s">
        <v>51</v>
      </c>
      <c r="E3041">
        <v>1.5</v>
      </c>
      <c r="F3041">
        <v>27.535849056603801</v>
      </c>
      <c r="G3041">
        <v>6671.1170844830804</v>
      </c>
      <c r="H3041">
        <v>137.778717140998</v>
      </c>
      <c r="I3041" s="1">
        <f t="shared" si="95"/>
        <v>124.71073841496126</v>
      </c>
    </row>
    <row r="3042" spans="1:9" x14ac:dyDescent="0.45">
      <c r="A3042" t="s">
        <v>55</v>
      </c>
      <c r="B3042" t="s">
        <v>51</v>
      </c>
      <c r="C3042" t="str">
        <f t="shared" si="94"/>
        <v>Saint FrancisOklahoma</v>
      </c>
      <c r="D3042" t="s">
        <v>51</v>
      </c>
      <c r="E3042">
        <v>1</v>
      </c>
      <c r="F3042">
        <v>30.260377358490601</v>
      </c>
      <c r="G3042">
        <v>10111.4510427429</v>
      </c>
      <c r="H3042">
        <v>138.83157267420501</v>
      </c>
      <c r="I3042" s="1">
        <f t="shared" si="95"/>
        <v>139.5360872234742</v>
      </c>
    </row>
    <row r="3043" spans="1:9" x14ac:dyDescent="0.45">
      <c r="A3043" t="s">
        <v>56</v>
      </c>
      <c r="B3043" t="s">
        <v>51</v>
      </c>
      <c r="C3043" t="str">
        <f t="shared" si="94"/>
        <v>Saint Mary'sOklahoma</v>
      </c>
      <c r="D3043" t="s">
        <v>56</v>
      </c>
      <c r="E3043">
        <v>66.400000000000006</v>
      </c>
      <c r="F3043">
        <v>-4.4528301886792496</v>
      </c>
      <c r="G3043">
        <v>-197.274154912185</v>
      </c>
      <c r="H3043">
        <v>140.08282787529501</v>
      </c>
      <c r="I3043" s="1">
        <f t="shared" si="95"/>
        <v>157.15511872357084</v>
      </c>
    </row>
    <row r="3044" spans="1:9" x14ac:dyDescent="0.45">
      <c r="A3044" t="s">
        <v>57</v>
      </c>
      <c r="B3044" t="s">
        <v>51</v>
      </c>
      <c r="C3044" t="str">
        <f t="shared" si="94"/>
        <v>San Diego St.Oklahoma</v>
      </c>
      <c r="D3044" t="s">
        <v>51</v>
      </c>
      <c r="E3044">
        <v>36.5</v>
      </c>
      <c r="F3044">
        <v>3.6377358490565999</v>
      </c>
      <c r="G3044">
        <v>174.209122985417</v>
      </c>
      <c r="H3044">
        <v>139.229082755093</v>
      </c>
      <c r="I3044" s="1">
        <f t="shared" si="95"/>
        <v>145.13346066949097</v>
      </c>
    </row>
    <row r="3045" spans="1:9" x14ac:dyDescent="0.45">
      <c r="A3045" t="s">
        <v>58</v>
      </c>
      <c r="B3045" t="s">
        <v>51</v>
      </c>
      <c r="C3045" t="str">
        <f t="shared" si="94"/>
        <v>SIU EdwardsvilleOklahoma</v>
      </c>
      <c r="D3045" t="s">
        <v>51</v>
      </c>
      <c r="E3045">
        <v>2.8</v>
      </c>
      <c r="F3045">
        <v>23.237735849056602</v>
      </c>
      <c r="G3045">
        <v>3462.96309518307</v>
      </c>
      <c r="H3045">
        <v>139.37677052194101</v>
      </c>
      <c r="I3045" s="1">
        <f t="shared" si="95"/>
        <v>147.21306474546782</v>
      </c>
    </row>
    <row r="3046" spans="1:9" x14ac:dyDescent="0.45">
      <c r="A3046" t="s">
        <v>59</v>
      </c>
      <c r="B3046" t="s">
        <v>51</v>
      </c>
      <c r="C3046" t="str">
        <f t="shared" si="94"/>
        <v>St. John'sOklahoma</v>
      </c>
      <c r="D3046" t="s">
        <v>59</v>
      </c>
      <c r="E3046">
        <v>86</v>
      </c>
      <c r="F3046">
        <v>-11.920754716981101</v>
      </c>
      <c r="G3046">
        <v>-616.25384828881397</v>
      </c>
      <c r="H3046">
        <v>140.35445329448601</v>
      </c>
      <c r="I3046" s="1">
        <f t="shared" si="95"/>
        <v>160.97989948195178</v>
      </c>
    </row>
    <row r="3047" spans="1:9" x14ac:dyDescent="0.45">
      <c r="A3047" t="s">
        <v>60</v>
      </c>
      <c r="B3047" t="s">
        <v>51</v>
      </c>
      <c r="C3047" t="str">
        <f t="shared" si="94"/>
        <v>TennesseeOklahoma</v>
      </c>
      <c r="D3047" t="s">
        <v>60</v>
      </c>
      <c r="E3047">
        <v>92.5</v>
      </c>
      <c r="F3047">
        <v>-16.4679245283019</v>
      </c>
      <c r="G3047">
        <v>-1232.8183571305301</v>
      </c>
      <c r="H3047">
        <v>140.94843617117701</v>
      </c>
      <c r="I3047" s="1">
        <f t="shared" si="95"/>
        <v>169.34382316899823</v>
      </c>
    </row>
    <row r="3048" spans="1:9" x14ac:dyDescent="0.45">
      <c r="A3048" t="s">
        <v>61</v>
      </c>
      <c r="B3048" t="s">
        <v>51</v>
      </c>
      <c r="C3048" t="str">
        <f t="shared" si="94"/>
        <v>TexasOklahoma</v>
      </c>
      <c r="D3048" t="s">
        <v>51</v>
      </c>
      <c r="E3048">
        <v>33.5</v>
      </c>
      <c r="F3048">
        <v>4.4867924528301897</v>
      </c>
      <c r="G3048">
        <v>198.27484649270599</v>
      </c>
      <c r="H3048">
        <v>138.704150702249</v>
      </c>
      <c r="I3048" s="1">
        <f t="shared" si="95"/>
        <v>137.74184753860283</v>
      </c>
    </row>
    <row r="3049" spans="1:9" x14ac:dyDescent="0.45">
      <c r="A3049" t="s">
        <v>62</v>
      </c>
      <c r="B3049" t="s">
        <v>51</v>
      </c>
      <c r="C3049" t="str">
        <f t="shared" si="94"/>
        <v>Texas A&amp;MOklahoma</v>
      </c>
      <c r="D3049" t="s">
        <v>62</v>
      </c>
      <c r="E3049">
        <v>74.400000000000006</v>
      </c>
      <c r="F3049">
        <v>-7.0075471698113203</v>
      </c>
      <c r="G3049">
        <v>-291.29514802531401</v>
      </c>
      <c r="H3049">
        <v>139.50194972984301</v>
      </c>
      <c r="I3049" s="1">
        <f t="shared" si="95"/>
        <v>148.97572387788227</v>
      </c>
    </row>
    <row r="3050" spans="1:9" x14ac:dyDescent="0.45">
      <c r="A3050" t="s">
        <v>63</v>
      </c>
      <c r="B3050" t="s">
        <v>51</v>
      </c>
      <c r="C3050" t="str">
        <f t="shared" si="94"/>
        <v>Texas TechOklahoma</v>
      </c>
      <c r="D3050" t="s">
        <v>63</v>
      </c>
      <c r="E3050">
        <v>85.2</v>
      </c>
      <c r="F3050">
        <v>-11.4603773584906</v>
      </c>
      <c r="G3050">
        <v>-574.44675937389104</v>
      </c>
      <c r="H3050">
        <v>140.541733848907</v>
      </c>
      <c r="I3050" s="1">
        <f t="shared" si="95"/>
        <v>163.6170129859153</v>
      </c>
    </row>
    <row r="3051" spans="1:9" x14ac:dyDescent="0.45">
      <c r="A3051" t="s">
        <v>64</v>
      </c>
      <c r="B3051" t="s">
        <v>51</v>
      </c>
      <c r="C3051" t="str">
        <f t="shared" si="94"/>
        <v>TroyOklahoma</v>
      </c>
      <c r="D3051" t="s">
        <v>51</v>
      </c>
      <c r="E3051">
        <v>7.5</v>
      </c>
      <c r="F3051">
        <v>16.486792452830201</v>
      </c>
      <c r="G3051">
        <v>1236.5484038923</v>
      </c>
      <c r="H3051">
        <v>139.24529826863599</v>
      </c>
      <c r="I3051" s="1">
        <f t="shared" si="95"/>
        <v>145.36179270252092</v>
      </c>
    </row>
    <row r="3052" spans="1:9" x14ac:dyDescent="0.45">
      <c r="A3052" t="s">
        <v>65</v>
      </c>
      <c r="B3052" t="s">
        <v>51</v>
      </c>
      <c r="C3052" t="str">
        <f t="shared" si="94"/>
        <v>UC San DiegoOklahoma</v>
      </c>
      <c r="D3052" t="s">
        <v>51</v>
      </c>
      <c r="E3052">
        <v>17.100000000000001</v>
      </c>
      <c r="F3052">
        <v>10.324528301886801</v>
      </c>
      <c r="G3052">
        <v>483.13104163281201</v>
      </c>
      <c r="H3052">
        <v>139.33342001202701</v>
      </c>
      <c r="I3052" s="1">
        <f t="shared" si="95"/>
        <v>146.60264250781816</v>
      </c>
    </row>
    <row r="3053" spans="1:9" x14ac:dyDescent="0.45">
      <c r="A3053" t="s">
        <v>66</v>
      </c>
      <c r="B3053" t="s">
        <v>51</v>
      </c>
      <c r="C3053" t="str">
        <f t="shared" si="94"/>
        <v>UCLAOklahoma</v>
      </c>
      <c r="D3053" t="s">
        <v>51</v>
      </c>
      <c r="E3053">
        <v>45.1</v>
      </c>
      <c r="F3053">
        <v>1.2792452830188701</v>
      </c>
      <c r="G3053">
        <v>121.580011057614</v>
      </c>
      <c r="H3053">
        <v>138.804874525136</v>
      </c>
      <c r="I3053" s="1">
        <f t="shared" si="95"/>
        <v>139.16014830307546</v>
      </c>
    </row>
    <row r="3054" spans="1:9" x14ac:dyDescent="0.45">
      <c r="A3054" t="s">
        <v>67</v>
      </c>
      <c r="B3054" t="s">
        <v>51</v>
      </c>
      <c r="C3054" t="str">
        <f t="shared" si="94"/>
        <v>UNC WilmingtonOklahoma</v>
      </c>
      <c r="D3054" t="s">
        <v>51</v>
      </c>
      <c r="E3054">
        <v>11</v>
      </c>
      <c r="F3054">
        <v>13.686792452830201</v>
      </c>
      <c r="G3054">
        <v>806.68342205099896</v>
      </c>
      <c r="H3054">
        <v>139.919890199056</v>
      </c>
      <c r="I3054" s="1">
        <f t="shared" si="95"/>
        <v>154.86077936921143</v>
      </c>
    </row>
    <row r="3055" spans="1:9" x14ac:dyDescent="0.45">
      <c r="A3055" t="s">
        <v>68</v>
      </c>
      <c r="B3055" t="s">
        <v>51</v>
      </c>
      <c r="C3055" t="str">
        <f t="shared" si="94"/>
        <v>Utah St.Oklahoma</v>
      </c>
      <c r="D3055" t="s">
        <v>51</v>
      </c>
      <c r="E3055">
        <v>38.6</v>
      </c>
      <c r="F3055">
        <v>3.0415094339622599</v>
      </c>
      <c r="G3055">
        <v>159.04650355097399</v>
      </c>
      <c r="H3055">
        <v>139.29126060288201</v>
      </c>
      <c r="I3055" s="1">
        <f t="shared" si="95"/>
        <v>146.00899226196572</v>
      </c>
    </row>
    <row r="3056" spans="1:9" x14ac:dyDescent="0.45">
      <c r="A3056" t="s">
        <v>69</v>
      </c>
      <c r="B3056" t="s">
        <v>51</v>
      </c>
      <c r="C3056" t="str">
        <f t="shared" si="94"/>
        <v>VanderbiltOklahoma</v>
      </c>
      <c r="D3056" t="s">
        <v>51</v>
      </c>
      <c r="E3056">
        <v>11.8</v>
      </c>
      <c r="F3056">
        <v>13.1622641509434</v>
      </c>
      <c r="G3056">
        <v>744.92768549134701</v>
      </c>
      <c r="H3056">
        <v>137.865831091481</v>
      </c>
      <c r="I3056" s="1">
        <f t="shared" si="95"/>
        <v>125.93739740212933</v>
      </c>
    </row>
    <row r="3057" spans="1:9" x14ac:dyDescent="0.45">
      <c r="A3057" t="s">
        <v>70</v>
      </c>
      <c r="B3057" t="s">
        <v>51</v>
      </c>
      <c r="C3057" t="str">
        <f t="shared" si="94"/>
        <v>VCUOklahoma</v>
      </c>
      <c r="D3057" t="s">
        <v>51</v>
      </c>
      <c r="E3057">
        <v>29.2</v>
      </c>
      <c r="F3057">
        <v>5.8188679245283002</v>
      </c>
      <c r="G3057">
        <v>242.87569304719901</v>
      </c>
      <c r="H3057">
        <v>139.71074225335599</v>
      </c>
      <c r="I3057" s="1">
        <f t="shared" si="95"/>
        <v>151.91574925844034</v>
      </c>
    </row>
    <row r="3058" spans="1:9" x14ac:dyDescent="0.45">
      <c r="A3058" t="s">
        <v>71</v>
      </c>
      <c r="B3058" t="s">
        <v>51</v>
      </c>
      <c r="C3058" t="str">
        <f t="shared" si="94"/>
        <v>WisconsinOklahoma</v>
      </c>
      <c r="D3058" t="s">
        <v>71</v>
      </c>
      <c r="E3058">
        <v>83.5</v>
      </c>
      <c r="F3058">
        <v>-10.6452830188679</v>
      </c>
      <c r="G3058">
        <v>-507.29055560145201</v>
      </c>
      <c r="H3058">
        <v>140.51142110862301</v>
      </c>
      <c r="I3058" s="1">
        <f t="shared" si="95"/>
        <v>163.19017669748061</v>
      </c>
    </row>
    <row r="3059" spans="1:9" x14ac:dyDescent="0.45">
      <c r="A3059" t="s">
        <v>80</v>
      </c>
      <c r="B3059" t="s">
        <v>51</v>
      </c>
      <c r="C3059" t="str">
        <f t="shared" si="94"/>
        <v>WoffordOklahoma</v>
      </c>
      <c r="D3059" t="s">
        <v>51</v>
      </c>
      <c r="E3059">
        <v>4.0999999999999996</v>
      </c>
      <c r="F3059">
        <v>20.739622641509399</v>
      </c>
      <c r="G3059">
        <v>2366.0194225966602</v>
      </c>
      <c r="H3059">
        <v>138.54087684771801</v>
      </c>
      <c r="I3059" s="1">
        <f t="shared" si="95"/>
        <v>135.44277442896251</v>
      </c>
    </row>
    <row r="3060" spans="1:9" x14ac:dyDescent="0.45">
      <c r="A3060" t="s">
        <v>72</v>
      </c>
      <c r="B3060" t="s">
        <v>51</v>
      </c>
      <c r="C3060" t="str">
        <f t="shared" si="94"/>
        <v>XavierOklahoma</v>
      </c>
      <c r="D3060" t="s">
        <v>51</v>
      </c>
      <c r="E3060">
        <v>28.9</v>
      </c>
      <c r="F3060">
        <v>5.8943396226415103</v>
      </c>
      <c r="G3060">
        <v>245.719012571441</v>
      </c>
      <c r="H3060">
        <v>139.116790417869</v>
      </c>
      <c r="I3060" s="1">
        <f t="shared" si="95"/>
        <v>143.55226266524235</v>
      </c>
    </row>
    <row r="3061" spans="1:9" x14ac:dyDescent="0.45">
      <c r="A3061" t="s">
        <v>73</v>
      </c>
      <c r="B3061" t="s">
        <v>51</v>
      </c>
      <c r="C3061" t="str">
        <f t="shared" si="94"/>
        <v>YaleOklahoma</v>
      </c>
      <c r="D3061" t="s">
        <v>51</v>
      </c>
      <c r="E3061">
        <v>18.5</v>
      </c>
      <c r="F3061">
        <v>9.7169811320754693</v>
      </c>
      <c r="G3061">
        <v>440.301679008316</v>
      </c>
      <c r="H3061">
        <v>139.916025051932</v>
      </c>
      <c r="I3061" s="1">
        <f t="shared" si="95"/>
        <v>154.8063539019918</v>
      </c>
    </row>
    <row r="3062" spans="1:9" x14ac:dyDescent="0.45">
      <c r="A3062" t="s">
        <v>7</v>
      </c>
      <c r="B3062" t="s">
        <v>52</v>
      </c>
      <c r="C3062" t="str">
        <f t="shared" si="94"/>
        <v>AkronOregon</v>
      </c>
      <c r="D3062" t="s">
        <v>52</v>
      </c>
      <c r="E3062">
        <v>3.4</v>
      </c>
      <c r="F3062">
        <v>21.9358490566038</v>
      </c>
      <c r="G3062">
        <v>2840.1582308474299</v>
      </c>
      <c r="H3062">
        <v>138.10411271923701</v>
      </c>
      <c r="I3062" s="1">
        <f t="shared" si="95"/>
        <v>129.29266138158786</v>
      </c>
    </row>
    <row r="3063" spans="1:9" x14ac:dyDescent="0.45">
      <c r="A3063" t="s">
        <v>8</v>
      </c>
      <c r="B3063" t="s">
        <v>52</v>
      </c>
      <c r="C3063" t="str">
        <f t="shared" si="94"/>
        <v>AlabamaOregon</v>
      </c>
      <c r="D3063" t="s">
        <v>8</v>
      </c>
      <c r="E3063">
        <v>72.099999999999994</v>
      </c>
      <c r="F3063">
        <v>-6.2377358490565999</v>
      </c>
      <c r="G3063">
        <v>-258.92926395252999</v>
      </c>
      <c r="H3063">
        <v>139.85220873137601</v>
      </c>
      <c r="I3063" s="1">
        <f t="shared" si="95"/>
        <v>153.90775083435483</v>
      </c>
    </row>
    <row r="3064" spans="1:9" x14ac:dyDescent="0.45">
      <c r="A3064" t="s">
        <v>9</v>
      </c>
      <c r="B3064" t="s">
        <v>52</v>
      </c>
      <c r="C3064" t="str">
        <f t="shared" si="94"/>
        <v>Alabama St.Oregon</v>
      </c>
      <c r="D3064" t="s">
        <v>52</v>
      </c>
      <c r="E3064">
        <v>0.5</v>
      </c>
      <c r="F3064">
        <v>34.075471698113198</v>
      </c>
      <c r="G3064">
        <v>18096.986543497402</v>
      </c>
      <c r="H3064">
        <v>138.33095357504999</v>
      </c>
      <c r="I3064" s="1">
        <f t="shared" si="95"/>
        <v>132.48682687284506</v>
      </c>
    </row>
    <row r="3065" spans="1:9" x14ac:dyDescent="0.45">
      <c r="A3065" t="s">
        <v>10</v>
      </c>
      <c r="B3065" t="s">
        <v>52</v>
      </c>
      <c r="C3065" t="str">
        <f t="shared" si="94"/>
        <v>AmericanOregon</v>
      </c>
      <c r="D3065" t="s">
        <v>52</v>
      </c>
      <c r="E3065">
        <v>0.7</v>
      </c>
      <c r="F3065">
        <v>32.815094339622597</v>
      </c>
      <c r="G3065">
        <v>14924.8042417785</v>
      </c>
      <c r="H3065">
        <v>138.42203945665401</v>
      </c>
      <c r="I3065" s="1">
        <f t="shared" si="95"/>
        <v>133.76941496182741</v>
      </c>
    </row>
    <row r="3066" spans="1:9" x14ac:dyDescent="0.45">
      <c r="A3066" t="s">
        <v>11</v>
      </c>
      <c r="B3066" t="s">
        <v>52</v>
      </c>
      <c r="C3066" t="str">
        <f t="shared" si="94"/>
        <v>ArizonaOregon</v>
      </c>
      <c r="D3066" t="s">
        <v>11</v>
      </c>
      <c r="E3066">
        <v>64.8</v>
      </c>
      <c r="F3066">
        <v>-3.9962264150943398</v>
      </c>
      <c r="G3066">
        <v>-183.968271272642</v>
      </c>
      <c r="H3066">
        <v>139.61456755036701</v>
      </c>
      <c r="I3066" s="1">
        <f t="shared" si="95"/>
        <v>150.56150504031518</v>
      </c>
    </row>
    <row r="3067" spans="1:9" x14ac:dyDescent="0.45">
      <c r="A3067" t="s">
        <v>12</v>
      </c>
      <c r="B3067" t="s">
        <v>52</v>
      </c>
      <c r="C3067" t="str">
        <f t="shared" si="94"/>
        <v>ArkansasOregon</v>
      </c>
      <c r="D3067" t="s">
        <v>52</v>
      </c>
      <c r="E3067">
        <v>10</v>
      </c>
      <c r="F3067">
        <v>14.396226415094301</v>
      </c>
      <c r="G3067">
        <v>898.97002977956402</v>
      </c>
      <c r="H3067">
        <v>137.73217138422399</v>
      </c>
      <c r="I3067" s="1">
        <f t="shared" si="95"/>
        <v>124.05532363300254</v>
      </c>
    </row>
    <row r="3068" spans="1:9" x14ac:dyDescent="0.45">
      <c r="A3068" t="s">
        <v>13</v>
      </c>
      <c r="B3068" t="s">
        <v>52</v>
      </c>
      <c r="C3068" t="str">
        <f t="shared" si="94"/>
        <v>AuburnOregon</v>
      </c>
      <c r="D3068" t="s">
        <v>13</v>
      </c>
      <c r="E3068">
        <v>83.5</v>
      </c>
      <c r="F3068">
        <v>-10.6490566037736</v>
      </c>
      <c r="G3068">
        <v>-507.437381857692</v>
      </c>
      <c r="H3068">
        <v>140.870890789486</v>
      </c>
      <c r="I3068" s="1">
        <f t="shared" si="95"/>
        <v>168.25190001734163</v>
      </c>
    </row>
    <row r="3069" spans="1:9" x14ac:dyDescent="0.45">
      <c r="A3069" t="s">
        <v>14</v>
      </c>
      <c r="B3069" t="s">
        <v>52</v>
      </c>
      <c r="C3069" t="str">
        <f t="shared" si="94"/>
        <v>BaylorOregon</v>
      </c>
      <c r="D3069" t="s">
        <v>52</v>
      </c>
      <c r="E3069">
        <v>34.9</v>
      </c>
      <c r="F3069">
        <v>4.0830188679245296</v>
      </c>
      <c r="G3069">
        <v>186.46839862515</v>
      </c>
      <c r="H3069">
        <v>139.405888802211</v>
      </c>
      <c r="I3069" s="1">
        <f t="shared" si="95"/>
        <v>147.62308174028917</v>
      </c>
    </row>
    <row r="3070" spans="1:9" x14ac:dyDescent="0.45">
      <c r="A3070" t="s">
        <v>15</v>
      </c>
      <c r="B3070" t="s">
        <v>52</v>
      </c>
      <c r="C3070" t="str">
        <f t="shared" si="94"/>
        <v>BryantOregon</v>
      </c>
      <c r="D3070" t="s">
        <v>52</v>
      </c>
      <c r="E3070">
        <v>2.4</v>
      </c>
      <c r="F3070">
        <v>24.3698113207547</v>
      </c>
      <c r="G3070">
        <v>4116.66366284583</v>
      </c>
      <c r="H3070">
        <v>138.95488655210499</v>
      </c>
      <c r="I3070" s="1">
        <f t="shared" si="95"/>
        <v>141.27248048459813</v>
      </c>
    </row>
    <row r="3071" spans="1:9" x14ac:dyDescent="0.45">
      <c r="A3071" t="s">
        <v>16</v>
      </c>
      <c r="B3071" t="s">
        <v>52</v>
      </c>
      <c r="C3071" t="str">
        <f t="shared" si="94"/>
        <v>BYUOregon</v>
      </c>
      <c r="D3071" t="s">
        <v>52</v>
      </c>
      <c r="E3071">
        <v>39.5</v>
      </c>
      <c r="F3071">
        <v>2.7886792452830198</v>
      </c>
      <c r="G3071">
        <v>153.06244911209001</v>
      </c>
      <c r="H3071">
        <v>139.21540703032801</v>
      </c>
      <c r="I3071" s="1">
        <f t="shared" si="95"/>
        <v>144.94089161945931</v>
      </c>
    </row>
    <row r="3072" spans="1:9" x14ac:dyDescent="0.45">
      <c r="A3072" t="s">
        <v>17</v>
      </c>
      <c r="B3072" t="s">
        <v>52</v>
      </c>
      <c r="C3072" t="str">
        <f t="shared" si="94"/>
        <v>ClemsonOregon</v>
      </c>
      <c r="D3072" t="s">
        <v>52</v>
      </c>
      <c r="E3072">
        <v>45.6</v>
      </c>
      <c r="F3072">
        <v>1.1660377358490599</v>
      </c>
      <c r="G3072">
        <v>119.458520591641</v>
      </c>
      <c r="H3072">
        <v>139.43731888662001</v>
      </c>
      <c r="I3072" s="1">
        <f t="shared" si="95"/>
        <v>148.06565144690907</v>
      </c>
    </row>
    <row r="3073" spans="1:9" x14ac:dyDescent="0.45">
      <c r="A3073" t="s">
        <v>18</v>
      </c>
      <c r="B3073" t="s">
        <v>52</v>
      </c>
      <c r="C3073" t="str">
        <f t="shared" si="94"/>
        <v>Colorado St.Oregon</v>
      </c>
      <c r="D3073" t="s">
        <v>52</v>
      </c>
      <c r="E3073">
        <v>12.1</v>
      </c>
      <c r="F3073">
        <v>13.0037735849057</v>
      </c>
      <c r="G3073">
        <v>727.04059707397198</v>
      </c>
      <c r="H3073">
        <v>138.744710734725</v>
      </c>
      <c r="I3073" s="1">
        <f t="shared" si="95"/>
        <v>138.31297682479257</v>
      </c>
    </row>
    <row r="3074" spans="1:9" x14ac:dyDescent="0.45">
      <c r="A3074" t="s">
        <v>19</v>
      </c>
      <c r="B3074" t="s">
        <v>52</v>
      </c>
      <c r="C3074" t="str">
        <f t="shared" si="94"/>
        <v>ConnecticutOregon</v>
      </c>
      <c r="D3074" t="s">
        <v>19</v>
      </c>
      <c r="E3074">
        <v>58.7</v>
      </c>
      <c r="F3074">
        <v>-2.29811320754717</v>
      </c>
      <c r="G3074">
        <v>-141.983663888281</v>
      </c>
      <c r="H3074">
        <v>139.38026263706101</v>
      </c>
      <c r="I3074" s="1">
        <f t="shared" si="95"/>
        <v>147.2622375171355</v>
      </c>
    </row>
    <row r="3075" spans="1:9" x14ac:dyDescent="0.45">
      <c r="A3075" t="s">
        <v>20</v>
      </c>
      <c r="B3075" t="s">
        <v>52</v>
      </c>
      <c r="C3075" t="str">
        <f t="shared" ref="C3075:C3138" si="96">A3075&amp;B3075</f>
        <v>CreightonOregon</v>
      </c>
      <c r="D3075" t="s">
        <v>52</v>
      </c>
      <c r="E3075">
        <v>30.5</v>
      </c>
      <c r="F3075">
        <v>5.39245283018868</v>
      </c>
      <c r="G3075">
        <v>227.68878950814999</v>
      </c>
      <c r="H3075">
        <v>138.85320499932499</v>
      </c>
      <c r="I3075" s="1">
        <f t="shared" ref="I3075:I3138" si="97">18*(H3075-AVERAGE($H$2:$H$4625))/_xlfn.STDEV.P($H$2:$H$4625)+AVERAGE($H$2:$H$4625)</f>
        <v>139.84069384359233</v>
      </c>
    </row>
    <row r="3076" spans="1:9" x14ac:dyDescent="0.45">
      <c r="A3076" t="s">
        <v>21</v>
      </c>
      <c r="B3076" t="s">
        <v>52</v>
      </c>
      <c r="C3076" t="str">
        <f t="shared" si="96"/>
        <v>DrakeOregon</v>
      </c>
      <c r="D3076" t="s">
        <v>52</v>
      </c>
      <c r="E3076">
        <v>12</v>
      </c>
      <c r="F3076">
        <v>13.0566037735849</v>
      </c>
      <c r="G3076">
        <v>732.68375004141001</v>
      </c>
      <c r="H3076">
        <v>138.906670103479</v>
      </c>
      <c r="I3076" s="1">
        <f t="shared" si="97"/>
        <v>140.59354054778581</v>
      </c>
    </row>
    <row r="3077" spans="1:9" x14ac:dyDescent="0.45">
      <c r="A3077" t="s">
        <v>22</v>
      </c>
      <c r="B3077" t="s">
        <v>52</v>
      </c>
      <c r="C3077" t="str">
        <f t="shared" si="96"/>
        <v>DukeOregon</v>
      </c>
      <c r="D3077" t="s">
        <v>22</v>
      </c>
      <c r="E3077">
        <v>88.2</v>
      </c>
      <c r="F3077">
        <v>-13.154716981132101</v>
      </c>
      <c r="G3077">
        <v>-744.03244944774099</v>
      </c>
      <c r="H3077">
        <v>141.19399056493501</v>
      </c>
      <c r="I3077" s="1">
        <f t="shared" si="97"/>
        <v>172.80149558853378</v>
      </c>
    </row>
    <row r="3078" spans="1:9" x14ac:dyDescent="0.45">
      <c r="A3078" t="s">
        <v>23</v>
      </c>
      <c r="B3078" t="s">
        <v>52</v>
      </c>
      <c r="C3078" t="str">
        <f t="shared" si="96"/>
        <v>FloridaOregon</v>
      </c>
      <c r="D3078" t="s">
        <v>23</v>
      </c>
      <c r="E3078">
        <v>80.400000000000006</v>
      </c>
      <c r="F3078">
        <v>-9.25660377358491</v>
      </c>
      <c r="G3078">
        <v>-410.43581559851799</v>
      </c>
      <c r="H3078">
        <v>140.91774684087801</v>
      </c>
      <c r="I3078" s="1">
        <f t="shared" si="97"/>
        <v>168.91168408435436</v>
      </c>
    </row>
    <row r="3079" spans="1:9" x14ac:dyDescent="0.45">
      <c r="A3079" t="s">
        <v>24</v>
      </c>
      <c r="B3079" t="s">
        <v>52</v>
      </c>
      <c r="C3079" t="str">
        <f t="shared" si="96"/>
        <v>GeorgiaOregon</v>
      </c>
      <c r="D3079" t="s">
        <v>52</v>
      </c>
      <c r="E3079">
        <v>13.4</v>
      </c>
      <c r="F3079">
        <v>12.2490566037736</v>
      </c>
      <c r="G3079">
        <v>648.021597963256</v>
      </c>
      <c r="H3079">
        <v>138.05956036522201</v>
      </c>
      <c r="I3079" s="1">
        <f t="shared" si="97"/>
        <v>128.6653158743645</v>
      </c>
    </row>
    <row r="3080" spans="1:9" x14ac:dyDescent="0.45">
      <c r="A3080" t="s">
        <v>25</v>
      </c>
      <c r="B3080" t="s">
        <v>52</v>
      </c>
      <c r="C3080" t="str">
        <f t="shared" si="96"/>
        <v>GonzagaOregon</v>
      </c>
      <c r="D3080" t="s">
        <v>52</v>
      </c>
      <c r="E3080">
        <v>46.5</v>
      </c>
      <c r="F3080">
        <v>0.92452830188679203</v>
      </c>
      <c r="G3080">
        <v>115.12462367313201</v>
      </c>
      <c r="H3080">
        <v>140.19720148475099</v>
      </c>
      <c r="I3080" s="1">
        <f t="shared" si="97"/>
        <v>158.76562330011862</v>
      </c>
    </row>
    <row r="3081" spans="1:9" x14ac:dyDescent="0.45">
      <c r="A3081" t="s">
        <v>26</v>
      </c>
      <c r="B3081" t="s">
        <v>52</v>
      </c>
      <c r="C3081" t="str">
        <f t="shared" si="96"/>
        <v>Grand CanyonOregon</v>
      </c>
      <c r="D3081" t="s">
        <v>52</v>
      </c>
      <c r="E3081">
        <v>7.8</v>
      </c>
      <c r="F3081">
        <v>16.173584905660402</v>
      </c>
      <c r="G3081">
        <v>1178.82902381281</v>
      </c>
      <c r="H3081">
        <v>138.84916973105501</v>
      </c>
      <c r="I3081" s="1">
        <f t="shared" si="97"/>
        <v>139.7838728859667</v>
      </c>
    </row>
    <row r="3082" spans="1:9" x14ac:dyDescent="0.45">
      <c r="A3082" t="s">
        <v>27</v>
      </c>
      <c r="B3082" t="s">
        <v>52</v>
      </c>
      <c r="C3082" t="str">
        <f t="shared" si="96"/>
        <v>High PointOregon</v>
      </c>
      <c r="D3082" t="s">
        <v>52</v>
      </c>
      <c r="E3082">
        <v>5.3</v>
      </c>
      <c r="F3082">
        <v>18.947169811320801</v>
      </c>
      <c r="G3082">
        <v>1799.3965719144301</v>
      </c>
      <c r="H3082">
        <v>139.13006147871101</v>
      </c>
      <c r="I3082" s="1">
        <f t="shared" si="97"/>
        <v>143.7391336079657</v>
      </c>
    </row>
    <row r="3083" spans="1:9" x14ac:dyDescent="0.45">
      <c r="A3083" t="s">
        <v>28</v>
      </c>
      <c r="B3083" t="s">
        <v>52</v>
      </c>
      <c r="C3083" t="str">
        <f t="shared" si="96"/>
        <v>HoustonOregon</v>
      </c>
      <c r="D3083" t="s">
        <v>28</v>
      </c>
      <c r="E3083">
        <v>92.7</v>
      </c>
      <c r="F3083">
        <v>-16.671698113207501</v>
      </c>
      <c r="G3083">
        <v>-1271.68375355903</v>
      </c>
      <c r="H3083">
        <v>141.33765491456501</v>
      </c>
      <c r="I3083" s="1">
        <f t="shared" si="97"/>
        <v>174.82444558256125</v>
      </c>
    </row>
    <row r="3084" spans="1:9" x14ac:dyDescent="0.45">
      <c r="A3084" t="s">
        <v>29</v>
      </c>
      <c r="B3084" t="s">
        <v>52</v>
      </c>
      <c r="C3084" t="str">
        <f t="shared" si="96"/>
        <v>IllinoisOregon</v>
      </c>
      <c r="D3084" t="s">
        <v>29</v>
      </c>
      <c r="E3084">
        <v>55.9</v>
      </c>
      <c r="F3084">
        <v>-1.5584905660377399</v>
      </c>
      <c r="G3084">
        <v>-126.845911850446</v>
      </c>
      <c r="H3084">
        <v>139.38790006850101</v>
      </c>
      <c r="I3084" s="1">
        <f t="shared" si="97"/>
        <v>147.36978084243319</v>
      </c>
    </row>
    <row r="3085" spans="1:9" x14ac:dyDescent="0.45">
      <c r="A3085" t="s">
        <v>30</v>
      </c>
      <c r="B3085" t="s">
        <v>52</v>
      </c>
      <c r="C3085" t="str">
        <f t="shared" si="96"/>
        <v>Iowa St.Oregon</v>
      </c>
      <c r="D3085" t="s">
        <v>30</v>
      </c>
      <c r="E3085">
        <v>72.8</v>
      </c>
      <c r="F3085">
        <v>-6.4415094339622598</v>
      </c>
      <c r="G3085">
        <v>-267.187941404566</v>
      </c>
      <c r="H3085">
        <v>140.31416864686</v>
      </c>
      <c r="I3085" s="1">
        <f t="shared" si="97"/>
        <v>160.41264791338713</v>
      </c>
    </row>
    <row r="3086" spans="1:9" x14ac:dyDescent="0.45">
      <c r="A3086" t="s">
        <v>31</v>
      </c>
      <c r="B3086" t="s">
        <v>52</v>
      </c>
      <c r="C3086" t="str">
        <f t="shared" si="96"/>
        <v>KansasOregon</v>
      </c>
      <c r="D3086" t="s">
        <v>52</v>
      </c>
      <c r="E3086">
        <v>43.7</v>
      </c>
      <c r="F3086">
        <v>1.6603773584905701</v>
      </c>
      <c r="G3086">
        <v>128.82336309928499</v>
      </c>
      <c r="H3086">
        <v>139.26955893117099</v>
      </c>
      <c r="I3086" s="1">
        <f t="shared" si="97"/>
        <v>145.70340916656838</v>
      </c>
    </row>
    <row r="3087" spans="1:9" x14ac:dyDescent="0.45">
      <c r="A3087" t="s">
        <v>32</v>
      </c>
      <c r="B3087" t="s">
        <v>52</v>
      </c>
      <c r="C3087" t="str">
        <f t="shared" si="96"/>
        <v>KentuckyOregon</v>
      </c>
      <c r="D3087" t="s">
        <v>32</v>
      </c>
      <c r="E3087">
        <v>56.7</v>
      </c>
      <c r="F3087">
        <v>-1.76603773584906</v>
      </c>
      <c r="G3087">
        <v>-130.95278263555201</v>
      </c>
      <c r="H3087">
        <v>139.21659653156399</v>
      </c>
      <c r="I3087" s="1">
        <f t="shared" si="97"/>
        <v>144.95764108809527</v>
      </c>
    </row>
    <row r="3088" spans="1:9" x14ac:dyDescent="0.45">
      <c r="A3088" t="s">
        <v>33</v>
      </c>
      <c r="B3088" t="s">
        <v>52</v>
      </c>
      <c r="C3088" t="str">
        <f t="shared" si="96"/>
        <v>LibertyOregon</v>
      </c>
      <c r="D3088" t="s">
        <v>52</v>
      </c>
      <c r="E3088">
        <v>3.5</v>
      </c>
      <c r="F3088">
        <v>21.720754716981101</v>
      </c>
      <c r="G3088">
        <v>2748.1810903250298</v>
      </c>
      <c r="H3088">
        <v>138.425532779962</v>
      </c>
      <c r="I3088" s="1">
        <f t="shared" si="97"/>
        <v>133.81860474609357</v>
      </c>
    </row>
    <row r="3089" spans="1:9" x14ac:dyDescent="0.45">
      <c r="A3089" t="s">
        <v>34</v>
      </c>
      <c r="B3089" t="s">
        <v>52</v>
      </c>
      <c r="C3089" t="str">
        <f t="shared" si="96"/>
        <v>LipscombOregon</v>
      </c>
      <c r="D3089" t="s">
        <v>52</v>
      </c>
      <c r="E3089">
        <v>2.7</v>
      </c>
      <c r="F3089">
        <v>23.464150943396199</v>
      </c>
      <c r="G3089">
        <v>3584.8847348943</v>
      </c>
      <c r="H3089">
        <v>138.85745301122</v>
      </c>
      <c r="I3089" s="1">
        <f t="shared" si="97"/>
        <v>139.90051046239708</v>
      </c>
    </row>
    <row r="3090" spans="1:9" x14ac:dyDescent="0.45">
      <c r="A3090" t="s">
        <v>35</v>
      </c>
      <c r="B3090" t="s">
        <v>52</v>
      </c>
      <c r="C3090" t="str">
        <f t="shared" si="96"/>
        <v>LouisvilleOregon</v>
      </c>
      <c r="D3090" t="s">
        <v>52</v>
      </c>
      <c r="E3090">
        <v>6.6</v>
      </c>
      <c r="F3090">
        <v>17.3547169811321</v>
      </c>
      <c r="G3090">
        <v>1412.0885281759399</v>
      </c>
      <c r="H3090">
        <v>138.14317632318799</v>
      </c>
      <c r="I3090" s="1">
        <f t="shared" si="97"/>
        <v>129.84271932973468</v>
      </c>
    </row>
    <row r="3091" spans="1:9" x14ac:dyDescent="0.45">
      <c r="A3091" t="s">
        <v>36</v>
      </c>
      <c r="B3091" t="s">
        <v>52</v>
      </c>
      <c r="C3091" t="str">
        <f t="shared" si="96"/>
        <v>MarquetteOregon</v>
      </c>
      <c r="D3091" t="s">
        <v>52</v>
      </c>
      <c r="E3091">
        <v>50</v>
      </c>
      <c r="F3091">
        <v>1.13207547169811E-2</v>
      </c>
      <c r="G3091">
        <v>100.174346669079</v>
      </c>
      <c r="H3091">
        <v>139.47493295809301</v>
      </c>
      <c r="I3091" s="1">
        <f t="shared" si="97"/>
        <v>148.59529840426228</v>
      </c>
    </row>
    <row r="3092" spans="1:9" x14ac:dyDescent="0.45">
      <c r="A3092" t="s">
        <v>37</v>
      </c>
      <c r="B3092" t="s">
        <v>52</v>
      </c>
      <c r="C3092" t="str">
        <f t="shared" si="96"/>
        <v>MarylandOregon</v>
      </c>
      <c r="D3092" t="s">
        <v>52</v>
      </c>
      <c r="E3092">
        <v>40.4</v>
      </c>
      <c r="F3092">
        <v>2.55471698113208</v>
      </c>
      <c r="G3092">
        <v>147.672924874399</v>
      </c>
      <c r="H3092">
        <v>139.08487226977201</v>
      </c>
      <c r="I3092" s="1">
        <f t="shared" si="97"/>
        <v>143.10282049209036</v>
      </c>
    </row>
    <row r="3093" spans="1:9" x14ac:dyDescent="0.45">
      <c r="A3093" t="s">
        <v>38</v>
      </c>
      <c r="B3093" t="s">
        <v>52</v>
      </c>
      <c r="C3093" t="str">
        <f t="shared" si="96"/>
        <v>McNeese St.Oregon</v>
      </c>
      <c r="D3093" t="s">
        <v>52</v>
      </c>
      <c r="E3093">
        <v>10.8</v>
      </c>
      <c r="F3093">
        <v>13.864150943396201</v>
      </c>
      <c r="G3093">
        <v>828.80056473338902</v>
      </c>
      <c r="H3093">
        <v>138.92028388397301</v>
      </c>
      <c r="I3093" s="1">
        <f t="shared" si="97"/>
        <v>140.78523735523999</v>
      </c>
    </row>
    <row r="3094" spans="1:9" x14ac:dyDescent="0.45">
      <c r="A3094" t="s">
        <v>39</v>
      </c>
      <c r="B3094" t="s">
        <v>52</v>
      </c>
      <c r="C3094" t="str">
        <f t="shared" si="96"/>
        <v>MemphisOregon</v>
      </c>
      <c r="D3094" t="s">
        <v>52</v>
      </c>
      <c r="E3094">
        <v>25.8</v>
      </c>
      <c r="F3094">
        <v>6.9396226415094304</v>
      </c>
      <c r="G3094">
        <v>288.31509516959801</v>
      </c>
      <c r="H3094">
        <v>138.062507082792</v>
      </c>
      <c r="I3094" s="1">
        <f t="shared" si="97"/>
        <v>128.70680885648534</v>
      </c>
    </row>
    <row r="3095" spans="1:9" x14ac:dyDescent="0.45">
      <c r="A3095" t="s">
        <v>40</v>
      </c>
      <c r="B3095" t="s">
        <v>52</v>
      </c>
      <c r="C3095" t="str">
        <f t="shared" si="96"/>
        <v>MichiganOregon</v>
      </c>
      <c r="D3095" t="s">
        <v>52</v>
      </c>
      <c r="E3095">
        <v>15.5</v>
      </c>
      <c r="F3095">
        <v>11.128301886792499</v>
      </c>
      <c r="G3095">
        <v>546.18078922195502</v>
      </c>
      <c r="H3095">
        <v>137.719428167475</v>
      </c>
      <c r="I3095" s="1">
        <f t="shared" si="97"/>
        <v>123.87588530809698</v>
      </c>
    </row>
    <row r="3096" spans="1:9" x14ac:dyDescent="0.45">
      <c r="A3096" t="s">
        <v>41</v>
      </c>
      <c r="B3096" t="s">
        <v>52</v>
      </c>
      <c r="C3096" t="str">
        <f t="shared" si="96"/>
        <v>Michigan St.Oregon</v>
      </c>
      <c r="D3096" t="s">
        <v>41</v>
      </c>
      <c r="E3096">
        <v>63.7</v>
      </c>
      <c r="F3096">
        <v>-3.6943396226415102</v>
      </c>
      <c r="G3096">
        <v>-175.68610499969799</v>
      </c>
      <c r="H3096">
        <v>139.418320128304</v>
      </c>
      <c r="I3096" s="1">
        <f t="shared" si="97"/>
        <v>147.79812830619343</v>
      </c>
    </row>
    <row r="3097" spans="1:9" x14ac:dyDescent="0.45">
      <c r="A3097" t="s">
        <v>42</v>
      </c>
      <c r="B3097" t="s">
        <v>52</v>
      </c>
      <c r="C3097" t="str">
        <f t="shared" si="96"/>
        <v>MississippiOregon</v>
      </c>
      <c r="D3097" t="s">
        <v>52</v>
      </c>
      <c r="E3097">
        <v>31.1</v>
      </c>
      <c r="F3097">
        <v>5.2150943396226399</v>
      </c>
      <c r="G3097">
        <v>221.605980104163</v>
      </c>
      <c r="H3097">
        <v>138.54924123339899</v>
      </c>
      <c r="I3097" s="1">
        <f t="shared" si="97"/>
        <v>135.5605540591001</v>
      </c>
    </row>
    <row r="3098" spans="1:9" x14ac:dyDescent="0.45">
      <c r="A3098" t="s">
        <v>43</v>
      </c>
      <c r="B3098" t="s">
        <v>52</v>
      </c>
      <c r="C3098" t="str">
        <f t="shared" si="96"/>
        <v>Mississippi St.Oregon</v>
      </c>
      <c r="D3098" t="s">
        <v>52</v>
      </c>
      <c r="E3098">
        <v>25.4</v>
      </c>
      <c r="F3098">
        <v>7.0641509433962302</v>
      </c>
      <c r="G3098">
        <v>293.81418404065499</v>
      </c>
      <c r="H3098">
        <v>138.67361258718799</v>
      </c>
      <c r="I3098" s="1">
        <f t="shared" si="97"/>
        <v>137.31183772865779</v>
      </c>
    </row>
    <row r="3099" spans="1:9" x14ac:dyDescent="0.45">
      <c r="A3099" t="s">
        <v>44</v>
      </c>
      <c r="B3099" t="s">
        <v>52</v>
      </c>
      <c r="C3099" t="str">
        <f t="shared" si="96"/>
        <v>MissouriOregon</v>
      </c>
      <c r="D3099" t="s">
        <v>52</v>
      </c>
      <c r="E3099">
        <v>13</v>
      </c>
      <c r="F3099">
        <v>12.4792452830189</v>
      </c>
      <c r="G3099">
        <v>670.92148373088196</v>
      </c>
      <c r="H3099">
        <v>137.93808452336199</v>
      </c>
      <c r="I3099" s="1">
        <f t="shared" si="97"/>
        <v>126.95480415591733</v>
      </c>
    </row>
    <row r="3100" spans="1:9" x14ac:dyDescent="0.45">
      <c r="A3100" t="s">
        <v>45</v>
      </c>
      <c r="B3100" t="s">
        <v>52</v>
      </c>
      <c r="C3100" t="str">
        <f t="shared" si="96"/>
        <v>MontanaOregon</v>
      </c>
      <c r="D3100" t="s">
        <v>52</v>
      </c>
      <c r="E3100">
        <v>1.4</v>
      </c>
      <c r="F3100">
        <v>27.735849056603801</v>
      </c>
      <c r="G3100">
        <v>6878.0253276035601</v>
      </c>
      <c r="H3100">
        <v>137.24681924838001</v>
      </c>
      <c r="I3100" s="1">
        <f t="shared" si="97"/>
        <v>117.22103869846249</v>
      </c>
    </row>
    <row r="3101" spans="1:9" x14ac:dyDescent="0.45">
      <c r="A3101" t="s">
        <v>46</v>
      </c>
      <c r="B3101" t="s">
        <v>52</v>
      </c>
      <c r="C3101" t="str">
        <f t="shared" si="96"/>
        <v>Mount St. Mary'sOregon</v>
      </c>
      <c r="D3101" t="s">
        <v>52</v>
      </c>
      <c r="E3101">
        <v>0.6</v>
      </c>
      <c r="F3101">
        <v>33.852830188679199</v>
      </c>
      <c r="G3101">
        <v>17484.9528946135</v>
      </c>
      <c r="H3101">
        <v>138.594693470328</v>
      </c>
      <c r="I3101" s="1">
        <f t="shared" si="97"/>
        <v>136.20057089459812</v>
      </c>
    </row>
    <row r="3102" spans="1:9" x14ac:dyDescent="0.45">
      <c r="A3102" t="s">
        <v>47</v>
      </c>
      <c r="B3102" t="s">
        <v>52</v>
      </c>
      <c r="C3102" t="str">
        <f t="shared" si="96"/>
        <v>Nebraska OmahaOregon</v>
      </c>
      <c r="D3102" t="s">
        <v>52</v>
      </c>
      <c r="E3102">
        <v>0.7</v>
      </c>
      <c r="F3102">
        <v>32.135849056603803</v>
      </c>
      <c r="G3102">
        <v>13458.420798507101</v>
      </c>
      <c r="H3102">
        <v>137.878694650227</v>
      </c>
      <c r="I3102" s="1">
        <f t="shared" si="97"/>
        <v>126.11853027298716</v>
      </c>
    </row>
    <row r="3103" spans="1:9" x14ac:dyDescent="0.45">
      <c r="A3103" t="s">
        <v>48</v>
      </c>
      <c r="B3103" t="s">
        <v>52</v>
      </c>
      <c r="C3103" t="str">
        <f t="shared" si="96"/>
        <v>New MexicoOregon</v>
      </c>
      <c r="D3103" t="s">
        <v>52</v>
      </c>
      <c r="E3103">
        <v>16</v>
      </c>
      <c r="F3103">
        <v>10.8867924528302</v>
      </c>
      <c r="G3103">
        <v>526.45175304046097</v>
      </c>
      <c r="H3103">
        <v>138.75643899750301</v>
      </c>
      <c r="I3103" s="1">
        <f t="shared" si="97"/>
        <v>138.47812349602887</v>
      </c>
    </row>
    <row r="3104" spans="1:9" x14ac:dyDescent="0.45">
      <c r="A3104" t="s">
        <v>49</v>
      </c>
      <c r="B3104" t="s">
        <v>52</v>
      </c>
      <c r="C3104" t="str">
        <f t="shared" si="96"/>
        <v>Norfolk St.Oregon</v>
      </c>
      <c r="D3104" t="s">
        <v>52</v>
      </c>
      <c r="E3104">
        <v>1.1000000000000001</v>
      </c>
      <c r="F3104">
        <v>29.603773584905699</v>
      </c>
      <c r="G3104">
        <v>9145.5845156552605</v>
      </c>
      <c r="H3104">
        <v>137.76880265970399</v>
      </c>
      <c r="I3104" s="1">
        <f t="shared" si="97"/>
        <v>124.57113175592478</v>
      </c>
    </row>
    <row r="3105" spans="1:9" x14ac:dyDescent="0.45">
      <c r="A3105" t="s">
        <v>50</v>
      </c>
      <c r="B3105" t="s">
        <v>52</v>
      </c>
      <c r="C3105" t="str">
        <f t="shared" si="96"/>
        <v>North CarolinaOregon</v>
      </c>
      <c r="D3105" t="s">
        <v>52</v>
      </c>
      <c r="E3105">
        <v>39.299999999999997</v>
      </c>
      <c r="F3105">
        <v>2.8490566037735801</v>
      </c>
      <c r="G3105">
        <v>154.40648735887399</v>
      </c>
      <c r="H3105">
        <v>139.84073409166001</v>
      </c>
      <c r="I3105" s="1">
        <f t="shared" si="97"/>
        <v>153.74617545114577</v>
      </c>
    </row>
    <row r="3106" spans="1:9" x14ac:dyDescent="0.45">
      <c r="A3106" t="s">
        <v>51</v>
      </c>
      <c r="B3106" t="s">
        <v>52</v>
      </c>
      <c r="C3106" t="str">
        <f t="shared" si="96"/>
        <v>OklahomaOregon</v>
      </c>
      <c r="D3106" t="s">
        <v>52</v>
      </c>
      <c r="E3106">
        <v>17.5</v>
      </c>
      <c r="F3106">
        <v>10.154716981132101</v>
      </c>
      <c r="G3106">
        <v>470.623993941636</v>
      </c>
      <c r="H3106">
        <v>138.18333738716501</v>
      </c>
      <c r="I3106" s="1">
        <f t="shared" si="97"/>
        <v>130.40823070636844</v>
      </c>
    </row>
    <row r="3107" spans="1:9" x14ac:dyDescent="0.45">
      <c r="A3107" t="s">
        <v>52</v>
      </c>
      <c r="B3107" t="s">
        <v>52</v>
      </c>
      <c r="C3107" t="str">
        <f t="shared" si="96"/>
        <v>OregonOregon</v>
      </c>
      <c r="D3107" t="s">
        <v>52</v>
      </c>
      <c r="E3107">
        <v>41.2</v>
      </c>
      <c r="F3107">
        <v>2.3283018867924499</v>
      </c>
      <c r="G3107">
        <v>142.64273539779199</v>
      </c>
      <c r="H3107">
        <v>138.77771517530499</v>
      </c>
      <c r="I3107" s="1">
        <f t="shared" si="97"/>
        <v>138.77771517530277</v>
      </c>
    </row>
    <row r="3108" spans="1:9" x14ac:dyDescent="0.45">
      <c r="A3108" t="s">
        <v>53</v>
      </c>
      <c r="B3108" t="s">
        <v>52</v>
      </c>
      <c r="C3108" t="str">
        <f t="shared" si="96"/>
        <v>PurdueOregon</v>
      </c>
      <c r="D3108" t="s">
        <v>53</v>
      </c>
      <c r="E3108">
        <v>78.7</v>
      </c>
      <c r="F3108">
        <v>-8.5811320754717002</v>
      </c>
      <c r="G3108">
        <v>-370.303666253578</v>
      </c>
      <c r="H3108">
        <v>140.12570250409499</v>
      </c>
      <c r="I3108" s="1">
        <f t="shared" si="97"/>
        <v>157.75884003855415</v>
      </c>
    </row>
    <row r="3109" spans="1:9" x14ac:dyDescent="0.45">
      <c r="A3109" t="s">
        <v>54</v>
      </c>
      <c r="B3109" t="s">
        <v>52</v>
      </c>
      <c r="C3109" t="str">
        <f t="shared" si="96"/>
        <v>Robert MorrisOregon</v>
      </c>
      <c r="D3109" t="s">
        <v>52</v>
      </c>
      <c r="E3109">
        <v>0.5</v>
      </c>
      <c r="F3109">
        <v>35.358490566037702</v>
      </c>
      <c r="G3109">
        <v>22010.148344367099</v>
      </c>
      <c r="H3109">
        <v>137.18433935285699</v>
      </c>
      <c r="I3109" s="1">
        <f t="shared" si="97"/>
        <v>116.34125394601253</v>
      </c>
    </row>
    <row r="3110" spans="1:9" x14ac:dyDescent="0.45">
      <c r="A3110" t="s">
        <v>55</v>
      </c>
      <c r="B3110" t="s">
        <v>52</v>
      </c>
      <c r="C3110" t="str">
        <f t="shared" si="96"/>
        <v>Saint FrancisOregon</v>
      </c>
      <c r="D3110" t="s">
        <v>52</v>
      </c>
      <c r="E3110">
        <v>0.3</v>
      </c>
      <c r="F3110">
        <v>38.086792452830203</v>
      </c>
      <c r="G3110">
        <v>33360.910115824001</v>
      </c>
      <c r="H3110">
        <v>138.237194886064</v>
      </c>
      <c r="I3110" s="1">
        <f t="shared" si="97"/>
        <v>131.16660275452548</v>
      </c>
    </row>
    <row r="3111" spans="1:9" x14ac:dyDescent="0.45">
      <c r="A3111" t="s">
        <v>56</v>
      </c>
      <c r="B3111" t="s">
        <v>52</v>
      </c>
      <c r="C3111" t="str">
        <f t="shared" si="96"/>
        <v>Saint Mary'sOregon</v>
      </c>
      <c r="D3111" t="s">
        <v>52</v>
      </c>
      <c r="E3111">
        <v>37.4</v>
      </c>
      <c r="F3111">
        <v>3.36981132075472</v>
      </c>
      <c r="G3111">
        <v>167.24541288314401</v>
      </c>
      <c r="H3111">
        <v>139.488450087155</v>
      </c>
      <c r="I3111" s="1">
        <f t="shared" si="97"/>
        <v>148.78563425463611</v>
      </c>
    </row>
    <row r="3112" spans="1:9" x14ac:dyDescent="0.45">
      <c r="A3112" t="s">
        <v>57</v>
      </c>
      <c r="B3112" t="s">
        <v>52</v>
      </c>
      <c r="C3112" t="str">
        <f t="shared" si="96"/>
        <v>San Diego St.Oregon</v>
      </c>
      <c r="D3112" t="s">
        <v>52</v>
      </c>
      <c r="E3112">
        <v>14.8</v>
      </c>
      <c r="F3112">
        <v>11.4641509433962</v>
      </c>
      <c r="G3112">
        <v>574.77159991237602</v>
      </c>
      <c r="H3112">
        <v>138.634704966952</v>
      </c>
      <c r="I3112" s="1">
        <f t="shared" si="97"/>
        <v>136.76397620054226</v>
      </c>
    </row>
    <row r="3113" spans="1:9" x14ac:dyDescent="0.45">
      <c r="A3113" t="s">
        <v>58</v>
      </c>
      <c r="B3113" t="s">
        <v>52</v>
      </c>
      <c r="C3113" t="str">
        <f t="shared" si="96"/>
        <v>SIU EdwardsvilleOregon</v>
      </c>
      <c r="D3113" t="s">
        <v>52</v>
      </c>
      <c r="E3113">
        <v>0.9</v>
      </c>
      <c r="F3113">
        <v>31.060377358490602</v>
      </c>
      <c r="G3113">
        <v>11425.422529809201</v>
      </c>
      <c r="H3113">
        <v>138.782392733801</v>
      </c>
      <c r="I3113" s="1">
        <f t="shared" si="97"/>
        <v>138.84358027653312</v>
      </c>
    </row>
    <row r="3114" spans="1:9" x14ac:dyDescent="0.45">
      <c r="A3114" t="s">
        <v>59</v>
      </c>
      <c r="B3114" t="s">
        <v>52</v>
      </c>
      <c r="C3114" t="str">
        <f t="shared" si="96"/>
        <v>St. John'sOregon</v>
      </c>
      <c r="D3114" t="s">
        <v>59</v>
      </c>
      <c r="E3114">
        <v>65.099999999999994</v>
      </c>
      <c r="F3114">
        <v>-4.0943396226415096</v>
      </c>
      <c r="G3114">
        <v>-186.782093031648</v>
      </c>
      <c r="H3114">
        <v>139.760075506346</v>
      </c>
      <c r="I3114" s="1">
        <f t="shared" si="97"/>
        <v>152.61041501301708</v>
      </c>
    </row>
    <row r="3115" spans="1:9" x14ac:dyDescent="0.45">
      <c r="A3115" t="s">
        <v>60</v>
      </c>
      <c r="B3115" t="s">
        <v>52</v>
      </c>
      <c r="C3115" t="str">
        <f t="shared" si="96"/>
        <v>TennesseeOregon</v>
      </c>
      <c r="D3115" t="s">
        <v>60</v>
      </c>
      <c r="E3115">
        <v>78.900000000000006</v>
      </c>
      <c r="F3115">
        <v>-8.6415094339622591</v>
      </c>
      <c r="G3115">
        <v>-373.65834503439999</v>
      </c>
      <c r="H3115">
        <v>140.354058383037</v>
      </c>
      <c r="I3115" s="1">
        <f t="shared" si="97"/>
        <v>160.97433870006353</v>
      </c>
    </row>
    <row r="3116" spans="1:9" x14ac:dyDescent="0.45">
      <c r="A3116" t="s">
        <v>61</v>
      </c>
      <c r="B3116" t="s">
        <v>52</v>
      </c>
      <c r="C3116" t="str">
        <f t="shared" si="96"/>
        <v>TexasOregon</v>
      </c>
      <c r="D3116" t="s">
        <v>52</v>
      </c>
      <c r="E3116">
        <v>13.3</v>
      </c>
      <c r="F3116">
        <v>12.313207547169799</v>
      </c>
      <c r="G3116">
        <v>654.17211675265298</v>
      </c>
      <c r="H3116">
        <v>138.10977291410899</v>
      </c>
      <c r="I3116" s="1">
        <f t="shared" si="97"/>
        <v>129.37236306966813</v>
      </c>
    </row>
    <row r="3117" spans="1:9" x14ac:dyDescent="0.45">
      <c r="A3117" t="s">
        <v>62</v>
      </c>
      <c r="B3117" t="s">
        <v>52</v>
      </c>
      <c r="C3117" t="str">
        <f t="shared" si="96"/>
        <v>Texas A&amp;MOregon</v>
      </c>
      <c r="D3117" t="s">
        <v>52</v>
      </c>
      <c r="E3117">
        <v>46.9</v>
      </c>
      <c r="F3117">
        <v>0.81509433962264199</v>
      </c>
      <c r="G3117">
        <v>113.26380721794401</v>
      </c>
      <c r="H3117">
        <v>138.907571941702</v>
      </c>
      <c r="I3117" s="1">
        <f t="shared" si="97"/>
        <v>140.60623940893356</v>
      </c>
    </row>
    <row r="3118" spans="1:9" x14ac:dyDescent="0.45">
      <c r="A3118" t="s">
        <v>63</v>
      </c>
      <c r="B3118" t="s">
        <v>52</v>
      </c>
      <c r="C3118" t="str">
        <f t="shared" si="96"/>
        <v>Texas TechOregon</v>
      </c>
      <c r="D3118" t="s">
        <v>63</v>
      </c>
      <c r="E3118">
        <v>63.5</v>
      </c>
      <c r="F3118">
        <v>-3.6339622641509401</v>
      </c>
      <c r="G3118">
        <v>-174.11066616304001</v>
      </c>
      <c r="H3118">
        <v>139.947356060766</v>
      </c>
      <c r="I3118" s="1">
        <f t="shared" si="97"/>
        <v>155.24752851696658</v>
      </c>
    </row>
    <row r="3119" spans="1:9" x14ac:dyDescent="0.45">
      <c r="A3119" t="s">
        <v>64</v>
      </c>
      <c r="B3119" t="s">
        <v>52</v>
      </c>
      <c r="C3119" t="str">
        <f t="shared" si="96"/>
        <v>TroyOregon</v>
      </c>
      <c r="D3119" t="s">
        <v>52</v>
      </c>
      <c r="E3119">
        <v>2.4</v>
      </c>
      <c r="F3119">
        <v>24.313207547169799</v>
      </c>
      <c r="G3119">
        <v>4079.76856948971</v>
      </c>
      <c r="H3119">
        <v>138.65092048049601</v>
      </c>
      <c r="I3119" s="1">
        <f t="shared" si="97"/>
        <v>136.99230823358661</v>
      </c>
    </row>
    <row r="3120" spans="1:9" x14ac:dyDescent="0.45">
      <c r="A3120" t="s">
        <v>65</v>
      </c>
      <c r="B3120" t="s">
        <v>52</v>
      </c>
      <c r="C3120" t="str">
        <f t="shared" si="96"/>
        <v>UC San DiegoOregon</v>
      </c>
      <c r="D3120" t="s">
        <v>52</v>
      </c>
      <c r="E3120">
        <v>5.9</v>
      </c>
      <c r="F3120">
        <v>18.150943396226399</v>
      </c>
      <c r="G3120">
        <v>1594.00378698806</v>
      </c>
      <c r="H3120">
        <v>138.739042223887</v>
      </c>
      <c r="I3120" s="1">
        <f t="shared" si="97"/>
        <v>138.23315803888346</v>
      </c>
    </row>
    <row r="3121" spans="1:9" x14ac:dyDescent="0.45">
      <c r="A3121" t="s">
        <v>66</v>
      </c>
      <c r="B3121" t="s">
        <v>52</v>
      </c>
      <c r="C3121" t="str">
        <f t="shared" si="96"/>
        <v>UCLAOregon</v>
      </c>
      <c r="D3121" t="s">
        <v>52</v>
      </c>
      <c r="E3121">
        <v>20</v>
      </c>
      <c r="F3121">
        <v>9.1056603773584897</v>
      </c>
      <c r="G3121">
        <v>401.13133155947799</v>
      </c>
      <c r="H3121">
        <v>138.210496736995</v>
      </c>
      <c r="I3121" s="1">
        <f t="shared" si="97"/>
        <v>130.79066383412675</v>
      </c>
    </row>
    <row r="3122" spans="1:9" x14ac:dyDescent="0.45">
      <c r="A3122" t="s">
        <v>67</v>
      </c>
      <c r="B3122" t="s">
        <v>52</v>
      </c>
      <c r="C3122" t="str">
        <f t="shared" si="96"/>
        <v>UNC WilmingtonOregon</v>
      </c>
      <c r="D3122" t="s">
        <v>52</v>
      </c>
      <c r="E3122">
        <v>3.6</v>
      </c>
      <c r="F3122">
        <v>21.513207547169799</v>
      </c>
      <c r="G3122">
        <v>2661.5065455203298</v>
      </c>
      <c r="H3122">
        <v>139.325512410915</v>
      </c>
      <c r="I3122" s="1">
        <f t="shared" si="97"/>
        <v>146.49129490026272</v>
      </c>
    </row>
    <row r="3123" spans="1:9" x14ac:dyDescent="0.45">
      <c r="A3123" t="s">
        <v>68</v>
      </c>
      <c r="B3123" t="s">
        <v>52</v>
      </c>
      <c r="C3123" t="str">
        <f t="shared" si="96"/>
        <v>Utah St.Oregon</v>
      </c>
      <c r="D3123" t="s">
        <v>52</v>
      </c>
      <c r="E3123">
        <v>16</v>
      </c>
      <c r="F3123">
        <v>10.8679245283019</v>
      </c>
      <c r="G3123">
        <v>524.74527016656498</v>
      </c>
      <c r="H3123">
        <v>138.696882814742</v>
      </c>
      <c r="I3123" s="1">
        <f t="shared" si="97"/>
        <v>137.63950779303102</v>
      </c>
    </row>
    <row r="3124" spans="1:9" x14ac:dyDescent="0.45">
      <c r="A3124" t="s">
        <v>69</v>
      </c>
      <c r="B3124" t="s">
        <v>52</v>
      </c>
      <c r="C3124" t="str">
        <f t="shared" si="96"/>
        <v>VanderbiltOregon</v>
      </c>
      <c r="D3124" t="s">
        <v>52</v>
      </c>
      <c r="E3124">
        <v>3.9</v>
      </c>
      <c r="F3124">
        <v>20.988679245282999</v>
      </c>
      <c r="G3124">
        <v>2457.7546242783501</v>
      </c>
      <c r="H3124">
        <v>137.27145330334</v>
      </c>
      <c r="I3124" s="1">
        <f t="shared" si="97"/>
        <v>117.56791293318061</v>
      </c>
    </row>
    <row r="3125" spans="1:9" x14ac:dyDescent="0.45">
      <c r="A3125" t="s">
        <v>70</v>
      </c>
      <c r="B3125" t="s">
        <v>52</v>
      </c>
      <c r="C3125" t="str">
        <f t="shared" si="96"/>
        <v>VCUOregon</v>
      </c>
      <c r="D3125" t="s">
        <v>52</v>
      </c>
      <c r="E3125">
        <v>11.1</v>
      </c>
      <c r="F3125">
        <v>13.6415094339623</v>
      </c>
      <c r="G3125">
        <v>801.32457060960905</v>
      </c>
      <c r="H3125">
        <v>139.11636446521601</v>
      </c>
      <c r="I3125" s="1">
        <f t="shared" si="97"/>
        <v>143.54626478950604</v>
      </c>
    </row>
    <row r="3126" spans="1:9" x14ac:dyDescent="0.45">
      <c r="A3126" t="s">
        <v>71</v>
      </c>
      <c r="B3126" t="s">
        <v>52</v>
      </c>
      <c r="C3126" t="str">
        <f t="shared" si="96"/>
        <v>WisconsinOregon</v>
      </c>
      <c r="D3126" t="s">
        <v>71</v>
      </c>
      <c r="E3126">
        <v>60.6</v>
      </c>
      <c r="F3126">
        <v>-2.8188679245283002</v>
      </c>
      <c r="G3126">
        <v>-153.75610556190799</v>
      </c>
      <c r="H3126">
        <v>139.917043320483</v>
      </c>
      <c r="I3126" s="1">
        <f t="shared" si="97"/>
        <v>154.82069222854591</v>
      </c>
    </row>
    <row r="3127" spans="1:9" x14ac:dyDescent="0.45">
      <c r="A3127" t="s">
        <v>80</v>
      </c>
      <c r="B3127" t="s">
        <v>52</v>
      </c>
      <c r="C3127" t="str">
        <f t="shared" si="96"/>
        <v>WoffordOregon</v>
      </c>
      <c r="D3127" t="s">
        <v>52</v>
      </c>
      <c r="E3127">
        <v>1.3</v>
      </c>
      <c r="F3127">
        <v>28.5660377358491</v>
      </c>
      <c r="G3127">
        <v>7806.2546073633503</v>
      </c>
      <c r="H3127">
        <v>137.94649905957701</v>
      </c>
      <c r="I3127" s="1">
        <f t="shared" si="97"/>
        <v>127.0732899600138</v>
      </c>
    </row>
    <row r="3128" spans="1:9" x14ac:dyDescent="0.45">
      <c r="A3128" t="s">
        <v>72</v>
      </c>
      <c r="B3128" t="s">
        <v>52</v>
      </c>
      <c r="C3128" t="str">
        <f t="shared" si="96"/>
        <v>XavierOregon</v>
      </c>
      <c r="D3128" t="s">
        <v>52</v>
      </c>
      <c r="E3128">
        <v>11</v>
      </c>
      <c r="F3128">
        <v>13.7169811320755</v>
      </c>
      <c r="G3128">
        <v>810.70559086850301</v>
      </c>
      <c r="H3128">
        <v>138.52241262972899</v>
      </c>
      <c r="I3128" s="1">
        <f t="shared" si="97"/>
        <v>135.18277819630765</v>
      </c>
    </row>
    <row r="3129" spans="1:9" x14ac:dyDescent="0.45">
      <c r="A3129" t="s">
        <v>73</v>
      </c>
      <c r="B3129" t="s">
        <v>52</v>
      </c>
      <c r="C3129" t="str">
        <f t="shared" si="96"/>
        <v>YaleOregon</v>
      </c>
      <c r="D3129" t="s">
        <v>52</v>
      </c>
      <c r="E3129">
        <v>6.4</v>
      </c>
      <c r="F3129">
        <v>17.543396226415101</v>
      </c>
      <c r="G3129">
        <v>1452.6960250462901</v>
      </c>
      <c r="H3129">
        <v>139.32164726379199</v>
      </c>
      <c r="I3129" s="1">
        <f t="shared" si="97"/>
        <v>146.4368694330571</v>
      </c>
    </row>
    <row r="3130" spans="1:9" x14ac:dyDescent="0.45">
      <c r="A3130" t="s">
        <v>7</v>
      </c>
      <c r="B3130" t="s">
        <v>53</v>
      </c>
      <c r="C3130" t="str">
        <f t="shared" si="96"/>
        <v>AkronPurdue</v>
      </c>
      <c r="D3130" t="s">
        <v>53</v>
      </c>
      <c r="E3130">
        <v>0.7</v>
      </c>
      <c r="F3130">
        <v>32.849056603773597</v>
      </c>
      <c r="G3130">
        <v>15002.0361117392</v>
      </c>
      <c r="H3130">
        <v>136.75612539044801</v>
      </c>
      <c r="I3130" s="1">
        <f t="shared" si="97"/>
        <v>110.31153651835048</v>
      </c>
    </row>
    <row r="3131" spans="1:9" x14ac:dyDescent="0.45">
      <c r="A3131" t="s">
        <v>8</v>
      </c>
      <c r="B3131" t="s">
        <v>53</v>
      </c>
      <c r="C3131" t="str">
        <f t="shared" si="96"/>
        <v>AlabamaPurdue</v>
      </c>
      <c r="D3131" t="s">
        <v>53</v>
      </c>
      <c r="E3131">
        <v>32.9</v>
      </c>
      <c r="F3131">
        <v>4.6754716981132098</v>
      </c>
      <c r="G3131">
        <v>203.99829310882799</v>
      </c>
      <c r="H3131">
        <v>138.50422140258701</v>
      </c>
      <c r="I3131" s="1">
        <f t="shared" si="97"/>
        <v>134.92662597111746</v>
      </c>
    </row>
    <row r="3132" spans="1:9" x14ac:dyDescent="0.45">
      <c r="A3132" t="s">
        <v>9</v>
      </c>
      <c r="B3132" t="s">
        <v>53</v>
      </c>
      <c r="C3132" t="str">
        <f t="shared" si="96"/>
        <v>Alabama St.Purdue</v>
      </c>
      <c r="D3132" t="s">
        <v>53</v>
      </c>
      <c r="E3132">
        <v>0.1</v>
      </c>
      <c r="F3132">
        <v>44.988679245283002</v>
      </c>
      <c r="G3132">
        <v>95590.324049727205</v>
      </c>
      <c r="H3132">
        <v>136.98296624626099</v>
      </c>
      <c r="I3132" s="1">
        <f t="shared" si="97"/>
        <v>113.50570200960769</v>
      </c>
    </row>
    <row r="3133" spans="1:9" x14ac:dyDescent="0.45">
      <c r="A3133" t="s">
        <v>10</v>
      </c>
      <c r="B3133" t="s">
        <v>53</v>
      </c>
      <c r="C3133" t="str">
        <f t="shared" si="96"/>
        <v>AmericanPurdue</v>
      </c>
      <c r="D3133" t="s">
        <v>53</v>
      </c>
      <c r="E3133">
        <v>0.1</v>
      </c>
      <c r="F3133">
        <v>43.724528301886799</v>
      </c>
      <c r="G3133">
        <v>78834.499347239995</v>
      </c>
      <c r="H3133">
        <v>137.074052127865</v>
      </c>
      <c r="I3133" s="1">
        <f t="shared" si="97"/>
        <v>114.78829009859002</v>
      </c>
    </row>
    <row r="3134" spans="1:9" x14ac:dyDescent="0.45">
      <c r="A3134" t="s">
        <v>11</v>
      </c>
      <c r="B3134" t="s">
        <v>53</v>
      </c>
      <c r="C3134" t="str">
        <f t="shared" si="96"/>
        <v>ArizonaPurdue</v>
      </c>
      <c r="D3134" t="s">
        <v>53</v>
      </c>
      <c r="E3134">
        <v>25.8</v>
      </c>
      <c r="F3134">
        <v>6.9132075471698098</v>
      </c>
      <c r="G3134">
        <v>287.120857943815</v>
      </c>
      <c r="H3134">
        <v>138.26658022157699</v>
      </c>
      <c r="I3134" s="1">
        <f t="shared" si="97"/>
        <v>131.58038017706338</v>
      </c>
    </row>
    <row r="3135" spans="1:9" x14ac:dyDescent="0.45">
      <c r="A3135" t="s">
        <v>12</v>
      </c>
      <c r="B3135" t="s">
        <v>53</v>
      </c>
      <c r="C3135" t="str">
        <f t="shared" si="96"/>
        <v>ArkansasPurdue</v>
      </c>
      <c r="D3135" t="s">
        <v>53</v>
      </c>
      <c r="E3135">
        <v>2.1</v>
      </c>
      <c r="F3135">
        <v>25.3056603773585</v>
      </c>
      <c r="G3135">
        <v>4748.46109052886</v>
      </c>
      <c r="H3135">
        <v>136.38418405543499</v>
      </c>
      <c r="I3135" s="1">
        <f t="shared" si="97"/>
        <v>105.07419876976516</v>
      </c>
    </row>
    <row r="3136" spans="1:9" x14ac:dyDescent="0.45">
      <c r="A3136" t="s">
        <v>13</v>
      </c>
      <c r="B3136" t="s">
        <v>53</v>
      </c>
      <c r="C3136" t="str">
        <f t="shared" si="96"/>
        <v>AuburnPurdue</v>
      </c>
      <c r="D3136" t="s">
        <v>53</v>
      </c>
      <c r="E3136">
        <v>49</v>
      </c>
      <c r="F3136">
        <v>0.26415094339622602</v>
      </c>
      <c r="G3136">
        <v>104.093883838173</v>
      </c>
      <c r="H3136">
        <v>139.52290346069699</v>
      </c>
      <c r="I3136" s="1">
        <f t="shared" si="97"/>
        <v>149.27077515410423</v>
      </c>
    </row>
    <row r="3137" spans="1:9" x14ac:dyDescent="0.45">
      <c r="A3137" t="s">
        <v>14</v>
      </c>
      <c r="B3137" t="s">
        <v>53</v>
      </c>
      <c r="C3137" t="str">
        <f t="shared" si="96"/>
        <v>BaylorPurdue</v>
      </c>
      <c r="D3137" t="s">
        <v>53</v>
      </c>
      <c r="E3137">
        <v>9.1999999999999993</v>
      </c>
      <c r="F3137">
        <v>14.9962264150943</v>
      </c>
      <c r="G3137">
        <v>984.94711297757999</v>
      </c>
      <c r="H3137">
        <v>138.05790147342199</v>
      </c>
      <c r="I3137" s="1">
        <f t="shared" si="97"/>
        <v>128.64195687705177</v>
      </c>
    </row>
    <row r="3138" spans="1:9" x14ac:dyDescent="0.45">
      <c r="A3138" t="s">
        <v>15</v>
      </c>
      <c r="B3138" t="s">
        <v>53</v>
      </c>
      <c r="C3138" t="str">
        <f t="shared" si="96"/>
        <v>BryantPurdue</v>
      </c>
      <c r="D3138" t="s">
        <v>53</v>
      </c>
      <c r="E3138">
        <v>0.5</v>
      </c>
      <c r="F3138">
        <v>35.279245283018902</v>
      </c>
      <c r="G3138">
        <v>21744.6817783355</v>
      </c>
      <c r="H3138">
        <v>137.60689922331599</v>
      </c>
      <c r="I3138" s="1">
        <f t="shared" si="97"/>
        <v>122.29135562136076</v>
      </c>
    </row>
    <row r="3139" spans="1:9" x14ac:dyDescent="0.45">
      <c r="A3139" t="s">
        <v>16</v>
      </c>
      <c r="B3139" t="s">
        <v>53</v>
      </c>
      <c r="C3139" t="str">
        <f t="shared" ref="C3139:C3202" si="98">A3139&amp;B3139</f>
        <v>BYUPurdue</v>
      </c>
      <c r="D3139" t="s">
        <v>53</v>
      </c>
      <c r="E3139">
        <v>11</v>
      </c>
      <c r="F3139">
        <v>13.7018867924528</v>
      </c>
      <c r="G3139">
        <v>808.49311985187398</v>
      </c>
      <c r="H3139">
        <v>137.86741970153901</v>
      </c>
      <c r="I3139" s="1">
        <f t="shared" ref="I3139:I3202" si="99">18*(H3139-AVERAGE($H$2:$H$4625))/_xlfn.STDEV.P($H$2:$H$4625)+AVERAGE($H$2:$H$4625)</f>
        <v>125.95976675622194</v>
      </c>
    </row>
    <row r="3140" spans="1:9" x14ac:dyDescent="0.45">
      <c r="A3140" t="s">
        <v>17</v>
      </c>
      <c r="B3140" t="s">
        <v>53</v>
      </c>
      <c r="C3140" t="str">
        <f t="shared" si="98"/>
        <v>ClemsonPurdue</v>
      </c>
      <c r="D3140" t="s">
        <v>53</v>
      </c>
      <c r="E3140">
        <v>13.7</v>
      </c>
      <c r="F3140">
        <v>12.0754716981132</v>
      </c>
      <c r="G3140">
        <v>630.99337927944305</v>
      </c>
      <c r="H3140">
        <v>138.089331557831</v>
      </c>
      <c r="I3140" s="1">
        <f t="shared" si="99"/>
        <v>129.08452658367167</v>
      </c>
    </row>
    <row r="3141" spans="1:9" x14ac:dyDescent="0.45">
      <c r="A3141" t="s">
        <v>18</v>
      </c>
      <c r="B3141" t="s">
        <v>53</v>
      </c>
      <c r="C3141" t="str">
        <f t="shared" si="98"/>
        <v>Colorado St.Purdue</v>
      </c>
      <c r="D3141" t="s">
        <v>53</v>
      </c>
      <c r="E3141">
        <v>2.5</v>
      </c>
      <c r="F3141">
        <v>23.913207547169801</v>
      </c>
      <c r="G3141">
        <v>3840.3104353625299</v>
      </c>
      <c r="H3141">
        <v>137.396723405936</v>
      </c>
      <c r="I3141" s="1">
        <f t="shared" si="99"/>
        <v>119.3318519615552</v>
      </c>
    </row>
    <row r="3142" spans="1:9" x14ac:dyDescent="0.45">
      <c r="A3142" t="s">
        <v>19</v>
      </c>
      <c r="B3142" t="s">
        <v>53</v>
      </c>
      <c r="C3142" t="str">
        <f t="shared" si="98"/>
        <v>ConnecticutPurdue</v>
      </c>
      <c r="D3142" t="s">
        <v>53</v>
      </c>
      <c r="E3142">
        <v>21.2</v>
      </c>
      <c r="F3142">
        <v>8.6113207547169797</v>
      </c>
      <c r="G3142">
        <v>372.02257242638399</v>
      </c>
      <c r="H3142">
        <v>138.03227530827201</v>
      </c>
      <c r="I3142" s="1">
        <f t="shared" si="99"/>
        <v>128.28111265389811</v>
      </c>
    </row>
    <row r="3143" spans="1:9" x14ac:dyDescent="0.45">
      <c r="A3143" t="s">
        <v>20</v>
      </c>
      <c r="B3143" t="s">
        <v>53</v>
      </c>
      <c r="C3143" t="str">
        <f t="shared" si="98"/>
        <v>CreightonPurdue</v>
      </c>
      <c r="D3143" t="s">
        <v>53</v>
      </c>
      <c r="E3143">
        <v>7.7</v>
      </c>
      <c r="F3143">
        <v>16.3056603773585</v>
      </c>
      <c r="G3143">
        <v>1202.6778667962701</v>
      </c>
      <c r="H3143">
        <v>137.50521767053601</v>
      </c>
      <c r="I3143" s="1">
        <f t="shared" si="99"/>
        <v>120.85956898035536</v>
      </c>
    </row>
    <row r="3144" spans="1:9" x14ac:dyDescent="0.45">
      <c r="A3144" t="s">
        <v>21</v>
      </c>
      <c r="B3144" t="s">
        <v>53</v>
      </c>
      <c r="C3144" t="str">
        <f t="shared" si="98"/>
        <v>DrakePurdue</v>
      </c>
      <c r="D3144" t="s">
        <v>53</v>
      </c>
      <c r="E3144">
        <v>2.5</v>
      </c>
      <c r="F3144">
        <v>23.966037735849099</v>
      </c>
      <c r="G3144">
        <v>3870.1182058177501</v>
      </c>
      <c r="H3144">
        <v>137.55868277469</v>
      </c>
      <c r="I3144" s="1">
        <f t="shared" si="99"/>
        <v>121.61241568454842</v>
      </c>
    </row>
    <row r="3145" spans="1:9" x14ac:dyDescent="0.45">
      <c r="A3145" t="s">
        <v>22</v>
      </c>
      <c r="B3145" t="s">
        <v>53</v>
      </c>
      <c r="C3145" t="str">
        <f t="shared" si="98"/>
        <v>DukePurdue</v>
      </c>
      <c r="D3145" t="s">
        <v>22</v>
      </c>
      <c r="E3145">
        <v>58.5</v>
      </c>
      <c r="F3145">
        <v>-2.2452830188679198</v>
      </c>
      <c r="G3145">
        <v>-140.858872060907</v>
      </c>
      <c r="H3145">
        <v>139.846003236146</v>
      </c>
      <c r="I3145" s="1">
        <f t="shared" si="99"/>
        <v>153.82037072529641</v>
      </c>
    </row>
    <row r="3146" spans="1:9" x14ac:dyDescent="0.45">
      <c r="A3146" t="s">
        <v>23</v>
      </c>
      <c r="B3146" t="s">
        <v>53</v>
      </c>
      <c r="C3146" t="str">
        <f t="shared" si="98"/>
        <v>FloridaPurdue</v>
      </c>
      <c r="D3146" t="s">
        <v>53</v>
      </c>
      <c r="E3146">
        <v>43.7</v>
      </c>
      <c r="F3146">
        <v>1.65283018867925</v>
      </c>
      <c r="G3146">
        <v>128.69522072583999</v>
      </c>
      <c r="H3146">
        <v>139.56975951208801</v>
      </c>
      <c r="I3146" s="1">
        <f t="shared" si="99"/>
        <v>149.93055922110298</v>
      </c>
    </row>
    <row r="3147" spans="1:9" x14ac:dyDescent="0.45">
      <c r="A3147" t="s">
        <v>24</v>
      </c>
      <c r="B3147" t="s">
        <v>53</v>
      </c>
      <c r="C3147" t="str">
        <f t="shared" si="98"/>
        <v>GeorgiaPurdue</v>
      </c>
      <c r="D3147" t="s">
        <v>53</v>
      </c>
      <c r="E3147">
        <v>2.8</v>
      </c>
      <c r="F3147">
        <v>23.1622641509434</v>
      </c>
      <c r="G3147">
        <v>3422.9231696471502</v>
      </c>
      <c r="H3147">
        <v>136.71157303643301</v>
      </c>
      <c r="I3147" s="1">
        <f t="shared" si="99"/>
        <v>109.68419101112713</v>
      </c>
    </row>
    <row r="3148" spans="1:9" x14ac:dyDescent="0.45">
      <c r="A3148" t="s">
        <v>25</v>
      </c>
      <c r="B3148" t="s">
        <v>53</v>
      </c>
      <c r="C3148" t="str">
        <f t="shared" si="98"/>
        <v>GonzagaPurdue</v>
      </c>
      <c r="D3148" t="s">
        <v>53</v>
      </c>
      <c r="E3148">
        <v>14.1</v>
      </c>
      <c r="F3148">
        <v>11.8339622641509</v>
      </c>
      <c r="G3148">
        <v>608.10124694334399</v>
      </c>
      <c r="H3148">
        <v>138.84921415596199</v>
      </c>
      <c r="I3148" s="1">
        <f t="shared" si="99"/>
        <v>139.78449843688125</v>
      </c>
    </row>
    <row r="3149" spans="1:9" x14ac:dyDescent="0.45">
      <c r="A3149" t="s">
        <v>26</v>
      </c>
      <c r="B3149" t="s">
        <v>53</v>
      </c>
      <c r="C3149" t="str">
        <f t="shared" si="98"/>
        <v>Grand CanyonPurdue</v>
      </c>
      <c r="D3149" t="s">
        <v>53</v>
      </c>
      <c r="E3149">
        <v>1.6</v>
      </c>
      <c r="F3149">
        <v>27.083018867924501</v>
      </c>
      <c r="G3149">
        <v>6226.7078618114101</v>
      </c>
      <c r="H3149">
        <v>137.50118240226601</v>
      </c>
      <c r="I3149" s="1">
        <f t="shared" si="99"/>
        <v>120.80274802272932</v>
      </c>
    </row>
    <row r="3150" spans="1:9" x14ac:dyDescent="0.45">
      <c r="A3150" t="s">
        <v>27</v>
      </c>
      <c r="B3150" t="s">
        <v>53</v>
      </c>
      <c r="C3150" t="str">
        <f t="shared" si="98"/>
        <v>High PointPurdue</v>
      </c>
      <c r="D3150" t="s">
        <v>53</v>
      </c>
      <c r="E3150">
        <v>1</v>
      </c>
      <c r="F3150">
        <v>29.856603773584901</v>
      </c>
      <c r="G3150">
        <v>9504.6156435958801</v>
      </c>
      <c r="H3150">
        <v>137.78207414992099</v>
      </c>
      <c r="I3150" s="1">
        <f t="shared" si="99"/>
        <v>124.75800874471392</v>
      </c>
    </row>
    <row r="3151" spans="1:9" x14ac:dyDescent="0.45">
      <c r="A3151" t="s">
        <v>28</v>
      </c>
      <c r="B3151" t="s">
        <v>53</v>
      </c>
      <c r="C3151" t="str">
        <f t="shared" si="98"/>
        <v>HoustonPurdue</v>
      </c>
      <c r="D3151" t="s">
        <v>28</v>
      </c>
      <c r="E3151">
        <v>70.7</v>
      </c>
      <c r="F3151">
        <v>-5.7584905660377403</v>
      </c>
      <c r="G3151">
        <v>-240.75285866559</v>
      </c>
      <c r="H3151">
        <v>139.989667585776</v>
      </c>
      <c r="I3151" s="1">
        <f t="shared" si="99"/>
        <v>155.84332071932388</v>
      </c>
    </row>
    <row r="3152" spans="1:9" x14ac:dyDescent="0.45">
      <c r="A3152" t="s">
        <v>29</v>
      </c>
      <c r="B3152" t="s">
        <v>53</v>
      </c>
      <c r="C3152" t="str">
        <f t="shared" si="98"/>
        <v>IllinoisPurdue</v>
      </c>
      <c r="D3152" t="s">
        <v>53</v>
      </c>
      <c r="E3152">
        <v>19.399999999999999</v>
      </c>
      <c r="F3152">
        <v>9.3509433962264197</v>
      </c>
      <c r="G3152">
        <v>416.41963159615602</v>
      </c>
      <c r="H3152">
        <v>138.03991273971201</v>
      </c>
      <c r="I3152" s="1">
        <f t="shared" si="99"/>
        <v>128.38865597919579</v>
      </c>
    </row>
    <row r="3153" spans="1:9" x14ac:dyDescent="0.45">
      <c r="A3153" t="s">
        <v>30</v>
      </c>
      <c r="B3153" t="s">
        <v>53</v>
      </c>
      <c r="C3153" t="str">
        <f t="shared" si="98"/>
        <v>Iowa St.Purdue</v>
      </c>
      <c r="D3153" t="s">
        <v>53</v>
      </c>
      <c r="E3153">
        <v>33.6</v>
      </c>
      <c r="F3153">
        <v>4.4679245283018902</v>
      </c>
      <c r="G3153">
        <v>197.69278360605901</v>
      </c>
      <c r="H3153">
        <v>138.96618131807099</v>
      </c>
      <c r="I3153" s="1">
        <f t="shared" si="99"/>
        <v>141.43152305014976</v>
      </c>
    </row>
    <row r="3154" spans="1:9" x14ac:dyDescent="0.45">
      <c r="A3154" t="s">
        <v>31</v>
      </c>
      <c r="B3154" t="s">
        <v>53</v>
      </c>
      <c r="C3154" t="str">
        <f t="shared" si="98"/>
        <v>KansasPurdue</v>
      </c>
      <c r="D3154" t="s">
        <v>53</v>
      </c>
      <c r="E3154">
        <v>12.8</v>
      </c>
      <c r="F3154">
        <v>12.569811320754701</v>
      </c>
      <c r="G3154">
        <v>680.45953364877198</v>
      </c>
      <c r="H3154">
        <v>137.92157160238199</v>
      </c>
      <c r="I3154" s="1">
        <f t="shared" si="99"/>
        <v>126.72228430333101</v>
      </c>
    </row>
    <row r="3155" spans="1:9" x14ac:dyDescent="0.45">
      <c r="A3155" t="s">
        <v>32</v>
      </c>
      <c r="B3155" t="s">
        <v>53</v>
      </c>
      <c r="C3155" t="str">
        <f t="shared" si="98"/>
        <v>KentuckyPurdue</v>
      </c>
      <c r="D3155" t="s">
        <v>53</v>
      </c>
      <c r="E3155">
        <v>19.899999999999999</v>
      </c>
      <c r="F3155">
        <v>9.1433962264150992</v>
      </c>
      <c r="G3155">
        <v>403.36010292538202</v>
      </c>
      <c r="H3155">
        <v>137.86860920277499</v>
      </c>
      <c r="I3155" s="1">
        <f t="shared" si="99"/>
        <v>125.97651622485787</v>
      </c>
    </row>
    <row r="3156" spans="1:9" x14ac:dyDescent="0.45">
      <c r="A3156" t="s">
        <v>33</v>
      </c>
      <c r="B3156" t="s">
        <v>53</v>
      </c>
      <c r="C3156" t="str">
        <f t="shared" si="98"/>
        <v>LibertyPurdue</v>
      </c>
      <c r="D3156" t="s">
        <v>53</v>
      </c>
      <c r="E3156">
        <v>0.7</v>
      </c>
      <c r="F3156">
        <v>32.6301886792453</v>
      </c>
      <c r="G3156">
        <v>14516.202481561601</v>
      </c>
      <c r="H3156">
        <v>137.07754545117299</v>
      </c>
      <c r="I3156" s="1">
        <f t="shared" si="99"/>
        <v>114.8374798828562</v>
      </c>
    </row>
    <row r="3157" spans="1:9" x14ac:dyDescent="0.45">
      <c r="A3157" t="s">
        <v>34</v>
      </c>
      <c r="B3157" t="s">
        <v>53</v>
      </c>
      <c r="C3157" t="str">
        <f t="shared" si="98"/>
        <v>LipscombPurdue</v>
      </c>
      <c r="D3157" t="s">
        <v>53</v>
      </c>
      <c r="E3157">
        <v>0.5</v>
      </c>
      <c r="F3157">
        <v>34.373584905660401</v>
      </c>
      <c r="G3157">
        <v>18935.765502494702</v>
      </c>
      <c r="H3157">
        <v>137.509465682431</v>
      </c>
      <c r="I3157" s="1">
        <f t="shared" si="99"/>
        <v>120.91938559915971</v>
      </c>
    </row>
    <row r="3158" spans="1:9" x14ac:dyDescent="0.45">
      <c r="A3158" t="s">
        <v>35</v>
      </c>
      <c r="B3158" t="s">
        <v>53</v>
      </c>
      <c r="C3158" t="str">
        <f t="shared" si="98"/>
        <v>LouisvillePurdue</v>
      </c>
      <c r="D3158" t="s">
        <v>53</v>
      </c>
      <c r="E3158">
        <v>1.3</v>
      </c>
      <c r="F3158">
        <v>28.267924528301901</v>
      </c>
      <c r="G3158">
        <v>7458.8108727827303</v>
      </c>
      <c r="H3158">
        <v>136.79518899439901</v>
      </c>
      <c r="I3158" s="1">
        <f t="shared" si="99"/>
        <v>110.86159446649769</v>
      </c>
    </row>
    <row r="3159" spans="1:9" x14ac:dyDescent="0.45">
      <c r="A3159" t="s">
        <v>36</v>
      </c>
      <c r="B3159" t="s">
        <v>53</v>
      </c>
      <c r="C3159" t="str">
        <f t="shared" si="98"/>
        <v>MarquettePurdue</v>
      </c>
      <c r="D3159" t="s">
        <v>53</v>
      </c>
      <c r="E3159">
        <v>15.9</v>
      </c>
      <c r="F3159">
        <v>10.920754716981101</v>
      </c>
      <c r="G3159">
        <v>529.13219759273704</v>
      </c>
      <c r="H3159">
        <v>138.126945629304</v>
      </c>
      <c r="I3159" s="1">
        <f t="shared" si="99"/>
        <v>129.61417354102488</v>
      </c>
    </row>
    <row r="3160" spans="1:9" x14ac:dyDescent="0.45">
      <c r="A3160" t="s">
        <v>37</v>
      </c>
      <c r="B3160" t="s">
        <v>53</v>
      </c>
      <c r="C3160" t="str">
        <f t="shared" si="98"/>
        <v>MarylandPurdue</v>
      </c>
      <c r="D3160" t="s">
        <v>53</v>
      </c>
      <c r="E3160">
        <v>11.4</v>
      </c>
      <c r="F3160">
        <v>13.4641509433962</v>
      </c>
      <c r="G3160">
        <v>780.025044953524</v>
      </c>
      <c r="H3160">
        <v>137.736884940983</v>
      </c>
      <c r="I3160" s="1">
        <f t="shared" si="99"/>
        <v>124.12169562885298</v>
      </c>
    </row>
    <row r="3161" spans="1:9" x14ac:dyDescent="0.45">
      <c r="A3161" t="s">
        <v>38</v>
      </c>
      <c r="B3161" t="s">
        <v>53</v>
      </c>
      <c r="C3161" t="str">
        <f t="shared" si="98"/>
        <v>McNeese St.Purdue</v>
      </c>
      <c r="D3161" t="s">
        <v>53</v>
      </c>
      <c r="E3161">
        <v>2.2000000000000002</v>
      </c>
      <c r="F3161">
        <v>24.7735849056604</v>
      </c>
      <c r="G3161">
        <v>4377.8180618656197</v>
      </c>
      <c r="H3161">
        <v>137.57229655518401</v>
      </c>
      <c r="I3161" s="1">
        <f t="shared" si="99"/>
        <v>121.8041124920026</v>
      </c>
    </row>
    <row r="3162" spans="1:9" x14ac:dyDescent="0.45">
      <c r="A3162" t="s">
        <v>39</v>
      </c>
      <c r="B3162" t="s">
        <v>53</v>
      </c>
      <c r="C3162" t="str">
        <f t="shared" si="98"/>
        <v>MemphisPurdue</v>
      </c>
      <c r="D3162" t="s">
        <v>53</v>
      </c>
      <c r="E3162">
        <v>6.2</v>
      </c>
      <c r="F3162">
        <v>17.852830188679199</v>
      </c>
      <c r="G3162">
        <v>1522.91285123339</v>
      </c>
      <c r="H3162">
        <v>136.714519754002</v>
      </c>
      <c r="I3162" s="1">
        <f t="shared" si="99"/>
        <v>109.72568399323396</v>
      </c>
    </row>
    <row r="3163" spans="1:9" x14ac:dyDescent="0.45">
      <c r="A3163" t="s">
        <v>40</v>
      </c>
      <c r="B3163" t="s">
        <v>53</v>
      </c>
      <c r="C3163" t="str">
        <f t="shared" si="98"/>
        <v>MichiganPurdue</v>
      </c>
      <c r="D3163" t="s">
        <v>53</v>
      </c>
      <c r="E3163">
        <v>3.4</v>
      </c>
      <c r="F3163">
        <v>22.0415094339623</v>
      </c>
      <c r="G3163">
        <v>2884.9885314316398</v>
      </c>
      <c r="H3163">
        <v>136.371440838686</v>
      </c>
      <c r="I3163" s="1">
        <f t="shared" si="99"/>
        <v>104.8947604448596</v>
      </c>
    </row>
    <row r="3164" spans="1:9" x14ac:dyDescent="0.45">
      <c r="A3164" t="s">
        <v>41</v>
      </c>
      <c r="B3164" t="s">
        <v>53</v>
      </c>
      <c r="C3164" t="str">
        <f t="shared" si="98"/>
        <v>Michigan St.Purdue</v>
      </c>
      <c r="D3164" t="s">
        <v>53</v>
      </c>
      <c r="E3164">
        <v>25</v>
      </c>
      <c r="F3164">
        <v>7.2150943396226399</v>
      </c>
      <c r="G3164">
        <v>300.65626352369799</v>
      </c>
      <c r="H3164">
        <v>138.070332799515</v>
      </c>
      <c r="I3164" s="1">
        <f t="shared" si="99"/>
        <v>128.81700344295606</v>
      </c>
    </row>
    <row r="3165" spans="1:9" x14ac:dyDescent="0.45">
      <c r="A3165" t="s">
        <v>42</v>
      </c>
      <c r="B3165" t="s">
        <v>53</v>
      </c>
      <c r="C3165" t="str">
        <f t="shared" si="98"/>
        <v>MississippiPurdue</v>
      </c>
      <c r="D3165" t="s">
        <v>53</v>
      </c>
      <c r="E3165">
        <v>7.9</v>
      </c>
      <c r="F3165">
        <v>16.128301886792499</v>
      </c>
      <c r="G3165">
        <v>1170.54778145514</v>
      </c>
      <c r="H3165">
        <v>137.20125390460899</v>
      </c>
      <c r="I3165" s="1">
        <f t="shared" si="99"/>
        <v>116.5794291958487</v>
      </c>
    </row>
    <row r="3166" spans="1:9" x14ac:dyDescent="0.45">
      <c r="A3166" t="s">
        <v>43</v>
      </c>
      <c r="B3166" t="s">
        <v>53</v>
      </c>
      <c r="C3166" t="str">
        <f t="shared" si="98"/>
        <v>Mississippi St.Purdue</v>
      </c>
      <c r="D3166" t="s">
        <v>53</v>
      </c>
      <c r="E3166">
        <v>6.1</v>
      </c>
      <c r="F3166">
        <v>17.977358490566001</v>
      </c>
      <c r="G3166">
        <v>1551.9596588827801</v>
      </c>
      <c r="H3166">
        <v>137.32562525839899</v>
      </c>
      <c r="I3166" s="1">
        <f t="shared" si="99"/>
        <v>118.33071286542042</v>
      </c>
    </row>
    <row r="3167" spans="1:9" x14ac:dyDescent="0.45">
      <c r="A3167" t="s">
        <v>44</v>
      </c>
      <c r="B3167" t="s">
        <v>53</v>
      </c>
      <c r="C3167" t="str">
        <f t="shared" si="98"/>
        <v>MissouriPurdue</v>
      </c>
      <c r="D3167" t="s">
        <v>53</v>
      </c>
      <c r="E3167">
        <v>2.7</v>
      </c>
      <c r="F3167">
        <v>23.388679245283001</v>
      </c>
      <c r="G3167">
        <v>3543.8829491092001</v>
      </c>
      <c r="H3167">
        <v>136.590097194572</v>
      </c>
      <c r="I3167" s="1">
        <f t="shared" si="99"/>
        <v>107.97367929266595</v>
      </c>
    </row>
    <row r="3168" spans="1:9" x14ac:dyDescent="0.45">
      <c r="A3168" t="s">
        <v>45</v>
      </c>
      <c r="B3168" t="s">
        <v>53</v>
      </c>
      <c r="C3168" t="str">
        <f t="shared" si="98"/>
        <v>MontanaPurdue</v>
      </c>
      <c r="D3168" t="s">
        <v>53</v>
      </c>
      <c r="E3168">
        <v>0.3</v>
      </c>
      <c r="F3168">
        <v>38.6452830188679</v>
      </c>
      <c r="G3168">
        <v>36330.505540664199</v>
      </c>
      <c r="H3168">
        <v>135.898831919591</v>
      </c>
      <c r="I3168" s="1">
        <f t="shared" si="99"/>
        <v>98.23991383522511</v>
      </c>
    </row>
    <row r="3169" spans="1:9" x14ac:dyDescent="0.45">
      <c r="A3169" t="s">
        <v>46</v>
      </c>
      <c r="B3169" t="s">
        <v>53</v>
      </c>
      <c r="C3169" t="str">
        <f t="shared" si="98"/>
        <v>Mount St. Mary'sPurdue</v>
      </c>
      <c r="D3169" t="s">
        <v>53</v>
      </c>
      <c r="E3169">
        <v>0.1</v>
      </c>
      <c r="F3169">
        <v>44.762264150943402</v>
      </c>
      <c r="G3169">
        <v>92357.493286134399</v>
      </c>
      <c r="H3169">
        <v>137.246706141538</v>
      </c>
      <c r="I3169" s="1">
        <f t="shared" si="99"/>
        <v>117.21944603134672</v>
      </c>
    </row>
    <row r="3170" spans="1:9" x14ac:dyDescent="0.45">
      <c r="A3170" t="s">
        <v>47</v>
      </c>
      <c r="B3170" t="s">
        <v>53</v>
      </c>
      <c r="C3170" t="str">
        <f t="shared" si="98"/>
        <v>Nebraska OmahaPurdue</v>
      </c>
      <c r="D3170" t="s">
        <v>53</v>
      </c>
      <c r="E3170">
        <v>0.1</v>
      </c>
      <c r="F3170">
        <v>43.045283018867899</v>
      </c>
      <c r="G3170">
        <v>71088.896609096002</v>
      </c>
      <c r="H3170">
        <v>136.530707321438</v>
      </c>
      <c r="I3170" s="1">
        <f t="shared" si="99"/>
        <v>107.13740540974977</v>
      </c>
    </row>
    <row r="3171" spans="1:9" x14ac:dyDescent="0.45">
      <c r="A3171" t="s">
        <v>48</v>
      </c>
      <c r="B3171" t="s">
        <v>53</v>
      </c>
      <c r="C3171" t="str">
        <f t="shared" si="98"/>
        <v>New MexicoPurdue</v>
      </c>
      <c r="D3171" t="s">
        <v>53</v>
      </c>
      <c r="E3171">
        <v>3.5</v>
      </c>
      <c r="F3171">
        <v>21.8</v>
      </c>
      <c r="G3171">
        <v>2780.7775371180301</v>
      </c>
      <c r="H3171">
        <v>137.40845166871401</v>
      </c>
      <c r="I3171" s="1">
        <f t="shared" si="99"/>
        <v>119.4969986327915</v>
      </c>
    </row>
    <row r="3172" spans="1:9" x14ac:dyDescent="0.45">
      <c r="A3172" t="s">
        <v>49</v>
      </c>
      <c r="B3172" t="s">
        <v>53</v>
      </c>
      <c r="C3172" t="str">
        <f t="shared" si="98"/>
        <v>Norfolk St.Purdue</v>
      </c>
      <c r="D3172" t="s">
        <v>53</v>
      </c>
      <c r="E3172">
        <v>0.2</v>
      </c>
      <c r="F3172">
        <v>40.513207547169799</v>
      </c>
      <c r="G3172">
        <v>48308.008925927199</v>
      </c>
      <c r="H3172">
        <v>136.42081533091499</v>
      </c>
      <c r="I3172" s="1">
        <f t="shared" si="99"/>
        <v>105.5900068926874</v>
      </c>
    </row>
    <row r="3173" spans="1:9" x14ac:dyDescent="0.45">
      <c r="A3173" t="s">
        <v>50</v>
      </c>
      <c r="B3173" t="s">
        <v>53</v>
      </c>
      <c r="C3173" t="str">
        <f t="shared" si="98"/>
        <v>North CarolinaPurdue</v>
      </c>
      <c r="D3173" t="s">
        <v>53</v>
      </c>
      <c r="E3173">
        <v>10.9</v>
      </c>
      <c r="F3173">
        <v>13.7584905660377</v>
      </c>
      <c r="G3173">
        <v>815.59248146307596</v>
      </c>
      <c r="H3173">
        <v>138.49274676287101</v>
      </c>
      <c r="I3173" s="1">
        <f t="shared" si="99"/>
        <v>134.76505058790841</v>
      </c>
    </row>
    <row r="3174" spans="1:9" x14ac:dyDescent="0.45">
      <c r="A3174" t="s">
        <v>51</v>
      </c>
      <c r="B3174" t="s">
        <v>53</v>
      </c>
      <c r="C3174" t="str">
        <f t="shared" si="98"/>
        <v>OklahomaPurdue</v>
      </c>
      <c r="D3174" t="s">
        <v>53</v>
      </c>
      <c r="E3174">
        <v>3.9</v>
      </c>
      <c r="F3174">
        <v>21.0641509433962</v>
      </c>
      <c r="G3174">
        <v>2485.8890168442299</v>
      </c>
      <c r="H3174">
        <v>136.83535005837601</v>
      </c>
      <c r="I3174" s="1">
        <f t="shared" si="99"/>
        <v>111.42710584313107</v>
      </c>
    </row>
    <row r="3175" spans="1:9" x14ac:dyDescent="0.45">
      <c r="A3175" t="s">
        <v>52</v>
      </c>
      <c r="B3175" t="s">
        <v>53</v>
      </c>
      <c r="C3175" t="str">
        <f t="shared" si="98"/>
        <v>OregonPurdue</v>
      </c>
      <c r="D3175" t="s">
        <v>53</v>
      </c>
      <c r="E3175">
        <v>11.7</v>
      </c>
      <c r="F3175">
        <v>13.2377358490566</v>
      </c>
      <c r="G3175">
        <v>753.45501679194695</v>
      </c>
      <c r="H3175">
        <v>137.42972784651599</v>
      </c>
      <c r="I3175" s="1">
        <f t="shared" si="99"/>
        <v>119.79659031206538</v>
      </c>
    </row>
    <row r="3176" spans="1:9" x14ac:dyDescent="0.45">
      <c r="A3176" t="s">
        <v>53</v>
      </c>
      <c r="B3176" t="s">
        <v>53</v>
      </c>
      <c r="C3176" t="str">
        <f t="shared" si="98"/>
        <v>PurduePurdue</v>
      </c>
      <c r="D3176" t="s">
        <v>53</v>
      </c>
      <c r="E3176">
        <v>41.2</v>
      </c>
      <c r="F3176">
        <v>2.3283018867924499</v>
      </c>
      <c r="G3176">
        <v>142.64273539779199</v>
      </c>
      <c r="H3176">
        <v>138.77771517530499</v>
      </c>
      <c r="I3176" s="1">
        <f t="shared" si="99"/>
        <v>138.77771517530277</v>
      </c>
    </row>
    <row r="3177" spans="1:9" x14ac:dyDescent="0.45">
      <c r="A3177" t="s">
        <v>54</v>
      </c>
      <c r="B3177" t="s">
        <v>53</v>
      </c>
      <c r="C3177" t="str">
        <f t="shared" si="98"/>
        <v>Robert MorrisPurdue</v>
      </c>
      <c r="D3177" t="s">
        <v>53</v>
      </c>
      <c r="E3177">
        <v>0.1</v>
      </c>
      <c r="F3177">
        <v>46.271698113207499</v>
      </c>
      <c r="G3177">
        <v>116260.08604049199</v>
      </c>
      <c r="H3177">
        <v>135.83635202406799</v>
      </c>
      <c r="I3177" s="1">
        <f t="shared" si="99"/>
        <v>97.36012908277516</v>
      </c>
    </row>
    <row r="3178" spans="1:9" x14ac:dyDescent="0.45">
      <c r="A3178" t="s">
        <v>55</v>
      </c>
      <c r="B3178" t="s">
        <v>53</v>
      </c>
      <c r="C3178" t="str">
        <f t="shared" si="98"/>
        <v>Saint FrancisPurdue</v>
      </c>
      <c r="D3178" t="s">
        <v>53</v>
      </c>
      <c r="E3178">
        <v>0.1</v>
      </c>
      <c r="F3178">
        <v>48.996226415094299</v>
      </c>
      <c r="G3178">
        <v>176216.08994959001</v>
      </c>
      <c r="H3178">
        <v>136.889207557275</v>
      </c>
      <c r="I3178" s="1">
        <f t="shared" si="99"/>
        <v>112.1854778912881</v>
      </c>
    </row>
    <row r="3179" spans="1:9" x14ac:dyDescent="0.45">
      <c r="A3179" t="s">
        <v>56</v>
      </c>
      <c r="B3179" t="s">
        <v>53</v>
      </c>
      <c r="C3179" t="str">
        <f t="shared" si="98"/>
        <v>Saint Mary'sPurdue</v>
      </c>
      <c r="D3179" t="s">
        <v>53</v>
      </c>
      <c r="E3179">
        <v>10.199999999999999</v>
      </c>
      <c r="F3179">
        <v>14.2830188679245</v>
      </c>
      <c r="G3179">
        <v>883.40913416187698</v>
      </c>
      <c r="H3179">
        <v>138.140462758366</v>
      </c>
      <c r="I3179" s="1">
        <f t="shared" si="99"/>
        <v>129.80450939139874</v>
      </c>
    </row>
    <row r="3180" spans="1:9" x14ac:dyDescent="0.45">
      <c r="A3180" t="s">
        <v>57</v>
      </c>
      <c r="B3180" t="s">
        <v>53</v>
      </c>
      <c r="C3180" t="str">
        <f t="shared" si="98"/>
        <v>San Diego St.Purdue</v>
      </c>
      <c r="D3180" t="s">
        <v>53</v>
      </c>
      <c r="E3180">
        <v>3.2</v>
      </c>
      <c r="F3180">
        <v>22.373584905660401</v>
      </c>
      <c r="G3180">
        <v>3036.0084182052001</v>
      </c>
      <c r="H3180">
        <v>137.286717638163</v>
      </c>
      <c r="I3180" s="1">
        <f t="shared" si="99"/>
        <v>117.78285133730489</v>
      </c>
    </row>
    <row r="3181" spans="1:9" x14ac:dyDescent="0.45">
      <c r="A3181" t="s">
        <v>58</v>
      </c>
      <c r="B3181" t="s">
        <v>53</v>
      </c>
      <c r="C3181" t="str">
        <f t="shared" si="98"/>
        <v>SIU EdwardsvillePurdue</v>
      </c>
      <c r="D3181" t="s">
        <v>53</v>
      </c>
      <c r="E3181">
        <v>0.2</v>
      </c>
      <c r="F3181">
        <v>41.973584905660402</v>
      </c>
      <c r="G3181">
        <v>60350.370455569297</v>
      </c>
      <c r="H3181">
        <v>137.434405405012</v>
      </c>
      <c r="I3181" s="1">
        <f t="shared" si="99"/>
        <v>119.86245541329573</v>
      </c>
    </row>
    <row r="3182" spans="1:9" x14ac:dyDescent="0.45">
      <c r="A3182" t="s">
        <v>59</v>
      </c>
      <c r="B3182" t="s">
        <v>53</v>
      </c>
      <c r="C3182" t="str">
        <f t="shared" si="98"/>
        <v>St. John'sPurdue</v>
      </c>
      <c r="D3182" t="s">
        <v>53</v>
      </c>
      <c r="E3182">
        <v>26.1</v>
      </c>
      <c r="F3182">
        <v>6.8150943396226404</v>
      </c>
      <c r="G3182">
        <v>282.79545980508698</v>
      </c>
      <c r="H3182">
        <v>138.412088177556</v>
      </c>
      <c r="I3182" s="1">
        <f t="shared" si="99"/>
        <v>133.62929014976567</v>
      </c>
    </row>
    <row r="3183" spans="1:9" x14ac:dyDescent="0.45">
      <c r="A3183" t="s">
        <v>60</v>
      </c>
      <c r="B3183" t="s">
        <v>53</v>
      </c>
      <c r="C3183" t="str">
        <f t="shared" si="98"/>
        <v>TennesseePurdue</v>
      </c>
      <c r="D3183" t="s">
        <v>53</v>
      </c>
      <c r="E3183">
        <v>41.4</v>
      </c>
      <c r="F3183">
        <v>2.2679245283018901</v>
      </c>
      <c r="G3183">
        <v>141.36209878406001</v>
      </c>
      <c r="H3183">
        <v>139.006071054248</v>
      </c>
      <c r="I3183" s="1">
        <f t="shared" si="99"/>
        <v>141.99321383682613</v>
      </c>
    </row>
    <row r="3184" spans="1:9" x14ac:dyDescent="0.45">
      <c r="A3184" t="s">
        <v>61</v>
      </c>
      <c r="B3184" t="s">
        <v>53</v>
      </c>
      <c r="C3184" t="str">
        <f t="shared" si="98"/>
        <v>TexasPurdue</v>
      </c>
      <c r="D3184" t="s">
        <v>53</v>
      </c>
      <c r="E3184">
        <v>2.8</v>
      </c>
      <c r="F3184">
        <v>23.222641509433998</v>
      </c>
      <c r="G3184">
        <v>3455.4109035988399</v>
      </c>
      <c r="H3184">
        <v>136.76178558532001</v>
      </c>
      <c r="I3184" s="1">
        <f t="shared" si="99"/>
        <v>110.39123820643114</v>
      </c>
    </row>
    <row r="3185" spans="1:9" x14ac:dyDescent="0.45">
      <c r="A3185" t="s">
        <v>62</v>
      </c>
      <c r="B3185" t="s">
        <v>53</v>
      </c>
      <c r="C3185" t="str">
        <f t="shared" si="98"/>
        <v>Texas A&amp;MPurdue</v>
      </c>
      <c r="D3185" t="s">
        <v>53</v>
      </c>
      <c r="E3185">
        <v>14.3</v>
      </c>
      <c r="F3185">
        <v>11.728301886792501</v>
      </c>
      <c r="G3185">
        <v>598.27220454885401</v>
      </c>
      <c r="H3185">
        <v>137.559584612913</v>
      </c>
      <c r="I3185" s="1">
        <f t="shared" si="99"/>
        <v>121.62511454569618</v>
      </c>
    </row>
    <row r="3186" spans="1:9" x14ac:dyDescent="0.45">
      <c r="A3186" t="s">
        <v>63</v>
      </c>
      <c r="B3186" t="s">
        <v>53</v>
      </c>
      <c r="C3186" t="str">
        <f t="shared" si="98"/>
        <v>Texas TechPurdue</v>
      </c>
      <c r="D3186" t="s">
        <v>53</v>
      </c>
      <c r="E3186">
        <v>24.8</v>
      </c>
      <c r="F3186">
        <v>7.2754716981132104</v>
      </c>
      <c r="G3186">
        <v>303.376749088873</v>
      </c>
      <c r="H3186">
        <v>138.59936873197699</v>
      </c>
      <c r="I3186" s="1">
        <f t="shared" si="99"/>
        <v>136.26640365372921</v>
      </c>
    </row>
    <row r="3187" spans="1:9" x14ac:dyDescent="0.45">
      <c r="A3187" t="s">
        <v>64</v>
      </c>
      <c r="B3187" t="s">
        <v>53</v>
      </c>
      <c r="C3187" t="str">
        <f t="shared" si="98"/>
        <v>TroyPurdue</v>
      </c>
      <c r="D3187" t="s">
        <v>53</v>
      </c>
      <c r="E3187">
        <v>0.5</v>
      </c>
      <c r="F3187">
        <v>35.222641509433998</v>
      </c>
      <c r="G3187">
        <v>21549.797733896499</v>
      </c>
      <c r="H3187">
        <v>137.30293315170701</v>
      </c>
      <c r="I3187" s="1">
        <f t="shared" si="99"/>
        <v>118.01118337034923</v>
      </c>
    </row>
    <row r="3188" spans="1:9" x14ac:dyDescent="0.45">
      <c r="A3188" t="s">
        <v>65</v>
      </c>
      <c r="B3188" t="s">
        <v>53</v>
      </c>
      <c r="C3188" t="str">
        <f t="shared" si="98"/>
        <v>UC San DiegoPurdue</v>
      </c>
      <c r="D3188" t="s">
        <v>53</v>
      </c>
      <c r="E3188">
        <v>1.2</v>
      </c>
      <c r="F3188">
        <v>29.060377358490602</v>
      </c>
      <c r="G3188">
        <v>8419.7077877273605</v>
      </c>
      <c r="H3188">
        <v>137.39105489509799</v>
      </c>
      <c r="I3188" s="1">
        <f t="shared" si="99"/>
        <v>119.25203317564608</v>
      </c>
    </row>
    <row r="3189" spans="1:9" x14ac:dyDescent="0.45">
      <c r="A3189" t="s">
        <v>66</v>
      </c>
      <c r="B3189" t="s">
        <v>53</v>
      </c>
      <c r="C3189" t="str">
        <f t="shared" si="98"/>
        <v>UCLAPurdue</v>
      </c>
      <c r="D3189" t="s">
        <v>53</v>
      </c>
      <c r="E3189">
        <v>4.5</v>
      </c>
      <c r="F3189">
        <v>20.0150943396226</v>
      </c>
      <c r="G3189">
        <v>2118.8209361876902</v>
      </c>
      <c r="H3189">
        <v>136.86250940820599</v>
      </c>
      <c r="I3189" s="1">
        <f t="shared" si="99"/>
        <v>111.80953897088936</v>
      </c>
    </row>
    <row r="3190" spans="1:9" x14ac:dyDescent="0.45">
      <c r="A3190" t="s">
        <v>67</v>
      </c>
      <c r="B3190" t="s">
        <v>53</v>
      </c>
      <c r="C3190" t="str">
        <f t="shared" si="98"/>
        <v>UNC WilmingtonPurdue</v>
      </c>
      <c r="D3190" t="s">
        <v>53</v>
      </c>
      <c r="E3190">
        <v>0.7</v>
      </c>
      <c r="F3190">
        <v>32.422641509434001</v>
      </c>
      <c r="G3190">
        <v>14058.3777600352</v>
      </c>
      <c r="H3190">
        <v>137.97752508212599</v>
      </c>
      <c r="I3190" s="1">
        <f t="shared" si="99"/>
        <v>127.51017003702533</v>
      </c>
    </row>
    <row r="3191" spans="1:9" x14ac:dyDescent="0.45">
      <c r="A3191" t="s">
        <v>68</v>
      </c>
      <c r="B3191" t="s">
        <v>53</v>
      </c>
      <c r="C3191" t="str">
        <f t="shared" si="98"/>
        <v>Utah St.Purdue</v>
      </c>
      <c r="D3191" t="s">
        <v>53</v>
      </c>
      <c r="E3191">
        <v>3.5</v>
      </c>
      <c r="F3191">
        <v>21.777358490566002</v>
      </c>
      <c r="G3191">
        <v>2771.7637021069399</v>
      </c>
      <c r="H3191">
        <v>137.34889548595299</v>
      </c>
      <c r="I3191" s="1">
        <f t="shared" si="99"/>
        <v>118.65838292979365</v>
      </c>
    </row>
    <row r="3192" spans="1:9" x14ac:dyDescent="0.45">
      <c r="A3192" t="s">
        <v>69</v>
      </c>
      <c r="B3192" t="s">
        <v>53</v>
      </c>
      <c r="C3192" t="str">
        <f t="shared" si="98"/>
        <v>VanderbiltPurdue</v>
      </c>
      <c r="D3192" t="s">
        <v>53</v>
      </c>
      <c r="E3192">
        <v>0.8</v>
      </c>
      <c r="F3192">
        <v>31.898113207547201</v>
      </c>
      <c r="G3192">
        <v>12982.1371312177</v>
      </c>
      <c r="H3192">
        <v>135.92346597455099</v>
      </c>
      <c r="I3192" s="1">
        <f t="shared" si="99"/>
        <v>98.586788069943225</v>
      </c>
    </row>
    <row r="3193" spans="1:9" x14ac:dyDescent="0.45">
      <c r="A3193" t="s">
        <v>70</v>
      </c>
      <c r="B3193" t="s">
        <v>53</v>
      </c>
      <c r="C3193" t="str">
        <f t="shared" si="98"/>
        <v>VCUPurdue</v>
      </c>
      <c r="D3193" t="s">
        <v>53</v>
      </c>
      <c r="E3193">
        <v>2.2999999999999998</v>
      </c>
      <c r="F3193">
        <v>24.550943396226401</v>
      </c>
      <c r="G3193">
        <v>4232.6867619352297</v>
      </c>
      <c r="H3193">
        <v>137.76837713642701</v>
      </c>
      <c r="I3193" s="1">
        <f t="shared" si="99"/>
        <v>124.56513992626866</v>
      </c>
    </row>
    <row r="3194" spans="1:9" x14ac:dyDescent="0.45">
      <c r="A3194" t="s">
        <v>71</v>
      </c>
      <c r="B3194" t="s">
        <v>53</v>
      </c>
      <c r="C3194" t="str">
        <f t="shared" si="98"/>
        <v>WisconsinPurdue</v>
      </c>
      <c r="D3194" t="s">
        <v>53</v>
      </c>
      <c r="E3194">
        <v>22.5</v>
      </c>
      <c r="F3194">
        <v>8.0905660377358508</v>
      </c>
      <c r="G3194">
        <v>343.538409022552</v>
      </c>
      <c r="H3194">
        <v>138.569055991694</v>
      </c>
      <c r="I3194" s="1">
        <f t="shared" si="99"/>
        <v>135.83956736530854</v>
      </c>
    </row>
    <row r="3195" spans="1:9" x14ac:dyDescent="0.45">
      <c r="A3195" t="s">
        <v>80</v>
      </c>
      <c r="B3195" t="s">
        <v>53</v>
      </c>
      <c r="C3195" t="str">
        <f t="shared" si="98"/>
        <v>WoffordPurdue</v>
      </c>
      <c r="D3195" t="s">
        <v>53</v>
      </c>
      <c r="E3195">
        <v>0.2</v>
      </c>
      <c r="F3195">
        <v>39.475471698113203</v>
      </c>
      <c r="G3195">
        <v>41233.517289687501</v>
      </c>
      <c r="H3195">
        <v>136.598511730788</v>
      </c>
      <c r="I3195" s="1">
        <f t="shared" si="99"/>
        <v>108.09216509677643</v>
      </c>
    </row>
    <row r="3196" spans="1:9" x14ac:dyDescent="0.45">
      <c r="A3196" t="s">
        <v>72</v>
      </c>
      <c r="B3196" t="s">
        <v>53</v>
      </c>
      <c r="C3196" t="str">
        <f t="shared" si="98"/>
        <v>XavierPurdue</v>
      </c>
      <c r="D3196" t="s">
        <v>53</v>
      </c>
      <c r="E3196">
        <v>2.2999999999999998</v>
      </c>
      <c r="F3196">
        <v>24.6301886792453</v>
      </c>
      <c r="G3196">
        <v>4282.2383690113202</v>
      </c>
      <c r="H3196">
        <v>137.17442530093999</v>
      </c>
      <c r="I3196" s="1">
        <f t="shared" si="99"/>
        <v>116.20165333307028</v>
      </c>
    </row>
    <row r="3197" spans="1:9" x14ac:dyDescent="0.45">
      <c r="A3197" t="s">
        <v>73</v>
      </c>
      <c r="B3197" t="s">
        <v>53</v>
      </c>
      <c r="C3197" t="str">
        <f t="shared" si="98"/>
        <v>YalePurdue</v>
      </c>
      <c r="D3197" t="s">
        <v>53</v>
      </c>
      <c r="E3197">
        <v>1.3</v>
      </c>
      <c r="F3197">
        <v>28.452830188679201</v>
      </c>
      <c r="G3197">
        <v>7673.3042512993497</v>
      </c>
      <c r="H3197">
        <v>137.97365993500199</v>
      </c>
      <c r="I3197" s="1">
        <f t="shared" si="99"/>
        <v>127.4557445698057</v>
      </c>
    </row>
    <row r="3198" spans="1:9" x14ac:dyDescent="0.45">
      <c r="A3198" t="s">
        <v>7</v>
      </c>
      <c r="B3198" t="s">
        <v>54</v>
      </c>
      <c r="C3198" t="str">
        <f t="shared" si="98"/>
        <v>AkronRobert Morris</v>
      </c>
      <c r="D3198" t="s">
        <v>7</v>
      </c>
      <c r="E3198">
        <v>84.5</v>
      </c>
      <c r="F3198">
        <v>-11.094339622641501</v>
      </c>
      <c r="G3198">
        <v>-543.28882866283004</v>
      </c>
      <c r="H3198">
        <v>139.697488541685</v>
      </c>
      <c r="I3198" s="1">
        <f t="shared" si="99"/>
        <v>151.72912261087808</v>
      </c>
    </row>
    <row r="3199" spans="1:9" x14ac:dyDescent="0.45">
      <c r="A3199" t="s">
        <v>8</v>
      </c>
      <c r="B3199" t="s">
        <v>54</v>
      </c>
      <c r="C3199" t="str">
        <f t="shared" si="98"/>
        <v>AlabamaRobert Morris</v>
      </c>
      <c r="D3199" t="s">
        <v>8</v>
      </c>
      <c r="E3199">
        <v>99.8</v>
      </c>
      <c r="F3199">
        <v>-39.267924528301897</v>
      </c>
      <c r="G3199">
        <v>-39953.464818237801</v>
      </c>
      <c r="H3199">
        <v>141.445584553825</v>
      </c>
      <c r="I3199" s="1">
        <f t="shared" si="99"/>
        <v>176.34421206365906</v>
      </c>
    </row>
    <row r="3200" spans="1:9" x14ac:dyDescent="0.45">
      <c r="A3200" t="s">
        <v>9</v>
      </c>
      <c r="B3200" t="s">
        <v>54</v>
      </c>
      <c r="C3200" t="str">
        <f t="shared" si="98"/>
        <v>Alabama St.Robert Morris</v>
      </c>
      <c r="D3200" t="s">
        <v>54</v>
      </c>
      <c r="E3200">
        <v>46</v>
      </c>
      <c r="F3200">
        <v>1.0452830188679201</v>
      </c>
      <c r="G3200">
        <v>117.282429115573</v>
      </c>
      <c r="H3200">
        <v>139.92432939749801</v>
      </c>
      <c r="I3200" s="1">
        <f t="shared" si="99"/>
        <v>154.9232881021357</v>
      </c>
    </row>
    <row r="3201" spans="1:9" x14ac:dyDescent="0.45">
      <c r="A3201" t="s">
        <v>10</v>
      </c>
      <c r="B3201" t="s">
        <v>54</v>
      </c>
      <c r="C3201" t="str">
        <f t="shared" si="98"/>
        <v>AmericanRobert Morris</v>
      </c>
      <c r="D3201" t="s">
        <v>10</v>
      </c>
      <c r="E3201">
        <v>50.8</v>
      </c>
      <c r="F3201">
        <v>-0.218867924528302</v>
      </c>
      <c r="G3201">
        <v>-103.38669864324601</v>
      </c>
      <c r="H3201">
        <v>140.015415279102</v>
      </c>
      <c r="I3201" s="1">
        <f t="shared" si="99"/>
        <v>156.20587619111762</v>
      </c>
    </row>
    <row r="3202" spans="1:9" x14ac:dyDescent="0.45">
      <c r="A3202" t="s">
        <v>11</v>
      </c>
      <c r="B3202" t="s">
        <v>54</v>
      </c>
      <c r="C3202" t="str">
        <f t="shared" si="98"/>
        <v>ArizonaRobert Morris</v>
      </c>
      <c r="D3202" t="s">
        <v>11</v>
      </c>
      <c r="E3202">
        <v>99.6</v>
      </c>
      <c r="F3202">
        <v>-37.026415094339598</v>
      </c>
      <c r="G3202">
        <v>-28386.786961674501</v>
      </c>
      <c r="H3202">
        <v>141.20794337281501</v>
      </c>
      <c r="I3202" s="1">
        <f t="shared" si="99"/>
        <v>172.9979662696054</v>
      </c>
    </row>
    <row r="3203" spans="1:9" x14ac:dyDescent="0.45">
      <c r="A3203" t="s">
        <v>12</v>
      </c>
      <c r="B3203" t="s">
        <v>54</v>
      </c>
      <c r="C3203" t="str">
        <f t="shared" ref="C3203:C3266" si="100">A3203&amp;B3203</f>
        <v>ArkansasRobert Morris</v>
      </c>
      <c r="D3203" t="s">
        <v>12</v>
      </c>
      <c r="E3203">
        <v>94.5</v>
      </c>
      <c r="F3203">
        <v>-18.6377358490566</v>
      </c>
      <c r="G3203">
        <v>-1716.4379093177999</v>
      </c>
      <c r="H3203">
        <v>139.32554720667301</v>
      </c>
      <c r="I3203" s="1">
        <f t="shared" ref="I3203:I3266" si="101">18*(H3203-AVERAGE($H$2:$H$4625))/_xlfn.STDEV.P($H$2:$H$4625)+AVERAGE($H$2:$H$4625)</f>
        <v>146.49178486230718</v>
      </c>
    </row>
    <row r="3204" spans="1:9" x14ac:dyDescent="0.45">
      <c r="A3204" t="s">
        <v>13</v>
      </c>
      <c r="B3204" t="s">
        <v>54</v>
      </c>
      <c r="C3204" t="str">
        <f t="shared" si="100"/>
        <v>AuburnRobert Morris</v>
      </c>
      <c r="D3204" t="s">
        <v>13</v>
      </c>
      <c r="E3204">
        <v>99.9</v>
      </c>
      <c r="F3204">
        <v>-43.679245283018901</v>
      </c>
      <c r="G3204">
        <v>-78298.919457891607</v>
      </c>
      <c r="H3204">
        <v>142.46426661193399</v>
      </c>
      <c r="I3204" s="1">
        <f t="shared" si="101"/>
        <v>190.68836124663184</v>
      </c>
    </row>
    <row r="3205" spans="1:9" x14ac:dyDescent="0.45">
      <c r="A3205" t="s">
        <v>14</v>
      </c>
      <c r="B3205" t="s">
        <v>54</v>
      </c>
      <c r="C3205" t="str">
        <f t="shared" si="100"/>
        <v>BaylorRobert Morris</v>
      </c>
      <c r="D3205" t="s">
        <v>14</v>
      </c>
      <c r="E3205">
        <v>98.8</v>
      </c>
      <c r="F3205">
        <v>-28.947169811320801</v>
      </c>
      <c r="G3205">
        <v>-8275.0012861754294</v>
      </c>
      <c r="H3205">
        <v>140.99926462465899</v>
      </c>
      <c r="I3205" s="1">
        <f t="shared" si="101"/>
        <v>170.05954296957938</v>
      </c>
    </row>
    <row r="3206" spans="1:9" x14ac:dyDescent="0.45">
      <c r="A3206" t="s">
        <v>15</v>
      </c>
      <c r="B3206" t="s">
        <v>54</v>
      </c>
      <c r="C3206" t="str">
        <f t="shared" si="100"/>
        <v>BryantRobert Morris</v>
      </c>
      <c r="D3206" t="s">
        <v>15</v>
      </c>
      <c r="E3206">
        <v>78.900000000000006</v>
      </c>
      <c r="F3206">
        <v>-8.6603773584905692</v>
      </c>
      <c r="G3206">
        <v>-374.824460978069</v>
      </c>
      <c r="H3206">
        <v>140.54826237455299</v>
      </c>
      <c r="I3206" s="1">
        <f t="shared" si="101"/>
        <v>163.70894171388838</v>
      </c>
    </row>
    <row r="3207" spans="1:9" x14ac:dyDescent="0.45">
      <c r="A3207" t="s">
        <v>16</v>
      </c>
      <c r="B3207" t="s">
        <v>54</v>
      </c>
      <c r="C3207" t="str">
        <f t="shared" si="100"/>
        <v>BYURobert Morris</v>
      </c>
      <c r="D3207" t="s">
        <v>16</v>
      </c>
      <c r="E3207">
        <v>99</v>
      </c>
      <c r="F3207">
        <v>-30.2415094339623</v>
      </c>
      <c r="G3207">
        <v>-10081.0241009813</v>
      </c>
      <c r="H3207">
        <v>140.80878285277601</v>
      </c>
      <c r="I3207" s="1">
        <f t="shared" si="101"/>
        <v>167.37735284874955</v>
      </c>
    </row>
    <row r="3208" spans="1:9" x14ac:dyDescent="0.45">
      <c r="A3208" t="s">
        <v>17</v>
      </c>
      <c r="B3208" t="s">
        <v>54</v>
      </c>
      <c r="C3208" t="str">
        <f t="shared" si="100"/>
        <v>ClemsonRobert Morris</v>
      </c>
      <c r="D3208" t="s">
        <v>17</v>
      </c>
      <c r="E3208">
        <v>99.2</v>
      </c>
      <c r="F3208">
        <v>-31.867924528301899</v>
      </c>
      <c r="G3208">
        <v>-12916.836997579199</v>
      </c>
      <c r="H3208">
        <v>141.030694709068</v>
      </c>
      <c r="I3208" s="1">
        <f t="shared" si="101"/>
        <v>170.50211267619929</v>
      </c>
    </row>
    <row r="3209" spans="1:9" x14ac:dyDescent="0.45">
      <c r="A3209" t="s">
        <v>18</v>
      </c>
      <c r="B3209" t="s">
        <v>54</v>
      </c>
      <c r="C3209" t="str">
        <f t="shared" si="100"/>
        <v>Colorado St.Robert Morris</v>
      </c>
      <c r="D3209" t="s">
        <v>18</v>
      </c>
      <c r="E3209">
        <v>95.5</v>
      </c>
      <c r="F3209">
        <v>-20.026415094339601</v>
      </c>
      <c r="G3209">
        <v>-2122.3384837988601</v>
      </c>
      <c r="H3209">
        <v>140.33808655717399</v>
      </c>
      <c r="I3209" s="1">
        <f t="shared" si="101"/>
        <v>160.7494380540968</v>
      </c>
    </row>
    <row r="3210" spans="1:9" x14ac:dyDescent="0.45">
      <c r="A3210" t="s">
        <v>19</v>
      </c>
      <c r="B3210" t="s">
        <v>54</v>
      </c>
      <c r="C3210" t="str">
        <f t="shared" si="100"/>
        <v>ConnecticutRobert Morris</v>
      </c>
      <c r="D3210" t="s">
        <v>19</v>
      </c>
      <c r="E3210">
        <v>99.5</v>
      </c>
      <c r="F3210">
        <v>-35.328301886792502</v>
      </c>
      <c r="G3210">
        <v>-21908.451881147801</v>
      </c>
      <c r="H3210">
        <v>140.973638459509</v>
      </c>
      <c r="I3210" s="1">
        <f t="shared" si="101"/>
        <v>169.69869874642572</v>
      </c>
    </row>
    <row r="3211" spans="1:9" x14ac:dyDescent="0.45">
      <c r="A3211" t="s">
        <v>20</v>
      </c>
      <c r="B3211" t="s">
        <v>54</v>
      </c>
      <c r="C3211" t="str">
        <f t="shared" si="100"/>
        <v>CreightonRobert Morris</v>
      </c>
      <c r="D3211" t="s">
        <v>20</v>
      </c>
      <c r="E3211">
        <v>98.5</v>
      </c>
      <c r="F3211">
        <v>-27.6377358490566</v>
      </c>
      <c r="G3211">
        <v>-6776.9091389497999</v>
      </c>
      <c r="H3211">
        <v>140.44658082177301</v>
      </c>
      <c r="I3211" s="1">
        <f t="shared" si="101"/>
        <v>162.27715507288298</v>
      </c>
    </row>
    <row r="3212" spans="1:9" x14ac:dyDescent="0.45">
      <c r="A3212" t="s">
        <v>21</v>
      </c>
      <c r="B3212" t="s">
        <v>54</v>
      </c>
      <c r="C3212" t="str">
        <f t="shared" si="100"/>
        <v>DrakeRobert Morris</v>
      </c>
      <c r="D3212" t="s">
        <v>21</v>
      </c>
      <c r="E3212">
        <v>95.5</v>
      </c>
      <c r="F3212">
        <v>-19.977358490566001</v>
      </c>
      <c r="G3212">
        <v>-2105.9921669710602</v>
      </c>
      <c r="H3212">
        <v>140.500045925927</v>
      </c>
      <c r="I3212" s="1">
        <f t="shared" si="101"/>
        <v>163.03000177707602</v>
      </c>
    </row>
    <row r="3213" spans="1:9" x14ac:dyDescent="0.45">
      <c r="A3213" t="s">
        <v>22</v>
      </c>
      <c r="B3213" t="s">
        <v>54</v>
      </c>
      <c r="C3213" t="str">
        <f t="shared" si="100"/>
        <v>DukeRobert Morris</v>
      </c>
      <c r="D3213" t="s">
        <v>22</v>
      </c>
      <c r="E3213">
        <v>99.9</v>
      </c>
      <c r="F3213">
        <v>-46.188679245282998</v>
      </c>
      <c r="G3213">
        <v>-114806.15917591999</v>
      </c>
      <c r="H3213">
        <v>142.787366387383</v>
      </c>
      <c r="I3213" s="1">
        <f t="shared" si="101"/>
        <v>195.237956817824</v>
      </c>
    </row>
    <row r="3214" spans="1:9" x14ac:dyDescent="0.45">
      <c r="A3214" t="s">
        <v>23</v>
      </c>
      <c r="B3214" t="s">
        <v>54</v>
      </c>
      <c r="C3214" t="str">
        <f t="shared" si="100"/>
        <v>FloridaRobert Morris</v>
      </c>
      <c r="D3214" t="s">
        <v>23</v>
      </c>
      <c r="E3214">
        <v>99.8</v>
      </c>
      <c r="F3214">
        <v>-42.286792452830198</v>
      </c>
      <c r="G3214">
        <v>-63331.323266985703</v>
      </c>
      <c r="H3214">
        <v>142.51112266332601</v>
      </c>
      <c r="I3214" s="1">
        <f t="shared" si="101"/>
        <v>191.34814531364458</v>
      </c>
    </row>
    <row r="3215" spans="1:9" x14ac:dyDescent="0.45">
      <c r="A3215" t="s">
        <v>24</v>
      </c>
      <c r="B3215" t="s">
        <v>54</v>
      </c>
      <c r="C3215" t="str">
        <f t="shared" si="100"/>
        <v>GeorgiaRobert Morris</v>
      </c>
      <c r="D3215" t="s">
        <v>24</v>
      </c>
      <c r="E3215">
        <v>96</v>
      </c>
      <c r="F3215">
        <v>-20.781132075471699</v>
      </c>
      <c r="G3215">
        <v>-2381.1339672997801</v>
      </c>
      <c r="H3215">
        <v>139.65293618767001</v>
      </c>
      <c r="I3215" s="1">
        <f t="shared" si="101"/>
        <v>151.10177710365474</v>
      </c>
    </row>
    <row r="3216" spans="1:9" x14ac:dyDescent="0.45">
      <c r="A3216" t="s">
        <v>25</v>
      </c>
      <c r="B3216" t="s">
        <v>54</v>
      </c>
      <c r="C3216" t="str">
        <f t="shared" si="100"/>
        <v>GonzagaRobert Morris</v>
      </c>
      <c r="D3216" t="s">
        <v>25</v>
      </c>
      <c r="E3216">
        <v>99.3</v>
      </c>
      <c r="F3216">
        <v>-32.109433962264099</v>
      </c>
      <c r="G3216">
        <v>-13403.094743964</v>
      </c>
      <c r="H3216">
        <v>141.79057730719899</v>
      </c>
      <c r="I3216" s="1">
        <f t="shared" si="101"/>
        <v>181.20208452940886</v>
      </c>
    </row>
    <row r="3217" spans="1:9" x14ac:dyDescent="0.45">
      <c r="A3217" t="s">
        <v>26</v>
      </c>
      <c r="B3217" t="s">
        <v>54</v>
      </c>
      <c r="C3217" t="str">
        <f t="shared" si="100"/>
        <v>Grand CanyonRobert Morris</v>
      </c>
      <c r="D3217" t="s">
        <v>26</v>
      </c>
      <c r="E3217">
        <v>92.9</v>
      </c>
      <c r="F3217">
        <v>-16.860377358490599</v>
      </c>
      <c r="G3217">
        <v>-1308.9482929962301</v>
      </c>
      <c r="H3217">
        <v>140.44254555350301</v>
      </c>
      <c r="I3217" s="1">
        <f t="shared" si="101"/>
        <v>162.22033411525692</v>
      </c>
    </row>
    <row r="3218" spans="1:9" x14ac:dyDescent="0.45">
      <c r="A3218" t="s">
        <v>27</v>
      </c>
      <c r="B3218" t="s">
        <v>54</v>
      </c>
      <c r="C3218" t="str">
        <f t="shared" si="100"/>
        <v>High PointRobert Morris</v>
      </c>
      <c r="D3218" t="s">
        <v>27</v>
      </c>
      <c r="E3218">
        <v>89.6</v>
      </c>
      <c r="F3218">
        <v>-14.086792452830201</v>
      </c>
      <c r="G3218">
        <v>-857.52427371389297</v>
      </c>
      <c r="H3218">
        <v>140.72343730115901</v>
      </c>
      <c r="I3218" s="1">
        <f t="shared" si="101"/>
        <v>166.17559483725591</v>
      </c>
    </row>
    <row r="3219" spans="1:9" x14ac:dyDescent="0.45">
      <c r="A3219" t="s">
        <v>28</v>
      </c>
      <c r="B3219" t="s">
        <v>54</v>
      </c>
      <c r="C3219" t="str">
        <f t="shared" si="100"/>
        <v>HoustonRobert Morris</v>
      </c>
      <c r="D3219" t="s">
        <v>28</v>
      </c>
      <c r="E3219">
        <v>99.9</v>
      </c>
      <c r="F3219">
        <v>-49.701886792452797</v>
      </c>
      <c r="G3219">
        <v>-196224.13987576999</v>
      </c>
      <c r="H3219">
        <v>142.931030737013</v>
      </c>
      <c r="I3219" s="1">
        <f t="shared" si="101"/>
        <v>197.2609068118515</v>
      </c>
    </row>
    <row r="3220" spans="1:9" x14ac:dyDescent="0.45">
      <c r="A3220" t="s">
        <v>29</v>
      </c>
      <c r="B3220" t="s">
        <v>54</v>
      </c>
      <c r="C3220" t="str">
        <f t="shared" si="100"/>
        <v>IllinoisRobert Morris</v>
      </c>
      <c r="D3220" t="s">
        <v>29</v>
      </c>
      <c r="E3220">
        <v>99.5</v>
      </c>
      <c r="F3220">
        <v>-34.592452830188698</v>
      </c>
      <c r="G3220">
        <v>-19572.657022588701</v>
      </c>
      <c r="H3220">
        <v>140.98127589095</v>
      </c>
      <c r="I3220" s="1">
        <f t="shared" si="101"/>
        <v>169.80624207173742</v>
      </c>
    </row>
    <row r="3221" spans="1:9" x14ac:dyDescent="0.45">
      <c r="A3221" t="s">
        <v>30</v>
      </c>
      <c r="B3221" t="s">
        <v>54</v>
      </c>
      <c r="C3221" t="str">
        <f t="shared" si="100"/>
        <v>Iowa St.Robert Morris</v>
      </c>
      <c r="D3221" t="s">
        <v>30</v>
      </c>
      <c r="E3221">
        <v>99.8</v>
      </c>
      <c r="F3221">
        <v>-39.475471698113203</v>
      </c>
      <c r="G3221">
        <v>-41227.8004185807</v>
      </c>
      <c r="H3221">
        <v>141.90754446930799</v>
      </c>
      <c r="I3221" s="1">
        <f t="shared" si="101"/>
        <v>182.84910914267738</v>
      </c>
    </row>
    <row r="3222" spans="1:9" x14ac:dyDescent="0.45">
      <c r="A3222" t="s">
        <v>31</v>
      </c>
      <c r="B3222" t="s">
        <v>54</v>
      </c>
      <c r="C3222" t="str">
        <f t="shared" si="100"/>
        <v>KansasRobert Morris</v>
      </c>
      <c r="D3222" t="s">
        <v>31</v>
      </c>
      <c r="E3222">
        <v>99.2</v>
      </c>
      <c r="F3222">
        <v>-31.373584905660401</v>
      </c>
      <c r="G3222">
        <v>-11977.844711793099</v>
      </c>
      <c r="H3222">
        <v>140.86293475361899</v>
      </c>
      <c r="I3222" s="1">
        <f t="shared" si="101"/>
        <v>168.13987039585862</v>
      </c>
    </row>
    <row r="3223" spans="1:9" x14ac:dyDescent="0.45">
      <c r="A3223" t="s">
        <v>32</v>
      </c>
      <c r="B3223" t="s">
        <v>54</v>
      </c>
      <c r="C3223" t="str">
        <f t="shared" si="100"/>
        <v>KentuckyRobert Morris</v>
      </c>
      <c r="D3223" t="s">
        <v>32</v>
      </c>
      <c r="E3223">
        <v>99.5</v>
      </c>
      <c r="F3223">
        <v>-34.799999999999997</v>
      </c>
      <c r="G3223">
        <v>-20206.357960524401</v>
      </c>
      <c r="H3223">
        <v>140.80997235401199</v>
      </c>
      <c r="I3223" s="1">
        <f t="shared" si="101"/>
        <v>167.39410231738549</v>
      </c>
    </row>
    <row r="3224" spans="1:9" x14ac:dyDescent="0.45">
      <c r="A3224" t="s">
        <v>33</v>
      </c>
      <c r="B3224" t="s">
        <v>54</v>
      </c>
      <c r="C3224" t="str">
        <f t="shared" si="100"/>
        <v>LibertyRobert Morris</v>
      </c>
      <c r="D3224" t="s">
        <v>33</v>
      </c>
      <c r="E3224">
        <v>84.9</v>
      </c>
      <c r="F3224">
        <v>-11.309433962264199</v>
      </c>
      <c r="G3224">
        <v>-561.47181999265399</v>
      </c>
      <c r="H3224">
        <v>140.01890860240999</v>
      </c>
      <c r="I3224" s="1">
        <f t="shared" si="101"/>
        <v>156.25506597538379</v>
      </c>
    </row>
    <row r="3225" spans="1:9" x14ac:dyDescent="0.45">
      <c r="A3225" t="s">
        <v>34</v>
      </c>
      <c r="B3225" t="s">
        <v>54</v>
      </c>
      <c r="C3225" t="str">
        <f t="shared" si="100"/>
        <v>LipscombRobert Morris</v>
      </c>
      <c r="D3225" t="s">
        <v>34</v>
      </c>
      <c r="E3225">
        <v>81.099999999999994</v>
      </c>
      <c r="F3225">
        <v>-9.5698113207547202</v>
      </c>
      <c r="G3225">
        <v>-430.42562106245498</v>
      </c>
      <c r="H3225">
        <v>140.450828833668</v>
      </c>
      <c r="I3225" s="1">
        <f t="shared" si="101"/>
        <v>162.33697169168732</v>
      </c>
    </row>
    <row r="3226" spans="1:9" x14ac:dyDescent="0.45">
      <c r="A3226" t="s">
        <v>35</v>
      </c>
      <c r="B3226" t="s">
        <v>54</v>
      </c>
      <c r="C3226" t="str">
        <f t="shared" si="100"/>
        <v>LouisvilleRobert Morris</v>
      </c>
      <c r="D3226" t="s">
        <v>35</v>
      </c>
      <c r="E3226">
        <v>91.6</v>
      </c>
      <c r="F3226">
        <v>-15.675471698113199</v>
      </c>
      <c r="G3226">
        <v>-1092.72627577209</v>
      </c>
      <c r="H3226">
        <v>139.73655214563601</v>
      </c>
      <c r="I3226" s="1">
        <f t="shared" si="101"/>
        <v>152.27918055902529</v>
      </c>
    </row>
    <row r="3227" spans="1:9" x14ac:dyDescent="0.45">
      <c r="A3227" t="s">
        <v>36</v>
      </c>
      <c r="B3227" t="s">
        <v>54</v>
      </c>
      <c r="C3227" t="str">
        <f t="shared" si="100"/>
        <v>MarquetteRobert Morris</v>
      </c>
      <c r="D3227" t="s">
        <v>36</v>
      </c>
      <c r="E3227">
        <v>99.4</v>
      </c>
      <c r="F3227">
        <v>-33.018867924528301</v>
      </c>
      <c r="G3227">
        <v>-15403.4070574126</v>
      </c>
      <c r="H3227">
        <v>141.068308780541</v>
      </c>
      <c r="I3227" s="1">
        <f t="shared" si="101"/>
        <v>171.0317596335525</v>
      </c>
    </row>
    <row r="3228" spans="1:9" x14ac:dyDescent="0.45">
      <c r="A3228" t="s">
        <v>37</v>
      </c>
      <c r="B3228" t="s">
        <v>54</v>
      </c>
      <c r="C3228" t="str">
        <f t="shared" si="100"/>
        <v>MarylandRobert Morris</v>
      </c>
      <c r="D3228" t="s">
        <v>37</v>
      </c>
      <c r="E3228">
        <v>99.1</v>
      </c>
      <c r="F3228">
        <v>-30.4754716981132</v>
      </c>
      <c r="G3228">
        <v>-10448.9447863689</v>
      </c>
      <c r="H3228">
        <v>140.67824809222</v>
      </c>
      <c r="I3228" s="1">
        <f t="shared" si="101"/>
        <v>165.53928172138058</v>
      </c>
    </row>
    <row r="3229" spans="1:9" x14ac:dyDescent="0.45">
      <c r="A3229" t="s">
        <v>38</v>
      </c>
      <c r="B3229" t="s">
        <v>54</v>
      </c>
      <c r="C3229" t="str">
        <f t="shared" si="100"/>
        <v>McNeese St.Robert Morris</v>
      </c>
      <c r="D3229" t="s">
        <v>38</v>
      </c>
      <c r="E3229">
        <v>94.9</v>
      </c>
      <c r="F3229">
        <v>-19.1698113207547</v>
      </c>
      <c r="G3229">
        <v>-1861.7581890168699</v>
      </c>
      <c r="H3229">
        <v>140.51365970642101</v>
      </c>
      <c r="I3229" s="1">
        <f t="shared" si="101"/>
        <v>163.2216985845302</v>
      </c>
    </row>
    <row r="3230" spans="1:9" x14ac:dyDescent="0.45">
      <c r="A3230" t="s">
        <v>39</v>
      </c>
      <c r="B3230" t="s">
        <v>54</v>
      </c>
      <c r="C3230" t="str">
        <f t="shared" si="100"/>
        <v>MemphisRobert Morris</v>
      </c>
      <c r="D3230" t="s">
        <v>39</v>
      </c>
      <c r="E3230">
        <v>98.2</v>
      </c>
      <c r="F3230">
        <v>-26.090566037735801</v>
      </c>
      <c r="G3230">
        <v>-5351.8746132474298</v>
      </c>
      <c r="H3230">
        <v>139.65588290523999</v>
      </c>
      <c r="I3230" s="1">
        <f t="shared" si="101"/>
        <v>151.14327008577555</v>
      </c>
    </row>
    <row r="3231" spans="1:9" x14ac:dyDescent="0.45">
      <c r="A3231" t="s">
        <v>40</v>
      </c>
      <c r="B3231" t="s">
        <v>54</v>
      </c>
      <c r="C3231" t="str">
        <f t="shared" si="100"/>
        <v>MichiganRobert Morris</v>
      </c>
      <c r="D3231" t="s">
        <v>40</v>
      </c>
      <c r="E3231">
        <v>96.6</v>
      </c>
      <c r="F3231">
        <v>-21.9018867924528</v>
      </c>
      <c r="G3231">
        <v>-2825.1199399602801</v>
      </c>
      <c r="H3231">
        <v>139.312803989923</v>
      </c>
      <c r="I3231" s="1">
        <f t="shared" si="101"/>
        <v>146.31234653738721</v>
      </c>
    </row>
    <row r="3232" spans="1:9" x14ac:dyDescent="0.45">
      <c r="A3232" t="s">
        <v>41</v>
      </c>
      <c r="B3232" t="s">
        <v>54</v>
      </c>
      <c r="C3232" t="str">
        <f t="shared" si="100"/>
        <v>Michigan St.Robert Morris</v>
      </c>
      <c r="D3232" t="s">
        <v>41</v>
      </c>
      <c r="E3232">
        <v>99.6</v>
      </c>
      <c r="F3232">
        <v>-36.724528301886799</v>
      </c>
      <c r="G3232">
        <v>-27108.826974634099</v>
      </c>
      <c r="H3232">
        <v>141.011695950752</v>
      </c>
      <c r="I3232" s="1">
        <f t="shared" si="101"/>
        <v>170.23458953548368</v>
      </c>
    </row>
    <row r="3233" spans="1:9" x14ac:dyDescent="0.45">
      <c r="A3233" t="s">
        <v>42</v>
      </c>
      <c r="B3233" t="s">
        <v>54</v>
      </c>
      <c r="C3233" t="str">
        <f t="shared" si="100"/>
        <v>MississippiRobert Morris</v>
      </c>
      <c r="D3233" t="s">
        <v>42</v>
      </c>
      <c r="E3233">
        <v>98.6</v>
      </c>
      <c r="F3233">
        <v>-27.8150943396226</v>
      </c>
      <c r="G3233">
        <v>-6962.9268927170297</v>
      </c>
      <c r="H3233">
        <v>140.14261705584701</v>
      </c>
      <c r="I3233" s="1">
        <f t="shared" si="101"/>
        <v>157.99701528839071</v>
      </c>
    </row>
    <row r="3234" spans="1:9" x14ac:dyDescent="0.45">
      <c r="A3234" t="s">
        <v>43</v>
      </c>
      <c r="B3234" t="s">
        <v>54</v>
      </c>
      <c r="C3234" t="str">
        <f t="shared" si="100"/>
        <v>Mississippi St.Robert Morris</v>
      </c>
      <c r="D3234" t="s">
        <v>43</v>
      </c>
      <c r="E3234">
        <v>98.1</v>
      </c>
      <c r="F3234">
        <v>-25.966037735849099</v>
      </c>
      <c r="G3234">
        <v>-5251.7077876699404</v>
      </c>
      <c r="H3234">
        <v>140.26698840963601</v>
      </c>
      <c r="I3234" s="1">
        <f t="shared" si="101"/>
        <v>159.74829895794844</v>
      </c>
    </row>
    <row r="3235" spans="1:9" x14ac:dyDescent="0.45">
      <c r="A3235" t="s">
        <v>44</v>
      </c>
      <c r="B3235" t="s">
        <v>54</v>
      </c>
      <c r="C3235" t="str">
        <f t="shared" si="100"/>
        <v>MissouriRobert Morris</v>
      </c>
      <c r="D3235" t="s">
        <v>44</v>
      </c>
      <c r="E3235">
        <v>95.8</v>
      </c>
      <c r="F3235">
        <v>-20.554716981132099</v>
      </c>
      <c r="G3235">
        <v>-2299.86112514043</v>
      </c>
      <c r="H3235">
        <v>139.53146034580999</v>
      </c>
      <c r="I3235" s="1">
        <f t="shared" si="101"/>
        <v>149.39126538520756</v>
      </c>
    </row>
    <row r="3236" spans="1:9" x14ac:dyDescent="0.45">
      <c r="A3236" t="s">
        <v>45</v>
      </c>
      <c r="B3236" t="s">
        <v>54</v>
      </c>
      <c r="C3236" t="str">
        <f t="shared" si="100"/>
        <v>MontanaRobert Morris</v>
      </c>
      <c r="D3236" t="s">
        <v>45</v>
      </c>
      <c r="E3236">
        <v>69.2</v>
      </c>
      <c r="F3236">
        <v>-5.2981132075471704</v>
      </c>
      <c r="G3236">
        <v>-224.34145920655001</v>
      </c>
      <c r="H3236">
        <v>138.840195070829</v>
      </c>
      <c r="I3236" s="1">
        <f t="shared" si="101"/>
        <v>139.65749992776674</v>
      </c>
    </row>
    <row r="3237" spans="1:9" x14ac:dyDescent="0.45">
      <c r="A3237" t="s">
        <v>46</v>
      </c>
      <c r="B3237" t="s">
        <v>54</v>
      </c>
      <c r="C3237" t="str">
        <f t="shared" si="100"/>
        <v>Mount St. Mary'sRobert Morris</v>
      </c>
      <c r="D3237" t="s">
        <v>54</v>
      </c>
      <c r="E3237">
        <v>46.9</v>
      </c>
      <c r="F3237">
        <v>0.81886792452830204</v>
      </c>
      <c r="G3237">
        <v>113.31597907324</v>
      </c>
      <c r="H3237">
        <v>140.18806929277599</v>
      </c>
      <c r="I3237" s="1">
        <f t="shared" si="101"/>
        <v>158.63703212388833</v>
      </c>
    </row>
    <row r="3238" spans="1:9" x14ac:dyDescent="0.45">
      <c r="A3238" t="s">
        <v>47</v>
      </c>
      <c r="B3238" t="s">
        <v>54</v>
      </c>
      <c r="C3238" t="str">
        <f t="shared" si="100"/>
        <v>Nebraska OmahaRobert Morris</v>
      </c>
      <c r="D3238" t="s">
        <v>47</v>
      </c>
      <c r="E3238">
        <v>53.4</v>
      </c>
      <c r="F3238">
        <v>-0.89811320754716994</v>
      </c>
      <c r="G3238">
        <v>-114.651359290635</v>
      </c>
      <c r="H3238">
        <v>139.472070472675</v>
      </c>
      <c r="I3238" s="1">
        <f t="shared" si="101"/>
        <v>148.55499150227737</v>
      </c>
    </row>
    <row r="3239" spans="1:9" x14ac:dyDescent="0.45">
      <c r="A3239" t="s">
        <v>48</v>
      </c>
      <c r="B3239" t="s">
        <v>54</v>
      </c>
      <c r="C3239" t="str">
        <f t="shared" si="100"/>
        <v>New MexicoRobert Morris</v>
      </c>
      <c r="D3239" t="s">
        <v>48</v>
      </c>
      <c r="E3239">
        <v>96.7</v>
      </c>
      <c r="F3239">
        <v>-22.143396226415099</v>
      </c>
      <c r="G3239">
        <v>-2930.9926874450098</v>
      </c>
      <c r="H3239">
        <v>140.34981481995101</v>
      </c>
      <c r="I3239" s="1">
        <f t="shared" si="101"/>
        <v>160.91458472531912</v>
      </c>
    </row>
    <row r="3240" spans="1:9" x14ac:dyDescent="0.45">
      <c r="A3240" t="s">
        <v>49</v>
      </c>
      <c r="B3240" t="s">
        <v>54</v>
      </c>
      <c r="C3240" t="str">
        <f t="shared" si="100"/>
        <v>Norfolk St.Robert Morris</v>
      </c>
      <c r="D3240" t="s">
        <v>49</v>
      </c>
      <c r="E3240">
        <v>62.8</v>
      </c>
      <c r="F3240">
        <v>-3.4301886792452798</v>
      </c>
      <c r="G3240">
        <v>-168.71816512250999</v>
      </c>
      <c r="H3240">
        <v>139.36217848215301</v>
      </c>
      <c r="I3240" s="1">
        <f t="shared" si="101"/>
        <v>147.00759298522942</v>
      </c>
    </row>
    <row r="3241" spans="1:9" x14ac:dyDescent="0.45">
      <c r="A3241" t="s">
        <v>50</v>
      </c>
      <c r="B3241" t="s">
        <v>54</v>
      </c>
      <c r="C3241" t="str">
        <f t="shared" si="100"/>
        <v>North CarolinaRobert Morris</v>
      </c>
      <c r="D3241" t="s">
        <v>50</v>
      </c>
      <c r="E3241">
        <v>99</v>
      </c>
      <c r="F3241">
        <v>-30.1849056603774</v>
      </c>
      <c r="G3241">
        <v>-9993.27337113674</v>
      </c>
      <c r="H3241">
        <v>141.43410991410801</v>
      </c>
      <c r="I3241" s="1">
        <f t="shared" si="101"/>
        <v>176.18263668043599</v>
      </c>
    </row>
    <row r="3242" spans="1:9" x14ac:dyDescent="0.45">
      <c r="A3242" t="s">
        <v>51</v>
      </c>
      <c r="B3242" t="s">
        <v>54</v>
      </c>
      <c r="C3242" t="str">
        <f t="shared" si="100"/>
        <v>OklahomaRobert Morris</v>
      </c>
      <c r="D3242" t="s">
        <v>51</v>
      </c>
      <c r="E3242">
        <v>97</v>
      </c>
      <c r="F3242">
        <v>-22.8792452830189</v>
      </c>
      <c r="G3242">
        <v>-3278.68161912194</v>
      </c>
      <c r="H3242">
        <v>139.77671320961301</v>
      </c>
      <c r="I3242" s="1">
        <f t="shared" si="101"/>
        <v>152.84469193565869</v>
      </c>
    </row>
    <row r="3243" spans="1:9" x14ac:dyDescent="0.45">
      <c r="A3243" t="s">
        <v>52</v>
      </c>
      <c r="B3243" t="s">
        <v>54</v>
      </c>
      <c r="C3243" t="str">
        <f t="shared" si="100"/>
        <v>OregonRobert Morris</v>
      </c>
      <c r="D3243" t="s">
        <v>52</v>
      </c>
      <c r="E3243">
        <v>99.1</v>
      </c>
      <c r="F3243">
        <v>-30.7018867924528</v>
      </c>
      <c r="G3243">
        <v>-10817.4190164758</v>
      </c>
      <c r="H3243">
        <v>140.37109099775401</v>
      </c>
      <c r="I3243" s="1">
        <f t="shared" si="101"/>
        <v>161.2141764046074</v>
      </c>
    </row>
    <row r="3244" spans="1:9" x14ac:dyDescent="0.45">
      <c r="A3244" t="s">
        <v>53</v>
      </c>
      <c r="B3244" t="s">
        <v>54</v>
      </c>
      <c r="C3244" t="str">
        <f t="shared" si="100"/>
        <v>PurdueRobert Morris</v>
      </c>
      <c r="D3244" t="s">
        <v>53</v>
      </c>
      <c r="E3244">
        <v>99.8</v>
      </c>
      <c r="F3244">
        <v>-41.615094339622601</v>
      </c>
      <c r="G3244">
        <v>-57138.827322507103</v>
      </c>
      <c r="H3244">
        <v>141.71907832654301</v>
      </c>
      <c r="I3244" s="1">
        <f t="shared" si="101"/>
        <v>180.19530126784477</v>
      </c>
    </row>
    <row r="3245" spans="1:9" x14ac:dyDescent="0.45">
      <c r="A3245" t="s">
        <v>54</v>
      </c>
      <c r="B3245" t="s">
        <v>54</v>
      </c>
      <c r="C3245" t="str">
        <f t="shared" si="100"/>
        <v>Robert MorrisRobert Morris</v>
      </c>
      <c r="D3245" t="s">
        <v>54</v>
      </c>
      <c r="E3245">
        <v>41.2</v>
      </c>
      <c r="F3245">
        <v>2.3283018867924499</v>
      </c>
      <c r="G3245">
        <v>142.64273539779199</v>
      </c>
      <c r="H3245">
        <v>138.77771517530499</v>
      </c>
      <c r="I3245" s="1">
        <f t="shared" si="101"/>
        <v>138.77771517530277</v>
      </c>
    </row>
    <row r="3246" spans="1:9" x14ac:dyDescent="0.45">
      <c r="A3246" t="s">
        <v>55</v>
      </c>
      <c r="B3246" t="s">
        <v>54</v>
      </c>
      <c r="C3246" t="str">
        <f t="shared" si="100"/>
        <v>Saint FrancisRobert Morris</v>
      </c>
      <c r="D3246" t="s">
        <v>54</v>
      </c>
      <c r="E3246">
        <v>31.6</v>
      </c>
      <c r="F3246">
        <v>5.0528301886792502</v>
      </c>
      <c r="G3246">
        <v>216.204425332683</v>
      </c>
      <c r="H3246">
        <v>139.83057070851299</v>
      </c>
      <c r="I3246" s="1">
        <f t="shared" si="101"/>
        <v>153.60306398382971</v>
      </c>
    </row>
    <row r="3247" spans="1:9" x14ac:dyDescent="0.45">
      <c r="A3247" t="s">
        <v>56</v>
      </c>
      <c r="B3247" t="s">
        <v>54</v>
      </c>
      <c r="C3247" t="str">
        <f t="shared" si="100"/>
        <v>Saint Mary'sRobert Morris</v>
      </c>
      <c r="D3247" t="s">
        <v>56</v>
      </c>
      <c r="E3247">
        <v>98.9</v>
      </c>
      <c r="F3247">
        <v>-29.660377358490599</v>
      </c>
      <c r="G3247">
        <v>-9226.1199386815497</v>
      </c>
      <c r="H3247">
        <v>141.081825909603</v>
      </c>
      <c r="I3247" s="1">
        <f t="shared" si="101"/>
        <v>171.22209548392635</v>
      </c>
    </row>
    <row r="3248" spans="1:9" x14ac:dyDescent="0.45">
      <c r="A3248" t="s">
        <v>57</v>
      </c>
      <c r="B3248" t="s">
        <v>54</v>
      </c>
      <c r="C3248" t="str">
        <f t="shared" si="100"/>
        <v>San Diego St.Robert Morris</v>
      </c>
      <c r="D3248" t="s">
        <v>57</v>
      </c>
      <c r="E3248">
        <v>96.4</v>
      </c>
      <c r="F3248">
        <v>-21.569811320754699</v>
      </c>
      <c r="G3248">
        <v>-2684.5902593124401</v>
      </c>
      <c r="H3248">
        <v>140.22808078940099</v>
      </c>
      <c r="I3248" s="1">
        <f t="shared" si="101"/>
        <v>159.20043742984649</v>
      </c>
    </row>
    <row r="3249" spans="1:9" x14ac:dyDescent="0.45">
      <c r="A3249" t="s">
        <v>58</v>
      </c>
      <c r="B3249" t="s">
        <v>54</v>
      </c>
      <c r="C3249" t="str">
        <f t="shared" si="100"/>
        <v>SIU EdwardsvilleRobert Morris</v>
      </c>
      <c r="D3249" t="s">
        <v>58</v>
      </c>
      <c r="E3249">
        <v>57.5</v>
      </c>
      <c r="F3249">
        <v>-1.9698113207547201</v>
      </c>
      <c r="G3249">
        <v>-135.052006560667</v>
      </c>
      <c r="H3249">
        <v>140.375768556249</v>
      </c>
      <c r="I3249" s="1">
        <f t="shared" si="101"/>
        <v>161.28004150582333</v>
      </c>
    </row>
    <row r="3250" spans="1:9" x14ac:dyDescent="0.45">
      <c r="A3250" t="s">
        <v>59</v>
      </c>
      <c r="B3250" t="s">
        <v>54</v>
      </c>
      <c r="C3250" t="str">
        <f t="shared" si="100"/>
        <v>St. John'sRobert Morris</v>
      </c>
      <c r="D3250" t="s">
        <v>59</v>
      </c>
      <c r="E3250">
        <v>99.7</v>
      </c>
      <c r="F3250">
        <v>-37.1283018867924</v>
      </c>
      <c r="G3250">
        <v>-28820.967042122</v>
      </c>
      <c r="H3250">
        <v>141.35345132879399</v>
      </c>
      <c r="I3250" s="1">
        <f t="shared" si="101"/>
        <v>175.04687624230729</v>
      </c>
    </row>
    <row r="3251" spans="1:9" x14ac:dyDescent="0.45">
      <c r="A3251" t="s">
        <v>60</v>
      </c>
      <c r="B3251" t="s">
        <v>54</v>
      </c>
      <c r="C3251" t="str">
        <f t="shared" si="100"/>
        <v>TennesseeRobert Morris</v>
      </c>
      <c r="D3251" t="s">
        <v>60</v>
      </c>
      <c r="E3251">
        <v>99.8</v>
      </c>
      <c r="F3251">
        <v>-41.671698113207498</v>
      </c>
      <c r="G3251">
        <v>-57656.463060549198</v>
      </c>
      <c r="H3251">
        <v>141.947434205485</v>
      </c>
      <c r="I3251" s="1">
        <f t="shared" si="101"/>
        <v>183.41079992935374</v>
      </c>
    </row>
    <row r="3252" spans="1:9" x14ac:dyDescent="0.45">
      <c r="A3252" t="s">
        <v>61</v>
      </c>
      <c r="B3252" t="s">
        <v>54</v>
      </c>
      <c r="C3252" t="str">
        <f t="shared" si="100"/>
        <v>TexasRobert Morris</v>
      </c>
      <c r="D3252" t="s">
        <v>61</v>
      </c>
      <c r="E3252">
        <v>95.9</v>
      </c>
      <c r="F3252">
        <v>-20.720754716981101</v>
      </c>
      <c r="G3252">
        <v>-2358.74657286504</v>
      </c>
      <c r="H3252">
        <v>139.70314873655701</v>
      </c>
      <c r="I3252" s="1">
        <f t="shared" si="101"/>
        <v>151.80882429895874</v>
      </c>
    </row>
    <row r="3253" spans="1:9" x14ac:dyDescent="0.45">
      <c r="A3253" t="s">
        <v>62</v>
      </c>
      <c r="B3253" t="s">
        <v>54</v>
      </c>
      <c r="C3253" t="str">
        <f t="shared" si="100"/>
        <v>Texas A&amp;MRobert Morris</v>
      </c>
      <c r="D3253" t="s">
        <v>62</v>
      </c>
      <c r="E3253">
        <v>99.3</v>
      </c>
      <c r="F3253">
        <v>-32.215094339622603</v>
      </c>
      <c r="G3253">
        <v>-13623.294822547099</v>
      </c>
      <c r="H3253">
        <v>140.50094776415099</v>
      </c>
      <c r="I3253" s="1">
        <f t="shared" si="101"/>
        <v>163.04270063823779</v>
      </c>
    </row>
    <row r="3254" spans="1:9" x14ac:dyDescent="0.45">
      <c r="A3254" t="s">
        <v>63</v>
      </c>
      <c r="B3254" t="s">
        <v>54</v>
      </c>
      <c r="C3254" t="str">
        <f t="shared" si="100"/>
        <v>Texas TechRobert Morris</v>
      </c>
      <c r="D3254" t="s">
        <v>63</v>
      </c>
      <c r="E3254">
        <v>99.6</v>
      </c>
      <c r="F3254">
        <v>-36.667924528301903</v>
      </c>
      <c r="G3254">
        <v>-26865.732628431098</v>
      </c>
      <c r="H3254">
        <v>141.54073188321399</v>
      </c>
      <c r="I3254" s="1">
        <f t="shared" si="101"/>
        <v>177.68398974625683</v>
      </c>
    </row>
    <row r="3255" spans="1:9" x14ac:dyDescent="0.45">
      <c r="A3255" t="s">
        <v>64</v>
      </c>
      <c r="B3255" t="s">
        <v>54</v>
      </c>
      <c r="C3255" t="str">
        <f t="shared" si="100"/>
        <v>TroyRobert Morris</v>
      </c>
      <c r="D3255" t="s">
        <v>64</v>
      </c>
      <c r="E3255">
        <v>79.099999999999994</v>
      </c>
      <c r="F3255">
        <v>-8.7207547169811299</v>
      </c>
      <c r="G3255">
        <v>-378.21415900735502</v>
      </c>
      <c r="H3255">
        <v>140.24429630294401</v>
      </c>
      <c r="I3255" s="1">
        <f t="shared" si="101"/>
        <v>159.42876946287683</v>
      </c>
    </row>
    <row r="3256" spans="1:9" x14ac:dyDescent="0.45">
      <c r="A3256" t="s">
        <v>65</v>
      </c>
      <c r="B3256" t="s">
        <v>54</v>
      </c>
      <c r="C3256" t="str">
        <f t="shared" si="100"/>
        <v>UC San DiegoRobert Morris</v>
      </c>
      <c r="D3256" t="s">
        <v>65</v>
      </c>
      <c r="E3256">
        <v>90.6</v>
      </c>
      <c r="F3256">
        <v>-14.8830188679245</v>
      </c>
      <c r="G3256">
        <v>-968.01917978488598</v>
      </c>
      <c r="H3256">
        <v>140.33241804633499</v>
      </c>
      <c r="I3256" s="1">
        <f t="shared" si="101"/>
        <v>160.66961926817368</v>
      </c>
    </row>
    <row r="3257" spans="1:9" x14ac:dyDescent="0.45">
      <c r="A3257" t="s">
        <v>66</v>
      </c>
      <c r="B3257" t="s">
        <v>54</v>
      </c>
      <c r="C3257" t="str">
        <f t="shared" si="100"/>
        <v>UCLARobert Morris</v>
      </c>
      <c r="D3257" t="s">
        <v>66</v>
      </c>
      <c r="E3257">
        <v>97.5</v>
      </c>
      <c r="F3257">
        <v>-23.924528301886799</v>
      </c>
      <c r="G3257">
        <v>-3846.68590323116</v>
      </c>
      <c r="H3257">
        <v>139.80387255944299</v>
      </c>
      <c r="I3257" s="1">
        <f t="shared" si="101"/>
        <v>153.22712506341696</v>
      </c>
    </row>
    <row r="3258" spans="1:9" x14ac:dyDescent="0.45">
      <c r="A3258" t="s">
        <v>67</v>
      </c>
      <c r="B3258" t="s">
        <v>54</v>
      </c>
      <c r="C3258" t="str">
        <f t="shared" si="100"/>
        <v>UNC WilmingtonRobert Morris</v>
      </c>
      <c r="D3258" t="s">
        <v>67</v>
      </c>
      <c r="E3258">
        <v>85.3</v>
      </c>
      <c r="F3258">
        <v>-11.5207547169811</v>
      </c>
      <c r="G3258">
        <v>-579.75669496335104</v>
      </c>
      <c r="H3258">
        <v>140.91888823336299</v>
      </c>
      <c r="I3258" s="1">
        <f t="shared" si="101"/>
        <v>168.92775612955293</v>
      </c>
    </row>
    <row r="3259" spans="1:9" x14ac:dyDescent="0.45">
      <c r="A3259" t="s">
        <v>68</v>
      </c>
      <c r="B3259" t="s">
        <v>54</v>
      </c>
      <c r="C3259" t="str">
        <f t="shared" si="100"/>
        <v>Utah St.Robert Morris</v>
      </c>
      <c r="D3259" t="s">
        <v>68</v>
      </c>
      <c r="E3259">
        <v>96.7</v>
      </c>
      <c r="F3259">
        <v>-22.166037735849098</v>
      </c>
      <c r="G3259">
        <v>-2940.5243385317299</v>
      </c>
      <c r="H3259">
        <v>140.29025863718999</v>
      </c>
      <c r="I3259" s="1">
        <f t="shared" si="101"/>
        <v>160.07596902232126</v>
      </c>
    </row>
    <row r="3260" spans="1:9" x14ac:dyDescent="0.45">
      <c r="A3260" t="s">
        <v>69</v>
      </c>
      <c r="B3260" t="s">
        <v>54</v>
      </c>
      <c r="C3260" t="str">
        <f t="shared" si="100"/>
        <v>VanderbiltRobert Morris</v>
      </c>
      <c r="D3260" t="s">
        <v>69</v>
      </c>
      <c r="E3260">
        <v>86.3</v>
      </c>
      <c r="F3260">
        <v>-12.0415094339623</v>
      </c>
      <c r="G3260">
        <v>-627.81948336573998</v>
      </c>
      <c r="H3260">
        <v>138.86482912578799</v>
      </c>
      <c r="I3260" s="1">
        <f t="shared" si="101"/>
        <v>140.00437416247084</v>
      </c>
    </row>
    <row r="3261" spans="1:9" x14ac:dyDescent="0.45">
      <c r="A3261" t="s">
        <v>70</v>
      </c>
      <c r="B3261" t="s">
        <v>54</v>
      </c>
      <c r="C3261" t="str">
        <f t="shared" si="100"/>
        <v>VCURobert Morris</v>
      </c>
      <c r="D3261" t="s">
        <v>70</v>
      </c>
      <c r="E3261">
        <v>95.1</v>
      </c>
      <c r="F3261">
        <v>-19.388679245283001</v>
      </c>
      <c r="G3261">
        <v>-1925.5945656081999</v>
      </c>
      <c r="H3261">
        <v>140.709740287664</v>
      </c>
      <c r="I3261" s="1">
        <f t="shared" si="101"/>
        <v>165.98272601879626</v>
      </c>
    </row>
    <row r="3262" spans="1:9" x14ac:dyDescent="0.45">
      <c r="A3262" t="s">
        <v>71</v>
      </c>
      <c r="B3262" t="s">
        <v>54</v>
      </c>
      <c r="C3262" t="str">
        <f t="shared" si="100"/>
        <v>WisconsinRobert Morris</v>
      </c>
      <c r="D3262" t="s">
        <v>71</v>
      </c>
      <c r="E3262">
        <v>99.6</v>
      </c>
      <c r="F3262">
        <v>-35.852830188679199</v>
      </c>
      <c r="G3262">
        <v>-23724.970520455499</v>
      </c>
      <c r="H3262">
        <v>141.510419142931</v>
      </c>
      <c r="I3262" s="1">
        <f t="shared" si="101"/>
        <v>177.25715345783613</v>
      </c>
    </row>
    <row r="3263" spans="1:9" x14ac:dyDescent="0.45">
      <c r="A3263" t="s">
        <v>80</v>
      </c>
      <c r="B3263" t="s">
        <v>54</v>
      </c>
      <c r="C3263" t="str">
        <f t="shared" si="100"/>
        <v>WoffordRobert Morris</v>
      </c>
      <c r="D3263" t="s">
        <v>80</v>
      </c>
      <c r="E3263">
        <v>66.400000000000006</v>
      </c>
      <c r="F3263">
        <v>-4.4679245283018902</v>
      </c>
      <c r="G3263">
        <v>-197.665374249862</v>
      </c>
      <c r="H3263">
        <v>139.539874882026</v>
      </c>
      <c r="I3263" s="1">
        <f t="shared" si="101"/>
        <v>149.50975118931802</v>
      </c>
    </row>
    <row r="3264" spans="1:9" x14ac:dyDescent="0.45">
      <c r="A3264" t="s">
        <v>72</v>
      </c>
      <c r="B3264" t="s">
        <v>54</v>
      </c>
      <c r="C3264" t="str">
        <f t="shared" si="100"/>
        <v>XavierRobert Morris</v>
      </c>
      <c r="D3264" t="s">
        <v>72</v>
      </c>
      <c r="E3264">
        <v>95</v>
      </c>
      <c r="F3264">
        <v>-19.313207547169799</v>
      </c>
      <c r="G3264">
        <v>-1903.3126893835199</v>
      </c>
      <c r="H3264">
        <v>140.11578845217699</v>
      </c>
      <c r="I3264" s="1">
        <f t="shared" si="101"/>
        <v>157.61923942559787</v>
      </c>
    </row>
    <row r="3265" spans="1:9" x14ac:dyDescent="0.45">
      <c r="A3265" t="s">
        <v>73</v>
      </c>
      <c r="B3265" t="s">
        <v>54</v>
      </c>
      <c r="C3265" t="str">
        <f t="shared" si="100"/>
        <v>YaleRobert Morris</v>
      </c>
      <c r="D3265" t="s">
        <v>73</v>
      </c>
      <c r="E3265">
        <v>91.4</v>
      </c>
      <c r="F3265">
        <v>-15.4905660377358</v>
      </c>
      <c r="G3265">
        <v>-1062.18108389539</v>
      </c>
      <c r="H3265">
        <v>140.91502308624001</v>
      </c>
      <c r="I3265" s="1">
        <f t="shared" si="101"/>
        <v>168.87333066234771</v>
      </c>
    </row>
    <row r="3266" spans="1:9" x14ac:dyDescent="0.45">
      <c r="A3266" t="s">
        <v>7</v>
      </c>
      <c r="B3266" t="s">
        <v>55</v>
      </c>
      <c r="C3266" t="str">
        <f t="shared" si="100"/>
        <v>AkronSaint Francis</v>
      </c>
      <c r="D3266" t="s">
        <v>7</v>
      </c>
      <c r="E3266">
        <v>89.2</v>
      </c>
      <c r="F3266">
        <v>-13.822641509434</v>
      </c>
      <c r="G3266">
        <v>-823.46604377114204</v>
      </c>
      <c r="H3266">
        <v>138.644633008478</v>
      </c>
      <c r="I3266" s="1">
        <f t="shared" si="101"/>
        <v>136.90377380236515</v>
      </c>
    </row>
    <row r="3267" spans="1:9" x14ac:dyDescent="0.45">
      <c r="A3267" t="s">
        <v>8</v>
      </c>
      <c r="B3267" t="s">
        <v>55</v>
      </c>
      <c r="C3267" t="str">
        <f t="shared" ref="C3267:C3330" si="102">A3267&amp;B3267</f>
        <v>AlabamaSaint Francis</v>
      </c>
      <c r="D3267" t="s">
        <v>8</v>
      </c>
      <c r="E3267">
        <v>99.8</v>
      </c>
      <c r="F3267">
        <v>-41.996226415094299</v>
      </c>
      <c r="G3267">
        <v>-60557.699464944599</v>
      </c>
      <c r="H3267">
        <v>140.392729020617</v>
      </c>
      <c r="I3267" s="1">
        <f t="shared" ref="I3267:I3330" si="103">18*(H3267-AVERAGE($H$2:$H$4625))/_xlfn.STDEV.P($H$2:$H$4625)+AVERAGE($H$2:$H$4625)</f>
        <v>161.51886325513212</v>
      </c>
    </row>
    <row r="3268" spans="1:9" x14ac:dyDescent="0.45">
      <c r="A3268" t="s">
        <v>9</v>
      </c>
      <c r="B3268" t="s">
        <v>55</v>
      </c>
      <c r="C3268" t="str">
        <f t="shared" si="102"/>
        <v>Alabama St.Saint Francis</v>
      </c>
      <c r="D3268" t="s">
        <v>9</v>
      </c>
      <c r="E3268">
        <v>56.4</v>
      </c>
      <c r="F3268">
        <v>-1.6830188679245299</v>
      </c>
      <c r="G3268">
        <v>-129.235541863203</v>
      </c>
      <c r="H3268">
        <v>138.871473864291</v>
      </c>
      <c r="I3268" s="1">
        <f t="shared" si="103"/>
        <v>140.09793929362274</v>
      </c>
    </row>
    <row r="3269" spans="1:9" x14ac:dyDescent="0.45">
      <c r="A3269" t="s">
        <v>10</v>
      </c>
      <c r="B3269" t="s">
        <v>55</v>
      </c>
      <c r="C3269" t="str">
        <f t="shared" si="102"/>
        <v>AmericanSaint Francis</v>
      </c>
      <c r="D3269" t="s">
        <v>10</v>
      </c>
      <c r="E3269">
        <v>61</v>
      </c>
      <c r="F3269">
        <v>-2.9433962264150901</v>
      </c>
      <c r="G3269">
        <v>-156.70382164833501</v>
      </c>
      <c r="H3269">
        <v>138.96255974589499</v>
      </c>
      <c r="I3269" s="1">
        <f t="shared" si="103"/>
        <v>141.38052738260467</v>
      </c>
    </row>
    <row r="3270" spans="1:9" x14ac:dyDescent="0.45">
      <c r="A3270" t="s">
        <v>11</v>
      </c>
      <c r="B3270" t="s">
        <v>55</v>
      </c>
      <c r="C3270" t="str">
        <f t="shared" si="102"/>
        <v>ArizonaSaint Francis</v>
      </c>
      <c r="D3270" t="s">
        <v>11</v>
      </c>
      <c r="E3270">
        <v>99.8</v>
      </c>
      <c r="F3270">
        <v>-39.754716981132098</v>
      </c>
      <c r="G3270">
        <v>-43026.018429712502</v>
      </c>
      <c r="H3270">
        <v>140.15508783960701</v>
      </c>
      <c r="I3270" s="1">
        <f t="shared" si="103"/>
        <v>158.17261746107846</v>
      </c>
    </row>
    <row r="3271" spans="1:9" x14ac:dyDescent="0.45">
      <c r="A3271" t="s">
        <v>12</v>
      </c>
      <c r="B3271" t="s">
        <v>55</v>
      </c>
      <c r="C3271" t="str">
        <f t="shared" si="102"/>
        <v>ArkansasSaint Francis</v>
      </c>
      <c r="D3271" t="s">
        <v>12</v>
      </c>
      <c r="E3271">
        <v>96.3</v>
      </c>
      <c r="F3271">
        <v>-21.3622641509434</v>
      </c>
      <c r="G3271">
        <v>-2601.61494217274</v>
      </c>
      <c r="H3271">
        <v>138.272691673465</v>
      </c>
      <c r="I3271" s="1">
        <f t="shared" si="103"/>
        <v>131.66643605378022</v>
      </c>
    </row>
    <row r="3272" spans="1:9" x14ac:dyDescent="0.45">
      <c r="A3272" t="s">
        <v>13</v>
      </c>
      <c r="B3272" t="s">
        <v>55</v>
      </c>
      <c r="C3272" t="str">
        <f t="shared" si="102"/>
        <v>AuburnSaint Francis</v>
      </c>
      <c r="D3272" t="s">
        <v>13</v>
      </c>
      <c r="E3272">
        <v>99.9</v>
      </c>
      <c r="F3272">
        <v>-46.4037735849057</v>
      </c>
      <c r="G3272">
        <v>-118678.12853108</v>
      </c>
      <c r="H3272">
        <v>141.41141107872701</v>
      </c>
      <c r="I3272" s="1">
        <f t="shared" si="103"/>
        <v>175.86301243811931</v>
      </c>
    </row>
    <row r="3273" spans="1:9" x14ac:dyDescent="0.45">
      <c r="A3273" t="s">
        <v>14</v>
      </c>
      <c r="B3273" t="s">
        <v>55</v>
      </c>
      <c r="C3273" t="str">
        <f t="shared" si="102"/>
        <v>BaylorSaint Francis</v>
      </c>
      <c r="D3273" t="s">
        <v>14</v>
      </c>
      <c r="E3273">
        <v>99.2</v>
      </c>
      <c r="F3273">
        <v>-31.675471698113199</v>
      </c>
      <c r="G3273">
        <v>-12542.467674329801</v>
      </c>
      <c r="H3273">
        <v>139.94640909145201</v>
      </c>
      <c r="I3273" s="1">
        <f t="shared" si="103"/>
        <v>155.23419416106682</v>
      </c>
    </row>
    <row r="3274" spans="1:9" x14ac:dyDescent="0.45">
      <c r="A3274" t="s">
        <v>15</v>
      </c>
      <c r="B3274" t="s">
        <v>55</v>
      </c>
      <c r="C3274" t="str">
        <f t="shared" si="102"/>
        <v>BryantSaint Francis</v>
      </c>
      <c r="D3274" t="s">
        <v>15</v>
      </c>
      <c r="E3274">
        <v>85</v>
      </c>
      <c r="F3274">
        <v>-11.388679245283001</v>
      </c>
      <c r="G3274">
        <v>-568.12361989835097</v>
      </c>
      <c r="H3274">
        <v>139.49540684134601</v>
      </c>
      <c r="I3274" s="1">
        <f t="shared" si="103"/>
        <v>148.88359290537582</v>
      </c>
    </row>
    <row r="3275" spans="1:9" x14ac:dyDescent="0.45">
      <c r="A3275" t="s">
        <v>16</v>
      </c>
      <c r="B3275" t="s">
        <v>55</v>
      </c>
      <c r="C3275" t="str">
        <f t="shared" si="102"/>
        <v>BYUSaint Francis</v>
      </c>
      <c r="D3275" t="s">
        <v>16</v>
      </c>
      <c r="E3275">
        <v>99.3</v>
      </c>
      <c r="F3275">
        <v>-32.966037735849099</v>
      </c>
      <c r="G3275">
        <v>-15279.866979831801</v>
      </c>
      <c r="H3275">
        <v>139.755927319569</v>
      </c>
      <c r="I3275" s="1">
        <f t="shared" si="103"/>
        <v>152.5520040402366</v>
      </c>
    </row>
    <row r="3276" spans="1:9" x14ac:dyDescent="0.45">
      <c r="A3276" t="s">
        <v>17</v>
      </c>
      <c r="B3276" t="s">
        <v>55</v>
      </c>
      <c r="C3276" t="str">
        <f t="shared" si="102"/>
        <v>ClemsonSaint Francis</v>
      </c>
      <c r="D3276" t="s">
        <v>17</v>
      </c>
      <c r="E3276">
        <v>99.5</v>
      </c>
      <c r="F3276">
        <v>-34.592452830188698</v>
      </c>
      <c r="G3276">
        <v>-19578.125113694299</v>
      </c>
      <c r="H3276">
        <v>139.97783917586099</v>
      </c>
      <c r="I3276" s="1">
        <f t="shared" si="103"/>
        <v>155.67676386768633</v>
      </c>
    </row>
    <row r="3277" spans="1:9" x14ac:dyDescent="0.45">
      <c r="A3277" t="s">
        <v>18</v>
      </c>
      <c r="B3277" t="s">
        <v>55</v>
      </c>
      <c r="C3277" t="str">
        <f t="shared" si="102"/>
        <v>Colorado St.Saint Francis</v>
      </c>
      <c r="D3277" t="s">
        <v>18</v>
      </c>
      <c r="E3277">
        <v>97</v>
      </c>
      <c r="F3277">
        <v>-22.754716981132098</v>
      </c>
      <c r="G3277">
        <v>-3216.8408084122898</v>
      </c>
      <c r="H3277">
        <v>139.28523102396599</v>
      </c>
      <c r="I3277" s="1">
        <f t="shared" si="103"/>
        <v>145.92408924556986</v>
      </c>
    </row>
    <row r="3278" spans="1:9" x14ac:dyDescent="0.45">
      <c r="A3278" t="s">
        <v>19</v>
      </c>
      <c r="B3278" t="s">
        <v>55</v>
      </c>
      <c r="C3278" t="str">
        <f t="shared" si="102"/>
        <v>ConnecticutSaint Francis</v>
      </c>
      <c r="D3278" t="s">
        <v>19</v>
      </c>
      <c r="E3278">
        <v>99.7</v>
      </c>
      <c r="F3278">
        <v>-38.056603773584897</v>
      </c>
      <c r="G3278">
        <v>-33206.768193857803</v>
      </c>
      <c r="H3278">
        <v>139.920782926302</v>
      </c>
      <c r="I3278" s="1">
        <f t="shared" si="103"/>
        <v>154.87334993791276</v>
      </c>
    </row>
    <row r="3279" spans="1:9" x14ac:dyDescent="0.45">
      <c r="A3279" t="s">
        <v>20</v>
      </c>
      <c r="B3279" t="s">
        <v>55</v>
      </c>
      <c r="C3279" t="str">
        <f t="shared" si="102"/>
        <v>CreightonSaint Francis</v>
      </c>
      <c r="D3279" t="s">
        <v>20</v>
      </c>
      <c r="E3279">
        <v>99</v>
      </c>
      <c r="F3279">
        <v>-30.366037735849101</v>
      </c>
      <c r="G3279">
        <v>-10271.8006762308</v>
      </c>
      <c r="H3279">
        <v>139.393725288566</v>
      </c>
      <c r="I3279" s="1">
        <f t="shared" si="103"/>
        <v>147.45180626437002</v>
      </c>
    </row>
    <row r="3280" spans="1:9" x14ac:dyDescent="0.45">
      <c r="A3280" t="s">
        <v>21</v>
      </c>
      <c r="B3280" t="s">
        <v>55</v>
      </c>
      <c r="C3280" t="str">
        <f t="shared" si="102"/>
        <v>DrakeSaint Francis</v>
      </c>
      <c r="D3280" t="s">
        <v>21</v>
      </c>
      <c r="E3280">
        <v>97</v>
      </c>
      <c r="F3280">
        <v>-22.7018867924528</v>
      </c>
      <c r="G3280">
        <v>-3192.06460073366</v>
      </c>
      <c r="H3280">
        <v>139.44719039271999</v>
      </c>
      <c r="I3280" s="1">
        <f t="shared" si="103"/>
        <v>148.20465296856307</v>
      </c>
    </row>
    <row r="3281" spans="1:9" x14ac:dyDescent="0.45">
      <c r="A3281" t="s">
        <v>22</v>
      </c>
      <c r="B3281" t="s">
        <v>55</v>
      </c>
      <c r="C3281" t="str">
        <f t="shared" si="102"/>
        <v>DukeSaint Francis</v>
      </c>
      <c r="D3281" t="s">
        <v>22</v>
      </c>
      <c r="E3281">
        <v>99.9</v>
      </c>
      <c r="F3281">
        <v>-48.913207547169797</v>
      </c>
      <c r="G3281">
        <v>-174012.36452780699</v>
      </c>
      <c r="H3281">
        <v>141.73451085417599</v>
      </c>
      <c r="I3281" s="1">
        <f t="shared" si="103"/>
        <v>180.41260800931104</v>
      </c>
    </row>
    <row r="3282" spans="1:9" x14ac:dyDescent="0.45">
      <c r="A3282" t="s">
        <v>23</v>
      </c>
      <c r="B3282" t="s">
        <v>55</v>
      </c>
      <c r="C3282" t="str">
        <f t="shared" si="102"/>
        <v>FloridaSaint Francis</v>
      </c>
      <c r="D3282" t="s">
        <v>23</v>
      </c>
      <c r="E3282">
        <v>99.9</v>
      </c>
      <c r="F3282">
        <v>-45.0150943396226</v>
      </c>
      <c r="G3282">
        <v>-95991.655756686101</v>
      </c>
      <c r="H3282">
        <v>141.458267130119</v>
      </c>
      <c r="I3282" s="1">
        <f t="shared" si="103"/>
        <v>176.52279650513165</v>
      </c>
    </row>
    <row r="3283" spans="1:9" x14ac:dyDescent="0.45">
      <c r="A3283" t="s">
        <v>24</v>
      </c>
      <c r="B3283" t="s">
        <v>55</v>
      </c>
      <c r="C3283" t="str">
        <f t="shared" si="102"/>
        <v>GeorgiaSaint Francis</v>
      </c>
      <c r="D3283" t="s">
        <v>24</v>
      </c>
      <c r="E3283">
        <v>97.3</v>
      </c>
      <c r="F3283">
        <v>-23.5094339622642</v>
      </c>
      <c r="G3283">
        <v>-3609.09863095735</v>
      </c>
      <c r="H3283">
        <v>138.600080654463</v>
      </c>
      <c r="I3283" s="1">
        <f t="shared" si="103"/>
        <v>136.27642829514178</v>
      </c>
    </row>
    <row r="3284" spans="1:9" x14ac:dyDescent="0.45">
      <c r="A3284" t="s">
        <v>25</v>
      </c>
      <c r="B3284" t="s">
        <v>55</v>
      </c>
      <c r="C3284" t="str">
        <f t="shared" si="102"/>
        <v>GonzagaSaint Francis</v>
      </c>
      <c r="D3284" t="s">
        <v>25</v>
      </c>
      <c r="E3284">
        <v>99.5</v>
      </c>
      <c r="F3284">
        <v>-34.833962264150898</v>
      </c>
      <c r="G3284">
        <v>-20315.148813691801</v>
      </c>
      <c r="H3284">
        <v>140.73772177399201</v>
      </c>
      <c r="I3284" s="1">
        <f t="shared" si="103"/>
        <v>166.37673572089631</v>
      </c>
    </row>
    <row r="3285" spans="1:9" x14ac:dyDescent="0.45">
      <c r="A3285" t="s">
        <v>26</v>
      </c>
      <c r="B3285" t="s">
        <v>55</v>
      </c>
      <c r="C3285" t="str">
        <f t="shared" si="102"/>
        <v>Grand CanyonSaint Francis</v>
      </c>
      <c r="D3285" t="s">
        <v>26</v>
      </c>
      <c r="E3285">
        <v>95.2</v>
      </c>
      <c r="F3285">
        <v>-19.584905660377402</v>
      </c>
      <c r="G3285">
        <v>-1983.98055595496</v>
      </c>
      <c r="H3285">
        <v>139.389690020296</v>
      </c>
      <c r="I3285" s="1">
        <f t="shared" si="103"/>
        <v>147.39498530674399</v>
      </c>
    </row>
    <row r="3286" spans="1:9" x14ac:dyDescent="0.45">
      <c r="A3286" t="s">
        <v>27</v>
      </c>
      <c r="B3286" t="s">
        <v>55</v>
      </c>
      <c r="C3286" t="str">
        <f t="shared" si="102"/>
        <v>High PointSaint Francis</v>
      </c>
      <c r="D3286" t="s">
        <v>27</v>
      </c>
      <c r="E3286">
        <v>92.9</v>
      </c>
      <c r="F3286">
        <v>-16.811320754716998</v>
      </c>
      <c r="G3286">
        <v>-1299.75453912957</v>
      </c>
      <c r="H3286">
        <v>139.67058176795101</v>
      </c>
      <c r="I3286" s="1">
        <f t="shared" si="103"/>
        <v>151.35024602872898</v>
      </c>
    </row>
    <row r="3287" spans="1:9" x14ac:dyDescent="0.45">
      <c r="A3287" t="s">
        <v>28</v>
      </c>
      <c r="B3287" t="s">
        <v>55</v>
      </c>
      <c r="C3287" t="str">
        <f t="shared" si="102"/>
        <v>HoustonSaint Francis</v>
      </c>
      <c r="D3287" t="s">
        <v>28</v>
      </c>
      <c r="E3287">
        <v>100</v>
      </c>
      <c r="F3287">
        <v>-52.426415094339603</v>
      </c>
      <c r="G3287">
        <v>-297418.07236043102</v>
      </c>
      <c r="H3287">
        <v>141.87817520380599</v>
      </c>
      <c r="I3287" s="1">
        <f t="shared" si="103"/>
        <v>182.43555800333854</v>
      </c>
    </row>
    <row r="3288" spans="1:9" x14ac:dyDescent="0.45">
      <c r="A3288" t="s">
        <v>29</v>
      </c>
      <c r="B3288" t="s">
        <v>55</v>
      </c>
      <c r="C3288" t="str">
        <f t="shared" si="102"/>
        <v>IllinoisSaint Francis</v>
      </c>
      <c r="D3288" t="s">
        <v>29</v>
      </c>
      <c r="E3288">
        <v>99.7</v>
      </c>
      <c r="F3288">
        <v>-37.316981132075497</v>
      </c>
      <c r="G3288">
        <v>-29666.390314245298</v>
      </c>
      <c r="H3288">
        <v>139.928420357742</v>
      </c>
      <c r="I3288" s="1">
        <f t="shared" si="103"/>
        <v>154.98089326321045</v>
      </c>
    </row>
    <row r="3289" spans="1:9" x14ac:dyDescent="0.45">
      <c r="A3289" t="s">
        <v>30</v>
      </c>
      <c r="B3289" t="s">
        <v>55</v>
      </c>
      <c r="C3289" t="str">
        <f t="shared" si="102"/>
        <v>Iowa St.Saint Francis</v>
      </c>
      <c r="D3289" t="s">
        <v>30</v>
      </c>
      <c r="E3289">
        <v>99.8</v>
      </c>
      <c r="F3289">
        <v>-42.2</v>
      </c>
      <c r="G3289">
        <v>-62489.217360928502</v>
      </c>
      <c r="H3289">
        <v>140.85468893610101</v>
      </c>
      <c r="I3289" s="1">
        <f t="shared" si="103"/>
        <v>168.02376033416482</v>
      </c>
    </row>
    <row r="3290" spans="1:9" x14ac:dyDescent="0.45">
      <c r="A3290" t="s">
        <v>31</v>
      </c>
      <c r="B3290" t="s">
        <v>55</v>
      </c>
      <c r="C3290" t="str">
        <f t="shared" si="102"/>
        <v>KansasSaint Francis</v>
      </c>
      <c r="D3290" t="s">
        <v>31</v>
      </c>
      <c r="E3290">
        <v>99.5</v>
      </c>
      <c r="F3290">
        <v>-34.0981132075472</v>
      </c>
      <c r="G3290">
        <v>-18154.889033889602</v>
      </c>
      <c r="H3290">
        <v>139.81007922041201</v>
      </c>
      <c r="I3290" s="1">
        <f t="shared" si="103"/>
        <v>153.31452158734606</v>
      </c>
    </row>
    <row r="3291" spans="1:9" x14ac:dyDescent="0.45">
      <c r="A3291" t="s">
        <v>32</v>
      </c>
      <c r="B3291" t="s">
        <v>55</v>
      </c>
      <c r="C3291" t="str">
        <f t="shared" si="102"/>
        <v>KentuckySaint Francis</v>
      </c>
      <c r="D3291" t="s">
        <v>32</v>
      </c>
      <c r="E3291">
        <v>99.7</v>
      </c>
      <c r="F3291">
        <v>-37.524528301886797</v>
      </c>
      <c r="G3291">
        <v>-30626.8945189435</v>
      </c>
      <c r="H3291">
        <v>139.75711682080501</v>
      </c>
      <c r="I3291" s="1">
        <f t="shared" si="103"/>
        <v>152.56875350887293</v>
      </c>
    </row>
    <row r="3292" spans="1:9" x14ac:dyDescent="0.45">
      <c r="A3292" t="s">
        <v>33</v>
      </c>
      <c r="B3292" t="s">
        <v>55</v>
      </c>
      <c r="C3292" t="str">
        <f t="shared" si="102"/>
        <v>LibertySaint Francis</v>
      </c>
      <c r="D3292" t="s">
        <v>33</v>
      </c>
      <c r="E3292">
        <v>89.5</v>
      </c>
      <c r="F3292">
        <v>-14.037735849056601</v>
      </c>
      <c r="G3292">
        <v>-851.02610969620298</v>
      </c>
      <c r="H3292">
        <v>138.96605306920301</v>
      </c>
      <c r="I3292" s="1">
        <f t="shared" si="103"/>
        <v>141.42971716687126</v>
      </c>
    </row>
    <row r="3293" spans="1:9" x14ac:dyDescent="0.45">
      <c r="A3293" t="s">
        <v>34</v>
      </c>
      <c r="B3293" t="s">
        <v>55</v>
      </c>
      <c r="C3293" t="str">
        <f t="shared" si="102"/>
        <v>LipscombSaint Francis</v>
      </c>
      <c r="D3293" t="s">
        <v>34</v>
      </c>
      <c r="E3293">
        <v>86.7</v>
      </c>
      <c r="F3293">
        <v>-12.2943396226415</v>
      </c>
      <c r="G3293">
        <v>-652.39862226949299</v>
      </c>
      <c r="H3293">
        <v>139.39797330046099</v>
      </c>
      <c r="I3293" s="1">
        <f t="shared" si="103"/>
        <v>147.51162288317437</v>
      </c>
    </row>
    <row r="3294" spans="1:9" x14ac:dyDescent="0.45">
      <c r="A3294" t="s">
        <v>35</v>
      </c>
      <c r="B3294" t="s">
        <v>55</v>
      </c>
      <c r="C3294" t="str">
        <f t="shared" si="102"/>
        <v>LouisvilleSaint Francis</v>
      </c>
      <c r="D3294" t="s">
        <v>35</v>
      </c>
      <c r="E3294">
        <v>94.3</v>
      </c>
      <c r="F3294">
        <v>-18.4037735849057</v>
      </c>
      <c r="G3294">
        <v>-1656.2515843543299</v>
      </c>
      <c r="H3294">
        <v>138.683696612429</v>
      </c>
      <c r="I3294" s="1">
        <f t="shared" si="103"/>
        <v>137.45383175051236</v>
      </c>
    </row>
    <row r="3295" spans="1:9" x14ac:dyDescent="0.45">
      <c r="A3295" t="s">
        <v>36</v>
      </c>
      <c r="B3295" t="s">
        <v>55</v>
      </c>
      <c r="C3295" t="str">
        <f t="shared" si="102"/>
        <v>MarquetteSaint Francis</v>
      </c>
      <c r="D3295" t="s">
        <v>36</v>
      </c>
      <c r="E3295">
        <v>99.6</v>
      </c>
      <c r="F3295">
        <v>-35.747169811320802</v>
      </c>
      <c r="G3295">
        <v>-23347.033844562699</v>
      </c>
      <c r="H3295">
        <v>140.01545324733399</v>
      </c>
      <c r="I3295" s="1">
        <f t="shared" si="103"/>
        <v>156.20641082503954</v>
      </c>
    </row>
    <row r="3296" spans="1:9" x14ac:dyDescent="0.45">
      <c r="A3296" t="s">
        <v>37</v>
      </c>
      <c r="B3296" t="s">
        <v>55</v>
      </c>
      <c r="C3296" t="str">
        <f t="shared" si="102"/>
        <v>MarylandSaint Francis</v>
      </c>
      <c r="D3296" t="s">
        <v>37</v>
      </c>
      <c r="E3296">
        <v>99.4</v>
      </c>
      <c r="F3296">
        <v>-33.203773584905697</v>
      </c>
      <c r="G3296">
        <v>-15837.526506834</v>
      </c>
      <c r="H3296">
        <v>139.62539255901299</v>
      </c>
      <c r="I3296" s="1">
        <f t="shared" si="103"/>
        <v>150.71393291286762</v>
      </c>
    </row>
    <row r="3297" spans="1:9" x14ac:dyDescent="0.45">
      <c r="A3297" t="s">
        <v>38</v>
      </c>
      <c r="B3297" t="s">
        <v>55</v>
      </c>
      <c r="C3297" t="str">
        <f t="shared" si="102"/>
        <v>McNeese St.Saint Francis</v>
      </c>
      <c r="D3297" t="s">
        <v>38</v>
      </c>
      <c r="E3297">
        <v>96.6</v>
      </c>
      <c r="F3297">
        <v>-21.8943396226415</v>
      </c>
      <c r="G3297">
        <v>-2821.8777370070002</v>
      </c>
      <c r="H3297">
        <v>139.460804173214</v>
      </c>
      <c r="I3297" s="1">
        <f t="shared" si="103"/>
        <v>148.39634977601727</v>
      </c>
    </row>
    <row r="3298" spans="1:9" x14ac:dyDescent="0.45">
      <c r="A3298" t="s">
        <v>39</v>
      </c>
      <c r="B3298" t="s">
        <v>55</v>
      </c>
      <c r="C3298" t="str">
        <f t="shared" si="102"/>
        <v>MemphisSaint Francis</v>
      </c>
      <c r="D3298" t="s">
        <v>39</v>
      </c>
      <c r="E3298">
        <v>98.8</v>
      </c>
      <c r="F3298">
        <v>-28.8150943396226</v>
      </c>
      <c r="G3298">
        <v>-8111.8675408383097</v>
      </c>
      <c r="H3298">
        <v>138.60302737203301</v>
      </c>
      <c r="I3298" s="1">
        <f t="shared" si="103"/>
        <v>136.31792127726303</v>
      </c>
    </row>
    <row r="3299" spans="1:9" x14ac:dyDescent="0.45">
      <c r="A3299" t="s">
        <v>40</v>
      </c>
      <c r="B3299" t="s">
        <v>55</v>
      </c>
      <c r="C3299" t="str">
        <f t="shared" si="102"/>
        <v>MichiganSaint Francis</v>
      </c>
      <c r="D3299" t="s">
        <v>40</v>
      </c>
      <c r="E3299">
        <v>97.7</v>
      </c>
      <c r="F3299">
        <v>-24.6301886792453</v>
      </c>
      <c r="G3299">
        <v>-4282.0507571707303</v>
      </c>
      <c r="H3299">
        <v>138.25994845671599</v>
      </c>
      <c r="I3299" s="1">
        <f t="shared" si="103"/>
        <v>131.48699772887426</v>
      </c>
    </row>
    <row r="3300" spans="1:9" x14ac:dyDescent="0.45">
      <c r="A3300" t="s">
        <v>41</v>
      </c>
      <c r="B3300" t="s">
        <v>55</v>
      </c>
      <c r="C3300" t="str">
        <f t="shared" si="102"/>
        <v>Michigan St.Saint Francis</v>
      </c>
      <c r="D3300" t="s">
        <v>41</v>
      </c>
      <c r="E3300">
        <v>99.8</v>
      </c>
      <c r="F3300">
        <v>-39.452830188679201</v>
      </c>
      <c r="G3300">
        <v>-41089.007029690598</v>
      </c>
      <c r="H3300">
        <v>139.95884041754499</v>
      </c>
      <c r="I3300" s="1">
        <f t="shared" si="103"/>
        <v>155.40924072697072</v>
      </c>
    </row>
    <row r="3301" spans="1:9" x14ac:dyDescent="0.45">
      <c r="A3301" t="s">
        <v>42</v>
      </c>
      <c r="B3301" t="s">
        <v>55</v>
      </c>
      <c r="C3301" t="str">
        <f t="shared" si="102"/>
        <v>MississippiSaint Francis</v>
      </c>
      <c r="D3301" t="s">
        <v>42</v>
      </c>
      <c r="E3301">
        <v>99.1</v>
      </c>
      <c r="F3301">
        <v>-30.543396226415101</v>
      </c>
      <c r="G3301">
        <v>-10553.7488696861</v>
      </c>
      <c r="H3301">
        <v>139.08976152264</v>
      </c>
      <c r="I3301" s="1">
        <f t="shared" si="103"/>
        <v>143.17166647987776</v>
      </c>
    </row>
    <row r="3302" spans="1:9" x14ac:dyDescent="0.45">
      <c r="A3302" t="s">
        <v>43</v>
      </c>
      <c r="B3302" t="s">
        <v>55</v>
      </c>
      <c r="C3302" t="str">
        <f t="shared" si="102"/>
        <v>Mississippi St.Saint Francis</v>
      </c>
      <c r="D3302" t="s">
        <v>43</v>
      </c>
      <c r="E3302">
        <v>98.8</v>
      </c>
      <c r="F3302">
        <v>-28.6943396226415</v>
      </c>
      <c r="G3302">
        <v>-7960.0440995604104</v>
      </c>
      <c r="H3302">
        <v>139.21413287642901</v>
      </c>
      <c r="I3302" s="1">
        <f t="shared" si="103"/>
        <v>144.92295014943548</v>
      </c>
    </row>
    <row r="3303" spans="1:9" x14ac:dyDescent="0.45">
      <c r="A3303" t="s">
        <v>44</v>
      </c>
      <c r="B3303" t="s">
        <v>55</v>
      </c>
      <c r="C3303" t="str">
        <f t="shared" si="102"/>
        <v>MissouriSaint Francis</v>
      </c>
      <c r="D3303" t="s">
        <v>44</v>
      </c>
      <c r="E3303">
        <v>97.2</v>
      </c>
      <c r="F3303">
        <v>-23.279245283018899</v>
      </c>
      <c r="G3303">
        <v>-3485.9129104562999</v>
      </c>
      <c r="H3303">
        <v>138.47860481260199</v>
      </c>
      <c r="I3303" s="1">
        <f t="shared" si="103"/>
        <v>134.56591657668059</v>
      </c>
    </row>
    <row r="3304" spans="1:9" x14ac:dyDescent="0.45">
      <c r="A3304" t="s">
        <v>45</v>
      </c>
      <c r="B3304" t="s">
        <v>55</v>
      </c>
      <c r="C3304" t="str">
        <f t="shared" si="102"/>
        <v>MontanaSaint Francis</v>
      </c>
      <c r="D3304" t="s">
        <v>45</v>
      </c>
      <c r="E3304">
        <v>77.3</v>
      </c>
      <c r="F3304">
        <v>-8.02264150943396</v>
      </c>
      <c r="G3304">
        <v>-340.03565713167399</v>
      </c>
      <c r="H3304">
        <v>137.78733953762099</v>
      </c>
      <c r="I3304" s="1">
        <f t="shared" si="103"/>
        <v>124.83215111923977</v>
      </c>
    </row>
    <row r="3305" spans="1:9" x14ac:dyDescent="0.45">
      <c r="A3305" t="s">
        <v>46</v>
      </c>
      <c r="B3305" t="s">
        <v>55</v>
      </c>
      <c r="C3305" t="str">
        <f t="shared" si="102"/>
        <v>Mount St. Mary'sSaint Francis</v>
      </c>
      <c r="D3305" t="s">
        <v>46</v>
      </c>
      <c r="E3305">
        <v>57.2</v>
      </c>
      <c r="F3305">
        <v>-1.9056603773584899</v>
      </c>
      <c r="G3305">
        <v>-133.759231502446</v>
      </c>
      <c r="H3305">
        <v>139.13521375956901</v>
      </c>
      <c r="I3305" s="1">
        <f t="shared" si="103"/>
        <v>143.81168331537577</v>
      </c>
    </row>
    <row r="3306" spans="1:9" x14ac:dyDescent="0.45">
      <c r="A3306" t="s">
        <v>47</v>
      </c>
      <c r="B3306" t="s">
        <v>55</v>
      </c>
      <c r="C3306" t="str">
        <f t="shared" si="102"/>
        <v>Nebraska OmahaSaint Francis</v>
      </c>
      <c r="D3306" t="s">
        <v>47</v>
      </c>
      <c r="E3306">
        <v>63.5</v>
      </c>
      <c r="F3306">
        <v>-3.6226415094339601</v>
      </c>
      <c r="G3306">
        <v>-173.77773343952899</v>
      </c>
      <c r="H3306">
        <v>138.41921493946799</v>
      </c>
      <c r="I3306" s="1">
        <f t="shared" si="103"/>
        <v>133.72964269376442</v>
      </c>
    </row>
    <row r="3307" spans="1:9" x14ac:dyDescent="0.45">
      <c r="A3307" t="s">
        <v>48</v>
      </c>
      <c r="B3307" t="s">
        <v>55</v>
      </c>
      <c r="C3307" t="str">
        <f t="shared" si="102"/>
        <v>New MexicoSaint Francis</v>
      </c>
      <c r="D3307" t="s">
        <v>48</v>
      </c>
      <c r="E3307">
        <v>97.8</v>
      </c>
      <c r="F3307">
        <v>-24.871698113207501</v>
      </c>
      <c r="G3307">
        <v>-4442.5226975362202</v>
      </c>
      <c r="H3307">
        <v>139.296959286744</v>
      </c>
      <c r="I3307" s="1">
        <f t="shared" si="103"/>
        <v>146.08923591680616</v>
      </c>
    </row>
    <row r="3308" spans="1:9" x14ac:dyDescent="0.45">
      <c r="A3308" t="s">
        <v>49</v>
      </c>
      <c r="B3308" t="s">
        <v>55</v>
      </c>
      <c r="C3308" t="str">
        <f t="shared" si="102"/>
        <v>Norfolk St.Saint Francis</v>
      </c>
      <c r="D3308" t="s">
        <v>49</v>
      </c>
      <c r="E3308">
        <v>71.900000000000006</v>
      </c>
      <c r="F3308">
        <v>-6.1547169811320801</v>
      </c>
      <c r="G3308">
        <v>-255.72710612826401</v>
      </c>
      <c r="H3308">
        <v>138.30932294894501</v>
      </c>
      <c r="I3308" s="1">
        <f t="shared" si="103"/>
        <v>132.18224417670245</v>
      </c>
    </row>
    <row r="3309" spans="1:9" x14ac:dyDescent="0.45">
      <c r="A3309" t="s">
        <v>50</v>
      </c>
      <c r="B3309" t="s">
        <v>55</v>
      </c>
      <c r="C3309" t="str">
        <f t="shared" si="102"/>
        <v>North CarolinaSaint Francis</v>
      </c>
      <c r="D3309" t="s">
        <v>50</v>
      </c>
      <c r="E3309">
        <v>99.3</v>
      </c>
      <c r="F3309">
        <v>-32.909433962264202</v>
      </c>
      <c r="G3309">
        <v>-15146.8626872145</v>
      </c>
      <c r="H3309">
        <v>140.381254380901</v>
      </c>
      <c r="I3309" s="1">
        <f t="shared" si="103"/>
        <v>161.35728787192306</v>
      </c>
    </row>
    <row r="3310" spans="1:9" x14ac:dyDescent="0.45">
      <c r="A3310" t="s">
        <v>51</v>
      </c>
      <c r="B3310" t="s">
        <v>55</v>
      </c>
      <c r="C3310" t="str">
        <f t="shared" si="102"/>
        <v>OklahomaSaint Francis</v>
      </c>
      <c r="D3310" t="s">
        <v>51</v>
      </c>
      <c r="E3310">
        <v>98</v>
      </c>
      <c r="F3310">
        <v>-25.603773584905699</v>
      </c>
      <c r="G3310">
        <v>-4969.5168375329704</v>
      </c>
      <c r="H3310">
        <v>138.723857676406</v>
      </c>
      <c r="I3310" s="1">
        <f t="shared" si="103"/>
        <v>138.01934312714573</v>
      </c>
    </row>
    <row r="3311" spans="1:9" x14ac:dyDescent="0.45">
      <c r="A3311" t="s">
        <v>52</v>
      </c>
      <c r="B3311" t="s">
        <v>55</v>
      </c>
      <c r="C3311" t="str">
        <f t="shared" si="102"/>
        <v>OregonSaint Francis</v>
      </c>
      <c r="D3311" t="s">
        <v>52</v>
      </c>
      <c r="E3311">
        <v>99.4</v>
      </c>
      <c r="F3311">
        <v>-33.430188679245298</v>
      </c>
      <c r="G3311">
        <v>-16396.025044792899</v>
      </c>
      <c r="H3311">
        <v>139.31823546454601</v>
      </c>
      <c r="I3311" s="1">
        <f t="shared" si="103"/>
        <v>146.38882759608043</v>
      </c>
    </row>
    <row r="3312" spans="1:9" x14ac:dyDescent="0.45">
      <c r="A3312" t="s">
        <v>53</v>
      </c>
      <c r="B3312" t="s">
        <v>55</v>
      </c>
      <c r="C3312" t="str">
        <f t="shared" si="102"/>
        <v>PurdueSaint Francis</v>
      </c>
      <c r="D3312" t="s">
        <v>53</v>
      </c>
      <c r="E3312">
        <v>99.9</v>
      </c>
      <c r="F3312">
        <v>-44.339622641509401</v>
      </c>
      <c r="G3312">
        <v>-86605.653565146102</v>
      </c>
      <c r="H3312">
        <v>140.66622279333501</v>
      </c>
      <c r="I3312" s="1">
        <f t="shared" si="103"/>
        <v>165.36995245931783</v>
      </c>
    </row>
    <row r="3313" spans="1:9" x14ac:dyDescent="0.45">
      <c r="A3313" t="s">
        <v>54</v>
      </c>
      <c r="B3313" t="s">
        <v>55</v>
      </c>
      <c r="C3313" t="str">
        <f t="shared" si="102"/>
        <v>Robert MorrisSaint Francis</v>
      </c>
      <c r="D3313" t="s">
        <v>54</v>
      </c>
      <c r="E3313">
        <v>51.5</v>
      </c>
      <c r="F3313">
        <v>-0.39622641509433998</v>
      </c>
      <c r="G3313">
        <v>-106.25888683019799</v>
      </c>
      <c r="H3313">
        <v>137.72485964209801</v>
      </c>
      <c r="I3313" s="1">
        <f t="shared" si="103"/>
        <v>123.95236636679022</v>
      </c>
    </row>
    <row r="3314" spans="1:9" x14ac:dyDescent="0.45">
      <c r="A3314" t="s">
        <v>55</v>
      </c>
      <c r="B3314" t="s">
        <v>55</v>
      </c>
      <c r="C3314" t="str">
        <f t="shared" si="102"/>
        <v>Saint FrancisSaint Francis</v>
      </c>
      <c r="D3314" t="s">
        <v>55</v>
      </c>
      <c r="E3314">
        <v>41.2</v>
      </c>
      <c r="F3314">
        <v>2.3283018867924499</v>
      </c>
      <c r="G3314">
        <v>142.64273539779199</v>
      </c>
      <c r="H3314">
        <v>138.77771517530499</v>
      </c>
      <c r="I3314" s="1">
        <f t="shared" si="103"/>
        <v>138.77771517530277</v>
      </c>
    </row>
    <row r="3315" spans="1:9" x14ac:dyDescent="0.45">
      <c r="A3315" t="s">
        <v>56</v>
      </c>
      <c r="B3315" t="s">
        <v>55</v>
      </c>
      <c r="C3315" t="str">
        <f t="shared" si="102"/>
        <v>Saint Mary'sSaint Francis</v>
      </c>
      <c r="D3315" t="s">
        <v>56</v>
      </c>
      <c r="E3315">
        <v>99.3</v>
      </c>
      <c r="F3315">
        <v>-32.388679245283001</v>
      </c>
      <c r="G3315">
        <v>-13984.0837588416</v>
      </c>
      <c r="H3315">
        <v>140.02897037639599</v>
      </c>
      <c r="I3315" s="1">
        <f t="shared" si="103"/>
        <v>156.3967466754134</v>
      </c>
    </row>
    <row r="3316" spans="1:9" x14ac:dyDescent="0.45">
      <c r="A3316" t="s">
        <v>57</v>
      </c>
      <c r="B3316" t="s">
        <v>55</v>
      </c>
      <c r="C3316" t="str">
        <f t="shared" si="102"/>
        <v>San Diego St.Saint Francis</v>
      </c>
      <c r="D3316" t="s">
        <v>57</v>
      </c>
      <c r="E3316">
        <v>97.6</v>
      </c>
      <c r="F3316">
        <v>-24.294339622641498</v>
      </c>
      <c r="G3316">
        <v>-4069.0491012369498</v>
      </c>
      <c r="H3316">
        <v>139.17522525619299</v>
      </c>
      <c r="I3316" s="1">
        <f t="shared" si="103"/>
        <v>144.37508862131955</v>
      </c>
    </row>
    <row r="3317" spans="1:9" x14ac:dyDescent="0.45">
      <c r="A3317" t="s">
        <v>58</v>
      </c>
      <c r="B3317" t="s">
        <v>55</v>
      </c>
      <c r="C3317" t="str">
        <f t="shared" si="102"/>
        <v>SIU EdwardsvilleSaint Francis</v>
      </c>
      <c r="D3317" t="s">
        <v>58</v>
      </c>
      <c r="E3317">
        <v>67.2</v>
      </c>
      <c r="F3317">
        <v>-4.6943396226415102</v>
      </c>
      <c r="G3317">
        <v>-204.69911339716799</v>
      </c>
      <c r="H3317">
        <v>139.32291302304199</v>
      </c>
      <c r="I3317" s="1">
        <f t="shared" si="103"/>
        <v>146.45469269731041</v>
      </c>
    </row>
    <row r="3318" spans="1:9" x14ac:dyDescent="0.45">
      <c r="A3318" t="s">
        <v>59</v>
      </c>
      <c r="B3318" t="s">
        <v>55</v>
      </c>
      <c r="C3318" t="str">
        <f t="shared" si="102"/>
        <v>St. John'sSaint Francis</v>
      </c>
      <c r="D3318" t="s">
        <v>59</v>
      </c>
      <c r="E3318">
        <v>99.8</v>
      </c>
      <c r="F3318">
        <v>-39.852830188679199</v>
      </c>
      <c r="G3318">
        <v>-43684.107707953503</v>
      </c>
      <c r="H3318">
        <v>140.30059579558599</v>
      </c>
      <c r="I3318" s="1">
        <f t="shared" si="103"/>
        <v>160.22152743378032</v>
      </c>
    </row>
    <row r="3319" spans="1:9" x14ac:dyDescent="0.45">
      <c r="A3319" t="s">
        <v>60</v>
      </c>
      <c r="B3319" t="s">
        <v>55</v>
      </c>
      <c r="C3319" t="str">
        <f t="shared" si="102"/>
        <v>TennesseeSaint Francis</v>
      </c>
      <c r="D3319" t="s">
        <v>60</v>
      </c>
      <c r="E3319">
        <v>99.9</v>
      </c>
      <c r="F3319">
        <v>-44.4</v>
      </c>
      <c r="G3319">
        <v>-87390.23706996</v>
      </c>
      <c r="H3319">
        <v>140.89457867227799</v>
      </c>
      <c r="I3319" s="1">
        <f t="shared" si="103"/>
        <v>168.58545112084079</v>
      </c>
    </row>
    <row r="3320" spans="1:9" x14ac:dyDescent="0.45">
      <c r="A3320" t="s">
        <v>61</v>
      </c>
      <c r="B3320" t="s">
        <v>55</v>
      </c>
      <c r="C3320" t="str">
        <f t="shared" si="102"/>
        <v>TexasSaint Francis</v>
      </c>
      <c r="D3320" t="s">
        <v>61</v>
      </c>
      <c r="E3320">
        <v>97.3</v>
      </c>
      <c r="F3320">
        <v>-23.445283018867901</v>
      </c>
      <c r="G3320">
        <v>-3575.1659267438299</v>
      </c>
      <c r="H3320">
        <v>138.65029320335</v>
      </c>
      <c r="I3320" s="1">
        <f t="shared" si="103"/>
        <v>136.98347549044581</v>
      </c>
    </row>
    <row r="3321" spans="1:9" x14ac:dyDescent="0.45">
      <c r="A3321" t="s">
        <v>62</v>
      </c>
      <c r="B3321" t="s">
        <v>55</v>
      </c>
      <c r="C3321" t="str">
        <f t="shared" si="102"/>
        <v>Texas A&amp;MSaint Francis</v>
      </c>
      <c r="D3321" t="s">
        <v>62</v>
      </c>
      <c r="E3321">
        <v>99.5</v>
      </c>
      <c r="F3321">
        <v>-34.943396226415103</v>
      </c>
      <c r="G3321">
        <v>-20648.907356078002</v>
      </c>
      <c r="H3321">
        <v>139.44809223094299</v>
      </c>
      <c r="I3321" s="1">
        <f t="shared" si="103"/>
        <v>148.21735182971082</v>
      </c>
    </row>
    <row r="3322" spans="1:9" x14ac:dyDescent="0.45">
      <c r="A3322" t="s">
        <v>63</v>
      </c>
      <c r="B3322" t="s">
        <v>55</v>
      </c>
      <c r="C3322" t="str">
        <f t="shared" si="102"/>
        <v>Texas TechSaint Francis</v>
      </c>
      <c r="D3322" t="s">
        <v>63</v>
      </c>
      <c r="E3322">
        <v>99.8</v>
      </c>
      <c r="F3322">
        <v>-39.392452830188702</v>
      </c>
      <c r="G3322">
        <v>-40720.547512448597</v>
      </c>
      <c r="H3322">
        <v>140.48787635000701</v>
      </c>
      <c r="I3322" s="1">
        <f t="shared" si="103"/>
        <v>162.85864093774427</v>
      </c>
    </row>
    <row r="3323" spans="1:9" x14ac:dyDescent="0.45">
      <c r="A3323" t="s">
        <v>64</v>
      </c>
      <c r="B3323" t="s">
        <v>55</v>
      </c>
      <c r="C3323" t="str">
        <f t="shared" si="102"/>
        <v>TroySaint Francis</v>
      </c>
      <c r="D3323" t="s">
        <v>64</v>
      </c>
      <c r="E3323">
        <v>85.1</v>
      </c>
      <c r="F3323">
        <v>-11.445283018867899</v>
      </c>
      <c r="G3323">
        <v>-573.26140495574805</v>
      </c>
      <c r="H3323">
        <v>139.191440769737</v>
      </c>
      <c r="I3323" s="1">
        <f t="shared" si="103"/>
        <v>144.60342065436387</v>
      </c>
    </row>
    <row r="3324" spans="1:9" x14ac:dyDescent="0.45">
      <c r="A3324" t="s">
        <v>65</v>
      </c>
      <c r="B3324" t="s">
        <v>55</v>
      </c>
      <c r="C3324" t="str">
        <f t="shared" si="102"/>
        <v>UC San DiegoSaint Francis</v>
      </c>
      <c r="D3324" t="s">
        <v>65</v>
      </c>
      <c r="E3324">
        <v>93.6</v>
      </c>
      <c r="F3324">
        <v>-17.607547169811301</v>
      </c>
      <c r="G3324">
        <v>-1467.2323122012101</v>
      </c>
      <c r="H3324">
        <v>139.27956251312801</v>
      </c>
      <c r="I3324" s="1">
        <f t="shared" si="103"/>
        <v>145.84427045966115</v>
      </c>
    </row>
    <row r="3325" spans="1:9" x14ac:dyDescent="0.45">
      <c r="A3325" t="s">
        <v>66</v>
      </c>
      <c r="B3325" t="s">
        <v>55</v>
      </c>
      <c r="C3325" t="str">
        <f t="shared" si="102"/>
        <v>UCLASaint Francis</v>
      </c>
      <c r="D3325" t="s">
        <v>66</v>
      </c>
      <c r="E3325">
        <v>98.3</v>
      </c>
      <c r="F3325">
        <v>-26.6528301886792</v>
      </c>
      <c r="G3325">
        <v>-5830.4442411604496</v>
      </c>
      <c r="H3325">
        <v>138.75101702623601</v>
      </c>
      <c r="I3325" s="1">
        <f t="shared" si="103"/>
        <v>138.40177625490441</v>
      </c>
    </row>
    <row r="3326" spans="1:9" x14ac:dyDescent="0.45">
      <c r="A3326" t="s">
        <v>67</v>
      </c>
      <c r="B3326" t="s">
        <v>55</v>
      </c>
      <c r="C3326" t="str">
        <f t="shared" si="102"/>
        <v>UNC WilmingtonSaint Francis</v>
      </c>
      <c r="D3326" t="s">
        <v>67</v>
      </c>
      <c r="E3326">
        <v>89.8</v>
      </c>
      <c r="F3326">
        <v>-14.2452830188679</v>
      </c>
      <c r="G3326">
        <v>-878.74060124948505</v>
      </c>
      <c r="H3326">
        <v>139.86603270015601</v>
      </c>
      <c r="I3326" s="1">
        <f t="shared" si="103"/>
        <v>154.1024073210404</v>
      </c>
    </row>
    <row r="3327" spans="1:9" x14ac:dyDescent="0.45">
      <c r="A3327" t="s">
        <v>68</v>
      </c>
      <c r="B3327" t="s">
        <v>55</v>
      </c>
      <c r="C3327" t="str">
        <f t="shared" si="102"/>
        <v>Utah St.Saint Francis</v>
      </c>
      <c r="D3327" t="s">
        <v>68</v>
      </c>
      <c r="E3327">
        <v>97.8</v>
      </c>
      <c r="F3327">
        <v>-24.890566037735901</v>
      </c>
      <c r="G3327">
        <v>-4456.9698766367501</v>
      </c>
      <c r="H3327">
        <v>139.23740310398301</v>
      </c>
      <c r="I3327" s="1">
        <f t="shared" si="103"/>
        <v>145.2506202138087</v>
      </c>
    </row>
    <row r="3328" spans="1:9" x14ac:dyDescent="0.45">
      <c r="A3328" t="s">
        <v>69</v>
      </c>
      <c r="B3328" t="s">
        <v>55</v>
      </c>
      <c r="C3328" t="str">
        <f t="shared" si="102"/>
        <v>VanderbiltSaint Francis</v>
      </c>
      <c r="D3328" t="s">
        <v>69</v>
      </c>
      <c r="E3328">
        <v>90.5</v>
      </c>
      <c r="F3328">
        <v>-14.7698113207547</v>
      </c>
      <c r="G3328">
        <v>-951.58964973026502</v>
      </c>
      <c r="H3328">
        <v>137.81197359258101</v>
      </c>
      <c r="I3328" s="1">
        <f t="shared" si="103"/>
        <v>125.17902535395829</v>
      </c>
    </row>
    <row r="3329" spans="1:9" x14ac:dyDescent="0.45">
      <c r="A3329" t="s">
        <v>70</v>
      </c>
      <c r="B3329" t="s">
        <v>55</v>
      </c>
      <c r="C3329" t="str">
        <f t="shared" si="102"/>
        <v>VCUSaint Francis</v>
      </c>
      <c r="D3329" t="s">
        <v>70</v>
      </c>
      <c r="E3329">
        <v>96.7</v>
      </c>
      <c r="F3329">
        <v>-22.116981132075502</v>
      </c>
      <c r="G3329">
        <v>-2918.6349050307499</v>
      </c>
      <c r="H3329">
        <v>139.656884754457</v>
      </c>
      <c r="I3329" s="1">
        <f t="shared" si="103"/>
        <v>151.15737721028333</v>
      </c>
    </row>
    <row r="3330" spans="1:9" x14ac:dyDescent="0.45">
      <c r="A3330" t="s">
        <v>71</v>
      </c>
      <c r="B3330" t="s">
        <v>55</v>
      </c>
      <c r="C3330" t="str">
        <f t="shared" si="102"/>
        <v>WisconsinSaint Francis</v>
      </c>
      <c r="D3330" t="s">
        <v>71</v>
      </c>
      <c r="E3330">
        <v>99.7</v>
      </c>
      <c r="F3330">
        <v>-38.577358490565999</v>
      </c>
      <c r="G3330">
        <v>-35960.076081724997</v>
      </c>
      <c r="H3330">
        <v>140.45756360972399</v>
      </c>
      <c r="I3330" s="1">
        <f t="shared" si="103"/>
        <v>162.4318046493232</v>
      </c>
    </row>
    <row r="3331" spans="1:9" x14ac:dyDescent="0.45">
      <c r="A3331" t="s">
        <v>80</v>
      </c>
      <c r="B3331" t="s">
        <v>55</v>
      </c>
      <c r="C3331" t="str">
        <f t="shared" ref="C3331:C3394" si="104">A3331&amp;B3331</f>
        <v>WoffordSaint Francis</v>
      </c>
      <c r="D3331" t="s">
        <v>80</v>
      </c>
      <c r="E3331">
        <v>75</v>
      </c>
      <c r="F3331">
        <v>-7.1924528301886799</v>
      </c>
      <c r="G3331">
        <v>-299.60255970051202</v>
      </c>
      <c r="H3331">
        <v>138.487019348818</v>
      </c>
      <c r="I3331" s="1">
        <f t="shared" ref="I3331:I3394" si="105">18*(H3331-AVERAGE($H$2:$H$4625))/_xlfn.STDEV.P($H$2:$H$4625)+AVERAGE($H$2:$H$4625)</f>
        <v>134.68440238079108</v>
      </c>
    </row>
    <row r="3332" spans="1:9" x14ac:dyDescent="0.45">
      <c r="A3332" t="s">
        <v>72</v>
      </c>
      <c r="B3332" t="s">
        <v>55</v>
      </c>
      <c r="C3332" t="str">
        <f t="shared" si="104"/>
        <v>XavierSaint Francis</v>
      </c>
      <c r="D3332" t="s">
        <v>72</v>
      </c>
      <c r="E3332">
        <v>96.6</v>
      </c>
      <c r="F3332">
        <v>-22.0415094339623</v>
      </c>
      <c r="G3332">
        <v>-2884.86213538316</v>
      </c>
      <c r="H3332">
        <v>139.06293291897001</v>
      </c>
      <c r="I3332" s="1">
        <f t="shared" si="105"/>
        <v>142.79389061708534</v>
      </c>
    </row>
    <row r="3333" spans="1:9" x14ac:dyDescent="0.45">
      <c r="A3333" t="s">
        <v>73</v>
      </c>
      <c r="B3333" t="s">
        <v>55</v>
      </c>
      <c r="C3333" t="str">
        <f t="shared" si="104"/>
        <v>YaleSaint Francis</v>
      </c>
      <c r="D3333" t="s">
        <v>73</v>
      </c>
      <c r="E3333">
        <v>94.2</v>
      </c>
      <c r="F3333">
        <v>-18.215094339622599</v>
      </c>
      <c r="G3333">
        <v>-1609.9540590162001</v>
      </c>
      <c r="H3333">
        <v>139.86216755303201</v>
      </c>
      <c r="I3333" s="1">
        <f t="shared" si="105"/>
        <v>154.04798185382077</v>
      </c>
    </row>
    <row r="3334" spans="1:9" x14ac:dyDescent="0.45">
      <c r="A3334" t="s">
        <v>7</v>
      </c>
      <c r="B3334" t="s">
        <v>56</v>
      </c>
      <c r="C3334" t="str">
        <f t="shared" si="104"/>
        <v>AkronSaint Mary's</v>
      </c>
      <c r="D3334" t="s">
        <v>56</v>
      </c>
      <c r="E3334">
        <v>4</v>
      </c>
      <c r="F3334">
        <v>20.8943396226415</v>
      </c>
      <c r="G3334">
        <v>2422.3560576438499</v>
      </c>
      <c r="H3334">
        <v>137.39337780738799</v>
      </c>
      <c r="I3334" s="1">
        <f t="shared" si="105"/>
        <v>119.28474230226851</v>
      </c>
    </row>
    <row r="3335" spans="1:9" x14ac:dyDescent="0.45">
      <c r="A3335" t="s">
        <v>8</v>
      </c>
      <c r="B3335" t="s">
        <v>56</v>
      </c>
      <c r="C3335" t="str">
        <f t="shared" si="104"/>
        <v>AlabamaSaint Mary's</v>
      </c>
      <c r="D3335" t="s">
        <v>8</v>
      </c>
      <c r="E3335">
        <v>75.2</v>
      </c>
      <c r="F3335">
        <v>-7.2792452830188701</v>
      </c>
      <c r="G3335">
        <v>-303.58876346912598</v>
      </c>
      <c r="H3335">
        <v>139.14147381952699</v>
      </c>
      <c r="I3335" s="1">
        <f t="shared" si="105"/>
        <v>143.89983175503548</v>
      </c>
    </row>
    <row r="3336" spans="1:9" x14ac:dyDescent="0.45">
      <c r="A3336" t="s">
        <v>9</v>
      </c>
      <c r="B3336" t="s">
        <v>56</v>
      </c>
      <c r="C3336" t="str">
        <f t="shared" si="104"/>
        <v>Alabama St.Saint Mary's</v>
      </c>
      <c r="D3336" t="s">
        <v>56</v>
      </c>
      <c r="E3336">
        <v>0.6</v>
      </c>
      <c r="F3336">
        <v>33.033962264150901</v>
      </c>
      <c r="G3336">
        <v>15434.8248990551</v>
      </c>
      <c r="H3336">
        <v>137.620218663201</v>
      </c>
      <c r="I3336" s="1">
        <f t="shared" si="105"/>
        <v>122.47890779352612</v>
      </c>
    </row>
    <row r="3337" spans="1:9" x14ac:dyDescent="0.45">
      <c r="A3337" t="s">
        <v>10</v>
      </c>
      <c r="B3337" t="s">
        <v>56</v>
      </c>
      <c r="C3337" t="str">
        <f t="shared" si="104"/>
        <v>AmericanSaint Mary's</v>
      </c>
      <c r="D3337" t="s">
        <v>56</v>
      </c>
      <c r="E3337">
        <v>0.8</v>
      </c>
      <c r="F3337">
        <v>31.769811320754702</v>
      </c>
      <c r="G3337">
        <v>12729.287252926601</v>
      </c>
      <c r="H3337">
        <v>137.71130454480499</v>
      </c>
      <c r="I3337" s="1">
        <f t="shared" si="105"/>
        <v>123.76149588250804</v>
      </c>
    </row>
    <row r="3338" spans="1:9" x14ac:dyDescent="0.45">
      <c r="A3338" t="s">
        <v>11</v>
      </c>
      <c r="B3338" t="s">
        <v>56</v>
      </c>
      <c r="C3338" t="str">
        <f t="shared" si="104"/>
        <v>ArizonaSaint Mary's</v>
      </c>
      <c r="D3338" t="s">
        <v>11</v>
      </c>
      <c r="E3338">
        <v>68.3</v>
      </c>
      <c r="F3338">
        <v>-5.0377358490565998</v>
      </c>
      <c r="G3338">
        <v>-215.69867824385099</v>
      </c>
      <c r="H3338">
        <v>138.903832638517</v>
      </c>
      <c r="I3338" s="1">
        <f t="shared" si="105"/>
        <v>140.55358596098182</v>
      </c>
    </row>
    <row r="3339" spans="1:9" x14ac:dyDescent="0.45">
      <c r="A3339" t="s">
        <v>12</v>
      </c>
      <c r="B3339" t="s">
        <v>56</v>
      </c>
      <c r="C3339" t="str">
        <f t="shared" si="104"/>
        <v>ArkansasSaint Mary's</v>
      </c>
      <c r="D3339" t="s">
        <v>56</v>
      </c>
      <c r="E3339">
        <v>11.5</v>
      </c>
      <c r="F3339">
        <v>13.3547169811321</v>
      </c>
      <c r="G3339">
        <v>766.72682304290402</v>
      </c>
      <c r="H3339">
        <v>137.021436472375</v>
      </c>
      <c r="I3339" s="1">
        <f t="shared" si="105"/>
        <v>114.04740455368359</v>
      </c>
    </row>
    <row r="3340" spans="1:9" x14ac:dyDescent="0.45">
      <c r="A3340" t="s">
        <v>13</v>
      </c>
      <c r="B3340" t="s">
        <v>56</v>
      </c>
      <c r="C3340" t="str">
        <f t="shared" si="104"/>
        <v>AuburnSaint Mary's</v>
      </c>
      <c r="D3340" t="s">
        <v>13</v>
      </c>
      <c r="E3340">
        <v>85.6</v>
      </c>
      <c r="F3340">
        <v>-11.690566037735801</v>
      </c>
      <c r="G3340">
        <v>-594.95896657100297</v>
      </c>
      <c r="H3340">
        <v>140.16015587763599</v>
      </c>
      <c r="I3340" s="1">
        <f t="shared" si="105"/>
        <v>158.24398093800826</v>
      </c>
    </row>
    <row r="3341" spans="1:9" x14ac:dyDescent="0.45">
      <c r="A3341" t="s">
        <v>14</v>
      </c>
      <c r="B3341" t="s">
        <v>56</v>
      </c>
      <c r="C3341" t="str">
        <f t="shared" si="104"/>
        <v>BaylorSaint Mary's</v>
      </c>
      <c r="D3341" t="s">
        <v>56</v>
      </c>
      <c r="E3341">
        <v>38.6</v>
      </c>
      <c r="F3341">
        <v>3.0415094339622599</v>
      </c>
      <c r="G3341">
        <v>159.03791910706599</v>
      </c>
      <c r="H3341">
        <v>138.69515389036101</v>
      </c>
      <c r="I3341" s="1">
        <f t="shared" si="105"/>
        <v>137.6151626609562</v>
      </c>
    </row>
    <row r="3342" spans="1:9" x14ac:dyDescent="0.45">
      <c r="A3342" t="s">
        <v>15</v>
      </c>
      <c r="B3342" t="s">
        <v>56</v>
      </c>
      <c r="C3342" t="str">
        <f t="shared" si="104"/>
        <v>BryantSaint Mary's</v>
      </c>
      <c r="D3342" t="s">
        <v>56</v>
      </c>
      <c r="E3342">
        <v>2.8</v>
      </c>
      <c r="F3342">
        <v>23.328301886792499</v>
      </c>
      <c r="G3342">
        <v>3511.0808449575502</v>
      </c>
      <c r="H3342">
        <v>138.24415164025601</v>
      </c>
      <c r="I3342" s="1">
        <f t="shared" si="105"/>
        <v>131.26456140527918</v>
      </c>
    </row>
    <row r="3343" spans="1:9" x14ac:dyDescent="0.45">
      <c r="A3343" t="s">
        <v>16</v>
      </c>
      <c r="B3343" t="s">
        <v>56</v>
      </c>
      <c r="C3343" t="str">
        <f t="shared" si="104"/>
        <v>BYUSaint Mary's</v>
      </c>
      <c r="D3343" t="s">
        <v>56</v>
      </c>
      <c r="E3343">
        <v>43.4</v>
      </c>
      <c r="F3343">
        <v>1.7471698113207501</v>
      </c>
      <c r="G3343">
        <v>130.54615999117999</v>
      </c>
      <c r="H3343">
        <v>138.50467211847899</v>
      </c>
      <c r="I3343" s="1">
        <f t="shared" si="105"/>
        <v>134.93297254013999</v>
      </c>
    </row>
    <row r="3344" spans="1:9" x14ac:dyDescent="0.45">
      <c r="A3344" t="s">
        <v>17</v>
      </c>
      <c r="B3344" t="s">
        <v>56</v>
      </c>
      <c r="C3344" t="str">
        <f t="shared" si="104"/>
        <v>ClemsonSaint Mary's</v>
      </c>
      <c r="D3344" t="s">
        <v>56</v>
      </c>
      <c r="E3344">
        <v>49.5</v>
      </c>
      <c r="F3344">
        <v>0.12075471698113199</v>
      </c>
      <c r="G3344">
        <v>101.885545618349</v>
      </c>
      <c r="H3344">
        <v>138.72658397476999</v>
      </c>
      <c r="I3344" s="1">
        <f t="shared" si="105"/>
        <v>138.05773236757571</v>
      </c>
    </row>
    <row r="3345" spans="1:9" x14ac:dyDescent="0.45">
      <c r="A3345" t="s">
        <v>18</v>
      </c>
      <c r="B3345" t="s">
        <v>56</v>
      </c>
      <c r="C3345" t="str">
        <f t="shared" si="104"/>
        <v>Colorado St.Saint Mary's</v>
      </c>
      <c r="D3345" t="s">
        <v>56</v>
      </c>
      <c r="E3345">
        <v>13.9</v>
      </c>
      <c r="F3345">
        <v>11.962264150943399</v>
      </c>
      <c r="G3345">
        <v>620.08911170757597</v>
      </c>
      <c r="H3345">
        <v>138.03397582287599</v>
      </c>
      <c r="I3345" s="1">
        <f t="shared" si="105"/>
        <v>128.30505774547322</v>
      </c>
    </row>
    <row r="3346" spans="1:9" x14ac:dyDescent="0.45">
      <c r="A3346" t="s">
        <v>19</v>
      </c>
      <c r="B3346" t="s">
        <v>56</v>
      </c>
      <c r="C3346" t="str">
        <f t="shared" si="104"/>
        <v>ConnecticutSaint Mary's</v>
      </c>
      <c r="D3346" t="s">
        <v>19</v>
      </c>
      <c r="E3346">
        <v>62.5</v>
      </c>
      <c r="F3346">
        <v>-3.3396226415094299</v>
      </c>
      <c r="G3346">
        <v>-166.47266629762501</v>
      </c>
      <c r="H3346">
        <v>138.66952772521199</v>
      </c>
      <c r="I3346" s="1">
        <f t="shared" si="105"/>
        <v>137.25431843781615</v>
      </c>
    </row>
    <row r="3347" spans="1:9" x14ac:dyDescent="0.45">
      <c r="A3347" t="s">
        <v>20</v>
      </c>
      <c r="B3347" t="s">
        <v>56</v>
      </c>
      <c r="C3347" t="str">
        <f t="shared" si="104"/>
        <v>CreightonSaint Mary's</v>
      </c>
      <c r="D3347" t="s">
        <v>56</v>
      </c>
      <c r="E3347">
        <v>34</v>
      </c>
      <c r="F3347">
        <v>4.3509433962264197</v>
      </c>
      <c r="G3347">
        <v>194.19457427838299</v>
      </c>
      <c r="H3347">
        <v>138.142470087476</v>
      </c>
      <c r="I3347" s="1">
        <f t="shared" si="105"/>
        <v>129.83277476427338</v>
      </c>
    </row>
    <row r="3348" spans="1:9" x14ac:dyDescent="0.45">
      <c r="A3348" t="s">
        <v>21</v>
      </c>
      <c r="B3348" t="s">
        <v>56</v>
      </c>
      <c r="C3348" t="str">
        <f t="shared" si="104"/>
        <v>DrakeSaint Mary's</v>
      </c>
      <c r="D3348" t="s">
        <v>56</v>
      </c>
      <c r="E3348">
        <v>13.8</v>
      </c>
      <c r="F3348">
        <v>12.011320754717</v>
      </c>
      <c r="G3348">
        <v>624.90212727354503</v>
      </c>
      <c r="H3348">
        <v>138.19593519163001</v>
      </c>
      <c r="I3348" s="1">
        <f t="shared" si="105"/>
        <v>130.58562146846685</v>
      </c>
    </row>
    <row r="3349" spans="1:9" x14ac:dyDescent="0.45">
      <c r="A3349" t="s">
        <v>22</v>
      </c>
      <c r="B3349" t="s">
        <v>56</v>
      </c>
      <c r="C3349" t="str">
        <f t="shared" si="104"/>
        <v>DukeSaint Mary's</v>
      </c>
      <c r="D3349" t="s">
        <v>22</v>
      </c>
      <c r="E3349">
        <v>89.7</v>
      </c>
      <c r="F3349">
        <v>-14.2</v>
      </c>
      <c r="G3349">
        <v>-872.36138496170804</v>
      </c>
      <c r="H3349">
        <v>140.48325565308599</v>
      </c>
      <c r="I3349" s="1">
        <f t="shared" si="105"/>
        <v>162.79357650921443</v>
      </c>
    </row>
    <row r="3350" spans="1:9" x14ac:dyDescent="0.45">
      <c r="A3350" t="s">
        <v>23</v>
      </c>
      <c r="B3350" t="s">
        <v>56</v>
      </c>
      <c r="C3350" t="str">
        <f t="shared" si="104"/>
        <v>FloridaSaint Mary's</v>
      </c>
      <c r="D3350" t="s">
        <v>23</v>
      </c>
      <c r="E3350">
        <v>82.8</v>
      </c>
      <c r="F3350">
        <v>-10.2981132075472</v>
      </c>
      <c r="G3350">
        <v>-481.22680240515399</v>
      </c>
      <c r="H3350">
        <v>140.207011929028</v>
      </c>
      <c r="I3350" s="1">
        <f t="shared" si="105"/>
        <v>158.903765005021</v>
      </c>
    </row>
    <row r="3351" spans="1:9" x14ac:dyDescent="0.45">
      <c r="A3351" t="s">
        <v>24</v>
      </c>
      <c r="B3351" t="s">
        <v>56</v>
      </c>
      <c r="C3351" t="str">
        <f t="shared" si="104"/>
        <v>GeorgiaSaint Mary's</v>
      </c>
      <c r="D3351" t="s">
        <v>56</v>
      </c>
      <c r="E3351">
        <v>15.3</v>
      </c>
      <c r="F3351">
        <v>11.207547169811299</v>
      </c>
      <c r="G3351">
        <v>552.69422184339896</v>
      </c>
      <c r="H3351">
        <v>137.348825453373</v>
      </c>
      <c r="I3351" s="1">
        <f t="shared" si="105"/>
        <v>118.65739679504514</v>
      </c>
    </row>
    <row r="3352" spans="1:9" x14ac:dyDescent="0.45">
      <c r="A3352" t="s">
        <v>25</v>
      </c>
      <c r="B3352" t="s">
        <v>56</v>
      </c>
      <c r="C3352" t="str">
        <f t="shared" si="104"/>
        <v>GonzagaSaint Mary's</v>
      </c>
      <c r="D3352" t="s">
        <v>25</v>
      </c>
      <c r="E3352">
        <v>50.5</v>
      </c>
      <c r="F3352">
        <v>-0.12075471698113199</v>
      </c>
      <c r="G3352">
        <v>-101.84420746713501</v>
      </c>
      <c r="H3352">
        <v>139.48646657290101</v>
      </c>
      <c r="I3352" s="1">
        <f t="shared" si="105"/>
        <v>148.75770422078566</v>
      </c>
    </row>
    <row r="3353" spans="1:9" x14ac:dyDescent="0.45">
      <c r="A3353" t="s">
        <v>26</v>
      </c>
      <c r="B3353" t="s">
        <v>56</v>
      </c>
      <c r="C3353" t="str">
        <f t="shared" si="104"/>
        <v>Grand CanyonSaint Mary's</v>
      </c>
      <c r="D3353" t="s">
        <v>56</v>
      </c>
      <c r="E3353">
        <v>9</v>
      </c>
      <c r="F3353">
        <v>15.128301886792499</v>
      </c>
      <c r="G3353">
        <v>1005.41709111303</v>
      </c>
      <c r="H3353">
        <v>138.138434819205</v>
      </c>
      <c r="I3353" s="1">
        <f t="shared" si="105"/>
        <v>129.77595380663334</v>
      </c>
    </row>
    <row r="3354" spans="1:9" x14ac:dyDescent="0.45">
      <c r="A3354" t="s">
        <v>27</v>
      </c>
      <c r="B3354" t="s">
        <v>56</v>
      </c>
      <c r="C3354" t="str">
        <f t="shared" si="104"/>
        <v>High PointSaint Mary's</v>
      </c>
      <c r="D3354" t="s">
        <v>56</v>
      </c>
      <c r="E3354">
        <v>6.1</v>
      </c>
      <c r="F3354">
        <v>17.9018867924528</v>
      </c>
      <c r="G3354">
        <v>1534.69589783382</v>
      </c>
      <c r="H3354">
        <v>138.419326566861</v>
      </c>
      <c r="I3354" s="1">
        <f t="shared" si="105"/>
        <v>133.73121452863234</v>
      </c>
    </row>
    <row r="3355" spans="1:9" x14ac:dyDescent="0.45">
      <c r="A3355" t="s">
        <v>28</v>
      </c>
      <c r="B3355" t="s">
        <v>56</v>
      </c>
      <c r="C3355" t="str">
        <f t="shared" si="104"/>
        <v>HoustonSaint Mary's</v>
      </c>
      <c r="D3355" t="s">
        <v>28</v>
      </c>
      <c r="E3355">
        <v>93.7</v>
      </c>
      <c r="F3355">
        <v>-17.713207547169802</v>
      </c>
      <c r="G3355">
        <v>-1491.02072270032</v>
      </c>
      <c r="H3355">
        <v>140.626920002715</v>
      </c>
      <c r="I3355" s="1">
        <f t="shared" si="105"/>
        <v>164.81652650322789</v>
      </c>
    </row>
    <row r="3356" spans="1:9" x14ac:dyDescent="0.45">
      <c r="A3356" t="s">
        <v>29</v>
      </c>
      <c r="B3356" t="s">
        <v>56</v>
      </c>
      <c r="C3356" t="str">
        <f t="shared" si="104"/>
        <v>IllinoisSaint Mary's</v>
      </c>
      <c r="D3356" t="s">
        <v>29</v>
      </c>
      <c r="E3356">
        <v>59.8</v>
      </c>
      <c r="F3356">
        <v>-2.6037735849056598</v>
      </c>
      <c r="G3356">
        <v>-148.72399103119801</v>
      </c>
      <c r="H3356">
        <v>138.67716515665199</v>
      </c>
      <c r="I3356" s="1">
        <f t="shared" si="105"/>
        <v>137.36186176311384</v>
      </c>
    </row>
    <row r="3357" spans="1:9" x14ac:dyDescent="0.45">
      <c r="A3357" t="s">
        <v>30</v>
      </c>
      <c r="B3357" t="s">
        <v>56</v>
      </c>
      <c r="C3357" t="str">
        <f t="shared" si="104"/>
        <v>Iowa St.Saint Mary's</v>
      </c>
      <c r="D3357" t="s">
        <v>30</v>
      </c>
      <c r="E3357">
        <v>75.8</v>
      </c>
      <c r="F3357">
        <v>-7.4867924528301897</v>
      </c>
      <c r="G3357">
        <v>-313.27187783511602</v>
      </c>
      <c r="H3357">
        <v>139.60343373500999</v>
      </c>
      <c r="I3357" s="1">
        <f t="shared" si="105"/>
        <v>150.4047288340538</v>
      </c>
    </row>
    <row r="3358" spans="1:9" x14ac:dyDescent="0.45">
      <c r="A3358" t="s">
        <v>31</v>
      </c>
      <c r="B3358" t="s">
        <v>56</v>
      </c>
      <c r="C3358" t="str">
        <f t="shared" si="104"/>
        <v>KansasSaint Mary's</v>
      </c>
      <c r="D3358" t="s">
        <v>56</v>
      </c>
      <c r="E3358">
        <v>47.6</v>
      </c>
      <c r="F3358">
        <v>0.61886792452830197</v>
      </c>
      <c r="G3358">
        <v>109.872770671829</v>
      </c>
      <c r="H3358">
        <v>138.558824019322</v>
      </c>
      <c r="I3358" s="1">
        <f t="shared" si="105"/>
        <v>135.69549008724942</v>
      </c>
    </row>
    <row r="3359" spans="1:9" x14ac:dyDescent="0.45">
      <c r="A3359" t="s">
        <v>32</v>
      </c>
      <c r="B3359" t="s">
        <v>56</v>
      </c>
      <c r="C3359" t="str">
        <f t="shared" si="104"/>
        <v>KentuckySaint Mary's</v>
      </c>
      <c r="D3359" t="s">
        <v>32</v>
      </c>
      <c r="E3359">
        <v>60.6</v>
      </c>
      <c r="F3359">
        <v>-2.8113207547169798</v>
      </c>
      <c r="G3359">
        <v>-153.53920505662401</v>
      </c>
      <c r="H3359">
        <v>138.50586161971401</v>
      </c>
      <c r="I3359" s="1">
        <f t="shared" si="105"/>
        <v>134.94972200876231</v>
      </c>
    </row>
    <row r="3360" spans="1:9" x14ac:dyDescent="0.45">
      <c r="A3360" t="s">
        <v>33</v>
      </c>
      <c r="B3360" t="s">
        <v>56</v>
      </c>
      <c r="C3360" t="str">
        <f t="shared" si="104"/>
        <v>LibertySaint Mary's</v>
      </c>
      <c r="D3360" t="s">
        <v>56</v>
      </c>
      <c r="E3360">
        <v>4.0999999999999996</v>
      </c>
      <c r="F3360">
        <v>20.679245283018901</v>
      </c>
      <c r="G3360">
        <v>2343.90923693883</v>
      </c>
      <c r="H3360">
        <v>137.71479786811301</v>
      </c>
      <c r="I3360" s="1">
        <f t="shared" si="105"/>
        <v>123.81068566677462</v>
      </c>
    </row>
    <row r="3361" spans="1:9" x14ac:dyDescent="0.45">
      <c r="A3361" t="s">
        <v>34</v>
      </c>
      <c r="B3361" t="s">
        <v>56</v>
      </c>
      <c r="C3361" t="str">
        <f t="shared" si="104"/>
        <v>LipscombSaint Mary's</v>
      </c>
      <c r="D3361" t="s">
        <v>56</v>
      </c>
      <c r="E3361">
        <v>3.2</v>
      </c>
      <c r="F3361">
        <v>22.4188679245283</v>
      </c>
      <c r="G3361">
        <v>3057.5293866409502</v>
      </c>
      <c r="H3361">
        <v>138.14671809937099</v>
      </c>
      <c r="I3361" s="1">
        <f t="shared" si="105"/>
        <v>129.89259138307773</v>
      </c>
    </row>
    <row r="3362" spans="1:9" x14ac:dyDescent="0.45">
      <c r="A3362" t="s">
        <v>35</v>
      </c>
      <c r="B3362" t="s">
        <v>56</v>
      </c>
      <c r="C3362" t="str">
        <f t="shared" si="104"/>
        <v>LouisvilleSaint Mary's</v>
      </c>
      <c r="D3362" t="s">
        <v>56</v>
      </c>
      <c r="E3362">
        <v>7.7</v>
      </c>
      <c r="F3362">
        <v>16.313207547169799</v>
      </c>
      <c r="G3362">
        <v>1204.3628988712301</v>
      </c>
      <c r="H3362">
        <v>137.432441411339</v>
      </c>
      <c r="I3362" s="1">
        <f t="shared" si="105"/>
        <v>119.83480025041573</v>
      </c>
    </row>
    <row r="3363" spans="1:9" x14ac:dyDescent="0.45">
      <c r="A3363" t="s">
        <v>36</v>
      </c>
      <c r="B3363" t="s">
        <v>56</v>
      </c>
      <c r="C3363" t="str">
        <f t="shared" si="104"/>
        <v>MarquetteSaint Mary's</v>
      </c>
      <c r="D3363" t="s">
        <v>36</v>
      </c>
      <c r="E3363">
        <v>53.9</v>
      </c>
      <c r="F3363">
        <v>-1.0301886792452799</v>
      </c>
      <c r="G3363">
        <v>-117.043698789218</v>
      </c>
      <c r="H3363">
        <v>138.76419804624399</v>
      </c>
      <c r="I3363" s="1">
        <f t="shared" si="105"/>
        <v>138.58737932494293</v>
      </c>
    </row>
    <row r="3364" spans="1:9" x14ac:dyDescent="0.45">
      <c r="A3364" t="s">
        <v>37</v>
      </c>
      <c r="B3364" t="s">
        <v>56</v>
      </c>
      <c r="C3364" t="str">
        <f t="shared" si="104"/>
        <v>MarylandSaint Mary's</v>
      </c>
      <c r="D3364" t="s">
        <v>56</v>
      </c>
      <c r="E3364">
        <v>44.3</v>
      </c>
      <c r="F3364">
        <v>1.5132075471698101</v>
      </c>
      <c r="G3364">
        <v>125.949463038456</v>
      </c>
      <c r="H3364">
        <v>138.37413735792299</v>
      </c>
      <c r="I3364" s="1">
        <f t="shared" si="105"/>
        <v>133.09490141277101</v>
      </c>
    </row>
    <row r="3365" spans="1:9" x14ac:dyDescent="0.45">
      <c r="A3365" t="s">
        <v>38</v>
      </c>
      <c r="B3365" t="s">
        <v>56</v>
      </c>
      <c r="C3365" t="str">
        <f t="shared" si="104"/>
        <v>McNeese St.Saint Mary's</v>
      </c>
      <c r="D3365" t="s">
        <v>56</v>
      </c>
      <c r="E3365">
        <v>12.4</v>
      </c>
      <c r="F3365">
        <v>12.8188679245283</v>
      </c>
      <c r="G3365">
        <v>706.87965436402601</v>
      </c>
      <c r="H3365">
        <v>138.209548972124</v>
      </c>
      <c r="I3365" s="1">
        <f t="shared" si="105"/>
        <v>130.77731827592063</v>
      </c>
    </row>
    <row r="3366" spans="1:9" x14ac:dyDescent="0.45">
      <c r="A3366" t="s">
        <v>39</v>
      </c>
      <c r="B3366" t="s">
        <v>56</v>
      </c>
      <c r="C3366" t="str">
        <f t="shared" si="104"/>
        <v>MemphisSaint Mary's</v>
      </c>
      <c r="D3366" t="s">
        <v>56</v>
      </c>
      <c r="E3366">
        <v>28.9</v>
      </c>
      <c r="F3366">
        <v>5.8981132075471701</v>
      </c>
      <c r="G3366">
        <v>245.90243237464099</v>
      </c>
      <c r="H3366">
        <v>137.35177217094201</v>
      </c>
      <c r="I3366" s="1">
        <f t="shared" si="105"/>
        <v>118.69888977715237</v>
      </c>
    </row>
    <row r="3367" spans="1:9" x14ac:dyDescent="0.45">
      <c r="A3367" t="s">
        <v>40</v>
      </c>
      <c r="B3367" t="s">
        <v>56</v>
      </c>
      <c r="C3367" t="str">
        <f t="shared" si="104"/>
        <v>MichiganSaint Mary's</v>
      </c>
      <c r="D3367" t="s">
        <v>56</v>
      </c>
      <c r="E3367">
        <v>17.7</v>
      </c>
      <c r="F3367">
        <v>10.086792452830201</v>
      </c>
      <c r="G3367">
        <v>465.83473025224498</v>
      </c>
      <c r="H3367">
        <v>137.00869325562601</v>
      </c>
      <c r="I3367" s="1">
        <f t="shared" si="105"/>
        <v>113.86796622877803</v>
      </c>
    </row>
    <row r="3368" spans="1:9" x14ac:dyDescent="0.45">
      <c r="A3368" t="s">
        <v>41</v>
      </c>
      <c r="B3368" t="s">
        <v>56</v>
      </c>
      <c r="C3368" t="str">
        <f t="shared" si="104"/>
        <v>Michigan St.Saint Mary's</v>
      </c>
      <c r="D3368" t="s">
        <v>41</v>
      </c>
      <c r="E3368">
        <v>67.3</v>
      </c>
      <c r="F3368">
        <v>-4.7358490566037696</v>
      </c>
      <c r="G3368">
        <v>-205.98802376136101</v>
      </c>
      <c r="H3368">
        <v>138.70758521645499</v>
      </c>
      <c r="I3368" s="1">
        <f t="shared" si="105"/>
        <v>137.79020922687408</v>
      </c>
    </row>
    <row r="3369" spans="1:9" x14ac:dyDescent="0.45">
      <c r="A3369" t="s">
        <v>42</v>
      </c>
      <c r="B3369" t="s">
        <v>56</v>
      </c>
      <c r="C3369" t="str">
        <f t="shared" si="104"/>
        <v>MississippiSaint Mary's</v>
      </c>
      <c r="D3369" t="s">
        <v>56</v>
      </c>
      <c r="E3369">
        <v>34.6</v>
      </c>
      <c r="F3369">
        <v>4.1735849056603804</v>
      </c>
      <c r="G3369">
        <v>189.006578043806</v>
      </c>
      <c r="H3369">
        <v>137.838506321549</v>
      </c>
      <c r="I3369" s="1">
        <f t="shared" si="105"/>
        <v>125.55263497976713</v>
      </c>
    </row>
    <row r="3370" spans="1:9" x14ac:dyDescent="0.45">
      <c r="A3370" t="s">
        <v>43</v>
      </c>
      <c r="B3370" t="s">
        <v>56</v>
      </c>
      <c r="C3370" t="str">
        <f t="shared" si="104"/>
        <v>Mississippi St.Saint Mary's</v>
      </c>
      <c r="D3370" t="s">
        <v>56</v>
      </c>
      <c r="E3370">
        <v>28.5</v>
      </c>
      <c r="F3370">
        <v>6.02264150943396</v>
      </c>
      <c r="G3370">
        <v>250.59257642846401</v>
      </c>
      <c r="H3370">
        <v>137.96287767533801</v>
      </c>
      <c r="I3370" s="1">
        <f t="shared" si="105"/>
        <v>127.30391864932484</v>
      </c>
    </row>
    <row r="3371" spans="1:9" x14ac:dyDescent="0.45">
      <c r="A3371" t="s">
        <v>44</v>
      </c>
      <c r="B3371" t="s">
        <v>56</v>
      </c>
      <c r="C3371" t="str">
        <f t="shared" si="104"/>
        <v>MissouriSaint Mary's</v>
      </c>
      <c r="D3371" t="s">
        <v>56</v>
      </c>
      <c r="E3371">
        <v>14.9</v>
      </c>
      <c r="F3371">
        <v>11.4339622641509</v>
      </c>
      <c r="G3371">
        <v>572.225414298126</v>
      </c>
      <c r="H3371">
        <v>137.22734961151201</v>
      </c>
      <c r="I3371" s="1">
        <f t="shared" si="105"/>
        <v>116.94688507658438</v>
      </c>
    </row>
    <row r="3372" spans="1:9" x14ac:dyDescent="0.45">
      <c r="A3372" t="s">
        <v>45</v>
      </c>
      <c r="B3372" t="s">
        <v>56</v>
      </c>
      <c r="C3372" t="str">
        <f t="shared" si="104"/>
        <v>MontanaSaint Mary's</v>
      </c>
      <c r="D3372" t="s">
        <v>56</v>
      </c>
      <c r="E3372">
        <v>1.7</v>
      </c>
      <c r="F3372">
        <v>26.690566037735799</v>
      </c>
      <c r="G3372">
        <v>5866.2317246941302</v>
      </c>
      <c r="H3372">
        <v>136.53608433653099</v>
      </c>
      <c r="I3372" s="1">
        <f t="shared" si="105"/>
        <v>107.21311961914314</v>
      </c>
    </row>
    <row r="3373" spans="1:9" x14ac:dyDescent="0.45">
      <c r="A3373" t="s">
        <v>46</v>
      </c>
      <c r="B3373" t="s">
        <v>56</v>
      </c>
      <c r="C3373" t="str">
        <f t="shared" si="104"/>
        <v>Mount St. Mary'sSaint Mary's</v>
      </c>
      <c r="D3373" t="s">
        <v>56</v>
      </c>
      <c r="E3373">
        <v>0.7</v>
      </c>
      <c r="F3373">
        <v>32.807547169811301</v>
      </c>
      <c r="G3373">
        <v>14912.8246102144</v>
      </c>
      <c r="H3373">
        <v>137.88395855847801</v>
      </c>
      <c r="I3373" s="1">
        <f t="shared" si="105"/>
        <v>126.19265181526515</v>
      </c>
    </row>
    <row r="3374" spans="1:9" x14ac:dyDescent="0.45">
      <c r="A3374" t="s">
        <v>47</v>
      </c>
      <c r="B3374" t="s">
        <v>56</v>
      </c>
      <c r="C3374" t="str">
        <f t="shared" si="104"/>
        <v>Nebraska OmahaSaint Mary's</v>
      </c>
      <c r="D3374" t="s">
        <v>56</v>
      </c>
      <c r="E3374">
        <v>0.9</v>
      </c>
      <c r="F3374">
        <v>31.094339622641499</v>
      </c>
      <c r="G3374">
        <v>11478.6165057629</v>
      </c>
      <c r="H3374">
        <v>137.16795973837799</v>
      </c>
      <c r="I3374" s="1">
        <f t="shared" si="105"/>
        <v>116.11061119366781</v>
      </c>
    </row>
    <row r="3375" spans="1:9" x14ac:dyDescent="0.45">
      <c r="A3375" t="s">
        <v>48</v>
      </c>
      <c r="B3375" t="s">
        <v>56</v>
      </c>
      <c r="C3375" t="str">
        <f t="shared" si="104"/>
        <v>New MexicoSaint Mary's</v>
      </c>
      <c r="D3375" t="s">
        <v>56</v>
      </c>
      <c r="E3375">
        <v>18.2</v>
      </c>
      <c r="F3375">
        <v>9.8452830188679208</v>
      </c>
      <c r="G3375">
        <v>449.00793877751101</v>
      </c>
      <c r="H3375">
        <v>138.04570408565399</v>
      </c>
      <c r="I3375" s="1">
        <f t="shared" si="105"/>
        <v>128.47020441670952</v>
      </c>
    </row>
    <row r="3376" spans="1:9" x14ac:dyDescent="0.45">
      <c r="A3376" t="s">
        <v>49</v>
      </c>
      <c r="B3376" t="s">
        <v>56</v>
      </c>
      <c r="C3376" t="str">
        <f t="shared" si="104"/>
        <v>Norfolk St.Saint Mary's</v>
      </c>
      <c r="D3376" t="s">
        <v>56</v>
      </c>
      <c r="E3376">
        <v>1.3</v>
      </c>
      <c r="F3376">
        <v>28.558490566037701</v>
      </c>
      <c r="G3376">
        <v>7800.2210621840004</v>
      </c>
      <c r="H3376">
        <v>137.05806774785501</v>
      </c>
      <c r="I3376" s="1">
        <f t="shared" si="105"/>
        <v>114.56321267660584</v>
      </c>
    </row>
    <row r="3377" spans="1:9" x14ac:dyDescent="0.45">
      <c r="A3377" t="s">
        <v>50</v>
      </c>
      <c r="B3377" t="s">
        <v>56</v>
      </c>
      <c r="C3377" t="str">
        <f t="shared" si="104"/>
        <v>North CarolinaSaint Mary's</v>
      </c>
      <c r="D3377" t="s">
        <v>56</v>
      </c>
      <c r="E3377">
        <v>43.2</v>
      </c>
      <c r="F3377">
        <v>1.80377358490566</v>
      </c>
      <c r="G3377">
        <v>131.692483161995</v>
      </c>
      <c r="H3377">
        <v>139.12999917981099</v>
      </c>
      <c r="I3377" s="1">
        <f t="shared" si="105"/>
        <v>143.73825637182642</v>
      </c>
    </row>
    <row r="3378" spans="1:9" x14ac:dyDescent="0.45">
      <c r="A3378" t="s">
        <v>51</v>
      </c>
      <c r="B3378" t="s">
        <v>56</v>
      </c>
      <c r="C3378" t="str">
        <f t="shared" si="104"/>
        <v>OklahomaSaint Mary's</v>
      </c>
      <c r="D3378" t="s">
        <v>56</v>
      </c>
      <c r="E3378">
        <v>19.899999999999999</v>
      </c>
      <c r="F3378">
        <v>9.1094339622641503</v>
      </c>
      <c r="G3378">
        <v>401.39273587475901</v>
      </c>
      <c r="H3378">
        <v>137.47260247531599</v>
      </c>
      <c r="I3378" s="1">
        <f t="shared" si="105"/>
        <v>120.40031162704909</v>
      </c>
    </row>
    <row r="3379" spans="1:9" x14ac:dyDescent="0.45">
      <c r="A3379" t="s">
        <v>52</v>
      </c>
      <c r="B3379" t="s">
        <v>56</v>
      </c>
      <c r="C3379" t="str">
        <f t="shared" si="104"/>
        <v>OregonSaint Mary's</v>
      </c>
      <c r="D3379" t="s">
        <v>56</v>
      </c>
      <c r="E3379">
        <v>45.1</v>
      </c>
      <c r="F3379">
        <v>1.2867924528301899</v>
      </c>
      <c r="G3379">
        <v>121.65924081864701</v>
      </c>
      <c r="H3379">
        <v>138.066980263456</v>
      </c>
      <c r="I3379" s="1">
        <f t="shared" si="105"/>
        <v>128.76979609598382</v>
      </c>
    </row>
    <row r="3380" spans="1:9" x14ac:dyDescent="0.45">
      <c r="A3380" t="s">
        <v>53</v>
      </c>
      <c r="B3380" t="s">
        <v>56</v>
      </c>
      <c r="C3380" t="str">
        <f t="shared" si="104"/>
        <v>PurdueSaint Mary's</v>
      </c>
      <c r="D3380" t="s">
        <v>53</v>
      </c>
      <c r="E3380">
        <v>81.3</v>
      </c>
      <c r="F3380">
        <v>-9.6264150943396203</v>
      </c>
      <c r="G3380">
        <v>-434.17275602582203</v>
      </c>
      <c r="H3380">
        <v>139.41496759224501</v>
      </c>
      <c r="I3380" s="1">
        <f t="shared" si="105"/>
        <v>147.75092095922119</v>
      </c>
    </row>
    <row r="3381" spans="1:9" x14ac:dyDescent="0.45">
      <c r="A3381" t="s">
        <v>54</v>
      </c>
      <c r="B3381" t="s">
        <v>56</v>
      </c>
      <c r="C3381" t="str">
        <f t="shared" si="104"/>
        <v>Robert MorrisSaint Mary's</v>
      </c>
      <c r="D3381" t="s">
        <v>56</v>
      </c>
      <c r="E3381">
        <v>0.5</v>
      </c>
      <c r="F3381">
        <v>34.316981132075497</v>
      </c>
      <c r="G3381">
        <v>18772.340073358999</v>
      </c>
      <c r="H3381">
        <v>136.47360444100801</v>
      </c>
      <c r="I3381" s="1">
        <f t="shared" si="105"/>
        <v>106.33333486669358</v>
      </c>
    </row>
    <row r="3382" spans="1:9" x14ac:dyDescent="0.45">
      <c r="A3382" t="s">
        <v>55</v>
      </c>
      <c r="B3382" t="s">
        <v>56</v>
      </c>
      <c r="C3382" t="str">
        <f t="shared" si="104"/>
        <v>Saint FrancisSaint Mary's</v>
      </c>
      <c r="D3382" t="s">
        <v>56</v>
      </c>
      <c r="E3382">
        <v>0.4</v>
      </c>
      <c r="F3382">
        <v>37.045283018867899</v>
      </c>
      <c r="G3382">
        <v>28453.3452502279</v>
      </c>
      <c r="H3382">
        <v>137.52645997421499</v>
      </c>
      <c r="I3382" s="1">
        <f t="shared" si="105"/>
        <v>121.15868367520613</v>
      </c>
    </row>
    <row r="3383" spans="1:9" x14ac:dyDescent="0.45">
      <c r="A3383" t="s">
        <v>56</v>
      </c>
      <c r="B3383" t="s">
        <v>56</v>
      </c>
      <c r="C3383" t="str">
        <f t="shared" si="104"/>
        <v>Saint Mary'sSaint Mary's</v>
      </c>
      <c r="D3383" t="s">
        <v>56</v>
      </c>
      <c r="E3383">
        <v>41.2</v>
      </c>
      <c r="F3383">
        <v>2.3283018867924499</v>
      </c>
      <c r="G3383">
        <v>142.64273539779199</v>
      </c>
      <c r="H3383">
        <v>138.77771517530499</v>
      </c>
      <c r="I3383" s="1">
        <f t="shared" si="105"/>
        <v>138.77771517530277</v>
      </c>
    </row>
    <row r="3384" spans="1:9" x14ac:dyDescent="0.45">
      <c r="A3384" t="s">
        <v>57</v>
      </c>
      <c r="B3384" t="s">
        <v>56</v>
      </c>
      <c r="C3384" t="str">
        <f t="shared" si="104"/>
        <v>San Diego St.Saint Mary's</v>
      </c>
      <c r="D3384" t="s">
        <v>56</v>
      </c>
      <c r="E3384">
        <v>16.899999999999999</v>
      </c>
      <c r="F3384">
        <v>10.422641509433999</v>
      </c>
      <c r="G3384">
        <v>490.219682723088</v>
      </c>
      <c r="H3384">
        <v>137.92397005510301</v>
      </c>
      <c r="I3384" s="1">
        <f t="shared" si="105"/>
        <v>126.75605712122332</v>
      </c>
    </row>
    <row r="3385" spans="1:9" x14ac:dyDescent="0.45">
      <c r="A3385" t="s">
        <v>58</v>
      </c>
      <c r="B3385" t="s">
        <v>56</v>
      </c>
      <c r="C3385" t="str">
        <f t="shared" si="104"/>
        <v>SIU EdwardsvilleSaint Mary's</v>
      </c>
      <c r="D3385" t="s">
        <v>56</v>
      </c>
      <c r="E3385">
        <v>1</v>
      </c>
      <c r="F3385">
        <v>30.018867924528301</v>
      </c>
      <c r="G3385">
        <v>9744.6829460505105</v>
      </c>
      <c r="H3385">
        <v>138.07165782195099</v>
      </c>
      <c r="I3385" s="1">
        <f t="shared" si="105"/>
        <v>128.83566119719976</v>
      </c>
    </row>
    <row r="3386" spans="1:9" x14ac:dyDescent="0.45">
      <c r="A3386" t="s">
        <v>59</v>
      </c>
      <c r="B3386" t="s">
        <v>56</v>
      </c>
      <c r="C3386" t="str">
        <f t="shared" si="104"/>
        <v>St. John'sSaint Mary's</v>
      </c>
      <c r="D3386" t="s">
        <v>59</v>
      </c>
      <c r="E3386">
        <v>68.7</v>
      </c>
      <c r="F3386">
        <v>-5.1396226415094297</v>
      </c>
      <c r="G3386">
        <v>-218.99782124298201</v>
      </c>
      <c r="H3386">
        <v>139.04934059449599</v>
      </c>
      <c r="I3386" s="1">
        <f t="shared" si="105"/>
        <v>142.60249593368371</v>
      </c>
    </row>
    <row r="3387" spans="1:9" x14ac:dyDescent="0.45">
      <c r="A3387" t="s">
        <v>60</v>
      </c>
      <c r="B3387" t="s">
        <v>56</v>
      </c>
      <c r="C3387" t="str">
        <f t="shared" si="104"/>
        <v>TennesseeSaint Mary's</v>
      </c>
      <c r="D3387" t="s">
        <v>60</v>
      </c>
      <c r="E3387">
        <v>81.400000000000006</v>
      </c>
      <c r="F3387">
        <v>-9.6830188679245293</v>
      </c>
      <c r="G3387">
        <v>-438.10604177097002</v>
      </c>
      <c r="H3387">
        <v>139.64332347118699</v>
      </c>
      <c r="I3387" s="1">
        <f t="shared" si="105"/>
        <v>150.96641962073016</v>
      </c>
    </row>
    <row r="3388" spans="1:9" x14ac:dyDescent="0.45">
      <c r="A3388" t="s">
        <v>61</v>
      </c>
      <c r="B3388" t="s">
        <v>56</v>
      </c>
      <c r="C3388" t="str">
        <f t="shared" si="104"/>
        <v>TexasSaint Mary's</v>
      </c>
      <c r="D3388" t="s">
        <v>56</v>
      </c>
      <c r="E3388">
        <v>15.2</v>
      </c>
      <c r="F3388">
        <v>11.267924528301901</v>
      </c>
      <c r="G3388">
        <v>557.93996705763698</v>
      </c>
      <c r="H3388">
        <v>137.399038002259</v>
      </c>
      <c r="I3388" s="1">
        <f t="shared" si="105"/>
        <v>119.36444399033516</v>
      </c>
    </row>
    <row r="3389" spans="1:9" x14ac:dyDescent="0.45">
      <c r="A3389" t="s">
        <v>62</v>
      </c>
      <c r="B3389" t="s">
        <v>56</v>
      </c>
      <c r="C3389" t="str">
        <f t="shared" si="104"/>
        <v>Texas A&amp;MSaint Mary's</v>
      </c>
      <c r="D3389" t="s">
        <v>62</v>
      </c>
      <c r="E3389">
        <v>50.9</v>
      </c>
      <c r="F3389">
        <v>-0.22641509433962301</v>
      </c>
      <c r="G3389">
        <v>-103.51741077696001</v>
      </c>
      <c r="H3389">
        <v>138.19683702985299</v>
      </c>
      <c r="I3389" s="1">
        <f t="shared" si="105"/>
        <v>130.59832032961421</v>
      </c>
    </row>
    <row r="3390" spans="1:9" x14ac:dyDescent="0.45">
      <c r="A3390" t="s">
        <v>63</v>
      </c>
      <c r="B3390" t="s">
        <v>56</v>
      </c>
      <c r="C3390" t="str">
        <f t="shared" si="104"/>
        <v>Texas TechSaint Mary's</v>
      </c>
      <c r="D3390" t="s">
        <v>63</v>
      </c>
      <c r="E3390">
        <v>67.099999999999994</v>
      </c>
      <c r="F3390">
        <v>-4.6792452830188704</v>
      </c>
      <c r="G3390">
        <v>-204.14085700608101</v>
      </c>
      <c r="H3390">
        <v>139.23662114891701</v>
      </c>
      <c r="I3390" s="1">
        <f t="shared" si="105"/>
        <v>145.23960943764763</v>
      </c>
    </row>
    <row r="3391" spans="1:9" x14ac:dyDescent="0.45">
      <c r="A3391" t="s">
        <v>64</v>
      </c>
      <c r="B3391" t="s">
        <v>56</v>
      </c>
      <c r="C3391" t="str">
        <f t="shared" si="104"/>
        <v>TroySaint Mary's</v>
      </c>
      <c r="D3391" t="s">
        <v>56</v>
      </c>
      <c r="E3391">
        <v>2.8</v>
      </c>
      <c r="F3391">
        <v>23.267924528301901</v>
      </c>
      <c r="G3391">
        <v>3479.6132133594901</v>
      </c>
      <c r="H3391">
        <v>137.940185568646</v>
      </c>
      <c r="I3391" s="1">
        <f t="shared" si="105"/>
        <v>126.98438915425325</v>
      </c>
    </row>
    <row r="3392" spans="1:9" x14ac:dyDescent="0.45">
      <c r="A3392" t="s">
        <v>65</v>
      </c>
      <c r="B3392" t="s">
        <v>56</v>
      </c>
      <c r="C3392" t="str">
        <f t="shared" si="104"/>
        <v>UC San DiegoSaint Mary's</v>
      </c>
      <c r="D3392" t="s">
        <v>56</v>
      </c>
      <c r="E3392">
        <v>6.9</v>
      </c>
      <c r="F3392">
        <v>17.109433962264099</v>
      </c>
      <c r="G3392">
        <v>1359.51746891429</v>
      </c>
      <c r="H3392">
        <v>138.02830731203699</v>
      </c>
      <c r="I3392" s="1">
        <f t="shared" si="105"/>
        <v>128.2252389595501</v>
      </c>
    </row>
    <row r="3393" spans="1:9" x14ac:dyDescent="0.45">
      <c r="A3393" t="s">
        <v>66</v>
      </c>
      <c r="B3393" t="s">
        <v>56</v>
      </c>
      <c r="C3393" t="str">
        <f t="shared" si="104"/>
        <v>UCLASaint Mary's</v>
      </c>
      <c r="D3393" t="s">
        <v>56</v>
      </c>
      <c r="E3393">
        <v>22.6</v>
      </c>
      <c r="F3393">
        <v>8.0641509433962302</v>
      </c>
      <c r="G3393">
        <v>342.12280863799703</v>
      </c>
      <c r="H3393">
        <v>137.49976182514601</v>
      </c>
      <c r="I3393" s="1">
        <f t="shared" si="105"/>
        <v>120.78274475480779</v>
      </c>
    </row>
    <row r="3394" spans="1:9" x14ac:dyDescent="0.45">
      <c r="A3394" t="s">
        <v>67</v>
      </c>
      <c r="B3394" t="s">
        <v>56</v>
      </c>
      <c r="C3394" t="str">
        <f t="shared" si="104"/>
        <v>UNC WilmingtonSaint Mary's</v>
      </c>
      <c r="D3394" t="s">
        <v>56</v>
      </c>
      <c r="E3394">
        <v>4.2</v>
      </c>
      <c r="F3394">
        <v>20.4679245283019</v>
      </c>
      <c r="G3394">
        <v>2269.98497230779</v>
      </c>
      <c r="H3394">
        <v>138.61477749906601</v>
      </c>
      <c r="I3394" s="1">
        <f t="shared" si="105"/>
        <v>136.48337582094376</v>
      </c>
    </row>
    <row r="3395" spans="1:9" x14ac:dyDescent="0.45">
      <c r="A3395" t="s">
        <v>68</v>
      </c>
      <c r="B3395" t="s">
        <v>56</v>
      </c>
      <c r="C3395" t="str">
        <f t="shared" ref="C3395:C3458" si="106">A3395&amp;B3395</f>
        <v>Utah St.Saint Mary's</v>
      </c>
      <c r="D3395" t="s">
        <v>56</v>
      </c>
      <c r="E3395">
        <v>18.3</v>
      </c>
      <c r="F3395">
        <v>9.8226415094339607</v>
      </c>
      <c r="G3395">
        <v>447.55248848535803</v>
      </c>
      <c r="H3395">
        <v>137.98614790289301</v>
      </c>
      <c r="I3395" s="1">
        <f t="shared" ref="I3395:I3458" si="107">18*(H3395-AVERAGE($H$2:$H$4625))/_xlfn.STDEV.P($H$2:$H$4625)+AVERAGE($H$2:$H$4625)</f>
        <v>127.63158871371206</v>
      </c>
    </row>
    <row r="3396" spans="1:9" x14ac:dyDescent="0.45">
      <c r="A3396" t="s">
        <v>69</v>
      </c>
      <c r="B3396" t="s">
        <v>56</v>
      </c>
      <c r="C3396" t="str">
        <f t="shared" si="106"/>
        <v>VanderbiltSaint Mary's</v>
      </c>
      <c r="D3396" t="s">
        <v>56</v>
      </c>
      <c r="E3396">
        <v>4.5999999999999996</v>
      </c>
      <c r="F3396">
        <v>19.947169811320801</v>
      </c>
      <c r="G3396">
        <v>2096.2060274178698</v>
      </c>
      <c r="H3396">
        <v>136.56071839149101</v>
      </c>
      <c r="I3396" s="1">
        <f t="shared" si="107"/>
        <v>107.55999385386167</v>
      </c>
    </row>
    <row r="3397" spans="1:9" x14ac:dyDescent="0.45">
      <c r="A3397" t="s">
        <v>70</v>
      </c>
      <c r="B3397" t="s">
        <v>56</v>
      </c>
      <c r="C3397" t="str">
        <f t="shared" si="106"/>
        <v>VCUSaint Mary's</v>
      </c>
      <c r="D3397" t="s">
        <v>56</v>
      </c>
      <c r="E3397">
        <v>12.8</v>
      </c>
      <c r="F3397">
        <v>12.6</v>
      </c>
      <c r="G3397">
        <v>683.44552309533697</v>
      </c>
      <c r="H3397">
        <v>138.40562955336699</v>
      </c>
      <c r="I3397" s="1">
        <f t="shared" si="107"/>
        <v>133.53834571018669</v>
      </c>
    </row>
    <row r="3398" spans="1:9" x14ac:dyDescent="0.45">
      <c r="A3398" t="s">
        <v>71</v>
      </c>
      <c r="B3398" t="s">
        <v>56</v>
      </c>
      <c r="C3398" t="str">
        <f t="shared" si="106"/>
        <v>WisconsinSaint Mary's</v>
      </c>
      <c r="D3398" t="s">
        <v>71</v>
      </c>
      <c r="E3398">
        <v>64.3</v>
      </c>
      <c r="F3398">
        <v>-3.86415094339623</v>
      </c>
      <c r="G3398">
        <v>-180.27559052547099</v>
      </c>
      <c r="H3398">
        <v>139.20630840863299</v>
      </c>
      <c r="I3398" s="1">
        <f t="shared" si="107"/>
        <v>144.81277314921255</v>
      </c>
    </row>
    <row r="3399" spans="1:9" x14ac:dyDescent="0.45">
      <c r="A3399" t="s">
        <v>80</v>
      </c>
      <c r="B3399" t="s">
        <v>56</v>
      </c>
      <c r="C3399" t="str">
        <f t="shared" si="106"/>
        <v>WoffordSaint Mary's</v>
      </c>
      <c r="D3399" t="s">
        <v>56</v>
      </c>
      <c r="E3399">
        <v>1.5</v>
      </c>
      <c r="F3399">
        <v>27.520754716981099</v>
      </c>
      <c r="G3399">
        <v>6657.9136085720002</v>
      </c>
      <c r="H3399">
        <v>137.23576414772799</v>
      </c>
      <c r="I3399" s="1">
        <f t="shared" si="107"/>
        <v>117.06537088069445</v>
      </c>
    </row>
    <row r="3400" spans="1:9" x14ac:dyDescent="0.45">
      <c r="A3400" t="s">
        <v>72</v>
      </c>
      <c r="B3400" t="s">
        <v>56</v>
      </c>
      <c r="C3400" t="str">
        <f t="shared" si="106"/>
        <v>XavierSaint Mary's</v>
      </c>
      <c r="D3400" t="s">
        <v>56</v>
      </c>
      <c r="E3400">
        <v>12.6</v>
      </c>
      <c r="F3400">
        <v>12.675471698113199</v>
      </c>
      <c r="G3400">
        <v>691.446546068001</v>
      </c>
      <c r="H3400">
        <v>137.81167771788</v>
      </c>
      <c r="I3400" s="1">
        <f t="shared" si="107"/>
        <v>125.1748591169887</v>
      </c>
    </row>
    <row r="3401" spans="1:9" x14ac:dyDescent="0.45">
      <c r="A3401" t="s">
        <v>73</v>
      </c>
      <c r="B3401" t="s">
        <v>56</v>
      </c>
      <c r="C3401" t="str">
        <f t="shared" si="106"/>
        <v>YaleSaint Mary's</v>
      </c>
      <c r="D3401" t="s">
        <v>56</v>
      </c>
      <c r="E3401">
        <v>7.5</v>
      </c>
      <c r="F3401">
        <v>16.498113207547199</v>
      </c>
      <c r="G3401">
        <v>1238.9968199539601</v>
      </c>
      <c r="H3401">
        <v>138.61091235194201</v>
      </c>
      <c r="I3401" s="1">
        <f t="shared" si="107"/>
        <v>136.42895035372413</v>
      </c>
    </row>
    <row r="3402" spans="1:9" x14ac:dyDescent="0.45">
      <c r="A3402" t="s">
        <v>7</v>
      </c>
      <c r="B3402" t="s">
        <v>57</v>
      </c>
      <c r="C3402" t="str">
        <f t="shared" si="106"/>
        <v>AkronSan Diego St.</v>
      </c>
      <c r="D3402" t="s">
        <v>57</v>
      </c>
      <c r="E3402">
        <v>12.4</v>
      </c>
      <c r="F3402">
        <v>12.8</v>
      </c>
      <c r="G3402">
        <v>704.85030762200404</v>
      </c>
      <c r="H3402">
        <v>138.24712292759</v>
      </c>
      <c r="I3402" s="1">
        <f t="shared" si="107"/>
        <v>131.30640035634835</v>
      </c>
    </row>
    <row r="3403" spans="1:9" x14ac:dyDescent="0.45">
      <c r="A3403" t="s">
        <v>8</v>
      </c>
      <c r="B3403" t="s">
        <v>57</v>
      </c>
      <c r="C3403" t="str">
        <f t="shared" si="106"/>
        <v>AlabamaSan Diego St.</v>
      </c>
      <c r="D3403" t="s">
        <v>8</v>
      </c>
      <c r="E3403">
        <v>91.3</v>
      </c>
      <c r="F3403">
        <v>-15.373584905660399</v>
      </c>
      <c r="G3403">
        <v>-1043.3422136156901</v>
      </c>
      <c r="H3403">
        <v>139.995218939729</v>
      </c>
      <c r="I3403" s="1">
        <f t="shared" si="107"/>
        <v>155.92148980911531</v>
      </c>
    </row>
    <row r="3404" spans="1:9" x14ac:dyDescent="0.45">
      <c r="A3404" t="s">
        <v>9</v>
      </c>
      <c r="B3404" t="s">
        <v>57</v>
      </c>
      <c r="C3404" t="str">
        <f t="shared" si="106"/>
        <v>Alabama St.San Diego St.</v>
      </c>
      <c r="D3404" t="s">
        <v>57</v>
      </c>
      <c r="E3404">
        <v>2.2000000000000002</v>
      </c>
      <c r="F3404">
        <v>24.939622641509398</v>
      </c>
      <c r="G3404">
        <v>4491.1816509636601</v>
      </c>
      <c r="H3404">
        <v>138.47396378340301</v>
      </c>
      <c r="I3404" s="1">
        <f t="shared" si="107"/>
        <v>134.50056584760597</v>
      </c>
    </row>
    <row r="3405" spans="1:9" x14ac:dyDescent="0.45">
      <c r="A3405" t="s">
        <v>10</v>
      </c>
      <c r="B3405" t="s">
        <v>57</v>
      </c>
      <c r="C3405" t="str">
        <f t="shared" si="106"/>
        <v>AmericanSan Diego St.</v>
      </c>
      <c r="D3405" t="s">
        <v>57</v>
      </c>
      <c r="E3405">
        <v>2.6</v>
      </c>
      <c r="F3405">
        <v>23.679245283018901</v>
      </c>
      <c r="G3405">
        <v>3703.93196645138</v>
      </c>
      <c r="H3405">
        <v>138.565049665007</v>
      </c>
      <c r="I3405" s="1">
        <f t="shared" si="107"/>
        <v>135.78315393658789</v>
      </c>
    </row>
    <row r="3406" spans="1:9" x14ac:dyDescent="0.45">
      <c r="A3406" t="s">
        <v>11</v>
      </c>
      <c r="B3406" t="s">
        <v>57</v>
      </c>
      <c r="C3406" t="str">
        <f t="shared" si="106"/>
        <v>ArizonaSan Diego St.</v>
      </c>
      <c r="D3406" t="s">
        <v>11</v>
      </c>
      <c r="E3406">
        <v>88.1</v>
      </c>
      <c r="F3406">
        <v>-13.1320754716981</v>
      </c>
      <c r="G3406">
        <v>-741.29073112353694</v>
      </c>
      <c r="H3406">
        <v>139.75757775872</v>
      </c>
      <c r="I3406" s="1">
        <f t="shared" si="107"/>
        <v>152.57524401507567</v>
      </c>
    </row>
    <row r="3407" spans="1:9" x14ac:dyDescent="0.45">
      <c r="A3407" t="s">
        <v>12</v>
      </c>
      <c r="B3407" t="s">
        <v>57</v>
      </c>
      <c r="C3407" t="str">
        <f t="shared" si="106"/>
        <v>ArkansasSan Diego St.</v>
      </c>
      <c r="D3407" t="s">
        <v>57</v>
      </c>
      <c r="E3407">
        <v>31</v>
      </c>
      <c r="F3407">
        <v>5.2603773584905698</v>
      </c>
      <c r="G3407">
        <v>223.10000025739001</v>
      </c>
      <c r="H3407">
        <v>137.87518159257701</v>
      </c>
      <c r="I3407" s="1">
        <f t="shared" si="107"/>
        <v>126.06906260776344</v>
      </c>
    </row>
    <row r="3408" spans="1:9" x14ac:dyDescent="0.45">
      <c r="A3408" t="s">
        <v>13</v>
      </c>
      <c r="B3408" t="s">
        <v>57</v>
      </c>
      <c r="C3408" t="str">
        <f t="shared" si="106"/>
        <v>AuburnSan Diego St.</v>
      </c>
      <c r="D3408" t="s">
        <v>13</v>
      </c>
      <c r="E3408">
        <v>95.3</v>
      </c>
      <c r="F3408">
        <v>-19.784905660377401</v>
      </c>
      <c r="G3408">
        <v>-2044.6929527278801</v>
      </c>
      <c r="H3408">
        <v>141.01390099783899</v>
      </c>
      <c r="I3408" s="1">
        <f t="shared" si="107"/>
        <v>170.26563899210211</v>
      </c>
    </row>
    <row r="3409" spans="1:9" x14ac:dyDescent="0.45">
      <c r="A3409" t="s">
        <v>14</v>
      </c>
      <c r="B3409" t="s">
        <v>57</v>
      </c>
      <c r="C3409" t="str">
        <f t="shared" si="106"/>
        <v>BaylorSan Diego St.</v>
      </c>
      <c r="D3409" t="s">
        <v>14</v>
      </c>
      <c r="E3409">
        <v>68.400000000000006</v>
      </c>
      <c r="F3409">
        <v>-5.0528301886792502</v>
      </c>
      <c r="G3409">
        <v>-216.09285199339701</v>
      </c>
      <c r="H3409">
        <v>139.54889901056401</v>
      </c>
      <c r="I3409" s="1">
        <f t="shared" si="107"/>
        <v>149.63682071505005</v>
      </c>
    </row>
    <row r="3410" spans="1:9" x14ac:dyDescent="0.45">
      <c r="A3410" t="s">
        <v>15</v>
      </c>
      <c r="B3410" t="s">
        <v>57</v>
      </c>
      <c r="C3410" t="str">
        <f t="shared" si="106"/>
        <v>BryantSan Diego St.</v>
      </c>
      <c r="D3410" t="s">
        <v>57</v>
      </c>
      <c r="E3410">
        <v>8.9</v>
      </c>
      <c r="F3410">
        <v>15.2339622641509</v>
      </c>
      <c r="G3410">
        <v>1021.64436390132</v>
      </c>
      <c r="H3410">
        <v>139.09789676045801</v>
      </c>
      <c r="I3410" s="1">
        <f t="shared" si="107"/>
        <v>143.28621945935905</v>
      </c>
    </row>
    <row r="3411" spans="1:9" x14ac:dyDescent="0.45">
      <c r="A3411" t="s">
        <v>16</v>
      </c>
      <c r="B3411" t="s">
        <v>57</v>
      </c>
      <c r="C3411" t="str">
        <f t="shared" si="106"/>
        <v>BYUSan Diego St.</v>
      </c>
      <c r="D3411" t="s">
        <v>16</v>
      </c>
      <c r="E3411">
        <v>72.5</v>
      </c>
      <c r="F3411">
        <v>-6.3471698113207502</v>
      </c>
      <c r="G3411">
        <v>-263.25521575864798</v>
      </c>
      <c r="H3411">
        <v>139.358417238681</v>
      </c>
      <c r="I3411" s="1">
        <f t="shared" si="107"/>
        <v>146.95463059421982</v>
      </c>
    </row>
    <row r="3412" spans="1:9" x14ac:dyDescent="0.45">
      <c r="A3412" t="s">
        <v>17</v>
      </c>
      <c r="B3412" t="s">
        <v>57</v>
      </c>
      <c r="C3412" t="str">
        <f t="shared" si="106"/>
        <v>ClemsonSan Diego St.</v>
      </c>
      <c r="D3412" t="s">
        <v>17</v>
      </c>
      <c r="E3412">
        <v>77.099999999999994</v>
      </c>
      <c r="F3412">
        <v>-7.9698113207547197</v>
      </c>
      <c r="G3412">
        <v>-337.30945156514599</v>
      </c>
      <c r="H3412">
        <v>139.580329094973</v>
      </c>
      <c r="I3412" s="1">
        <f t="shared" si="107"/>
        <v>150.07939042166956</v>
      </c>
    </row>
    <row r="3413" spans="1:9" x14ac:dyDescent="0.45">
      <c r="A3413" t="s">
        <v>18</v>
      </c>
      <c r="B3413" t="s">
        <v>57</v>
      </c>
      <c r="C3413" t="str">
        <f t="shared" si="106"/>
        <v>Colorado St.San Diego St.</v>
      </c>
      <c r="D3413" t="s">
        <v>57</v>
      </c>
      <c r="E3413">
        <v>35.700000000000003</v>
      </c>
      <c r="F3413">
        <v>3.8679245283018902</v>
      </c>
      <c r="G3413">
        <v>180.431774165051</v>
      </c>
      <c r="H3413">
        <v>138.88772094307799</v>
      </c>
      <c r="I3413" s="1">
        <f t="shared" si="107"/>
        <v>140.32671579955306</v>
      </c>
    </row>
    <row r="3414" spans="1:9" x14ac:dyDescent="0.45">
      <c r="A3414" t="s">
        <v>19</v>
      </c>
      <c r="B3414" t="s">
        <v>57</v>
      </c>
      <c r="C3414" t="str">
        <f t="shared" si="106"/>
        <v>ConnecticutSan Diego St.</v>
      </c>
      <c r="D3414" t="s">
        <v>19</v>
      </c>
      <c r="E3414">
        <v>85.1</v>
      </c>
      <c r="F3414">
        <v>-11.4339622641509</v>
      </c>
      <c r="G3414">
        <v>-572.11590500494196</v>
      </c>
      <c r="H3414">
        <v>139.523272845414</v>
      </c>
      <c r="I3414" s="1">
        <f t="shared" si="107"/>
        <v>149.27597649189599</v>
      </c>
    </row>
    <row r="3415" spans="1:9" x14ac:dyDescent="0.45">
      <c r="A3415" t="s">
        <v>20</v>
      </c>
      <c r="B3415" t="s">
        <v>57</v>
      </c>
      <c r="C3415" t="str">
        <f t="shared" si="106"/>
        <v>CreightonSan Diego St.</v>
      </c>
      <c r="D3415" t="s">
        <v>20</v>
      </c>
      <c r="E3415">
        <v>63.9</v>
      </c>
      <c r="F3415">
        <v>-3.74339622641509</v>
      </c>
      <c r="G3415">
        <v>-176.97176989958001</v>
      </c>
      <c r="H3415">
        <v>138.99621520767801</v>
      </c>
      <c r="I3415" s="1">
        <f t="shared" si="107"/>
        <v>141.85443281835325</v>
      </c>
    </row>
    <row r="3416" spans="1:9" x14ac:dyDescent="0.45">
      <c r="A3416" t="s">
        <v>21</v>
      </c>
      <c r="B3416" t="s">
        <v>57</v>
      </c>
      <c r="C3416" t="str">
        <f t="shared" si="106"/>
        <v>DrakeSan Diego St.</v>
      </c>
      <c r="D3416" t="s">
        <v>57</v>
      </c>
      <c r="E3416">
        <v>35.5</v>
      </c>
      <c r="F3416">
        <v>3.9207547169811301</v>
      </c>
      <c r="G3416">
        <v>181.83225180811201</v>
      </c>
      <c r="H3416">
        <v>139.04968031183199</v>
      </c>
      <c r="I3416" s="1">
        <f t="shared" si="107"/>
        <v>142.60727952254629</v>
      </c>
    </row>
    <row r="3417" spans="1:9" x14ac:dyDescent="0.45">
      <c r="A3417" t="s">
        <v>22</v>
      </c>
      <c r="B3417" t="s">
        <v>57</v>
      </c>
      <c r="C3417" t="str">
        <f t="shared" si="106"/>
        <v>DukeSan Diego St.</v>
      </c>
      <c r="D3417" t="s">
        <v>22</v>
      </c>
      <c r="E3417">
        <v>96.8</v>
      </c>
      <c r="F3417">
        <v>-22.2905660377359</v>
      </c>
      <c r="G3417">
        <v>-2998.0406654654098</v>
      </c>
      <c r="H3417">
        <v>141.337000773288</v>
      </c>
      <c r="I3417" s="1">
        <f t="shared" si="107"/>
        <v>174.81523456329427</v>
      </c>
    </row>
    <row r="3418" spans="1:9" x14ac:dyDescent="0.45">
      <c r="A3418" t="s">
        <v>23</v>
      </c>
      <c r="B3418" t="s">
        <v>57</v>
      </c>
      <c r="C3418" t="str">
        <f t="shared" si="106"/>
        <v>FloridaSan Diego St.</v>
      </c>
      <c r="D3418" t="s">
        <v>23</v>
      </c>
      <c r="E3418">
        <v>94.3</v>
      </c>
      <c r="F3418">
        <v>-18.392452830188699</v>
      </c>
      <c r="G3418">
        <v>-1653.8301073308901</v>
      </c>
      <c r="H3418">
        <v>141.060757049231</v>
      </c>
      <c r="I3418" s="1">
        <f t="shared" si="107"/>
        <v>170.92542305911485</v>
      </c>
    </row>
    <row r="3419" spans="1:9" x14ac:dyDescent="0.45">
      <c r="A3419" t="s">
        <v>24</v>
      </c>
      <c r="B3419" t="s">
        <v>57</v>
      </c>
      <c r="C3419" t="str">
        <f t="shared" si="106"/>
        <v>GeorgiaSan Diego St.</v>
      </c>
      <c r="D3419" t="s">
        <v>57</v>
      </c>
      <c r="E3419">
        <v>38.299999999999997</v>
      </c>
      <c r="F3419">
        <v>3.11320754716981</v>
      </c>
      <c r="G3419">
        <v>160.82139991679901</v>
      </c>
      <c r="H3419">
        <v>138.202570573575</v>
      </c>
      <c r="I3419" s="1">
        <f t="shared" si="107"/>
        <v>130.67905484912498</v>
      </c>
    </row>
    <row r="3420" spans="1:9" x14ac:dyDescent="0.45">
      <c r="A3420" t="s">
        <v>25</v>
      </c>
      <c r="B3420" t="s">
        <v>57</v>
      </c>
      <c r="C3420" t="str">
        <f t="shared" si="106"/>
        <v>GonzagaSan Diego St.</v>
      </c>
      <c r="D3420" t="s">
        <v>25</v>
      </c>
      <c r="E3420">
        <v>77.8</v>
      </c>
      <c r="F3420">
        <v>-8.2113207547169793</v>
      </c>
      <c r="G3420">
        <v>-350.00755511658701</v>
      </c>
      <c r="H3420">
        <v>140.34021169310401</v>
      </c>
      <c r="I3420" s="1">
        <f t="shared" si="107"/>
        <v>160.77936227487953</v>
      </c>
    </row>
    <row r="3421" spans="1:9" x14ac:dyDescent="0.45">
      <c r="A3421" t="s">
        <v>26</v>
      </c>
      <c r="B3421" t="s">
        <v>57</v>
      </c>
      <c r="C3421" t="str">
        <f t="shared" si="106"/>
        <v>Grand CanyonSan Diego St.</v>
      </c>
      <c r="D3421" t="s">
        <v>57</v>
      </c>
      <c r="E3421">
        <v>25.5</v>
      </c>
      <c r="F3421">
        <v>7.0377358490565998</v>
      </c>
      <c r="G3421">
        <v>292.55341869466503</v>
      </c>
      <c r="H3421">
        <v>138.992179939408</v>
      </c>
      <c r="I3421" s="1">
        <f t="shared" si="107"/>
        <v>141.79761186072719</v>
      </c>
    </row>
    <row r="3422" spans="1:9" x14ac:dyDescent="0.45">
      <c r="A3422" t="s">
        <v>27</v>
      </c>
      <c r="B3422" t="s">
        <v>57</v>
      </c>
      <c r="C3422" t="str">
        <f t="shared" si="106"/>
        <v>High PointSan Diego St.</v>
      </c>
      <c r="D3422" t="s">
        <v>57</v>
      </c>
      <c r="E3422">
        <v>18.3</v>
      </c>
      <c r="F3422">
        <v>9.8113207547169807</v>
      </c>
      <c r="G3422">
        <v>446.56146741142601</v>
      </c>
      <c r="H3422">
        <v>139.273071687064</v>
      </c>
      <c r="I3422" s="1">
        <f t="shared" si="107"/>
        <v>145.75287258272618</v>
      </c>
    </row>
    <row r="3423" spans="1:9" x14ac:dyDescent="0.45">
      <c r="A3423" t="s">
        <v>28</v>
      </c>
      <c r="B3423" t="s">
        <v>57</v>
      </c>
      <c r="C3423" t="str">
        <f t="shared" si="106"/>
        <v>HoustonSan Diego St.</v>
      </c>
      <c r="D3423" t="s">
        <v>28</v>
      </c>
      <c r="E3423">
        <v>98.1</v>
      </c>
      <c r="F3423">
        <v>-25.803773584905699</v>
      </c>
      <c r="G3423">
        <v>-5124.18458309383</v>
      </c>
      <c r="H3423">
        <v>141.480665122918</v>
      </c>
      <c r="I3423" s="1">
        <f t="shared" si="107"/>
        <v>176.83818455732177</v>
      </c>
    </row>
    <row r="3424" spans="1:9" x14ac:dyDescent="0.45">
      <c r="A3424" t="s">
        <v>29</v>
      </c>
      <c r="B3424" t="s">
        <v>57</v>
      </c>
      <c r="C3424" t="str">
        <f t="shared" si="106"/>
        <v>IllinoisSan Diego St.</v>
      </c>
      <c r="D3424" t="s">
        <v>29</v>
      </c>
      <c r="E3424">
        <v>83.6</v>
      </c>
      <c r="F3424">
        <v>-10.6943396226415</v>
      </c>
      <c r="G3424">
        <v>-511.11910812216502</v>
      </c>
      <c r="H3424">
        <v>139.530910276854</v>
      </c>
      <c r="I3424" s="1">
        <f t="shared" si="107"/>
        <v>149.38351981719367</v>
      </c>
    </row>
    <row r="3425" spans="1:9" x14ac:dyDescent="0.45">
      <c r="A3425" t="s">
        <v>30</v>
      </c>
      <c r="B3425" t="s">
        <v>57</v>
      </c>
      <c r="C3425" t="str">
        <f t="shared" si="106"/>
        <v>Iowa St.San Diego St.</v>
      </c>
      <c r="D3425" t="s">
        <v>30</v>
      </c>
      <c r="E3425">
        <v>91.5</v>
      </c>
      <c r="F3425">
        <v>-15.577358490566001</v>
      </c>
      <c r="G3425">
        <v>-1076.62013161852</v>
      </c>
      <c r="H3425">
        <v>140.45717885521299</v>
      </c>
      <c r="I3425" s="1">
        <f t="shared" si="107"/>
        <v>162.42638688814765</v>
      </c>
    </row>
    <row r="3426" spans="1:9" x14ac:dyDescent="0.45">
      <c r="A3426" t="s">
        <v>31</v>
      </c>
      <c r="B3426" t="s">
        <v>57</v>
      </c>
      <c r="C3426" t="str">
        <f t="shared" si="106"/>
        <v>KansasSan Diego St.</v>
      </c>
      <c r="D3426" t="s">
        <v>31</v>
      </c>
      <c r="E3426">
        <v>75.8</v>
      </c>
      <c r="F3426">
        <v>-7.4754716981132097</v>
      </c>
      <c r="G3426">
        <v>-312.78866733587103</v>
      </c>
      <c r="H3426">
        <v>139.41256913952401</v>
      </c>
      <c r="I3426" s="1">
        <f t="shared" si="107"/>
        <v>147.71714814132926</v>
      </c>
    </row>
    <row r="3427" spans="1:9" x14ac:dyDescent="0.45">
      <c r="A3427" t="s">
        <v>32</v>
      </c>
      <c r="B3427" t="s">
        <v>57</v>
      </c>
      <c r="C3427" t="str">
        <f t="shared" si="106"/>
        <v>KentuckySan Diego St.</v>
      </c>
      <c r="D3427" t="s">
        <v>32</v>
      </c>
      <c r="E3427">
        <v>84.1</v>
      </c>
      <c r="F3427">
        <v>-10.9018867924528</v>
      </c>
      <c r="G3427">
        <v>-527.66753370588299</v>
      </c>
      <c r="H3427">
        <v>139.35960673991701</v>
      </c>
      <c r="I3427" s="1">
        <f t="shared" si="107"/>
        <v>146.97138006285616</v>
      </c>
    </row>
    <row r="3428" spans="1:9" x14ac:dyDescent="0.45">
      <c r="A3428" t="s">
        <v>33</v>
      </c>
      <c r="B3428" t="s">
        <v>57</v>
      </c>
      <c r="C3428" t="str">
        <f t="shared" si="106"/>
        <v>LibertySan Diego St.</v>
      </c>
      <c r="D3428" t="s">
        <v>57</v>
      </c>
      <c r="E3428">
        <v>12.8</v>
      </c>
      <c r="F3428">
        <v>12.5849056603774</v>
      </c>
      <c r="G3428">
        <v>682.02407382725596</v>
      </c>
      <c r="H3428">
        <v>138.56854298831499</v>
      </c>
      <c r="I3428" s="1">
        <f t="shared" si="107"/>
        <v>135.83234372085406</v>
      </c>
    </row>
    <row r="3429" spans="1:9" x14ac:dyDescent="0.45">
      <c r="A3429" t="s">
        <v>34</v>
      </c>
      <c r="B3429" t="s">
        <v>57</v>
      </c>
      <c r="C3429" t="str">
        <f t="shared" si="106"/>
        <v>LipscombSan Diego St.</v>
      </c>
      <c r="D3429" t="s">
        <v>57</v>
      </c>
      <c r="E3429">
        <v>10.1</v>
      </c>
      <c r="F3429">
        <v>14.3283018867925</v>
      </c>
      <c r="G3429">
        <v>889.67124462841798</v>
      </c>
      <c r="H3429">
        <v>139.00046321957299</v>
      </c>
      <c r="I3429" s="1">
        <f t="shared" si="107"/>
        <v>141.91424943715759</v>
      </c>
    </row>
    <row r="3430" spans="1:9" x14ac:dyDescent="0.45">
      <c r="A3430" t="s">
        <v>35</v>
      </c>
      <c r="B3430" t="s">
        <v>57</v>
      </c>
      <c r="C3430" t="str">
        <f t="shared" si="106"/>
        <v>LouisvilleSan Diego St.</v>
      </c>
      <c r="D3430" t="s">
        <v>57</v>
      </c>
      <c r="E3430">
        <v>22.2</v>
      </c>
      <c r="F3430">
        <v>8.2188679245283005</v>
      </c>
      <c r="G3430">
        <v>350.44210659254099</v>
      </c>
      <c r="H3430">
        <v>138.28618653154101</v>
      </c>
      <c r="I3430" s="1">
        <f t="shared" si="107"/>
        <v>131.85645830449556</v>
      </c>
    </row>
    <row r="3431" spans="1:9" x14ac:dyDescent="0.45">
      <c r="A3431" t="s">
        <v>36</v>
      </c>
      <c r="B3431" t="s">
        <v>57</v>
      </c>
      <c r="C3431" t="str">
        <f t="shared" si="106"/>
        <v>MarquetteSan Diego St.</v>
      </c>
      <c r="D3431" t="s">
        <v>36</v>
      </c>
      <c r="E3431">
        <v>80.099999999999994</v>
      </c>
      <c r="F3431">
        <v>-9.1245283018867909</v>
      </c>
      <c r="G3431">
        <v>-402.24358236806103</v>
      </c>
      <c r="H3431">
        <v>139.617943166446</v>
      </c>
      <c r="I3431" s="1">
        <f t="shared" si="107"/>
        <v>150.60903737902277</v>
      </c>
    </row>
    <row r="3432" spans="1:9" x14ac:dyDescent="0.45">
      <c r="A3432" t="s">
        <v>37</v>
      </c>
      <c r="B3432" t="s">
        <v>57</v>
      </c>
      <c r="C3432" t="str">
        <f t="shared" si="106"/>
        <v>MarylandSan Diego St.</v>
      </c>
      <c r="D3432" t="s">
        <v>37</v>
      </c>
      <c r="E3432">
        <v>73.2</v>
      </c>
      <c r="F3432">
        <v>-6.5811320754717002</v>
      </c>
      <c r="G3432">
        <v>-272.86307290129298</v>
      </c>
      <c r="H3432">
        <v>139.227882478125</v>
      </c>
      <c r="I3432" s="1">
        <f t="shared" si="107"/>
        <v>145.11655946685084</v>
      </c>
    </row>
    <row r="3433" spans="1:9" x14ac:dyDescent="0.45">
      <c r="A3433" t="s">
        <v>38</v>
      </c>
      <c r="B3433" t="s">
        <v>57</v>
      </c>
      <c r="C3433" t="str">
        <f t="shared" si="106"/>
        <v>McNeese St.San Diego St.</v>
      </c>
      <c r="D3433" t="s">
        <v>57</v>
      </c>
      <c r="E3433">
        <v>32.700000000000003</v>
      </c>
      <c r="F3433">
        <v>4.7283018867924502</v>
      </c>
      <c r="G3433">
        <v>205.68584055097401</v>
      </c>
      <c r="H3433">
        <v>139.063294092326</v>
      </c>
      <c r="I3433" s="1">
        <f t="shared" si="107"/>
        <v>142.79897633000047</v>
      </c>
    </row>
    <row r="3434" spans="1:9" x14ac:dyDescent="0.45">
      <c r="A3434" t="s">
        <v>39</v>
      </c>
      <c r="B3434" t="s">
        <v>57</v>
      </c>
      <c r="C3434" t="str">
        <f t="shared" si="106"/>
        <v>MemphisSan Diego St.</v>
      </c>
      <c r="D3434" t="s">
        <v>39</v>
      </c>
      <c r="E3434">
        <v>58.3</v>
      </c>
      <c r="F3434">
        <v>-2.19622641509434</v>
      </c>
      <c r="G3434">
        <v>-139.75850984093401</v>
      </c>
      <c r="H3434">
        <v>138.20551729114499</v>
      </c>
      <c r="I3434" s="1">
        <f t="shared" si="107"/>
        <v>130.72054783124582</v>
      </c>
    </row>
    <row r="3435" spans="1:9" x14ac:dyDescent="0.45">
      <c r="A3435" t="s">
        <v>40</v>
      </c>
      <c r="B3435" t="s">
        <v>57</v>
      </c>
      <c r="C3435" t="str">
        <f t="shared" si="106"/>
        <v>MichiganSan Diego St.</v>
      </c>
      <c r="D3435" t="s">
        <v>57</v>
      </c>
      <c r="E3435">
        <v>42.5</v>
      </c>
      <c r="F3435">
        <v>1.9924528301886799</v>
      </c>
      <c r="G3435">
        <v>135.54727096506099</v>
      </c>
      <c r="H3435">
        <v>137.86243837582799</v>
      </c>
      <c r="I3435" s="1">
        <f t="shared" si="107"/>
        <v>125.88962428285748</v>
      </c>
    </row>
    <row r="3436" spans="1:9" x14ac:dyDescent="0.45">
      <c r="A3436" t="s">
        <v>41</v>
      </c>
      <c r="B3436" t="s">
        <v>57</v>
      </c>
      <c r="C3436" t="str">
        <f t="shared" si="106"/>
        <v>Michigan St.San Diego St.</v>
      </c>
      <c r="D3436" t="s">
        <v>41</v>
      </c>
      <c r="E3436">
        <v>87.6</v>
      </c>
      <c r="F3436">
        <v>-12.8301886792453</v>
      </c>
      <c r="G3436">
        <v>-707.91816611933405</v>
      </c>
      <c r="H3436">
        <v>139.56133033665699</v>
      </c>
      <c r="I3436" s="1">
        <f t="shared" si="107"/>
        <v>149.81186728095392</v>
      </c>
    </row>
    <row r="3437" spans="1:9" x14ac:dyDescent="0.45">
      <c r="A3437" t="s">
        <v>42</v>
      </c>
      <c r="B3437" t="s">
        <v>57</v>
      </c>
      <c r="C3437" t="str">
        <f t="shared" si="106"/>
        <v>MississippiSan Diego St.</v>
      </c>
      <c r="D3437" t="s">
        <v>42</v>
      </c>
      <c r="E3437">
        <v>64.5</v>
      </c>
      <c r="F3437">
        <v>-3.9207547169811301</v>
      </c>
      <c r="G3437">
        <v>-181.829425571505</v>
      </c>
      <c r="H3437">
        <v>138.69225144175201</v>
      </c>
      <c r="I3437" s="1">
        <f t="shared" si="107"/>
        <v>137.57429303386098</v>
      </c>
    </row>
    <row r="3438" spans="1:9" x14ac:dyDescent="0.45">
      <c r="A3438" t="s">
        <v>43</v>
      </c>
      <c r="B3438" t="s">
        <v>57</v>
      </c>
      <c r="C3438" t="str">
        <f t="shared" si="106"/>
        <v>Mississippi St.San Diego St.</v>
      </c>
      <c r="D3438" t="s">
        <v>43</v>
      </c>
      <c r="E3438">
        <v>57.8</v>
      </c>
      <c r="F3438">
        <v>-2.07169811320755</v>
      </c>
      <c r="G3438">
        <v>-137.14275979261299</v>
      </c>
      <c r="H3438">
        <v>138.81662279554101</v>
      </c>
      <c r="I3438" s="1">
        <f t="shared" si="107"/>
        <v>139.3255767034187</v>
      </c>
    </row>
    <row r="3439" spans="1:9" x14ac:dyDescent="0.45">
      <c r="A3439" t="s">
        <v>44</v>
      </c>
      <c r="B3439" t="s">
        <v>57</v>
      </c>
      <c r="C3439" t="str">
        <f t="shared" si="106"/>
        <v>MissouriSan Diego St.</v>
      </c>
      <c r="D3439" t="s">
        <v>57</v>
      </c>
      <c r="E3439">
        <v>37.5</v>
      </c>
      <c r="F3439">
        <v>3.34339622641509</v>
      </c>
      <c r="G3439">
        <v>166.50453100171899</v>
      </c>
      <c r="H3439">
        <v>138.08109473171501</v>
      </c>
      <c r="I3439" s="1">
        <f t="shared" si="107"/>
        <v>128.96854313067823</v>
      </c>
    </row>
    <row r="3440" spans="1:9" x14ac:dyDescent="0.45">
      <c r="A3440" t="s">
        <v>45</v>
      </c>
      <c r="B3440" t="s">
        <v>57</v>
      </c>
      <c r="C3440" t="str">
        <f t="shared" si="106"/>
        <v>MontanaSan Diego St.</v>
      </c>
      <c r="D3440" t="s">
        <v>57</v>
      </c>
      <c r="E3440">
        <v>5.5</v>
      </c>
      <c r="F3440">
        <v>18.600000000000001</v>
      </c>
      <c r="G3440">
        <v>1706.93949912319</v>
      </c>
      <c r="H3440">
        <v>137.38982945673399</v>
      </c>
      <c r="I3440" s="1">
        <f t="shared" si="107"/>
        <v>119.23477767323699</v>
      </c>
    </row>
    <row r="3441" spans="1:9" x14ac:dyDescent="0.45">
      <c r="A3441" t="s">
        <v>46</v>
      </c>
      <c r="B3441" t="s">
        <v>57</v>
      </c>
      <c r="C3441" t="str">
        <f t="shared" si="106"/>
        <v>Mount St. Mary'sSan Diego St.</v>
      </c>
      <c r="D3441" t="s">
        <v>57</v>
      </c>
      <c r="E3441">
        <v>2.2999999999999998</v>
      </c>
      <c r="F3441">
        <v>24.7169811320755</v>
      </c>
      <c r="G3441">
        <v>4339.2914847731299</v>
      </c>
      <c r="H3441">
        <v>138.73770367868099</v>
      </c>
      <c r="I3441" s="1">
        <f t="shared" si="107"/>
        <v>138.2143098693586</v>
      </c>
    </row>
    <row r="3442" spans="1:9" x14ac:dyDescent="0.45">
      <c r="A3442" t="s">
        <v>47</v>
      </c>
      <c r="B3442" t="s">
        <v>57</v>
      </c>
      <c r="C3442" t="str">
        <f t="shared" si="106"/>
        <v>Nebraska OmahaSan Diego St.</v>
      </c>
      <c r="D3442" t="s">
        <v>57</v>
      </c>
      <c r="E3442">
        <v>2.9</v>
      </c>
      <c r="F3442">
        <v>23</v>
      </c>
      <c r="G3442">
        <v>3340.0153332667301</v>
      </c>
      <c r="H3442">
        <v>138.02170485857999</v>
      </c>
      <c r="I3442" s="1">
        <f t="shared" si="107"/>
        <v>128.13226924774764</v>
      </c>
    </row>
    <row r="3443" spans="1:9" x14ac:dyDescent="0.45">
      <c r="A3443" t="s">
        <v>48</v>
      </c>
      <c r="B3443" t="s">
        <v>57</v>
      </c>
      <c r="C3443" t="str">
        <f t="shared" si="106"/>
        <v>New MexicoSan Diego St.</v>
      </c>
      <c r="D3443" t="s">
        <v>57</v>
      </c>
      <c r="E3443">
        <v>43.4</v>
      </c>
      <c r="F3443">
        <v>1.75094339622642</v>
      </c>
      <c r="G3443">
        <v>130.65105882076</v>
      </c>
      <c r="H3443">
        <v>138.899449205856</v>
      </c>
      <c r="I3443" s="1">
        <f t="shared" si="107"/>
        <v>140.49186247078936</v>
      </c>
    </row>
    <row r="3444" spans="1:9" x14ac:dyDescent="0.45">
      <c r="A3444" t="s">
        <v>49</v>
      </c>
      <c r="B3444" t="s">
        <v>57</v>
      </c>
      <c r="C3444" t="str">
        <f t="shared" si="106"/>
        <v>Norfolk St.San Diego St.</v>
      </c>
      <c r="D3444" t="s">
        <v>57</v>
      </c>
      <c r="E3444">
        <v>4.2</v>
      </c>
      <c r="F3444">
        <v>20.4679245283019</v>
      </c>
      <c r="G3444">
        <v>2269.68624114976</v>
      </c>
      <c r="H3444">
        <v>137.91181286805701</v>
      </c>
      <c r="I3444" s="1">
        <f t="shared" si="107"/>
        <v>126.58487073068568</v>
      </c>
    </row>
    <row r="3445" spans="1:9" x14ac:dyDescent="0.45">
      <c r="A3445" t="s">
        <v>50</v>
      </c>
      <c r="B3445" t="s">
        <v>57</v>
      </c>
      <c r="C3445" t="str">
        <f t="shared" si="106"/>
        <v>North CarolinaSan Diego St.</v>
      </c>
      <c r="D3445" t="s">
        <v>50</v>
      </c>
      <c r="E3445">
        <v>72.3</v>
      </c>
      <c r="F3445">
        <v>-6.2867924528301904</v>
      </c>
      <c r="G3445">
        <v>-260.96369883667597</v>
      </c>
      <c r="H3445">
        <v>139.983744300013</v>
      </c>
      <c r="I3445" s="1">
        <f t="shared" si="107"/>
        <v>155.75991442590626</v>
      </c>
    </row>
    <row r="3446" spans="1:9" x14ac:dyDescent="0.45">
      <c r="A3446" t="s">
        <v>51</v>
      </c>
      <c r="B3446" t="s">
        <v>57</v>
      </c>
      <c r="C3446" t="str">
        <f t="shared" si="106"/>
        <v>OklahomaSan Diego St.</v>
      </c>
      <c r="D3446" t="s">
        <v>57</v>
      </c>
      <c r="E3446">
        <v>46.1</v>
      </c>
      <c r="F3446">
        <v>1.0188679245283001</v>
      </c>
      <c r="G3446">
        <v>116.79612188546299</v>
      </c>
      <c r="H3446">
        <v>138.326347595518</v>
      </c>
      <c r="I3446" s="1">
        <f t="shared" si="107"/>
        <v>132.42196968112893</v>
      </c>
    </row>
    <row r="3447" spans="1:9" x14ac:dyDescent="0.45">
      <c r="A3447" t="s">
        <v>52</v>
      </c>
      <c r="B3447" t="s">
        <v>57</v>
      </c>
      <c r="C3447" t="str">
        <f t="shared" si="106"/>
        <v>OregonSan Diego St.</v>
      </c>
      <c r="D3447" t="s">
        <v>52</v>
      </c>
      <c r="E3447">
        <v>73.900000000000006</v>
      </c>
      <c r="F3447">
        <v>-6.8075471698113201</v>
      </c>
      <c r="G3447">
        <v>-282.48538527517599</v>
      </c>
      <c r="H3447">
        <v>138.92072538365801</v>
      </c>
      <c r="I3447" s="1">
        <f t="shared" si="107"/>
        <v>140.79145415006366</v>
      </c>
    </row>
    <row r="3448" spans="1:9" x14ac:dyDescent="0.45">
      <c r="A3448" t="s">
        <v>53</v>
      </c>
      <c r="B3448" t="s">
        <v>57</v>
      </c>
      <c r="C3448" t="str">
        <f t="shared" si="106"/>
        <v>PurdueSan Diego St.</v>
      </c>
      <c r="D3448" t="s">
        <v>53</v>
      </c>
      <c r="E3448">
        <v>93.7</v>
      </c>
      <c r="F3448">
        <v>-17.7169811320755</v>
      </c>
      <c r="G3448">
        <v>-1492.11966604843</v>
      </c>
      <c r="H3448">
        <v>140.26871271244801</v>
      </c>
      <c r="I3448" s="1">
        <f t="shared" si="107"/>
        <v>159.77257901331504</v>
      </c>
    </row>
    <row r="3449" spans="1:9" x14ac:dyDescent="0.45">
      <c r="A3449" t="s">
        <v>54</v>
      </c>
      <c r="B3449" t="s">
        <v>57</v>
      </c>
      <c r="C3449" t="str">
        <f t="shared" si="106"/>
        <v>Robert MorrisSan Diego St.</v>
      </c>
      <c r="D3449" t="s">
        <v>57</v>
      </c>
      <c r="E3449">
        <v>1.8</v>
      </c>
      <c r="F3449">
        <v>26.2264150943396</v>
      </c>
      <c r="G3449">
        <v>5462.3223674070496</v>
      </c>
      <c r="H3449">
        <v>137.32734956121001</v>
      </c>
      <c r="I3449" s="1">
        <f t="shared" si="107"/>
        <v>118.35499292077343</v>
      </c>
    </row>
    <row r="3450" spans="1:9" x14ac:dyDescent="0.45">
      <c r="A3450" t="s">
        <v>55</v>
      </c>
      <c r="B3450" t="s">
        <v>57</v>
      </c>
      <c r="C3450" t="str">
        <f t="shared" si="106"/>
        <v>Saint FrancisSan Diego St.</v>
      </c>
      <c r="D3450" t="s">
        <v>57</v>
      </c>
      <c r="E3450">
        <v>1.2</v>
      </c>
      <c r="F3450">
        <v>28.9509433962264</v>
      </c>
      <c r="G3450">
        <v>8279.2738454830796</v>
      </c>
      <c r="H3450">
        <v>138.38020509441799</v>
      </c>
      <c r="I3450" s="1">
        <f t="shared" si="107"/>
        <v>133.18034172929998</v>
      </c>
    </row>
    <row r="3451" spans="1:9" x14ac:dyDescent="0.45">
      <c r="A3451" t="s">
        <v>56</v>
      </c>
      <c r="B3451" t="s">
        <v>57</v>
      </c>
      <c r="C3451" t="str">
        <f t="shared" si="106"/>
        <v>Saint Mary'sSan Diego St.</v>
      </c>
      <c r="D3451" t="s">
        <v>56</v>
      </c>
      <c r="E3451">
        <v>70.7</v>
      </c>
      <c r="F3451">
        <v>-5.7660377358490598</v>
      </c>
      <c r="G3451">
        <v>-240.930303384192</v>
      </c>
      <c r="H3451">
        <v>139.63146029550799</v>
      </c>
      <c r="I3451" s="1">
        <f t="shared" si="107"/>
        <v>150.79937322939662</v>
      </c>
    </row>
    <row r="3452" spans="1:9" x14ac:dyDescent="0.45">
      <c r="A3452" t="s">
        <v>57</v>
      </c>
      <c r="B3452" t="s">
        <v>57</v>
      </c>
      <c r="C3452" t="str">
        <f t="shared" si="106"/>
        <v>San Diego St.San Diego St.</v>
      </c>
      <c r="D3452" t="s">
        <v>57</v>
      </c>
      <c r="E3452">
        <v>41.2</v>
      </c>
      <c r="F3452">
        <v>2.3283018867924499</v>
      </c>
      <c r="G3452">
        <v>142.64273539779199</v>
      </c>
      <c r="H3452">
        <v>138.77771517530499</v>
      </c>
      <c r="I3452" s="1">
        <f t="shared" si="107"/>
        <v>138.77771517530277</v>
      </c>
    </row>
    <row r="3453" spans="1:9" x14ac:dyDescent="0.45">
      <c r="A3453" t="s">
        <v>58</v>
      </c>
      <c r="B3453" t="s">
        <v>57</v>
      </c>
      <c r="C3453" t="str">
        <f t="shared" si="106"/>
        <v>SIU EdwardsvilleSan Diego St.</v>
      </c>
      <c r="D3453" t="s">
        <v>57</v>
      </c>
      <c r="E3453">
        <v>3.4</v>
      </c>
      <c r="F3453">
        <v>21.9283018867925</v>
      </c>
      <c r="G3453">
        <v>2835.48025507175</v>
      </c>
      <c r="H3453">
        <v>138.92540294215399</v>
      </c>
      <c r="I3453" s="1">
        <f t="shared" si="107"/>
        <v>140.8573192512936</v>
      </c>
    </row>
    <row r="3454" spans="1:9" x14ac:dyDescent="0.45">
      <c r="A3454" t="s">
        <v>59</v>
      </c>
      <c r="B3454" t="s">
        <v>57</v>
      </c>
      <c r="C3454" t="str">
        <f t="shared" si="106"/>
        <v>St. John'sSan Diego St.</v>
      </c>
      <c r="D3454" t="s">
        <v>59</v>
      </c>
      <c r="E3454">
        <v>88.3</v>
      </c>
      <c r="F3454">
        <v>-13.2301886792453</v>
      </c>
      <c r="G3454">
        <v>-752.62888185222198</v>
      </c>
      <c r="H3454">
        <v>139.90308571469899</v>
      </c>
      <c r="I3454" s="1">
        <f t="shared" si="107"/>
        <v>154.62415398777756</v>
      </c>
    </row>
    <row r="3455" spans="1:9" x14ac:dyDescent="0.45">
      <c r="A3455" t="s">
        <v>60</v>
      </c>
      <c r="B3455" t="s">
        <v>57</v>
      </c>
      <c r="C3455" t="str">
        <f t="shared" si="106"/>
        <v>TennesseeSan Diego St.</v>
      </c>
      <c r="D3455" t="s">
        <v>60</v>
      </c>
      <c r="E3455">
        <v>93.8</v>
      </c>
      <c r="F3455">
        <v>-17.777358490566002</v>
      </c>
      <c r="G3455">
        <v>-1505.63717245819</v>
      </c>
      <c r="H3455">
        <v>140.49706859138999</v>
      </c>
      <c r="I3455" s="1">
        <f t="shared" si="107"/>
        <v>162.98807767482401</v>
      </c>
    </row>
    <row r="3456" spans="1:9" x14ac:dyDescent="0.45">
      <c r="A3456" t="s">
        <v>61</v>
      </c>
      <c r="B3456" t="s">
        <v>57</v>
      </c>
      <c r="C3456" t="str">
        <f t="shared" si="106"/>
        <v>TexasSan Diego St.</v>
      </c>
      <c r="D3456" t="s">
        <v>57</v>
      </c>
      <c r="E3456">
        <v>38.1</v>
      </c>
      <c r="F3456">
        <v>3.1773584905660401</v>
      </c>
      <c r="G3456">
        <v>162.34779200779499</v>
      </c>
      <c r="H3456">
        <v>138.25278312246201</v>
      </c>
      <c r="I3456" s="1">
        <f t="shared" si="107"/>
        <v>131.38610204442901</v>
      </c>
    </row>
    <row r="3457" spans="1:9" x14ac:dyDescent="0.45">
      <c r="A3457" t="s">
        <v>62</v>
      </c>
      <c r="B3457" t="s">
        <v>57</v>
      </c>
      <c r="C3457" t="str">
        <f t="shared" si="106"/>
        <v>Texas A&amp;MSan Diego St.</v>
      </c>
      <c r="D3457" t="s">
        <v>62</v>
      </c>
      <c r="E3457">
        <v>78.099999999999994</v>
      </c>
      <c r="F3457">
        <v>-8.3207547169811296</v>
      </c>
      <c r="G3457">
        <v>-355.75784582285002</v>
      </c>
      <c r="H3457">
        <v>139.05058215005599</v>
      </c>
      <c r="I3457" s="1">
        <f t="shared" si="107"/>
        <v>142.61997838370806</v>
      </c>
    </row>
    <row r="3458" spans="1:9" x14ac:dyDescent="0.45">
      <c r="A3458" t="s">
        <v>63</v>
      </c>
      <c r="B3458" t="s">
        <v>57</v>
      </c>
      <c r="C3458" t="str">
        <f t="shared" si="106"/>
        <v>Texas TechSan Diego St.</v>
      </c>
      <c r="D3458" t="s">
        <v>63</v>
      </c>
      <c r="E3458">
        <v>87.5</v>
      </c>
      <c r="F3458">
        <v>-12.7698113207547</v>
      </c>
      <c r="G3458">
        <v>-701.57001597916405</v>
      </c>
      <c r="H3458">
        <v>140.09036626911899</v>
      </c>
      <c r="I3458" s="1">
        <f t="shared" si="107"/>
        <v>157.26126749172707</v>
      </c>
    </row>
    <row r="3459" spans="1:9" x14ac:dyDescent="0.45">
      <c r="A3459" t="s">
        <v>64</v>
      </c>
      <c r="B3459" t="s">
        <v>57</v>
      </c>
      <c r="C3459" t="str">
        <f t="shared" ref="C3459:C3522" si="108">A3459&amp;B3459</f>
        <v>TroySan Diego St.</v>
      </c>
      <c r="D3459" t="s">
        <v>57</v>
      </c>
      <c r="E3459">
        <v>9</v>
      </c>
      <c r="F3459">
        <v>15.177358490566</v>
      </c>
      <c r="G3459">
        <v>1012.48800154821</v>
      </c>
      <c r="H3459">
        <v>138.793930688849</v>
      </c>
      <c r="I3459" s="1">
        <f t="shared" ref="I3459:I3522" si="109">18*(H3459-AVERAGE($H$2:$H$4625))/_xlfn.STDEV.P($H$2:$H$4625)+AVERAGE($H$2:$H$4625)</f>
        <v>139.0060472083471</v>
      </c>
    </row>
    <row r="3460" spans="1:9" x14ac:dyDescent="0.45">
      <c r="A3460" t="s">
        <v>65</v>
      </c>
      <c r="B3460" t="s">
        <v>57</v>
      </c>
      <c r="C3460" t="str">
        <f t="shared" si="108"/>
        <v>UC San DiegoSan Diego St.</v>
      </c>
      <c r="D3460" t="s">
        <v>57</v>
      </c>
      <c r="E3460">
        <v>20.2</v>
      </c>
      <c r="F3460">
        <v>9.0150943396226406</v>
      </c>
      <c r="G3460">
        <v>395.58854411922903</v>
      </c>
      <c r="H3460">
        <v>138.88205243223999</v>
      </c>
      <c r="I3460" s="1">
        <f t="shared" si="109"/>
        <v>140.24689701364395</v>
      </c>
    </row>
    <row r="3461" spans="1:9" x14ac:dyDescent="0.45">
      <c r="A3461" t="s">
        <v>66</v>
      </c>
      <c r="B3461" t="s">
        <v>57</v>
      </c>
      <c r="C3461" t="str">
        <f t="shared" si="108"/>
        <v>UCLASan Diego St.</v>
      </c>
      <c r="D3461" t="s">
        <v>66</v>
      </c>
      <c r="E3461">
        <v>50.1</v>
      </c>
      <c r="F3461">
        <v>-3.0188679245282998E-2</v>
      </c>
      <c r="G3461">
        <v>-100.452108562294</v>
      </c>
      <c r="H3461">
        <v>138.35350694534799</v>
      </c>
      <c r="I3461" s="1">
        <f t="shared" si="109"/>
        <v>132.80440280888723</v>
      </c>
    </row>
    <row r="3462" spans="1:9" x14ac:dyDescent="0.45">
      <c r="A3462" t="s">
        <v>67</v>
      </c>
      <c r="B3462" t="s">
        <v>57</v>
      </c>
      <c r="C3462" t="str">
        <f t="shared" si="108"/>
        <v>UNC WilmingtonSan Diego St.</v>
      </c>
      <c r="D3462" t="s">
        <v>57</v>
      </c>
      <c r="E3462">
        <v>13.1</v>
      </c>
      <c r="F3462">
        <v>12.377358490565999</v>
      </c>
      <c r="G3462">
        <v>660.51380059492203</v>
      </c>
      <c r="H3462">
        <v>139.46852261926799</v>
      </c>
      <c r="I3462" s="1">
        <f t="shared" si="109"/>
        <v>148.5050338750232</v>
      </c>
    </row>
    <row r="3463" spans="1:9" x14ac:dyDescent="0.45">
      <c r="A3463" t="s">
        <v>68</v>
      </c>
      <c r="B3463" t="s">
        <v>57</v>
      </c>
      <c r="C3463" t="str">
        <f t="shared" si="108"/>
        <v>Utah St.San Diego St.</v>
      </c>
      <c r="D3463" t="s">
        <v>57</v>
      </c>
      <c r="E3463">
        <v>43.4</v>
      </c>
      <c r="F3463">
        <v>1.7320754716981099</v>
      </c>
      <c r="G3463">
        <v>130.22755601533399</v>
      </c>
      <c r="H3463">
        <v>138.83989302309499</v>
      </c>
      <c r="I3463" s="1">
        <f t="shared" si="109"/>
        <v>139.6532467677915</v>
      </c>
    </row>
    <row r="3464" spans="1:9" x14ac:dyDescent="0.45">
      <c r="A3464" t="s">
        <v>69</v>
      </c>
      <c r="B3464" t="s">
        <v>57</v>
      </c>
      <c r="C3464" t="str">
        <f t="shared" si="108"/>
        <v>VanderbiltSan Diego St.</v>
      </c>
      <c r="D3464" t="s">
        <v>57</v>
      </c>
      <c r="E3464">
        <v>14.1</v>
      </c>
      <c r="F3464">
        <v>11.852830188679199</v>
      </c>
      <c r="G3464">
        <v>609.94809520352499</v>
      </c>
      <c r="H3464">
        <v>137.41446351169299</v>
      </c>
      <c r="I3464" s="1">
        <f t="shared" si="109"/>
        <v>119.58165190794111</v>
      </c>
    </row>
    <row r="3465" spans="1:9" x14ac:dyDescent="0.45">
      <c r="A3465" t="s">
        <v>70</v>
      </c>
      <c r="B3465" t="s">
        <v>57</v>
      </c>
      <c r="C3465" t="str">
        <f t="shared" si="108"/>
        <v>VCUSan Diego St.</v>
      </c>
      <c r="D3465" t="s">
        <v>57</v>
      </c>
      <c r="E3465">
        <v>33.5</v>
      </c>
      <c r="F3465">
        <v>4.50566037735849</v>
      </c>
      <c r="G3465">
        <v>198.86704337973799</v>
      </c>
      <c r="H3465">
        <v>139.259374673569</v>
      </c>
      <c r="I3465" s="1">
        <f t="shared" si="109"/>
        <v>145.56000376426653</v>
      </c>
    </row>
    <row r="3466" spans="1:9" x14ac:dyDescent="0.45">
      <c r="A3466" t="s">
        <v>71</v>
      </c>
      <c r="B3466" t="s">
        <v>57</v>
      </c>
      <c r="C3466" t="str">
        <f t="shared" si="108"/>
        <v>WisconsinSan Diego St.</v>
      </c>
      <c r="D3466" t="s">
        <v>71</v>
      </c>
      <c r="E3466">
        <v>86.1</v>
      </c>
      <c r="F3466">
        <v>-11.954716981132099</v>
      </c>
      <c r="G3466">
        <v>-619.55235605697601</v>
      </c>
      <c r="H3466">
        <v>140.06005352883599</v>
      </c>
      <c r="I3466" s="1">
        <f t="shared" si="109"/>
        <v>156.83443120330639</v>
      </c>
    </row>
    <row r="3467" spans="1:9" x14ac:dyDescent="0.45">
      <c r="A3467" t="s">
        <v>80</v>
      </c>
      <c r="B3467" t="s">
        <v>57</v>
      </c>
      <c r="C3467" t="str">
        <f t="shared" si="108"/>
        <v>WoffordSan Diego St.</v>
      </c>
      <c r="D3467" t="s">
        <v>57</v>
      </c>
      <c r="E3467">
        <v>4.9000000000000004</v>
      </c>
      <c r="F3467">
        <v>19.430188679245301</v>
      </c>
      <c r="G3467">
        <v>1937.30085233105</v>
      </c>
      <c r="H3467">
        <v>138.08950926793</v>
      </c>
      <c r="I3467" s="1">
        <f t="shared" si="109"/>
        <v>129.08702893477428</v>
      </c>
    </row>
    <row r="3468" spans="1:9" x14ac:dyDescent="0.45">
      <c r="A3468" t="s">
        <v>72</v>
      </c>
      <c r="B3468" t="s">
        <v>57</v>
      </c>
      <c r="C3468" t="str">
        <f t="shared" si="108"/>
        <v>XavierSan Diego St.</v>
      </c>
      <c r="D3468" t="s">
        <v>57</v>
      </c>
      <c r="E3468">
        <v>33.200000000000003</v>
      </c>
      <c r="F3468">
        <v>4.5811320754717002</v>
      </c>
      <c r="G3468">
        <v>201.19515839229999</v>
      </c>
      <c r="H3468">
        <v>138.66542283808201</v>
      </c>
      <c r="I3468" s="1">
        <f t="shared" si="109"/>
        <v>137.19651717106854</v>
      </c>
    </row>
    <row r="3469" spans="1:9" x14ac:dyDescent="0.45">
      <c r="A3469" t="s">
        <v>73</v>
      </c>
      <c r="B3469" t="s">
        <v>57</v>
      </c>
      <c r="C3469" t="str">
        <f t="shared" si="108"/>
        <v>YaleSan Diego St.</v>
      </c>
      <c r="D3469" t="s">
        <v>57</v>
      </c>
      <c r="E3469">
        <v>21.7</v>
      </c>
      <c r="F3469">
        <v>8.4075471698113198</v>
      </c>
      <c r="G3469">
        <v>360.519786895685</v>
      </c>
      <c r="H3469">
        <v>139.46465747214501</v>
      </c>
      <c r="I3469" s="1">
        <f t="shared" si="109"/>
        <v>148.45060840781798</v>
      </c>
    </row>
    <row r="3470" spans="1:9" x14ac:dyDescent="0.45">
      <c r="A3470" t="s">
        <v>7</v>
      </c>
      <c r="B3470" t="s">
        <v>58</v>
      </c>
      <c r="C3470" t="str">
        <f t="shared" si="108"/>
        <v>AkronSIU Edwardsville</v>
      </c>
      <c r="D3470" t="s">
        <v>7</v>
      </c>
      <c r="E3470">
        <v>73.8</v>
      </c>
      <c r="F3470">
        <v>-6.7962264150943401</v>
      </c>
      <c r="G3470">
        <v>-282.020108455404</v>
      </c>
      <c r="H3470">
        <v>138.099435160741</v>
      </c>
      <c r="I3470" s="1">
        <f t="shared" si="109"/>
        <v>129.22679628035752</v>
      </c>
    </row>
    <row r="3471" spans="1:9" x14ac:dyDescent="0.45">
      <c r="A3471" t="s">
        <v>8</v>
      </c>
      <c r="B3471" t="s">
        <v>58</v>
      </c>
      <c r="C3471" t="str">
        <f t="shared" si="108"/>
        <v>AlabamaSIU Edwardsville</v>
      </c>
      <c r="D3471" t="s">
        <v>8</v>
      </c>
      <c r="E3471">
        <v>99.5</v>
      </c>
      <c r="F3471">
        <v>-34.969811320754701</v>
      </c>
      <c r="G3471">
        <v>-20739.761038233501</v>
      </c>
      <c r="H3471">
        <v>139.84753117288099</v>
      </c>
      <c r="I3471" s="1">
        <f t="shared" si="109"/>
        <v>153.8418857331385</v>
      </c>
    </row>
    <row r="3472" spans="1:9" x14ac:dyDescent="0.45">
      <c r="A3472" t="s">
        <v>9</v>
      </c>
      <c r="B3472" t="s">
        <v>58</v>
      </c>
      <c r="C3472" t="str">
        <f t="shared" si="108"/>
        <v>Alabama St.SIU Edwardsville</v>
      </c>
      <c r="D3472" t="s">
        <v>58</v>
      </c>
      <c r="E3472">
        <v>30.7</v>
      </c>
      <c r="F3472">
        <v>5.3433962264150896</v>
      </c>
      <c r="G3472">
        <v>225.93507209790599</v>
      </c>
      <c r="H3472">
        <v>138.326276016555</v>
      </c>
      <c r="I3472" s="1">
        <f t="shared" si="109"/>
        <v>132.42096177162912</v>
      </c>
    </row>
    <row r="3473" spans="1:9" x14ac:dyDescent="0.45">
      <c r="A3473" t="s">
        <v>10</v>
      </c>
      <c r="B3473" t="s">
        <v>58</v>
      </c>
      <c r="C3473" t="str">
        <f t="shared" si="108"/>
        <v>AmericanSIU Edwardsville</v>
      </c>
      <c r="D3473" t="s">
        <v>58</v>
      </c>
      <c r="E3473">
        <v>34.9</v>
      </c>
      <c r="F3473">
        <v>4.0792452830188699</v>
      </c>
      <c r="G3473">
        <v>186.331393589117</v>
      </c>
      <c r="H3473">
        <v>138.41736189815899</v>
      </c>
      <c r="I3473" s="1">
        <f t="shared" si="109"/>
        <v>133.70354986061105</v>
      </c>
    </row>
    <row r="3474" spans="1:9" x14ac:dyDescent="0.45">
      <c r="A3474" t="s">
        <v>11</v>
      </c>
      <c r="B3474" t="s">
        <v>58</v>
      </c>
      <c r="C3474" t="str">
        <f t="shared" si="108"/>
        <v>ArizonaSIU Edwardsville</v>
      </c>
      <c r="D3474" t="s">
        <v>11</v>
      </c>
      <c r="E3474">
        <v>99.3</v>
      </c>
      <c r="F3474">
        <v>-32.728301886792501</v>
      </c>
      <c r="G3474">
        <v>-14735.522461111101</v>
      </c>
      <c r="H3474">
        <v>139.609889991871</v>
      </c>
      <c r="I3474" s="1">
        <f t="shared" si="109"/>
        <v>150.49563993908481</v>
      </c>
    </row>
    <row r="3475" spans="1:9" x14ac:dyDescent="0.45">
      <c r="A3475" t="s">
        <v>12</v>
      </c>
      <c r="B3475" t="s">
        <v>58</v>
      </c>
      <c r="C3475" t="str">
        <f t="shared" si="108"/>
        <v>ArkansasSIU Edwardsville</v>
      </c>
      <c r="D3475" t="s">
        <v>12</v>
      </c>
      <c r="E3475">
        <v>89.9</v>
      </c>
      <c r="F3475">
        <v>-14.339622641509401</v>
      </c>
      <c r="G3475">
        <v>-890.999372348939</v>
      </c>
      <c r="H3475">
        <v>137.727493825729</v>
      </c>
      <c r="I3475" s="1">
        <f t="shared" si="109"/>
        <v>123.9894585317866</v>
      </c>
    </row>
    <row r="3476" spans="1:9" x14ac:dyDescent="0.45">
      <c r="A3476" t="s">
        <v>13</v>
      </c>
      <c r="B3476" t="s">
        <v>58</v>
      </c>
      <c r="C3476" t="str">
        <f t="shared" si="108"/>
        <v>AuburnSIU Edwardsville</v>
      </c>
      <c r="D3476" t="s">
        <v>13</v>
      </c>
      <c r="E3476">
        <v>99.8</v>
      </c>
      <c r="F3476">
        <v>-39.381132075471697</v>
      </c>
      <c r="G3476">
        <v>-40644.807315115198</v>
      </c>
      <c r="H3476">
        <v>140.86621323099001</v>
      </c>
      <c r="I3476" s="1">
        <f t="shared" si="109"/>
        <v>168.18603491611168</v>
      </c>
    </row>
    <row r="3477" spans="1:9" x14ac:dyDescent="0.45">
      <c r="A3477" t="s">
        <v>14</v>
      </c>
      <c r="B3477" t="s">
        <v>58</v>
      </c>
      <c r="C3477" t="str">
        <f t="shared" si="108"/>
        <v>BaylorSIU Edwardsville</v>
      </c>
      <c r="D3477" t="s">
        <v>14</v>
      </c>
      <c r="E3477">
        <v>97.7</v>
      </c>
      <c r="F3477">
        <v>-24.649056603773602</v>
      </c>
      <c r="G3477">
        <v>-4295.5360704538598</v>
      </c>
      <c r="H3477">
        <v>139.40121124371501</v>
      </c>
      <c r="I3477" s="1">
        <f t="shared" si="109"/>
        <v>147.55721663905919</v>
      </c>
    </row>
    <row r="3478" spans="1:9" x14ac:dyDescent="0.45">
      <c r="A3478" t="s">
        <v>15</v>
      </c>
      <c r="B3478" t="s">
        <v>58</v>
      </c>
      <c r="C3478" t="str">
        <f t="shared" si="108"/>
        <v>BryantSIU Edwardsville</v>
      </c>
      <c r="D3478" t="s">
        <v>15</v>
      </c>
      <c r="E3478">
        <v>66.099999999999994</v>
      </c>
      <c r="F3478">
        <v>-4.3622641509433997</v>
      </c>
      <c r="G3478">
        <v>-194.57060325894699</v>
      </c>
      <c r="H3478">
        <v>138.95020899360901</v>
      </c>
      <c r="I3478" s="1">
        <f t="shared" si="109"/>
        <v>141.20661538336819</v>
      </c>
    </row>
    <row r="3479" spans="1:9" x14ac:dyDescent="0.45">
      <c r="A3479" t="s">
        <v>16</v>
      </c>
      <c r="B3479" t="s">
        <v>58</v>
      </c>
      <c r="C3479" t="str">
        <f t="shared" si="108"/>
        <v>BYUSIU Edwardsville</v>
      </c>
      <c r="D3479" t="s">
        <v>16</v>
      </c>
      <c r="E3479">
        <v>98.1</v>
      </c>
      <c r="F3479">
        <v>-25.9433962264151</v>
      </c>
      <c r="G3479">
        <v>-5233.0387821478298</v>
      </c>
      <c r="H3479">
        <v>139.21072947183299</v>
      </c>
      <c r="I3479" s="1">
        <f t="shared" si="109"/>
        <v>144.87502651824298</v>
      </c>
    </row>
    <row r="3480" spans="1:9" x14ac:dyDescent="0.45">
      <c r="A3480" t="s">
        <v>17</v>
      </c>
      <c r="B3480" t="s">
        <v>58</v>
      </c>
      <c r="C3480" t="str">
        <f t="shared" si="108"/>
        <v>ClemsonSIU Edwardsville</v>
      </c>
      <c r="D3480" t="s">
        <v>17</v>
      </c>
      <c r="E3480">
        <v>98.5</v>
      </c>
      <c r="F3480">
        <v>-27.569811320754699</v>
      </c>
      <c r="G3480">
        <v>-6705.1033976235703</v>
      </c>
      <c r="H3480">
        <v>139.43264132812399</v>
      </c>
      <c r="I3480" s="1">
        <f t="shared" si="109"/>
        <v>147.9997863456787</v>
      </c>
    </row>
    <row r="3481" spans="1:9" x14ac:dyDescent="0.45">
      <c r="A3481" t="s">
        <v>18</v>
      </c>
      <c r="B3481" t="s">
        <v>58</v>
      </c>
      <c r="C3481" t="str">
        <f t="shared" si="108"/>
        <v>Colorado St.SIU Edwardsville</v>
      </c>
      <c r="D3481" t="s">
        <v>18</v>
      </c>
      <c r="E3481">
        <v>91.7</v>
      </c>
      <c r="F3481">
        <v>-15.728301886792501</v>
      </c>
      <c r="G3481">
        <v>-1101.7015219201101</v>
      </c>
      <c r="H3481">
        <v>138.74003317623001</v>
      </c>
      <c r="I3481" s="1">
        <f t="shared" si="109"/>
        <v>138.24711172357664</v>
      </c>
    </row>
    <row r="3482" spans="1:9" x14ac:dyDescent="0.45">
      <c r="A3482" t="s">
        <v>19</v>
      </c>
      <c r="B3482" t="s">
        <v>58</v>
      </c>
      <c r="C3482" t="str">
        <f t="shared" si="108"/>
        <v>ConnecticutSIU Edwardsville</v>
      </c>
      <c r="D3482" t="s">
        <v>19</v>
      </c>
      <c r="E3482">
        <v>99.1</v>
      </c>
      <c r="F3482">
        <v>-31.030188679245299</v>
      </c>
      <c r="G3482">
        <v>-11372.6321058699</v>
      </c>
      <c r="H3482">
        <v>139.37558507856599</v>
      </c>
      <c r="I3482" s="1">
        <f t="shared" si="109"/>
        <v>147.19637241591914</v>
      </c>
    </row>
    <row r="3483" spans="1:9" x14ac:dyDescent="0.45">
      <c r="A3483" t="s">
        <v>20</v>
      </c>
      <c r="B3483" t="s">
        <v>58</v>
      </c>
      <c r="C3483" t="str">
        <f t="shared" si="108"/>
        <v>CreightonSIU Edwardsville</v>
      </c>
      <c r="D3483" t="s">
        <v>20</v>
      </c>
      <c r="E3483">
        <v>97.2</v>
      </c>
      <c r="F3483">
        <v>-23.339622641509401</v>
      </c>
      <c r="G3483">
        <v>-3517.87953207697</v>
      </c>
      <c r="H3483">
        <v>138.848527440829</v>
      </c>
      <c r="I3483" s="1">
        <f t="shared" si="109"/>
        <v>139.77482874236239</v>
      </c>
    </row>
    <row r="3484" spans="1:9" x14ac:dyDescent="0.45">
      <c r="A3484" t="s">
        <v>21</v>
      </c>
      <c r="B3484" t="s">
        <v>58</v>
      </c>
      <c r="C3484" t="str">
        <f t="shared" si="108"/>
        <v>DrakeSIU Edwardsville</v>
      </c>
      <c r="D3484" t="s">
        <v>21</v>
      </c>
      <c r="E3484">
        <v>91.6</v>
      </c>
      <c r="F3484">
        <v>-15.679245283018901</v>
      </c>
      <c r="G3484">
        <v>-1093.21618262836</v>
      </c>
      <c r="H3484">
        <v>138.90199254498401</v>
      </c>
      <c r="I3484" s="1">
        <f t="shared" si="109"/>
        <v>140.52767544656984</v>
      </c>
    </row>
    <row r="3485" spans="1:9" x14ac:dyDescent="0.45">
      <c r="A3485" t="s">
        <v>22</v>
      </c>
      <c r="B3485" t="s">
        <v>58</v>
      </c>
      <c r="C3485" t="str">
        <f t="shared" si="108"/>
        <v>DukeSIU Edwardsville</v>
      </c>
      <c r="D3485" t="s">
        <v>22</v>
      </c>
      <c r="E3485">
        <v>99.8</v>
      </c>
      <c r="F3485">
        <v>-41.890566037735802</v>
      </c>
      <c r="G3485">
        <v>-59595.640024171902</v>
      </c>
      <c r="H3485">
        <v>141.18931300643999</v>
      </c>
      <c r="I3485" s="1">
        <f t="shared" si="109"/>
        <v>172.73563048731745</v>
      </c>
    </row>
    <row r="3486" spans="1:9" x14ac:dyDescent="0.45">
      <c r="A3486" t="s">
        <v>23</v>
      </c>
      <c r="B3486" t="s">
        <v>58</v>
      </c>
      <c r="C3486" t="str">
        <f t="shared" si="108"/>
        <v>FloridaSIU Edwardsville</v>
      </c>
      <c r="D3486" t="s">
        <v>23</v>
      </c>
      <c r="E3486">
        <v>99.7</v>
      </c>
      <c r="F3486">
        <v>-37.988679245283002</v>
      </c>
      <c r="G3486">
        <v>-32875.159057364297</v>
      </c>
      <c r="H3486">
        <v>140.913069282382</v>
      </c>
      <c r="I3486" s="1">
        <f t="shared" si="109"/>
        <v>168.84581898312402</v>
      </c>
    </row>
    <row r="3487" spans="1:9" x14ac:dyDescent="0.45">
      <c r="A3487" t="s">
        <v>24</v>
      </c>
      <c r="B3487" t="s">
        <v>58</v>
      </c>
      <c r="C3487" t="str">
        <f t="shared" si="108"/>
        <v>GeorgiaSIU Edwardsville</v>
      </c>
      <c r="D3487" t="s">
        <v>24</v>
      </c>
      <c r="E3487">
        <v>92.5</v>
      </c>
      <c r="F3487">
        <v>-16.4830188679245</v>
      </c>
      <c r="G3487">
        <v>-1236.0417227012199</v>
      </c>
      <c r="H3487">
        <v>138.05488280672699</v>
      </c>
      <c r="I3487" s="1">
        <f t="shared" si="109"/>
        <v>128.59945077314816</v>
      </c>
    </row>
    <row r="3488" spans="1:9" x14ac:dyDescent="0.45">
      <c r="A3488" t="s">
        <v>25</v>
      </c>
      <c r="B3488" t="s">
        <v>58</v>
      </c>
      <c r="C3488" t="str">
        <f t="shared" si="108"/>
        <v>GonzagaSIU Edwardsville</v>
      </c>
      <c r="D3488" t="s">
        <v>25</v>
      </c>
      <c r="E3488">
        <v>98.6</v>
      </c>
      <c r="F3488">
        <v>-27.811320754716998</v>
      </c>
      <c r="G3488">
        <v>-6957.5187891018404</v>
      </c>
      <c r="H3488">
        <v>140.19252392625501</v>
      </c>
      <c r="I3488" s="1">
        <f t="shared" si="109"/>
        <v>158.69975819888867</v>
      </c>
    </row>
    <row r="3489" spans="1:9" x14ac:dyDescent="0.45">
      <c r="A3489" t="s">
        <v>26</v>
      </c>
      <c r="B3489" t="s">
        <v>58</v>
      </c>
      <c r="C3489" t="str">
        <f t="shared" si="108"/>
        <v>Grand CanyonSIU Edwardsville</v>
      </c>
      <c r="D3489" t="s">
        <v>26</v>
      </c>
      <c r="E3489">
        <v>87.2</v>
      </c>
      <c r="F3489">
        <v>-12.562264150943401</v>
      </c>
      <c r="G3489">
        <v>-679.47235444153102</v>
      </c>
      <c r="H3489">
        <v>138.844492172559</v>
      </c>
      <c r="I3489" s="1">
        <f t="shared" si="109"/>
        <v>139.71800778473636</v>
      </c>
    </row>
    <row r="3490" spans="1:9" x14ac:dyDescent="0.45">
      <c r="A3490" t="s">
        <v>27</v>
      </c>
      <c r="B3490" t="s">
        <v>58</v>
      </c>
      <c r="C3490" t="str">
        <f t="shared" si="108"/>
        <v>High PointSIU Edwardsville</v>
      </c>
      <c r="D3490" t="s">
        <v>27</v>
      </c>
      <c r="E3490">
        <v>81.7</v>
      </c>
      <c r="F3490">
        <v>-9.7886792452830207</v>
      </c>
      <c r="G3490">
        <v>-445.13907873121701</v>
      </c>
      <c r="H3490">
        <v>139.125383920215</v>
      </c>
      <c r="I3490" s="1">
        <f t="shared" si="109"/>
        <v>143.67326850673535</v>
      </c>
    </row>
    <row r="3491" spans="1:9" x14ac:dyDescent="0.45">
      <c r="A3491" t="s">
        <v>28</v>
      </c>
      <c r="B3491" t="s">
        <v>58</v>
      </c>
      <c r="C3491" t="str">
        <f t="shared" si="108"/>
        <v>HoustonSIU Edwardsville</v>
      </c>
      <c r="D3491" t="s">
        <v>28</v>
      </c>
      <c r="E3491">
        <v>99.9</v>
      </c>
      <c r="F3491">
        <v>-45.4037735849057</v>
      </c>
      <c r="G3491">
        <v>-101859.54558559701</v>
      </c>
      <c r="H3491">
        <v>141.33297735606899</v>
      </c>
      <c r="I3491" s="1">
        <f t="shared" si="109"/>
        <v>174.75858048133091</v>
      </c>
    </row>
    <row r="3492" spans="1:9" x14ac:dyDescent="0.45">
      <c r="A3492" t="s">
        <v>29</v>
      </c>
      <c r="B3492" t="s">
        <v>58</v>
      </c>
      <c r="C3492" t="str">
        <f t="shared" si="108"/>
        <v>IllinoisSIU Edwardsville</v>
      </c>
      <c r="D3492" t="s">
        <v>29</v>
      </c>
      <c r="E3492">
        <v>99</v>
      </c>
      <c r="F3492">
        <v>-30.294339622641498</v>
      </c>
      <c r="G3492">
        <v>-10160.125820839499</v>
      </c>
      <c r="H3492">
        <v>139.38322251000599</v>
      </c>
      <c r="I3492" s="1">
        <f t="shared" si="109"/>
        <v>147.30391574121683</v>
      </c>
    </row>
    <row r="3493" spans="1:9" x14ac:dyDescent="0.45">
      <c r="A3493" t="s">
        <v>30</v>
      </c>
      <c r="B3493" t="s">
        <v>58</v>
      </c>
      <c r="C3493" t="str">
        <f t="shared" si="108"/>
        <v>Iowa St.SIU Edwardsville</v>
      </c>
      <c r="D3493" t="s">
        <v>30</v>
      </c>
      <c r="E3493">
        <v>99.5</v>
      </c>
      <c r="F3493">
        <v>-35.177358490566</v>
      </c>
      <c r="G3493">
        <v>-21401.2660154324</v>
      </c>
      <c r="H3493">
        <v>140.30949108836401</v>
      </c>
      <c r="I3493" s="1">
        <f t="shared" si="109"/>
        <v>160.34678281215719</v>
      </c>
    </row>
    <row r="3494" spans="1:9" x14ac:dyDescent="0.45">
      <c r="A3494" t="s">
        <v>31</v>
      </c>
      <c r="B3494" t="s">
        <v>58</v>
      </c>
      <c r="C3494" t="str">
        <f t="shared" si="108"/>
        <v>KansasSIU Edwardsville</v>
      </c>
      <c r="D3494" t="s">
        <v>31</v>
      </c>
      <c r="E3494">
        <v>98.4</v>
      </c>
      <c r="F3494">
        <v>-27.075471698113201</v>
      </c>
      <c r="G3494">
        <v>-6217.6744421489802</v>
      </c>
      <c r="H3494">
        <v>139.264881372676</v>
      </c>
      <c r="I3494" s="1">
        <f t="shared" si="109"/>
        <v>145.63754406535244</v>
      </c>
    </row>
    <row r="3495" spans="1:9" x14ac:dyDescent="0.45">
      <c r="A3495" t="s">
        <v>32</v>
      </c>
      <c r="B3495" t="s">
        <v>58</v>
      </c>
      <c r="C3495" t="str">
        <f t="shared" si="108"/>
        <v>KentuckySIU Edwardsville</v>
      </c>
      <c r="D3495" t="s">
        <v>32</v>
      </c>
      <c r="E3495">
        <v>99.1</v>
      </c>
      <c r="F3495">
        <v>-30.501886792452801</v>
      </c>
      <c r="G3495">
        <v>-10489.078668415699</v>
      </c>
      <c r="H3495">
        <v>139.21191897306801</v>
      </c>
      <c r="I3495" s="1">
        <f t="shared" si="109"/>
        <v>144.8917759868653</v>
      </c>
    </row>
    <row r="3496" spans="1:9" x14ac:dyDescent="0.45">
      <c r="A3496" t="s">
        <v>33</v>
      </c>
      <c r="B3496" t="s">
        <v>58</v>
      </c>
      <c r="C3496" t="str">
        <f t="shared" si="108"/>
        <v>LibertySIU Edwardsville</v>
      </c>
      <c r="D3496" t="s">
        <v>33</v>
      </c>
      <c r="E3496">
        <v>74.5</v>
      </c>
      <c r="F3496">
        <v>-7.01132075471698</v>
      </c>
      <c r="G3496">
        <v>-291.45886168635502</v>
      </c>
      <c r="H3496">
        <v>138.42085522146701</v>
      </c>
      <c r="I3496" s="1">
        <f t="shared" si="109"/>
        <v>133.75273964487764</v>
      </c>
    </row>
    <row r="3497" spans="1:9" x14ac:dyDescent="0.45">
      <c r="A3497" t="s">
        <v>34</v>
      </c>
      <c r="B3497" t="s">
        <v>58</v>
      </c>
      <c r="C3497" t="str">
        <f t="shared" si="108"/>
        <v>LipscombSIU Edwardsville</v>
      </c>
      <c r="D3497" t="s">
        <v>34</v>
      </c>
      <c r="E3497">
        <v>69.099999999999994</v>
      </c>
      <c r="F3497">
        <v>-5.2716981132075498</v>
      </c>
      <c r="G3497">
        <v>-223.43305057971901</v>
      </c>
      <c r="H3497">
        <v>138.85277545272501</v>
      </c>
      <c r="I3497" s="1">
        <f t="shared" si="109"/>
        <v>139.83464536118115</v>
      </c>
    </row>
    <row r="3498" spans="1:9" x14ac:dyDescent="0.45">
      <c r="A3498" t="s">
        <v>35</v>
      </c>
      <c r="B3498" t="s">
        <v>58</v>
      </c>
      <c r="C3498" t="str">
        <f t="shared" si="108"/>
        <v>LouisvilleSIU Edwardsville</v>
      </c>
      <c r="D3498" t="s">
        <v>35</v>
      </c>
      <c r="E3498">
        <v>85</v>
      </c>
      <c r="F3498">
        <v>-11.377358490565999</v>
      </c>
      <c r="G3498">
        <v>-567.23195204252795</v>
      </c>
      <c r="H3498">
        <v>138.138498764693</v>
      </c>
      <c r="I3498" s="1">
        <f t="shared" si="109"/>
        <v>129.77685422851872</v>
      </c>
    </row>
    <row r="3499" spans="1:9" x14ac:dyDescent="0.45">
      <c r="A3499" t="s">
        <v>36</v>
      </c>
      <c r="B3499" t="s">
        <v>58</v>
      </c>
      <c r="C3499" t="str">
        <f t="shared" si="108"/>
        <v>MarquetteSIU Edwardsville</v>
      </c>
      <c r="D3499" t="s">
        <v>36</v>
      </c>
      <c r="E3499">
        <v>98.8</v>
      </c>
      <c r="F3499">
        <v>-28.720754716981101</v>
      </c>
      <c r="G3499">
        <v>-7995.8767781147799</v>
      </c>
      <c r="H3499">
        <v>139.47025539959799</v>
      </c>
      <c r="I3499" s="1">
        <f t="shared" si="109"/>
        <v>148.52943330304592</v>
      </c>
    </row>
    <row r="3500" spans="1:9" x14ac:dyDescent="0.45">
      <c r="A3500" t="s">
        <v>37</v>
      </c>
      <c r="B3500" t="s">
        <v>58</v>
      </c>
      <c r="C3500" t="str">
        <f t="shared" si="108"/>
        <v>MarylandSIU Edwardsville</v>
      </c>
      <c r="D3500" t="s">
        <v>37</v>
      </c>
      <c r="E3500">
        <v>98.2</v>
      </c>
      <c r="F3500">
        <v>-26.177358490566</v>
      </c>
      <c r="G3500">
        <v>-5424.0256497618902</v>
      </c>
      <c r="H3500">
        <v>139.08019471127599</v>
      </c>
      <c r="I3500" s="1">
        <f t="shared" si="109"/>
        <v>143.03695539085999</v>
      </c>
    </row>
    <row r="3501" spans="1:9" x14ac:dyDescent="0.45">
      <c r="A3501" t="s">
        <v>38</v>
      </c>
      <c r="B3501" t="s">
        <v>58</v>
      </c>
      <c r="C3501" t="str">
        <f t="shared" si="108"/>
        <v>McNeese St.SIU Edwardsville</v>
      </c>
      <c r="D3501" t="s">
        <v>38</v>
      </c>
      <c r="E3501">
        <v>90.6</v>
      </c>
      <c r="F3501">
        <v>-14.871698113207501</v>
      </c>
      <c r="G3501">
        <v>-966.43482929063998</v>
      </c>
      <c r="H3501">
        <v>138.915606325478</v>
      </c>
      <c r="I3501" s="1">
        <f t="shared" si="109"/>
        <v>140.71937225402363</v>
      </c>
    </row>
    <row r="3502" spans="1:9" x14ac:dyDescent="0.45">
      <c r="A3502" t="s">
        <v>39</v>
      </c>
      <c r="B3502" t="s">
        <v>58</v>
      </c>
      <c r="C3502" t="str">
        <f t="shared" si="108"/>
        <v>MemphisSIU Edwardsville</v>
      </c>
      <c r="D3502" t="s">
        <v>39</v>
      </c>
      <c r="E3502">
        <v>96.5</v>
      </c>
      <c r="F3502">
        <v>-21.792452830188701</v>
      </c>
      <c r="G3502">
        <v>-2778.1470540865498</v>
      </c>
      <c r="H3502">
        <v>138.05782952429601</v>
      </c>
      <c r="I3502" s="1">
        <f t="shared" si="109"/>
        <v>128.64094375525539</v>
      </c>
    </row>
    <row r="3503" spans="1:9" x14ac:dyDescent="0.45">
      <c r="A3503" t="s">
        <v>40</v>
      </c>
      <c r="B3503" t="s">
        <v>58</v>
      </c>
      <c r="C3503" t="str">
        <f t="shared" si="108"/>
        <v>MichiganSIU Edwardsville</v>
      </c>
      <c r="D3503" t="s">
        <v>40</v>
      </c>
      <c r="E3503">
        <v>93.6</v>
      </c>
      <c r="F3503">
        <v>-17.603773584905699</v>
      </c>
      <c r="G3503">
        <v>-1466.51392377808</v>
      </c>
      <c r="H3503">
        <v>137.71475060897899</v>
      </c>
      <c r="I3503" s="1">
        <f t="shared" si="109"/>
        <v>123.81002020686662</v>
      </c>
    </row>
    <row r="3504" spans="1:9" x14ac:dyDescent="0.45">
      <c r="A3504" t="s">
        <v>41</v>
      </c>
      <c r="B3504" t="s">
        <v>58</v>
      </c>
      <c r="C3504" t="str">
        <f t="shared" si="108"/>
        <v>Michigan St.SIU Edwardsville</v>
      </c>
      <c r="D3504" t="s">
        <v>41</v>
      </c>
      <c r="E3504">
        <v>99.3</v>
      </c>
      <c r="F3504">
        <v>-32.426415094339603</v>
      </c>
      <c r="G3504">
        <v>-14072.136072266199</v>
      </c>
      <c r="H3504">
        <v>139.41364256980901</v>
      </c>
      <c r="I3504" s="1">
        <f t="shared" si="109"/>
        <v>147.7322632049775</v>
      </c>
    </row>
    <row r="3505" spans="1:9" x14ac:dyDescent="0.45">
      <c r="A3505" t="s">
        <v>42</v>
      </c>
      <c r="B3505" t="s">
        <v>58</v>
      </c>
      <c r="C3505" t="str">
        <f t="shared" si="108"/>
        <v>MississippiSIU Edwardsville</v>
      </c>
      <c r="D3505" t="s">
        <v>42</v>
      </c>
      <c r="E3505">
        <v>97.3</v>
      </c>
      <c r="F3505">
        <v>-23.5169811320755</v>
      </c>
      <c r="G3505">
        <v>-3614.4409637213198</v>
      </c>
      <c r="H3505">
        <v>138.544563674903</v>
      </c>
      <c r="I3505" s="1">
        <f t="shared" si="109"/>
        <v>135.49468895787012</v>
      </c>
    </row>
    <row r="3506" spans="1:9" x14ac:dyDescent="0.45">
      <c r="A3506" t="s">
        <v>43</v>
      </c>
      <c r="B3506" t="s">
        <v>58</v>
      </c>
      <c r="C3506" t="str">
        <f t="shared" si="108"/>
        <v>Mississippi St.SIU Edwardsville</v>
      </c>
      <c r="D3506" t="s">
        <v>43</v>
      </c>
      <c r="E3506">
        <v>96.5</v>
      </c>
      <c r="F3506">
        <v>-21.667924528301899</v>
      </c>
      <c r="G3506">
        <v>-2726.1506618865901</v>
      </c>
      <c r="H3506">
        <v>138.668935028692</v>
      </c>
      <c r="I3506" s="1">
        <f t="shared" si="109"/>
        <v>137.24597262742785</v>
      </c>
    </row>
    <row r="3507" spans="1:9" x14ac:dyDescent="0.45">
      <c r="A3507" t="s">
        <v>44</v>
      </c>
      <c r="B3507" t="s">
        <v>58</v>
      </c>
      <c r="C3507" t="str">
        <f t="shared" si="108"/>
        <v>MissouriSIU Edwardsville</v>
      </c>
      <c r="D3507" t="s">
        <v>44</v>
      </c>
      <c r="E3507">
        <v>92.3</v>
      </c>
      <c r="F3507">
        <v>-16.256603773584899</v>
      </c>
      <c r="G3507">
        <v>-1193.85315825628</v>
      </c>
      <c r="H3507">
        <v>137.93340696486601</v>
      </c>
      <c r="I3507" s="1">
        <f t="shared" si="109"/>
        <v>126.88893905468738</v>
      </c>
    </row>
    <row r="3508" spans="1:9" x14ac:dyDescent="0.45">
      <c r="A3508" t="s">
        <v>45</v>
      </c>
      <c r="B3508" t="s">
        <v>58</v>
      </c>
      <c r="C3508" t="str">
        <f t="shared" si="108"/>
        <v>MontanaSIU Edwardsville</v>
      </c>
      <c r="D3508" t="s">
        <v>45</v>
      </c>
      <c r="E3508">
        <v>53.8</v>
      </c>
      <c r="F3508">
        <v>-1</v>
      </c>
      <c r="G3508">
        <v>-116.45518795627601</v>
      </c>
      <c r="H3508">
        <v>137.24214168988499</v>
      </c>
      <c r="I3508" s="1">
        <f t="shared" si="109"/>
        <v>117.15517359724615</v>
      </c>
    </row>
    <row r="3509" spans="1:9" x14ac:dyDescent="0.45">
      <c r="A3509" t="s">
        <v>46</v>
      </c>
      <c r="B3509" t="s">
        <v>58</v>
      </c>
      <c r="C3509" t="str">
        <f t="shared" si="108"/>
        <v>Mount St. Mary'sSIU Edwardsville</v>
      </c>
      <c r="D3509" t="s">
        <v>58</v>
      </c>
      <c r="E3509">
        <v>31.4</v>
      </c>
      <c r="F3509">
        <v>5.1169811320754697</v>
      </c>
      <c r="G3509">
        <v>218.29402831116599</v>
      </c>
      <c r="H3509">
        <v>138.59001591183201</v>
      </c>
      <c r="I3509" s="1">
        <f t="shared" si="109"/>
        <v>136.13470579336814</v>
      </c>
    </row>
    <row r="3510" spans="1:9" x14ac:dyDescent="0.45">
      <c r="A3510" t="s">
        <v>47</v>
      </c>
      <c r="B3510" t="s">
        <v>58</v>
      </c>
      <c r="C3510" t="str">
        <f t="shared" si="108"/>
        <v>Nebraska OmahaSIU Edwardsville</v>
      </c>
      <c r="D3510" t="s">
        <v>58</v>
      </c>
      <c r="E3510">
        <v>37.299999999999997</v>
      </c>
      <c r="F3510">
        <v>3.4</v>
      </c>
      <c r="G3510">
        <v>168.02406666579901</v>
      </c>
      <c r="H3510">
        <v>137.87401709173199</v>
      </c>
      <c r="I3510" s="1">
        <f t="shared" si="109"/>
        <v>126.0526651717708</v>
      </c>
    </row>
    <row r="3511" spans="1:9" x14ac:dyDescent="0.45">
      <c r="A3511" t="s">
        <v>48</v>
      </c>
      <c r="B3511" t="s">
        <v>58</v>
      </c>
      <c r="C3511" t="str">
        <f t="shared" si="108"/>
        <v>New MexicoSIU Edwardsville</v>
      </c>
      <c r="D3511" t="s">
        <v>48</v>
      </c>
      <c r="E3511">
        <v>93.8</v>
      </c>
      <c r="F3511">
        <v>-17.845283018867899</v>
      </c>
      <c r="G3511">
        <v>-1521.4722482509001</v>
      </c>
      <c r="H3511">
        <v>138.75176143900799</v>
      </c>
      <c r="I3511" s="1">
        <f t="shared" si="109"/>
        <v>138.41225839481254</v>
      </c>
    </row>
    <row r="3512" spans="1:9" x14ac:dyDescent="0.45">
      <c r="A3512" t="s">
        <v>49</v>
      </c>
      <c r="B3512" t="s">
        <v>58</v>
      </c>
      <c r="C3512" t="str">
        <f t="shared" si="108"/>
        <v>Norfolk St.SIU Edwardsville</v>
      </c>
      <c r="D3512" t="s">
        <v>58</v>
      </c>
      <c r="E3512">
        <v>46.7</v>
      </c>
      <c r="F3512">
        <v>0.86792452830188704</v>
      </c>
      <c r="G3512">
        <v>114.179689085559</v>
      </c>
      <c r="H3512">
        <v>137.764125101209</v>
      </c>
      <c r="I3512" s="1">
        <f t="shared" si="109"/>
        <v>124.50526665470883</v>
      </c>
    </row>
    <row r="3513" spans="1:9" x14ac:dyDescent="0.45">
      <c r="A3513" t="s">
        <v>50</v>
      </c>
      <c r="B3513" t="s">
        <v>58</v>
      </c>
      <c r="C3513" t="str">
        <f t="shared" si="108"/>
        <v>North CarolinaSIU Edwardsville</v>
      </c>
      <c r="D3513" t="s">
        <v>50</v>
      </c>
      <c r="E3513">
        <v>98.1</v>
      </c>
      <c r="F3513">
        <v>-25.8867924528302</v>
      </c>
      <c r="G3513">
        <v>-5187.4875595897001</v>
      </c>
      <c r="H3513">
        <v>139.83605653316499</v>
      </c>
      <c r="I3513" s="1">
        <f t="shared" si="109"/>
        <v>153.68031034992941</v>
      </c>
    </row>
    <row r="3514" spans="1:9" x14ac:dyDescent="0.45">
      <c r="A3514" t="s">
        <v>51</v>
      </c>
      <c r="B3514" t="s">
        <v>58</v>
      </c>
      <c r="C3514" t="str">
        <f t="shared" si="108"/>
        <v>OklahomaSIU Edwardsville</v>
      </c>
      <c r="D3514" t="s">
        <v>51</v>
      </c>
      <c r="E3514">
        <v>94.5</v>
      </c>
      <c r="F3514">
        <v>-18.5811320754717</v>
      </c>
      <c r="G3514">
        <v>-1701.9568543150699</v>
      </c>
      <c r="H3514">
        <v>138.17865982866999</v>
      </c>
      <c r="I3514" s="1">
        <f t="shared" si="109"/>
        <v>130.34236560515211</v>
      </c>
    </row>
    <row r="3515" spans="1:9" x14ac:dyDescent="0.45">
      <c r="A3515" t="s">
        <v>52</v>
      </c>
      <c r="B3515" t="s">
        <v>58</v>
      </c>
      <c r="C3515" t="str">
        <f t="shared" si="108"/>
        <v>OregonSIU Edwardsville</v>
      </c>
      <c r="D3515" t="s">
        <v>52</v>
      </c>
      <c r="E3515">
        <v>98.3</v>
      </c>
      <c r="F3515">
        <v>-26.4037735849057</v>
      </c>
      <c r="G3515">
        <v>-5615.299861296</v>
      </c>
      <c r="H3515">
        <v>138.77303761681</v>
      </c>
      <c r="I3515" s="1">
        <f t="shared" si="109"/>
        <v>138.71185007408681</v>
      </c>
    </row>
    <row r="3516" spans="1:9" x14ac:dyDescent="0.45">
      <c r="A3516" t="s">
        <v>53</v>
      </c>
      <c r="B3516" t="s">
        <v>58</v>
      </c>
      <c r="C3516" t="str">
        <f t="shared" si="108"/>
        <v>PurdueSIU Edwardsville</v>
      </c>
      <c r="D3516" t="s">
        <v>53</v>
      </c>
      <c r="E3516">
        <v>99.7</v>
      </c>
      <c r="F3516">
        <v>-37.316981132075497</v>
      </c>
      <c r="G3516">
        <v>-29660.647207065202</v>
      </c>
      <c r="H3516">
        <v>140.121024945599</v>
      </c>
      <c r="I3516" s="1">
        <f t="shared" si="109"/>
        <v>157.69297493732421</v>
      </c>
    </row>
    <row r="3517" spans="1:9" x14ac:dyDescent="0.45">
      <c r="A3517" t="s">
        <v>54</v>
      </c>
      <c r="B3517" t="s">
        <v>58</v>
      </c>
      <c r="C3517" t="str">
        <f t="shared" si="108"/>
        <v>Robert MorrisSIU Edwardsville</v>
      </c>
      <c r="D3517" t="s">
        <v>58</v>
      </c>
      <c r="E3517">
        <v>26.7</v>
      </c>
      <c r="F3517">
        <v>6.6264150943396203</v>
      </c>
      <c r="G3517">
        <v>274.78964197257801</v>
      </c>
      <c r="H3517">
        <v>137.179661794362</v>
      </c>
      <c r="I3517" s="1">
        <f t="shared" si="109"/>
        <v>116.27538884479659</v>
      </c>
    </row>
    <row r="3518" spans="1:9" x14ac:dyDescent="0.45">
      <c r="A3518" t="s">
        <v>55</v>
      </c>
      <c r="B3518" t="s">
        <v>58</v>
      </c>
      <c r="C3518" t="str">
        <f t="shared" si="108"/>
        <v>Saint FrancisSIU Edwardsville</v>
      </c>
      <c r="D3518" t="s">
        <v>58</v>
      </c>
      <c r="E3518">
        <v>19.399999999999999</v>
      </c>
      <c r="F3518">
        <v>9.3509433962264197</v>
      </c>
      <c r="G3518">
        <v>416.50026175097298</v>
      </c>
      <c r="H3518">
        <v>138.23251732756901</v>
      </c>
      <c r="I3518" s="1">
        <f t="shared" si="109"/>
        <v>131.10073765330952</v>
      </c>
    </row>
    <row r="3519" spans="1:9" x14ac:dyDescent="0.45">
      <c r="A3519" t="s">
        <v>56</v>
      </c>
      <c r="B3519" t="s">
        <v>58</v>
      </c>
      <c r="C3519" t="str">
        <f t="shared" si="108"/>
        <v>Saint Mary'sSIU Edwardsville</v>
      </c>
      <c r="D3519" t="s">
        <v>56</v>
      </c>
      <c r="E3519">
        <v>98</v>
      </c>
      <c r="F3519">
        <v>-25.3622641509434</v>
      </c>
      <c r="G3519">
        <v>-4789.2597978382601</v>
      </c>
      <c r="H3519">
        <v>139.48377252865899</v>
      </c>
      <c r="I3519" s="1">
        <f t="shared" si="109"/>
        <v>148.71976915340576</v>
      </c>
    </row>
    <row r="3520" spans="1:9" x14ac:dyDescent="0.45">
      <c r="A3520" t="s">
        <v>57</v>
      </c>
      <c r="B3520" t="s">
        <v>58</v>
      </c>
      <c r="C3520" t="str">
        <f t="shared" si="108"/>
        <v>San Diego St.SIU Edwardsville</v>
      </c>
      <c r="D3520" t="s">
        <v>57</v>
      </c>
      <c r="E3520">
        <v>93.3</v>
      </c>
      <c r="F3520">
        <v>-17.271698113207499</v>
      </c>
      <c r="G3520">
        <v>-1393.56525690589</v>
      </c>
      <c r="H3520">
        <v>138.63002740845701</v>
      </c>
      <c r="I3520" s="1">
        <f t="shared" si="109"/>
        <v>136.69811109932633</v>
      </c>
    </row>
    <row r="3521" spans="1:9" x14ac:dyDescent="0.45">
      <c r="A3521" t="s">
        <v>58</v>
      </c>
      <c r="B3521" t="s">
        <v>58</v>
      </c>
      <c r="C3521" t="str">
        <f t="shared" si="108"/>
        <v>SIU EdwardsvilleSIU Edwardsville</v>
      </c>
      <c r="D3521" t="s">
        <v>58</v>
      </c>
      <c r="E3521">
        <v>41.2</v>
      </c>
      <c r="F3521">
        <v>2.3283018867924499</v>
      </c>
      <c r="G3521">
        <v>142.64273539779199</v>
      </c>
      <c r="H3521">
        <v>138.77771517530499</v>
      </c>
      <c r="I3521" s="1">
        <f t="shared" si="109"/>
        <v>138.77771517530277</v>
      </c>
    </row>
    <row r="3522" spans="1:9" x14ac:dyDescent="0.45">
      <c r="A3522" t="s">
        <v>59</v>
      </c>
      <c r="B3522" t="s">
        <v>58</v>
      </c>
      <c r="C3522" t="str">
        <f t="shared" si="108"/>
        <v>St. John'sSIU Edwardsville</v>
      </c>
      <c r="D3522" t="s">
        <v>59</v>
      </c>
      <c r="E3522">
        <v>99.3</v>
      </c>
      <c r="F3522">
        <v>-32.830188679245303</v>
      </c>
      <c r="G3522">
        <v>-14960.9044438006</v>
      </c>
      <c r="H3522">
        <v>139.75539794785001</v>
      </c>
      <c r="I3522" s="1">
        <f t="shared" si="109"/>
        <v>152.5445499117871</v>
      </c>
    </row>
    <row r="3523" spans="1:9" x14ac:dyDescent="0.45">
      <c r="A3523" t="s">
        <v>60</v>
      </c>
      <c r="B3523" t="s">
        <v>58</v>
      </c>
      <c r="C3523" t="str">
        <f t="shared" ref="C3523:C3586" si="110">A3523&amp;B3523</f>
        <v>TennesseeSIU Edwardsville</v>
      </c>
      <c r="D3523" t="s">
        <v>60</v>
      </c>
      <c r="E3523">
        <v>99.7</v>
      </c>
      <c r="F3523">
        <v>-37.373584905660401</v>
      </c>
      <c r="G3523">
        <v>-29929.350849180199</v>
      </c>
      <c r="H3523">
        <v>140.34938082454099</v>
      </c>
      <c r="I3523" s="1">
        <f t="shared" ref="I3523:I3586" si="111">18*(H3523-AVERAGE($H$2:$H$4625))/_xlfn.STDEV.P($H$2:$H$4625)+AVERAGE($H$2:$H$4625)</f>
        <v>160.90847359883315</v>
      </c>
    </row>
    <row r="3524" spans="1:9" x14ac:dyDescent="0.45">
      <c r="A3524" t="s">
        <v>61</v>
      </c>
      <c r="B3524" t="s">
        <v>58</v>
      </c>
      <c r="C3524" t="str">
        <f t="shared" si="110"/>
        <v>TexasSIU Edwardsville</v>
      </c>
      <c r="D3524" t="s">
        <v>61</v>
      </c>
      <c r="E3524">
        <v>92.4</v>
      </c>
      <c r="F3524">
        <v>-16.422641509434001</v>
      </c>
      <c r="G3524">
        <v>-1224.4204725053401</v>
      </c>
      <c r="H3524">
        <v>138.105095355613</v>
      </c>
      <c r="I3524" s="1">
        <f t="shared" si="111"/>
        <v>129.30649796843818</v>
      </c>
    </row>
    <row r="3525" spans="1:9" x14ac:dyDescent="0.45">
      <c r="A3525" t="s">
        <v>62</v>
      </c>
      <c r="B3525" t="s">
        <v>58</v>
      </c>
      <c r="C3525" t="str">
        <f t="shared" si="110"/>
        <v>Texas A&amp;MSIU Edwardsville</v>
      </c>
      <c r="D3525" t="s">
        <v>62</v>
      </c>
      <c r="E3525">
        <v>98.6</v>
      </c>
      <c r="F3525">
        <v>-27.916981132075499</v>
      </c>
      <c r="G3525">
        <v>-7071.8241949332296</v>
      </c>
      <c r="H3525">
        <v>138.90289438320701</v>
      </c>
      <c r="I3525" s="1">
        <f t="shared" si="111"/>
        <v>140.5403743077176</v>
      </c>
    </row>
    <row r="3526" spans="1:9" x14ac:dyDescent="0.45">
      <c r="A3526" t="s">
        <v>63</v>
      </c>
      <c r="B3526" t="s">
        <v>58</v>
      </c>
      <c r="C3526" t="str">
        <f t="shared" si="110"/>
        <v>Texas TechSIU Edwardsville</v>
      </c>
      <c r="D3526" t="s">
        <v>63</v>
      </c>
      <c r="E3526">
        <v>99.3</v>
      </c>
      <c r="F3526">
        <v>-32.3698113207547</v>
      </c>
      <c r="G3526">
        <v>-13945.9462994153</v>
      </c>
      <c r="H3526">
        <v>139.94267850227101</v>
      </c>
      <c r="I3526" s="1">
        <f t="shared" si="111"/>
        <v>155.18166341575065</v>
      </c>
    </row>
    <row r="3527" spans="1:9" x14ac:dyDescent="0.45">
      <c r="A3527" t="s">
        <v>64</v>
      </c>
      <c r="B3527" t="s">
        <v>58</v>
      </c>
      <c r="C3527" t="str">
        <f t="shared" si="110"/>
        <v>TroySIU Edwardsville</v>
      </c>
      <c r="D3527" t="s">
        <v>64</v>
      </c>
      <c r="E3527">
        <v>66.3</v>
      </c>
      <c r="F3527">
        <v>-4.4226415094339604</v>
      </c>
      <c r="G3527">
        <v>-196.33018850240401</v>
      </c>
      <c r="H3527">
        <v>138.646242922</v>
      </c>
      <c r="I3527" s="1">
        <f t="shared" si="111"/>
        <v>136.92644313235624</v>
      </c>
    </row>
    <row r="3528" spans="1:9" x14ac:dyDescent="0.45">
      <c r="A3528" t="s">
        <v>65</v>
      </c>
      <c r="B3528" t="s">
        <v>58</v>
      </c>
      <c r="C3528" t="str">
        <f t="shared" si="110"/>
        <v>UC San DiegoSIU Edwardsville</v>
      </c>
      <c r="D3528" t="s">
        <v>65</v>
      </c>
      <c r="E3528">
        <v>83.4</v>
      </c>
      <c r="F3528">
        <v>-10.5849056603774</v>
      </c>
      <c r="G3528">
        <v>-502.49675617621102</v>
      </c>
      <c r="H3528">
        <v>138.73436466539101</v>
      </c>
      <c r="I3528" s="1">
        <f t="shared" si="111"/>
        <v>138.16729293765351</v>
      </c>
    </row>
    <row r="3529" spans="1:9" x14ac:dyDescent="0.45">
      <c r="A3529" t="s">
        <v>66</v>
      </c>
      <c r="B3529" t="s">
        <v>58</v>
      </c>
      <c r="C3529" t="str">
        <f t="shared" si="110"/>
        <v>UCLASIU Edwardsville</v>
      </c>
      <c r="D3529" t="s">
        <v>66</v>
      </c>
      <c r="E3529">
        <v>95.2</v>
      </c>
      <c r="F3529">
        <v>-19.626415094339599</v>
      </c>
      <c r="G3529">
        <v>-1996.80670462744</v>
      </c>
      <c r="H3529">
        <v>138.20581917850001</v>
      </c>
      <c r="I3529" s="1">
        <f t="shared" si="111"/>
        <v>130.72479873291078</v>
      </c>
    </row>
    <row r="3530" spans="1:9" x14ac:dyDescent="0.45">
      <c r="A3530" t="s">
        <v>67</v>
      </c>
      <c r="B3530" t="s">
        <v>58</v>
      </c>
      <c r="C3530" t="str">
        <f t="shared" si="110"/>
        <v>UNC WilmingtonSIU Edwardsville</v>
      </c>
      <c r="D3530" t="s">
        <v>67</v>
      </c>
      <c r="E3530">
        <v>75.099999999999994</v>
      </c>
      <c r="F3530">
        <v>-7.2226415094339602</v>
      </c>
      <c r="G3530">
        <v>-300.950502504778</v>
      </c>
      <c r="H3530">
        <v>139.32083485242001</v>
      </c>
      <c r="I3530" s="1">
        <f t="shared" si="111"/>
        <v>146.42542979904675</v>
      </c>
    </row>
    <row r="3531" spans="1:9" x14ac:dyDescent="0.45">
      <c r="A3531" t="s">
        <v>68</v>
      </c>
      <c r="B3531" t="s">
        <v>58</v>
      </c>
      <c r="C3531" t="str">
        <f t="shared" si="110"/>
        <v>Utah St.SIU Edwardsville</v>
      </c>
      <c r="D3531" t="s">
        <v>68</v>
      </c>
      <c r="E3531">
        <v>93.9</v>
      </c>
      <c r="F3531">
        <v>-17.867924528301899</v>
      </c>
      <c r="G3531">
        <v>-1526.4201086364301</v>
      </c>
      <c r="H3531">
        <v>138.69220525624701</v>
      </c>
      <c r="I3531" s="1">
        <f t="shared" si="111"/>
        <v>137.57364269181508</v>
      </c>
    </row>
    <row r="3532" spans="1:9" x14ac:dyDescent="0.45">
      <c r="A3532" t="s">
        <v>69</v>
      </c>
      <c r="B3532" t="s">
        <v>58</v>
      </c>
      <c r="C3532" t="str">
        <f t="shared" si="110"/>
        <v>VanderbiltSIU Edwardsville</v>
      </c>
      <c r="D3532" t="s">
        <v>69</v>
      </c>
      <c r="E3532">
        <v>76.5</v>
      </c>
      <c r="F3532">
        <v>-7.74339622641509</v>
      </c>
      <c r="G3532">
        <v>-325.899796660655</v>
      </c>
      <c r="H3532">
        <v>137.26677574484501</v>
      </c>
      <c r="I3532" s="1">
        <f t="shared" si="111"/>
        <v>117.50204783196466</v>
      </c>
    </row>
    <row r="3533" spans="1:9" x14ac:dyDescent="0.45">
      <c r="A3533" t="s">
        <v>70</v>
      </c>
      <c r="B3533" t="s">
        <v>58</v>
      </c>
      <c r="C3533" t="str">
        <f t="shared" si="110"/>
        <v>VCUSIU Edwardsville</v>
      </c>
      <c r="D3533" t="s">
        <v>70</v>
      </c>
      <c r="E3533">
        <v>90.9</v>
      </c>
      <c r="F3533">
        <v>-15.090566037735799</v>
      </c>
      <c r="G3533">
        <v>-999.57216048517103</v>
      </c>
      <c r="H3533">
        <v>139.11168690672099</v>
      </c>
      <c r="I3533" s="1">
        <f t="shared" si="111"/>
        <v>143.48039968828968</v>
      </c>
    </row>
    <row r="3534" spans="1:9" x14ac:dyDescent="0.45">
      <c r="A3534" t="s">
        <v>71</v>
      </c>
      <c r="B3534" t="s">
        <v>58</v>
      </c>
      <c r="C3534" t="str">
        <f t="shared" si="110"/>
        <v>WisconsinSIU Edwardsville</v>
      </c>
      <c r="D3534" t="s">
        <v>71</v>
      </c>
      <c r="E3534">
        <v>99.2</v>
      </c>
      <c r="F3534">
        <v>-31.554716981132099</v>
      </c>
      <c r="G3534">
        <v>-12315.583178377001</v>
      </c>
      <c r="H3534">
        <v>139.91236576198699</v>
      </c>
      <c r="I3534" s="1">
        <f t="shared" si="111"/>
        <v>154.75482712731556</v>
      </c>
    </row>
    <row r="3535" spans="1:9" x14ac:dyDescent="0.45">
      <c r="A3535" t="s">
        <v>80</v>
      </c>
      <c r="B3535" t="s">
        <v>58</v>
      </c>
      <c r="C3535" t="str">
        <f t="shared" si="110"/>
        <v>WoffordSIU Edwardsville</v>
      </c>
      <c r="D3535" t="s">
        <v>80</v>
      </c>
      <c r="E3535">
        <v>50.6</v>
      </c>
      <c r="F3535">
        <v>-0.169811320754717</v>
      </c>
      <c r="G3535">
        <v>-102.60768737142701</v>
      </c>
      <c r="H3535">
        <v>137.94182150108199</v>
      </c>
      <c r="I3535" s="1">
        <f t="shared" si="111"/>
        <v>127.00742485879745</v>
      </c>
    </row>
    <row r="3536" spans="1:9" x14ac:dyDescent="0.45">
      <c r="A3536" t="s">
        <v>72</v>
      </c>
      <c r="B3536" t="s">
        <v>58</v>
      </c>
      <c r="C3536" t="str">
        <f t="shared" si="110"/>
        <v>XavierSIU Edwardsville</v>
      </c>
      <c r="D3536" t="s">
        <v>72</v>
      </c>
      <c r="E3536">
        <v>90.8</v>
      </c>
      <c r="F3536">
        <v>-15.0150943396226</v>
      </c>
      <c r="G3536">
        <v>-988.00568457411805</v>
      </c>
      <c r="H3536">
        <v>138.517735071234</v>
      </c>
      <c r="I3536" s="1">
        <f t="shared" si="111"/>
        <v>135.11691309509172</v>
      </c>
    </row>
    <row r="3537" spans="1:9" x14ac:dyDescent="0.45">
      <c r="A3537" t="s">
        <v>73</v>
      </c>
      <c r="B3537" t="s">
        <v>58</v>
      </c>
      <c r="C3537" t="str">
        <f t="shared" si="110"/>
        <v>YaleSIU Edwardsville</v>
      </c>
      <c r="D3537" t="s">
        <v>73</v>
      </c>
      <c r="E3537">
        <v>84.6</v>
      </c>
      <c r="F3537">
        <v>-11.192452830188699</v>
      </c>
      <c r="G3537">
        <v>-551.37600604956504</v>
      </c>
      <c r="H3537">
        <v>139.316969705296</v>
      </c>
      <c r="I3537" s="1">
        <f t="shared" si="111"/>
        <v>146.37100433182712</v>
      </c>
    </row>
    <row r="3538" spans="1:9" x14ac:dyDescent="0.45">
      <c r="A3538" t="s">
        <v>7</v>
      </c>
      <c r="B3538" t="s">
        <v>59</v>
      </c>
      <c r="C3538" t="str">
        <f t="shared" si="110"/>
        <v>AkronSt. John's</v>
      </c>
      <c r="D3538" t="s">
        <v>59</v>
      </c>
      <c r="E3538">
        <v>1.3</v>
      </c>
      <c r="F3538">
        <v>28.3622641509434</v>
      </c>
      <c r="G3538">
        <v>7567.0644394003202</v>
      </c>
      <c r="H3538">
        <v>137.121752388197</v>
      </c>
      <c r="I3538" s="1">
        <f t="shared" si="111"/>
        <v>115.45996154388757</v>
      </c>
    </row>
    <row r="3539" spans="1:9" x14ac:dyDescent="0.45">
      <c r="A3539" t="s">
        <v>8</v>
      </c>
      <c r="B3539" t="s">
        <v>59</v>
      </c>
      <c r="C3539" t="str">
        <f t="shared" si="110"/>
        <v>AlabamaSt. John's</v>
      </c>
      <c r="D3539" t="s">
        <v>59</v>
      </c>
      <c r="E3539">
        <v>49.3</v>
      </c>
      <c r="F3539">
        <v>0.18867924528301899</v>
      </c>
      <c r="G3539">
        <v>102.897247945847</v>
      </c>
      <c r="H3539">
        <v>138.869848400336</v>
      </c>
      <c r="I3539" s="1">
        <f t="shared" si="111"/>
        <v>140.07505099665454</v>
      </c>
    </row>
    <row r="3540" spans="1:9" x14ac:dyDescent="0.45">
      <c r="A3540" t="s">
        <v>9</v>
      </c>
      <c r="B3540" t="s">
        <v>59</v>
      </c>
      <c r="C3540" t="str">
        <f t="shared" si="110"/>
        <v>Alabama St.St. John's</v>
      </c>
      <c r="D3540" t="s">
        <v>59</v>
      </c>
      <c r="E3540">
        <v>0.2</v>
      </c>
      <c r="F3540">
        <v>40.501886792452801</v>
      </c>
      <c r="G3540">
        <v>48215.997913871601</v>
      </c>
      <c r="H3540">
        <v>137.34859324401</v>
      </c>
      <c r="I3540" s="1">
        <f t="shared" si="111"/>
        <v>118.65412703514517</v>
      </c>
    </row>
    <row r="3541" spans="1:9" x14ac:dyDescent="0.45">
      <c r="A3541" t="s">
        <v>10</v>
      </c>
      <c r="B3541" t="s">
        <v>59</v>
      </c>
      <c r="C3541" t="str">
        <f t="shared" si="110"/>
        <v>AmericanSt. John's</v>
      </c>
      <c r="D3541" t="s">
        <v>59</v>
      </c>
      <c r="E3541">
        <v>0.3</v>
      </c>
      <c r="F3541">
        <v>39.237735849056598</v>
      </c>
      <c r="G3541">
        <v>39764.3181342315</v>
      </c>
      <c r="H3541">
        <v>137.43967912561399</v>
      </c>
      <c r="I3541" s="1">
        <f t="shared" si="111"/>
        <v>119.9367151241271</v>
      </c>
    </row>
    <row r="3542" spans="1:9" x14ac:dyDescent="0.45">
      <c r="A3542" t="s">
        <v>11</v>
      </c>
      <c r="B3542" t="s">
        <v>59</v>
      </c>
      <c r="C3542" t="str">
        <f t="shared" si="110"/>
        <v>ArizonaSt. John's</v>
      </c>
      <c r="D3542" t="s">
        <v>59</v>
      </c>
      <c r="E3542">
        <v>40.799999999999997</v>
      </c>
      <c r="F3542">
        <v>2.4264150943396201</v>
      </c>
      <c r="G3542">
        <v>144.82447700926599</v>
      </c>
      <c r="H3542">
        <v>138.63220721932601</v>
      </c>
      <c r="I3542" s="1">
        <f t="shared" si="111"/>
        <v>136.72880520260088</v>
      </c>
    </row>
    <row r="3543" spans="1:9" x14ac:dyDescent="0.45">
      <c r="A3543" t="s">
        <v>12</v>
      </c>
      <c r="B3543" t="s">
        <v>59</v>
      </c>
      <c r="C3543" t="str">
        <f t="shared" si="110"/>
        <v>ArkansasSt. John's</v>
      </c>
      <c r="D3543" t="s">
        <v>59</v>
      </c>
      <c r="E3543">
        <v>4</v>
      </c>
      <c r="F3543">
        <v>20.818867924528298</v>
      </c>
      <c r="G3543">
        <v>2395.1356197509799</v>
      </c>
      <c r="H3543">
        <v>136.749811053184</v>
      </c>
      <c r="I3543" s="1">
        <f t="shared" si="111"/>
        <v>110.22262379530265</v>
      </c>
    </row>
    <row r="3544" spans="1:9" x14ac:dyDescent="0.45">
      <c r="A3544" t="s">
        <v>13</v>
      </c>
      <c r="B3544" t="s">
        <v>59</v>
      </c>
      <c r="C3544" t="str">
        <f t="shared" si="110"/>
        <v>AuburnSt. John's</v>
      </c>
      <c r="D3544" t="s">
        <v>13</v>
      </c>
      <c r="E3544">
        <v>65.599999999999994</v>
      </c>
      <c r="F3544">
        <v>-4.2226415094339602</v>
      </c>
      <c r="G3544">
        <v>-190.45727286511701</v>
      </c>
      <c r="H3544">
        <v>139.88853045844601</v>
      </c>
      <c r="I3544" s="1">
        <f t="shared" si="111"/>
        <v>154.41920017964173</v>
      </c>
    </row>
    <row r="3545" spans="1:9" x14ac:dyDescent="0.45">
      <c r="A3545" t="s">
        <v>14</v>
      </c>
      <c r="B3545" t="s">
        <v>59</v>
      </c>
      <c r="C3545" t="str">
        <f t="shared" si="110"/>
        <v>BaylorSt. John's</v>
      </c>
      <c r="D3545" t="s">
        <v>59</v>
      </c>
      <c r="E3545">
        <v>16.8</v>
      </c>
      <c r="F3545">
        <v>10.5094339622642</v>
      </c>
      <c r="G3545">
        <v>496.80978087171098</v>
      </c>
      <c r="H3545">
        <v>138.42352847117101</v>
      </c>
      <c r="I3545" s="1">
        <f t="shared" si="111"/>
        <v>133.79038190258925</v>
      </c>
    </row>
    <row r="3546" spans="1:9" x14ac:dyDescent="0.45">
      <c r="A3546" t="s">
        <v>15</v>
      </c>
      <c r="B3546" t="s">
        <v>59</v>
      </c>
      <c r="C3546" t="str">
        <f t="shared" si="110"/>
        <v>BryantSt. John's</v>
      </c>
      <c r="D3546" t="s">
        <v>59</v>
      </c>
      <c r="E3546">
        <v>0.9</v>
      </c>
      <c r="F3546">
        <v>30.796226415094299</v>
      </c>
      <c r="G3546">
        <v>10968.071734087</v>
      </c>
      <c r="H3546">
        <v>137.97252622106501</v>
      </c>
      <c r="I3546" s="1">
        <f t="shared" si="111"/>
        <v>127.43978064689824</v>
      </c>
    </row>
    <row r="3547" spans="1:9" x14ac:dyDescent="0.45">
      <c r="A3547" t="s">
        <v>16</v>
      </c>
      <c r="B3547" t="s">
        <v>59</v>
      </c>
      <c r="C3547" t="str">
        <f t="shared" si="110"/>
        <v>BYUSt. John's</v>
      </c>
      <c r="D3547" t="s">
        <v>59</v>
      </c>
      <c r="E3547">
        <v>19.7</v>
      </c>
      <c r="F3547">
        <v>9.2150943396226399</v>
      </c>
      <c r="G3547">
        <v>407.80594655038999</v>
      </c>
      <c r="H3547">
        <v>138.233046699288</v>
      </c>
      <c r="I3547" s="1">
        <f t="shared" si="111"/>
        <v>131.10819178175902</v>
      </c>
    </row>
    <row r="3548" spans="1:9" x14ac:dyDescent="0.45">
      <c r="A3548" t="s">
        <v>17</v>
      </c>
      <c r="B3548" t="s">
        <v>59</v>
      </c>
      <c r="C3548" t="str">
        <f t="shared" si="110"/>
        <v>ClemsonSt. John's</v>
      </c>
      <c r="D3548" t="s">
        <v>59</v>
      </c>
      <c r="E3548">
        <v>23.9</v>
      </c>
      <c r="F3548">
        <v>7.5886792452830196</v>
      </c>
      <c r="G3548">
        <v>318.27463460817899</v>
      </c>
      <c r="H3548">
        <v>138.45495855557999</v>
      </c>
      <c r="I3548" s="1">
        <f t="shared" si="111"/>
        <v>134.23295160920878</v>
      </c>
    </row>
    <row r="3549" spans="1:9" x14ac:dyDescent="0.45">
      <c r="A3549" t="s">
        <v>18</v>
      </c>
      <c r="B3549" t="s">
        <v>59</v>
      </c>
      <c r="C3549" t="str">
        <f t="shared" si="110"/>
        <v>Colorado St.St. John's</v>
      </c>
      <c r="D3549" t="s">
        <v>59</v>
      </c>
      <c r="E3549">
        <v>4.9000000000000004</v>
      </c>
      <c r="F3549">
        <v>19.430188679245301</v>
      </c>
      <c r="G3549">
        <v>1937.06216377857</v>
      </c>
      <c r="H3549">
        <v>137.76235040368499</v>
      </c>
      <c r="I3549" s="1">
        <f t="shared" si="111"/>
        <v>124.48027698709228</v>
      </c>
    </row>
    <row r="3550" spans="1:9" x14ac:dyDescent="0.45">
      <c r="A3550" t="s">
        <v>19</v>
      </c>
      <c r="B3550" t="s">
        <v>59</v>
      </c>
      <c r="C3550" t="str">
        <f t="shared" si="110"/>
        <v>ConnecticutSt. John's</v>
      </c>
      <c r="D3550" t="s">
        <v>59</v>
      </c>
      <c r="E3550">
        <v>34.799999999999997</v>
      </c>
      <c r="F3550">
        <v>4.12452830188679</v>
      </c>
      <c r="G3550">
        <v>187.64911359325899</v>
      </c>
      <c r="H3550">
        <v>138.397902306021</v>
      </c>
      <c r="I3550" s="1">
        <f t="shared" si="111"/>
        <v>133.42953767943521</v>
      </c>
    </row>
    <row r="3551" spans="1:9" x14ac:dyDescent="0.45">
      <c r="A3551" t="s">
        <v>20</v>
      </c>
      <c r="B3551" t="s">
        <v>59</v>
      </c>
      <c r="C3551" t="str">
        <f t="shared" si="110"/>
        <v>CreightonSt. John's</v>
      </c>
      <c r="D3551" t="s">
        <v>59</v>
      </c>
      <c r="E3551">
        <v>14.2</v>
      </c>
      <c r="F3551">
        <v>11.8188679245283</v>
      </c>
      <c r="G3551">
        <v>606.63371625712102</v>
      </c>
      <c r="H3551">
        <v>137.870844668285</v>
      </c>
      <c r="I3551" s="1">
        <f t="shared" si="111"/>
        <v>126.00799400589244</v>
      </c>
    </row>
    <row r="3552" spans="1:9" x14ac:dyDescent="0.45">
      <c r="A3552" t="s">
        <v>21</v>
      </c>
      <c r="B3552" t="s">
        <v>59</v>
      </c>
      <c r="C3552" t="str">
        <f t="shared" si="110"/>
        <v>DrakeSt. John's</v>
      </c>
      <c r="D3552" t="s">
        <v>59</v>
      </c>
      <c r="E3552">
        <v>4.9000000000000004</v>
      </c>
      <c r="F3552">
        <v>19.479245283018901</v>
      </c>
      <c r="G3552">
        <v>1952.09727755575</v>
      </c>
      <c r="H3552">
        <v>137.92430977243899</v>
      </c>
      <c r="I3552" s="1">
        <f t="shared" si="111"/>
        <v>126.7608407100855</v>
      </c>
    </row>
    <row r="3553" spans="1:9" x14ac:dyDescent="0.45">
      <c r="A3553" t="s">
        <v>22</v>
      </c>
      <c r="B3553" t="s">
        <v>59</v>
      </c>
      <c r="C3553" t="str">
        <f t="shared" si="110"/>
        <v>DukeSt. John's</v>
      </c>
      <c r="D3553" t="s">
        <v>22</v>
      </c>
      <c r="E3553">
        <v>73.599999999999994</v>
      </c>
      <c r="F3553">
        <v>-6.7320754716981099</v>
      </c>
      <c r="G3553">
        <v>-279.258872742471</v>
      </c>
      <c r="H3553">
        <v>140.21163023389499</v>
      </c>
      <c r="I3553" s="1">
        <f t="shared" si="111"/>
        <v>158.96879575083349</v>
      </c>
    </row>
    <row r="3554" spans="1:9" x14ac:dyDescent="0.45">
      <c r="A3554" t="s">
        <v>23</v>
      </c>
      <c r="B3554" t="s">
        <v>59</v>
      </c>
      <c r="C3554" t="str">
        <f t="shared" si="110"/>
        <v>FloridaSt. John's</v>
      </c>
      <c r="D3554" t="s">
        <v>23</v>
      </c>
      <c r="E3554">
        <v>60.6</v>
      </c>
      <c r="F3554">
        <v>-2.8339622641509399</v>
      </c>
      <c r="G3554">
        <v>-154.04952200976501</v>
      </c>
      <c r="H3554">
        <v>139.935386509838</v>
      </c>
      <c r="I3554" s="1">
        <f t="shared" si="111"/>
        <v>155.07898424665407</v>
      </c>
    </row>
    <row r="3555" spans="1:9" x14ac:dyDescent="0.45">
      <c r="A3555" t="s">
        <v>24</v>
      </c>
      <c r="B3555" t="s">
        <v>59</v>
      </c>
      <c r="C3555" t="str">
        <f t="shared" si="110"/>
        <v>GeorgiaSt. John's</v>
      </c>
      <c r="D3555" t="s">
        <v>59</v>
      </c>
      <c r="E3555">
        <v>5.5</v>
      </c>
      <c r="F3555">
        <v>18.675471698113199</v>
      </c>
      <c r="G3555">
        <v>1726.5309857218799</v>
      </c>
      <c r="H3555">
        <v>137.077200034182</v>
      </c>
      <c r="I3555" s="1">
        <f t="shared" si="111"/>
        <v>114.83261603666421</v>
      </c>
    </row>
    <row r="3556" spans="1:9" x14ac:dyDescent="0.45">
      <c r="A3556" t="s">
        <v>25</v>
      </c>
      <c r="B3556" t="s">
        <v>59</v>
      </c>
      <c r="C3556" t="str">
        <f t="shared" si="110"/>
        <v>GonzagaSt. John's</v>
      </c>
      <c r="D3556" t="s">
        <v>59</v>
      </c>
      <c r="E3556">
        <v>24.6</v>
      </c>
      <c r="F3556">
        <v>7.3471698113207502</v>
      </c>
      <c r="G3556">
        <v>306.72778595028302</v>
      </c>
      <c r="H3556">
        <v>139.21484115371101</v>
      </c>
      <c r="I3556" s="1">
        <f t="shared" si="111"/>
        <v>144.93292346241873</v>
      </c>
    </row>
    <row r="3557" spans="1:9" x14ac:dyDescent="0.45">
      <c r="A3557" t="s">
        <v>26</v>
      </c>
      <c r="B3557" t="s">
        <v>59</v>
      </c>
      <c r="C3557" t="str">
        <f t="shared" si="110"/>
        <v>Grand CanyonSt. John's</v>
      </c>
      <c r="D3557" t="s">
        <v>59</v>
      </c>
      <c r="E3557">
        <v>3.1</v>
      </c>
      <c r="F3557">
        <v>22.5962264150943</v>
      </c>
      <c r="G3557">
        <v>3140.7669788754401</v>
      </c>
      <c r="H3557">
        <v>137.866809400015</v>
      </c>
      <c r="I3557" s="1">
        <f t="shared" si="111"/>
        <v>125.95117304826641</v>
      </c>
    </row>
    <row r="3558" spans="1:9" x14ac:dyDescent="0.45">
      <c r="A3558" t="s">
        <v>27</v>
      </c>
      <c r="B3558" t="s">
        <v>59</v>
      </c>
      <c r="C3558" t="str">
        <f t="shared" si="110"/>
        <v>High PointSt. John's</v>
      </c>
      <c r="D3558" t="s">
        <v>59</v>
      </c>
      <c r="E3558">
        <v>2</v>
      </c>
      <c r="F3558">
        <v>25.3698113207547</v>
      </c>
      <c r="G3558">
        <v>4794.1518411985999</v>
      </c>
      <c r="H3558">
        <v>138.14770114767001</v>
      </c>
      <c r="I3558" s="1">
        <f t="shared" si="111"/>
        <v>129.9064337702514</v>
      </c>
    </row>
    <row r="3559" spans="1:9" x14ac:dyDescent="0.45">
      <c r="A3559" t="s">
        <v>28</v>
      </c>
      <c r="B3559" t="s">
        <v>59</v>
      </c>
      <c r="C3559" t="str">
        <f t="shared" si="110"/>
        <v>HoustonSt. John's</v>
      </c>
      <c r="D3559" t="s">
        <v>28</v>
      </c>
      <c r="E3559">
        <v>82.7</v>
      </c>
      <c r="F3559">
        <v>-10.2452830188679</v>
      </c>
      <c r="G3559">
        <v>-477.30306892851797</v>
      </c>
      <c r="H3559">
        <v>140.35529458352499</v>
      </c>
      <c r="I3559" s="1">
        <f t="shared" si="111"/>
        <v>160.99174574486096</v>
      </c>
    </row>
    <row r="3560" spans="1:9" x14ac:dyDescent="0.45">
      <c r="A3560" t="s">
        <v>29</v>
      </c>
      <c r="B3560" t="s">
        <v>59</v>
      </c>
      <c r="C3560" t="str">
        <f t="shared" si="110"/>
        <v>IllinoisSt. John's</v>
      </c>
      <c r="D3560" t="s">
        <v>59</v>
      </c>
      <c r="E3560">
        <v>32.299999999999997</v>
      </c>
      <c r="F3560">
        <v>4.86415094339623</v>
      </c>
      <c r="G3560">
        <v>210.04310099305201</v>
      </c>
      <c r="H3560">
        <v>138.405539737461</v>
      </c>
      <c r="I3560" s="1">
        <f t="shared" si="111"/>
        <v>133.53708100473287</v>
      </c>
    </row>
    <row r="3561" spans="1:9" x14ac:dyDescent="0.45">
      <c r="A3561" t="s">
        <v>30</v>
      </c>
      <c r="B3561" t="s">
        <v>59</v>
      </c>
      <c r="C3561" t="str">
        <f t="shared" si="110"/>
        <v>Iowa St.St. John's</v>
      </c>
      <c r="D3561" t="s">
        <v>30</v>
      </c>
      <c r="E3561">
        <v>50.1</v>
      </c>
      <c r="F3561">
        <v>-1.88679245283019E-2</v>
      </c>
      <c r="G3561">
        <v>-100.28407145737199</v>
      </c>
      <c r="H3561">
        <v>139.33180831582001</v>
      </c>
      <c r="I3561" s="1">
        <f t="shared" si="111"/>
        <v>146.57994807568724</v>
      </c>
    </row>
    <row r="3562" spans="1:9" x14ac:dyDescent="0.45">
      <c r="A3562" t="s">
        <v>31</v>
      </c>
      <c r="B3562" t="s">
        <v>59</v>
      </c>
      <c r="C3562" t="str">
        <f t="shared" si="110"/>
        <v>KansasSt. John's</v>
      </c>
      <c r="D3562" t="s">
        <v>59</v>
      </c>
      <c r="E3562">
        <v>22.6</v>
      </c>
      <c r="F3562">
        <v>8.0830188679245296</v>
      </c>
      <c r="G3562">
        <v>343.22548627218299</v>
      </c>
      <c r="H3562">
        <v>138.28719860013101</v>
      </c>
      <c r="I3562" s="1">
        <f t="shared" si="111"/>
        <v>131.87070932886849</v>
      </c>
    </row>
    <row r="3563" spans="1:9" x14ac:dyDescent="0.45">
      <c r="A3563" t="s">
        <v>32</v>
      </c>
      <c r="B3563" t="s">
        <v>59</v>
      </c>
      <c r="C3563" t="str">
        <f t="shared" si="110"/>
        <v>KentuckySt. John's</v>
      </c>
      <c r="D3563" t="s">
        <v>59</v>
      </c>
      <c r="E3563">
        <v>33</v>
      </c>
      <c r="F3563">
        <v>4.6566037735849104</v>
      </c>
      <c r="G3563">
        <v>203.45584215272601</v>
      </c>
      <c r="H3563">
        <v>138.23423620052401</v>
      </c>
      <c r="I3563" s="1">
        <f t="shared" si="111"/>
        <v>131.12494125039538</v>
      </c>
    </row>
    <row r="3564" spans="1:9" x14ac:dyDescent="0.45">
      <c r="A3564" t="s">
        <v>33</v>
      </c>
      <c r="B3564" t="s">
        <v>59</v>
      </c>
      <c r="C3564" t="str">
        <f t="shared" si="110"/>
        <v>LibertySt. John's</v>
      </c>
      <c r="D3564" t="s">
        <v>59</v>
      </c>
      <c r="E3564">
        <v>1.3</v>
      </c>
      <c r="F3564">
        <v>28.147169811320801</v>
      </c>
      <c r="G3564">
        <v>7322.0087443600196</v>
      </c>
      <c r="H3564">
        <v>137.44317244892201</v>
      </c>
      <c r="I3564" s="1">
        <f t="shared" si="111"/>
        <v>119.98590490839368</v>
      </c>
    </row>
    <row r="3565" spans="1:9" x14ac:dyDescent="0.45">
      <c r="A3565" t="s">
        <v>34</v>
      </c>
      <c r="B3565" t="s">
        <v>59</v>
      </c>
      <c r="C3565" t="str">
        <f t="shared" si="110"/>
        <v>LipscombSt. John's</v>
      </c>
      <c r="D3565" t="s">
        <v>59</v>
      </c>
      <c r="E3565">
        <v>1</v>
      </c>
      <c r="F3565">
        <v>29.8867924528302</v>
      </c>
      <c r="G3565">
        <v>9551.2473573254902</v>
      </c>
      <c r="H3565">
        <v>137.87509268017999</v>
      </c>
      <c r="I3565" s="1">
        <f t="shared" si="111"/>
        <v>126.06781062469679</v>
      </c>
    </row>
    <row r="3566" spans="1:9" x14ac:dyDescent="0.45">
      <c r="A3566" t="s">
        <v>35</v>
      </c>
      <c r="B3566" t="s">
        <v>59</v>
      </c>
      <c r="C3566" t="str">
        <f t="shared" si="110"/>
        <v>LouisvilleSt. John's</v>
      </c>
      <c r="D3566" t="s">
        <v>59</v>
      </c>
      <c r="E3566">
        <v>2.6</v>
      </c>
      <c r="F3566">
        <v>23.781132075471699</v>
      </c>
      <c r="G3566">
        <v>3762.2428112595198</v>
      </c>
      <c r="H3566">
        <v>137.160815992148</v>
      </c>
      <c r="I3566" s="1">
        <f t="shared" si="111"/>
        <v>116.01001949203479</v>
      </c>
    </row>
    <row r="3567" spans="1:9" x14ac:dyDescent="0.45">
      <c r="A3567" t="s">
        <v>36</v>
      </c>
      <c r="B3567" t="s">
        <v>59</v>
      </c>
      <c r="C3567" t="str">
        <f t="shared" si="110"/>
        <v>MarquetteSt. John's</v>
      </c>
      <c r="D3567" t="s">
        <v>59</v>
      </c>
      <c r="E3567">
        <v>27.3</v>
      </c>
      <c r="F3567">
        <v>6.4339622641509404</v>
      </c>
      <c r="G3567">
        <v>266.89560045870098</v>
      </c>
      <c r="H3567">
        <v>138.49257262705299</v>
      </c>
      <c r="I3567" s="1">
        <f t="shared" si="111"/>
        <v>134.76259856656199</v>
      </c>
    </row>
    <row r="3568" spans="1:9" x14ac:dyDescent="0.45">
      <c r="A3568" t="s">
        <v>37</v>
      </c>
      <c r="B3568" t="s">
        <v>59</v>
      </c>
      <c r="C3568" t="str">
        <f t="shared" si="110"/>
        <v>MarylandSt. John's</v>
      </c>
      <c r="D3568" t="s">
        <v>59</v>
      </c>
      <c r="E3568">
        <v>20.3</v>
      </c>
      <c r="F3568">
        <v>8.9811320754717006</v>
      </c>
      <c r="G3568">
        <v>393.44657855413999</v>
      </c>
      <c r="H3568">
        <v>138.10251193873199</v>
      </c>
      <c r="I3568" s="1">
        <f t="shared" si="111"/>
        <v>129.27012065439007</v>
      </c>
    </row>
    <row r="3569" spans="1:9" x14ac:dyDescent="0.45">
      <c r="A3569" t="s">
        <v>38</v>
      </c>
      <c r="B3569" t="s">
        <v>59</v>
      </c>
      <c r="C3569" t="str">
        <f t="shared" si="110"/>
        <v>McNeese St.St. John's</v>
      </c>
      <c r="D3569" t="s">
        <v>59</v>
      </c>
      <c r="E3569">
        <v>4.3</v>
      </c>
      <c r="F3569">
        <v>20.286792452830198</v>
      </c>
      <c r="G3569">
        <v>2208.1823514733101</v>
      </c>
      <c r="H3569">
        <v>137.937923552933</v>
      </c>
      <c r="I3569" s="1">
        <f t="shared" si="111"/>
        <v>126.9525375175397</v>
      </c>
    </row>
    <row r="3570" spans="1:9" x14ac:dyDescent="0.45">
      <c r="A3570" t="s">
        <v>39</v>
      </c>
      <c r="B3570" t="s">
        <v>59</v>
      </c>
      <c r="C3570" t="str">
        <f t="shared" si="110"/>
        <v>MemphisSt. John's</v>
      </c>
      <c r="D3570" t="s">
        <v>59</v>
      </c>
      <c r="E3570">
        <v>11.5</v>
      </c>
      <c r="F3570">
        <v>13.366037735849099</v>
      </c>
      <c r="G3570">
        <v>768.16104127734604</v>
      </c>
      <c r="H3570">
        <v>137.08014675175201</v>
      </c>
      <c r="I3570" s="1">
        <f t="shared" si="111"/>
        <v>114.87410901878545</v>
      </c>
    </row>
    <row r="3571" spans="1:9" x14ac:dyDescent="0.45">
      <c r="A3571" t="s">
        <v>40</v>
      </c>
      <c r="B3571" t="s">
        <v>59</v>
      </c>
      <c r="C3571" t="str">
        <f t="shared" si="110"/>
        <v>MichiganSt. John's</v>
      </c>
      <c r="D3571" t="s">
        <v>59</v>
      </c>
      <c r="E3571">
        <v>6.4</v>
      </c>
      <c r="F3571">
        <v>17.554716981132099</v>
      </c>
      <c r="G3571">
        <v>1455.1954122541599</v>
      </c>
      <c r="H3571">
        <v>136.73706783643499</v>
      </c>
      <c r="I3571" s="1">
        <f t="shared" si="111"/>
        <v>110.04318547039669</v>
      </c>
    </row>
    <row r="3572" spans="1:9" x14ac:dyDescent="0.45">
      <c r="A3572" t="s">
        <v>41</v>
      </c>
      <c r="B3572" t="s">
        <v>59</v>
      </c>
      <c r="C3572" t="str">
        <f t="shared" si="110"/>
        <v>Michigan St.St. John's</v>
      </c>
      <c r="D3572" t="s">
        <v>59</v>
      </c>
      <c r="E3572">
        <v>39.700000000000003</v>
      </c>
      <c r="F3572">
        <v>2.7283018867924498</v>
      </c>
      <c r="G3572">
        <v>151.65176934968699</v>
      </c>
      <c r="H3572">
        <v>138.43595979726399</v>
      </c>
      <c r="I3572" s="1">
        <f t="shared" si="111"/>
        <v>133.96542846849314</v>
      </c>
    </row>
    <row r="3573" spans="1:9" x14ac:dyDescent="0.45">
      <c r="A3573" t="s">
        <v>42</v>
      </c>
      <c r="B3573" t="s">
        <v>59</v>
      </c>
      <c r="C3573" t="str">
        <f t="shared" si="110"/>
        <v>MississippiSt. John's</v>
      </c>
      <c r="D3573" t="s">
        <v>59</v>
      </c>
      <c r="E3573">
        <v>14.5</v>
      </c>
      <c r="F3573">
        <v>11.6415094339623</v>
      </c>
      <c r="G3573">
        <v>590.42722105814596</v>
      </c>
      <c r="H3573">
        <v>137.56688090235801</v>
      </c>
      <c r="I3573" s="1">
        <f t="shared" si="111"/>
        <v>121.72785422138618</v>
      </c>
    </row>
    <row r="3574" spans="1:9" x14ac:dyDescent="0.45">
      <c r="A3574" t="s">
        <v>43</v>
      </c>
      <c r="B3574" t="s">
        <v>59</v>
      </c>
      <c r="C3574" t="str">
        <f t="shared" si="110"/>
        <v>Mississippi St.St. John's</v>
      </c>
      <c r="D3574" t="s">
        <v>59</v>
      </c>
      <c r="E3574">
        <v>11.3</v>
      </c>
      <c r="F3574">
        <v>13.4905660377358</v>
      </c>
      <c r="G3574">
        <v>782.81232351694905</v>
      </c>
      <c r="H3574">
        <v>137.691252256148</v>
      </c>
      <c r="I3574" s="1">
        <f t="shared" si="111"/>
        <v>123.47913789095792</v>
      </c>
    </row>
    <row r="3575" spans="1:9" x14ac:dyDescent="0.45">
      <c r="A3575" t="s">
        <v>44</v>
      </c>
      <c r="B3575" t="s">
        <v>59</v>
      </c>
      <c r="C3575" t="str">
        <f t="shared" si="110"/>
        <v>MissouriSt. John's</v>
      </c>
      <c r="D3575" t="s">
        <v>59</v>
      </c>
      <c r="E3575">
        <v>5.3</v>
      </c>
      <c r="F3575">
        <v>18.9018867924528</v>
      </c>
      <c r="G3575">
        <v>1787.54340023332</v>
      </c>
      <c r="H3575">
        <v>136.95572419232099</v>
      </c>
      <c r="I3575" s="1">
        <f t="shared" si="111"/>
        <v>113.12210431820303</v>
      </c>
    </row>
    <row r="3576" spans="1:9" x14ac:dyDescent="0.45">
      <c r="A3576" t="s">
        <v>45</v>
      </c>
      <c r="B3576" t="s">
        <v>59</v>
      </c>
      <c r="C3576" t="str">
        <f t="shared" si="110"/>
        <v>MontanaSt. John's</v>
      </c>
      <c r="D3576" t="s">
        <v>59</v>
      </c>
      <c r="E3576">
        <v>0.5</v>
      </c>
      <c r="F3576">
        <v>34.158490566037699</v>
      </c>
      <c r="G3576">
        <v>18325.1976261458</v>
      </c>
      <c r="H3576">
        <v>136.26445891733999</v>
      </c>
      <c r="I3576" s="1">
        <f t="shared" si="111"/>
        <v>103.38833886076219</v>
      </c>
    </row>
    <row r="3577" spans="1:9" x14ac:dyDescent="0.45">
      <c r="A3577" t="s">
        <v>46</v>
      </c>
      <c r="B3577" t="s">
        <v>59</v>
      </c>
      <c r="C3577" t="str">
        <f t="shared" si="110"/>
        <v>Mount St. Mary'sSt. John's</v>
      </c>
      <c r="D3577" t="s">
        <v>59</v>
      </c>
      <c r="E3577">
        <v>0.2</v>
      </c>
      <c r="F3577">
        <v>40.275471698113201</v>
      </c>
      <c r="G3577">
        <v>46585.350011975097</v>
      </c>
      <c r="H3577">
        <v>137.61233313928699</v>
      </c>
      <c r="I3577" s="1">
        <f t="shared" si="111"/>
        <v>122.36787105688381</v>
      </c>
    </row>
    <row r="3578" spans="1:9" x14ac:dyDescent="0.45">
      <c r="A3578" t="s">
        <v>47</v>
      </c>
      <c r="B3578" t="s">
        <v>59</v>
      </c>
      <c r="C3578" t="str">
        <f t="shared" si="110"/>
        <v>Nebraska OmahaSt. John's</v>
      </c>
      <c r="D3578" t="s">
        <v>59</v>
      </c>
      <c r="E3578">
        <v>0.3</v>
      </c>
      <c r="F3578">
        <v>38.558490566037698</v>
      </c>
      <c r="G3578">
        <v>35857.416790641997</v>
      </c>
      <c r="H3578">
        <v>136.89633431918699</v>
      </c>
      <c r="I3578" s="1">
        <f t="shared" si="111"/>
        <v>112.28583043528685</v>
      </c>
    </row>
    <row r="3579" spans="1:9" x14ac:dyDescent="0.45">
      <c r="A3579" t="s">
        <v>48</v>
      </c>
      <c r="B3579" t="s">
        <v>59</v>
      </c>
      <c r="C3579" t="str">
        <f t="shared" si="110"/>
        <v>New MexicoSt. John's</v>
      </c>
      <c r="D3579" t="s">
        <v>59</v>
      </c>
      <c r="E3579">
        <v>6.7</v>
      </c>
      <c r="F3579">
        <v>17.313207547169799</v>
      </c>
      <c r="G3579">
        <v>1402.6311267537401</v>
      </c>
      <c r="H3579">
        <v>137.774078666463</v>
      </c>
      <c r="I3579" s="1">
        <f t="shared" si="111"/>
        <v>124.64542365832858</v>
      </c>
    </row>
    <row r="3580" spans="1:9" x14ac:dyDescent="0.45">
      <c r="A3580" t="s">
        <v>49</v>
      </c>
      <c r="B3580" t="s">
        <v>59</v>
      </c>
      <c r="C3580" t="str">
        <f t="shared" si="110"/>
        <v>Norfolk St.St. John's</v>
      </c>
      <c r="D3580" t="s">
        <v>59</v>
      </c>
      <c r="E3580">
        <v>0.4</v>
      </c>
      <c r="F3580">
        <v>36.026415094339598</v>
      </c>
      <c r="G3580">
        <v>24366.680213199299</v>
      </c>
      <c r="H3580">
        <v>136.78644232866401</v>
      </c>
      <c r="I3580" s="1">
        <f t="shared" si="111"/>
        <v>110.73843191822489</v>
      </c>
    </row>
    <row r="3581" spans="1:9" x14ac:dyDescent="0.45">
      <c r="A3581" t="s">
        <v>50</v>
      </c>
      <c r="B3581" t="s">
        <v>59</v>
      </c>
      <c r="C3581" t="str">
        <f t="shared" si="110"/>
        <v>North CarolinaSt. John's</v>
      </c>
      <c r="D3581" t="s">
        <v>59</v>
      </c>
      <c r="E3581">
        <v>19.600000000000001</v>
      </c>
      <c r="F3581">
        <v>9.2716981132075507</v>
      </c>
      <c r="G3581">
        <v>411.38688225741203</v>
      </c>
      <c r="H3581">
        <v>138.85837376062</v>
      </c>
      <c r="I3581" s="1">
        <f t="shared" si="111"/>
        <v>139.91347561344548</v>
      </c>
    </row>
    <row r="3582" spans="1:9" x14ac:dyDescent="0.45">
      <c r="A3582" t="s">
        <v>51</v>
      </c>
      <c r="B3582" t="s">
        <v>59</v>
      </c>
      <c r="C3582" t="str">
        <f t="shared" si="110"/>
        <v>OklahomaSt. John's</v>
      </c>
      <c r="D3582" t="s">
        <v>59</v>
      </c>
      <c r="E3582">
        <v>7.4</v>
      </c>
      <c r="F3582">
        <v>16.577358490565999</v>
      </c>
      <c r="G3582">
        <v>1253.88862148773</v>
      </c>
      <c r="H3582">
        <v>137.200977056125</v>
      </c>
      <c r="I3582" s="1">
        <f t="shared" si="111"/>
        <v>116.57553086866815</v>
      </c>
    </row>
    <row r="3583" spans="1:9" x14ac:dyDescent="0.45">
      <c r="A3583" t="s">
        <v>52</v>
      </c>
      <c r="B3583" t="s">
        <v>59</v>
      </c>
      <c r="C3583" t="str">
        <f t="shared" si="110"/>
        <v>OregonSt. John's</v>
      </c>
      <c r="D3583" t="s">
        <v>59</v>
      </c>
      <c r="E3583">
        <v>20.8</v>
      </c>
      <c r="F3583">
        <v>8.7509433962264094</v>
      </c>
      <c r="G3583">
        <v>380.04459006685698</v>
      </c>
      <c r="H3583">
        <v>137.79535484426501</v>
      </c>
      <c r="I3583" s="1">
        <f t="shared" si="111"/>
        <v>124.94501533760287</v>
      </c>
    </row>
    <row r="3584" spans="1:9" x14ac:dyDescent="0.45">
      <c r="A3584" t="s">
        <v>53</v>
      </c>
      <c r="B3584" t="s">
        <v>59</v>
      </c>
      <c r="C3584" t="str">
        <f t="shared" si="110"/>
        <v>PurdueSt. John's</v>
      </c>
      <c r="D3584" t="s">
        <v>53</v>
      </c>
      <c r="E3584">
        <v>58.2</v>
      </c>
      <c r="F3584">
        <v>-2.1584905660377398</v>
      </c>
      <c r="G3584">
        <v>-138.98665909952601</v>
      </c>
      <c r="H3584">
        <v>139.14334217305401</v>
      </c>
      <c r="I3584" s="1">
        <f t="shared" si="111"/>
        <v>143.92614020084025</v>
      </c>
    </row>
    <row r="3585" spans="1:9" x14ac:dyDescent="0.45">
      <c r="A3585" t="s">
        <v>54</v>
      </c>
      <c r="B3585" t="s">
        <v>59</v>
      </c>
      <c r="C3585" t="str">
        <f t="shared" si="110"/>
        <v>Robert MorrisSt. John's</v>
      </c>
      <c r="D3585" t="s">
        <v>59</v>
      </c>
      <c r="E3585">
        <v>0.2</v>
      </c>
      <c r="F3585">
        <v>41.784905660377397</v>
      </c>
      <c r="G3585">
        <v>58641.877425572799</v>
      </c>
      <c r="H3585">
        <v>136.20197902181701</v>
      </c>
      <c r="I3585" s="1">
        <f t="shared" si="111"/>
        <v>102.50855410831264</v>
      </c>
    </row>
    <row r="3586" spans="1:9" x14ac:dyDescent="0.45">
      <c r="A3586" t="s">
        <v>55</v>
      </c>
      <c r="B3586" t="s">
        <v>59</v>
      </c>
      <c r="C3586" t="str">
        <f t="shared" si="110"/>
        <v>Saint FrancisSt. John's</v>
      </c>
      <c r="D3586" t="s">
        <v>59</v>
      </c>
      <c r="E3586">
        <v>0.1</v>
      </c>
      <c r="F3586">
        <v>44.509433962264197</v>
      </c>
      <c r="G3586">
        <v>88883.835365806197</v>
      </c>
      <c r="H3586">
        <v>137.25483455502399</v>
      </c>
      <c r="I3586" s="1">
        <f t="shared" si="111"/>
        <v>117.33390291682518</v>
      </c>
    </row>
    <row r="3587" spans="1:9" x14ac:dyDescent="0.45">
      <c r="A3587" t="s">
        <v>56</v>
      </c>
      <c r="B3587" t="s">
        <v>59</v>
      </c>
      <c r="C3587" t="str">
        <f t="shared" ref="C3587:C3650" si="112">A3587&amp;B3587</f>
        <v>Saint Mary'sSt. John's</v>
      </c>
      <c r="D3587" t="s">
        <v>59</v>
      </c>
      <c r="E3587">
        <v>18.3</v>
      </c>
      <c r="F3587">
        <v>9.7962264150943401</v>
      </c>
      <c r="G3587">
        <v>445.59377105663998</v>
      </c>
      <c r="H3587">
        <v>138.50608975611499</v>
      </c>
      <c r="I3587" s="1">
        <f t="shared" ref="I3587:I3650" si="113">18*(H3587-AVERAGE($H$2:$H$4625))/_xlfn.STDEV.P($H$2:$H$4625)+AVERAGE($H$2:$H$4625)</f>
        <v>134.95293441693582</v>
      </c>
    </row>
    <row r="3588" spans="1:9" x14ac:dyDescent="0.45">
      <c r="A3588" t="s">
        <v>57</v>
      </c>
      <c r="B3588" t="s">
        <v>59</v>
      </c>
      <c r="C3588" t="str">
        <f t="shared" si="112"/>
        <v>San Diego St.St. John's</v>
      </c>
      <c r="D3588" t="s">
        <v>59</v>
      </c>
      <c r="E3588">
        <v>6.1</v>
      </c>
      <c r="F3588">
        <v>17.8867924528302</v>
      </c>
      <c r="G3588">
        <v>1531.3702198825899</v>
      </c>
      <c r="H3588">
        <v>137.65234463591199</v>
      </c>
      <c r="I3588" s="1">
        <f t="shared" si="113"/>
        <v>122.93127636284197</v>
      </c>
    </row>
    <row r="3589" spans="1:9" x14ac:dyDescent="0.45">
      <c r="A3589" t="s">
        <v>58</v>
      </c>
      <c r="B3589" t="s">
        <v>59</v>
      </c>
      <c r="C3589" t="str">
        <f t="shared" si="112"/>
        <v>SIU EdwardsvilleSt. John's</v>
      </c>
      <c r="D3589" t="s">
        <v>59</v>
      </c>
      <c r="E3589">
        <v>0.3</v>
      </c>
      <c r="F3589">
        <v>37.486792452830201</v>
      </c>
      <c r="G3589">
        <v>30440.877410075202</v>
      </c>
      <c r="H3589">
        <v>137.80003240276099</v>
      </c>
      <c r="I3589" s="1">
        <f t="shared" si="113"/>
        <v>125.01088043883281</v>
      </c>
    </row>
    <row r="3590" spans="1:9" x14ac:dyDescent="0.45">
      <c r="A3590" t="s">
        <v>59</v>
      </c>
      <c r="B3590" t="s">
        <v>59</v>
      </c>
      <c r="C3590" t="str">
        <f t="shared" si="112"/>
        <v>St. John'sSt. John's</v>
      </c>
      <c r="D3590" t="s">
        <v>59</v>
      </c>
      <c r="E3590">
        <v>41.2</v>
      </c>
      <c r="F3590">
        <v>2.3283018867924499</v>
      </c>
      <c r="G3590">
        <v>142.64273539779199</v>
      </c>
      <c r="H3590">
        <v>138.77771517530499</v>
      </c>
      <c r="I3590" s="1">
        <f t="shared" si="113"/>
        <v>138.77771517530277</v>
      </c>
    </row>
    <row r="3591" spans="1:9" x14ac:dyDescent="0.45">
      <c r="A3591" t="s">
        <v>60</v>
      </c>
      <c r="B3591" t="s">
        <v>59</v>
      </c>
      <c r="C3591" t="str">
        <f t="shared" si="112"/>
        <v>TennesseeSt. John's</v>
      </c>
      <c r="D3591" t="s">
        <v>60</v>
      </c>
      <c r="E3591">
        <v>58.4</v>
      </c>
      <c r="F3591">
        <v>-2.2188679245283001</v>
      </c>
      <c r="G3591">
        <v>-140.245775977346</v>
      </c>
      <c r="H3591">
        <v>139.37169805199699</v>
      </c>
      <c r="I3591" s="1">
        <f t="shared" si="113"/>
        <v>147.14163886236324</v>
      </c>
    </row>
    <row r="3592" spans="1:9" x14ac:dyDescent="0.45">
      <c r="A3592" t="s">
        <v>61</v>
      </c>
      <c r="B3592" t="s">
        <v>59</v>
      </c>
      <c r="C3592" t="str">
        <f t="shared" si="112"/>
        <v>TexasSt. John's</v>
      </c>
      <c r="D3592" t="s">
        <v>59</v>
      </c>
      <c r="E3592">
        <v>5.4</v>
      </c>
      <c r="F3592">
        <v>18.735849056603801</v>
      </c>
      <c r="G3592">
        <v>1742.91787977223</v>
      </c>
      <c r="H3592">
        <v>137.127412583069</v>
      </c>
      <c r="I3592" s="1">
        <f t="shared" si="113"/>
        <v>115.53966323196823</v>
      </c>
    </row>
    <row r="3593" spans="1:9" x14ac:dyDescent="0.45">
      <c r="A3593" t="s">
        <v>62</v>
      </c>
      <c r="B3593" t="s">
        <v>59</v>
      </c>
      <c r="C3593" t="str">
        <f t="shared" si="112"/>
        <v>Texas A&amp;MSt. John's</v>
      </c>
      <c r="D3593" t="s">
        <v>59</v>
      </c>
      <c r="E3593">
        <v>24.9</v>
      </c>
      <c r="F3593">
        <v>7.2415094339622597</v>
      </c>
      <c r="G3593">
        <v>301.76999244660698</v>
      </c>
      <c r="H3593">
        <v>137.92521161066199</v>
      </c>
      <c r="I3593" s="1">
        <f t="shared" si="113"/>
        <v>126.77353957123326</v>
      </c>
    </row>
    <row r="3594" spans="1:9" x14ac:dyDescent="0.45">
      <c r="A3594" t="s">
        <v>63</v>
      </c>
      <c r="B3594" t="s">
        <v>59</v>
      </c>
      <c r="C3594" t="str">
        <f t="shared" si="112"/>
        <v>Texas TechSt. John's</v>
      </c>
      <c r="D3594" t="s">
        <v>59</v>
      </c>
      <c r="E3594">
        <v>39.5</v>
      </c>
      <c r="F3594">
        <v>2.7886792452830198</v>
      </c>
      <c r="G3594">
        <v>153.02398905538601</v>
      </c>
      <c r="H3594">
        <v>138.96499572972601</v>
      </c>
      <c r="I3594" s="1">
        <f t="shared" si="113"/>
        <v>141.41482867926669</v>
      </c>
    </row>
    <row r="3595" spans="1:9" x14ac:dyDescent="0.45">
      <c r="A3595" t="s">
        <v>64</v>
      </c>
      <c r="B3595" t="s">
        <v>59</v>
      </c>
      <c r="C3595" t="str">
        <f t="shared" si="112"/>
        <v>TroySt. John's</v>
      </c>
      <c r="D3595" t="s">
        <v>59</v>
      </c>
      <c r="E3595">
        <v>0.9</v>
      </c>
      <c r="F3595">
        <v>30.735849056603801</v>
      </c>
      <c r="G3595">
        <v>10869.771735906899</v>
      </c>
      <c r="H3595">
        <v>137.668560149456</v>
      </c>
      <c r="I3595" s="1">
        <f t="shared" si="113"/>
        <v>123.15960839588631</v>
      </c>
    </row>
    <row r="3596" spans="1:9" x14ac:dyDescent="0.45">
      <c r="A3596" t="s">
        <v>65</v>
      </c>
      <c r="B3596" t="s">
        <v>59</v>
      </c>
      <c r="C3596" t="str">
        <f t="shared" si="112"/>
        <v>UC San DiegoSt. John's</v>
      </c>
      <c r="D3596" t="s">
        <v>59</v>
      </c>
      <c r="E3596">
        <v>2.2999999999999998</v>
      </c>
      <c r="F3596">
        <v>24.5735849056604</v>
      </c>
      <c r="G3596">
        <v>4246.9216122468897</v>
      </c>
      <c r="H3596">
        <v>137.75668189284701</v>
      </c>
      <c r="I3596" s="1">
        <f t="shared" si="113"/>
        <v>124.40045820118357</v>
      </c>
    </row>
    <row r="3597" spans="1:9" x14ac:dyDescent="0.45">
      <c r="A3597" t="s">
        <v>66</v>
      </c>
      <c r="B3597" t="s">
        <v>59</v>
      </c>
      <c r="C3597" t="str">
        <f t="shared" si="112"/>
        <v>UCLASt. John's</v>
      </c>
      <c r="D3597" t="s">
        <v>59</v>
      </c>
      <c r="E3597">
        <v>8.6</v>
      </c>
      <c r="F3597">
        <v>15.5283018867925</v>
      </c>
      <c r="G3597">
        <v>1068.73856590284</v>
      </c>
      <c r="H3597">
        <v>137.22813640595501</v>
      </c>
      <c r="I3597" s="1">
        <f t="shared" si="113"/>
        <v>116.95796399642684</v>
      </c>
    </row>
    <row r="3598" spans="1:9" x14ac:dyDescent="0.45">
      <c r="A3598" t="s">
        <v>67</v>
      </c>
      <c r="B3598" t="s">
        <v>59</v>
      </c>
      <c r="C3598" t="str">
        <f t="shared" si="112"/>
        <v>UNC WilmingtonSt. John's</v>
      </c>
      <c r="D3598" t="s">
        <v>59</v>
      </c>
      <c r="E3598">
        <v>1.4</v>
      </c>
      <c r="F3598">
        <v>27.9358490566038</v>
      </c>
      <c r="G3598">
        <v>7091.0808127154696</v>
      </c>
      <c r="H3598">
        <v>138.34315207987501</v>
      </c>
      <c r="I3598" s="1">
        <f t="shared" si="113"/>
        <v>132.65859506256282</v>
      </c>
    </row>
    <row r="3599" spans="1:9" x14ac:dyDescent="0.45">
      <c r="A3599" t="s">
        <v>68</v>
      </c>
      <c r="B3599" t="s">
        <v>59</v>
      </c>
      <c r="C3599" t="str">
        <f t="shared" si="112"/>
        <v>Utah St.St. John's</v>
      </c>
      <c r="D3599" t="s">
        <v>59</v>
      </c>
      <c r="E3599">
        <v>6.7</v>
      </c>
      <c r="F3599">
        <v>17.2905660377359</v>
      </c>
      <c r="G3599">
        <v>1398.0845258878901</v>
      </c>
      <c r="H3599">
        <v>137.71452248370201</v>
      </c>
      <c r="I3599" s="1">
        <f t="shared" si="113"/>
        <v>123.80680795533112</v>
      </c>
    </row>
    <row r="3600" spans="1:9" x14ac:dyDescent="0.45">
      <c r="A3600" t="s">
        <v>69</v>
      </c>
      <c r="B3600" t="s">
        <v>59</v>
      </c>
      <c r="C3600" t="str">
        <f t="shared" si="112"/>
        <v>VanderbiltSt. John's</v>
      </c>
      <c r="D3600" t="s">
        <v>59</v>
      </c>
      <c r="E3600">
        <v>1.5</v>
      </c>
      <c r="F3600">
        <v>27.411320754717</v>
      </c>
      <c r="G3600">
        <v>6548.2223547098902</v>
      </c>
      <c r="H3600">
        <v>136.28909297230001</v>
      </c>
      <c r="I3600" s="1">
        <f t="shared" si="113"/>
        <v>103.73521309548072</v>
      </c>
    </row>
    <row r="3601" spans="1:9" x14ac:dyDescent="0.45">
      <c r="A3601" t="s">
        <v>70</v>
      </c>
      <c r="B3601" t="s">
        <v>59</v>
      </c>
      <c r="C3601" t="str">
        <f t="shared" si="112"/>
        <v>VCUSt. John's</v>
      </c>
      <c r="D3601" t="s">
        <v>59</v>
      </c>
      <c r="E3601">
        <v>4.5</v>
      </c>
      <c r="F3601">
        <v>20.067924528301901</v>
      </c>
      <c r="G3601">
        <v>2134.9777617384598</v>
      </c>
      <c r="H3601">
        <v>138.134004134176</v>
      </c>
      <c r="I3601" s="1">
        <f t="shared" si="113"/>
        <v>129.71356495180575</v>
      </c>
    </row>
    <row r="3602" spans="1:9" x14ac:dyDescent="0.45">
      <c r="A3602" t="s">
        <v>71</v>
      </c>
      <c r="B3602" t="s">
        <v>59</v>
      </c>
      <c r="C3602" t="str">
        <f t="shared" si="112"/>
        <v>WisconsinSt. John's</v>
      </c>
      <c r="D3602" t="s">
        <v>59</v>
      </c>
      <c r="E3602">
        <v>36.6</v>
      </c>
      <c r="F3602">
        <v>3.6037735849056598</v>
      </c>
      <c r="G3602">
        <v>173.28163051470901</v>
      </c>
      <c r="H3602">
        <v>138.93468298944299</v>
      </c>
      <c r="I3602" s="1">
        <f t="shared" si="113"/>
        <v>140.98799239084562</v>
      </c>
    </row>
    <row r="3603" spans="1:9" x14ac:dyDescent="0.45">
      <c r="A3603" t="s">
        <v>80</v>
      </c>
      <c r="B3603" t="s">
        <v>59</v>
      </c>
      <c r="C3603" t="str">
        <f t="shared" si="112"/>
        <v>WoffordSt. John's</v>
      </c>
      <c r="D3603" t="s">
        <v>59</v>
      </c>
      <c r="E3603">
        <v>0.5</v>
      </c>
      <c r="F3603">
        <v>34.988679245283002</v>
      </c>
      <c r="G3603">
        <v>20798.288983589198</v>
      </c>
      <c r="H3603">
        <v>136.96413872853699</v>
      </c>
      <c r="I3603" s="1">
        <f t="shared" si="113"/>
        <v>113.24059012231351</v>
      </c>
    </row>
    <row r="3604" spans="1:9" x14ac:dyDescent="0.45">
      <c r="A3604" t="s">
        <v>72</v>
      </c>
      <c r="B3604" t="s">
        <v>59</v>
      </c>
      <c r="C3604" t="str">
        <f t="shared" si="112"/>
        <v>XavierSt. John's</v>
      </c>
      <c r="D3604" t="s">
        <v>59</v>
      </c>
      <c r="E3604">
        <v>4.4000000000000004</v>
      </c>
      <c r="F3604">
        <v>20.143396226415099</v>
      </c>
      <c r="G3604">
        <v>2159.9717159609299</v>
      </c>
      <c r="H3604">
        <v>137.54005229868901</v>
      </c>
      <c r="I3604" s="1">
        <f t="shared" si="113"/>
        <v>121.35007835860776</v>
      </c>
    </row>
    <row r="3605" spans="1:9" x14ac:dyDescent="0.45">
      <c r="A3605" t="s">
        <v>73</v>
      </c>
      <c r="B3605" t="s">
        <v>59</v>
      </c>
      <c r="C3605" t="str">
        <f t="shared" si="112"/>
        <v>YaleSt. John's</v>
      </c>
      <c r="D3605" t="s">
        <v>59</v>
      </c>
      <c r="E3605">
        <v>2.5</v>
      </c>
      <c r="F3605">
        <v>23.966037735849099</v>
      </c>
      <c r="G3605">
        <v>3870.4338064664998</v>
      </c>
      <c r="H3605">
        <v>138.33928693275101</v>
      </c>
      <c r="I3605" s="1">
        <f t="shared" si="113"/>
        <v>132.60416959534319</v>
      </c>
    </row>
    <row r="3606" spans="1:9" x14ac:dyDescent="0.45">
      <c r="A3606" t="s">
        <v>7</v>
      </c>
      <c r="B3606" t="s">
        <v>60</v>
      </c>
      <c r="C3606" t="str">
        <f t="shared" si="112"/>
        <v>AkronTennessee</v>
      </c>
      <c r="D3606" t="s">
        <v>60</v>
      </c>
      <c r="E3606">
        <v>0.7</v>
      </c>
      <c r="F3606">
        <v>32.905660377358501</v>
      </c>
      <c r="G3606">
        <v>15137.943521790899</v>
      </c>
      <c r="H3606">
        <v>136.52776951150599</v>
      </c>
      <c r="I3606" s="1">
        <f t="shared" si="113"/>
        <v>107.09603785684111</v>
      </c>
    </row>
    <row r="3607" spans="1:9" x14ac:dyDescent="0.45">
      <c r="A3607" t="s">
        <v>8</v>
      </c>
      <c r="B3607" t="s">
        <v>60</v>
      </c>
      <c r="C3607" t="str">
        <f t="shared" si="112"/>
        <v>AlabamaTennessee</v>
      </c>
      <c r="D3607" t="s">
        <v>60</v>
      </c>
      <c r="E3607">
        <v>32.700000000000003</v>
      </c>
      <c r="F3607">
        <v>4.7320754716981099</v>
      </c>
      <c r="G3607">
        <v>205.84636756118201</v>
      </c>
      <c r="H3607">
        <v>138.275865523645</v>
      </c>
      <c r="I3607" s="1">
        <f t="shared" si="113"/>
        <v>131.71112730960809</v>
      </c>
    </row>
    <row r="3608" spans="1:9" x14ac:dyDescent="0.45">
      <c r="A3608" t="s">
        <v>9</v>
      </c>
      <c r="B3608" t="s">
        <v>60</v>
      </c>
      <c r="C3608" t="str">
        <f t="shared" si="112"/>
        <v>Alabama St.Tennessee</v>
      </c>
      <c r="D3608" t="s">
        <v>60</v>
      </c>
      <c r="E3608">
        <v>0.1</v>
      </c>
      <c r="F3608">
        <v>45.045283018867899</v>
      </c>
      <c r="G3608">
        <v>96456.302059034802</v>
      </c>
      <c r="H3608">
        <v>136.754610367319</v>
      </c>
      <c r="I3608" s="1">
        <f t="shared" si="113"/>
        <v>110.29020334809871</v>
      </c>
    </row>
    <row r="3609" spans="1:9" x14ac:dyDescent="0.45">
      <c r="A3609" t="s">
        <v>10</v>
      </c>
      <c r="B3609" t="s">
        <v>60</v>
      </c>
      <c r="C3609" t="str">
        <f t="shared" si="112"/>
        <v>AmericanTennessee</v>
      </c>
      <c r="D3609" t="s">
        <v>60</v>
      </c>
      <c r="E3609">
        <v>0.1</v>
      </c>
      <c r="F3609">
        <v>43.784905660377397</v>
      </c>
      <c r="G3609">
        <v>79548.681912140397</v>
      </c>
      <c r="H3609">
        <v>136.84569624892299</v>
      </c>
      <c r="I3609" s="1">
        <f t="shared" si="113"/>
        <v>111.57279143708064</v>
      </c>
    </row>
    <row r="3610" spans="1:9" x14ac:dyDescent="0.45">
      <c r="A3610" t="s">
        <v>11</v>
      </c>
      <c r="B3610" t="s">
        <v>60</v>
      </c>
      <c r="C3610" t="str">
        <f t="shared" si="112"/>
        <v>ArizonaTennessee</v>
      </c>
      <c r="D3610" t="s">
        <v>60</v>
      </c>
      <c r="E3610">
        <v>25.7</v>
      </c>
      <c r="F3610">
        <v>6.9735849056603803</v>
      </c>
      <c r="G3610">
        <v>289.72196167962301</v>
      </c>
      <c r="H3610">
        <v>138.038224342635</v>
      </c>
      <c r="I3610" s="1">
        <f t="shared" si="113"/>
        <v>128.36488151555443</v>
      </c>
    </row>
    <row r="3611" spans="1:9" x14ac:dyDescent="0.45">
      <c r="A3611" t="s">
        <v>12</v>
      </c>
      <c r="B3611" t="s">
        <v>60</v>
      </c>
      <c r="C3611" t="str">
        <f t="shared" si="112"/>
        <v>ArkansasTennessee</v>
      </c>
      <c r="D3611" t="s">
        <v>60</v>
      </c>
      <c r="E3611">
        <v>2</v>
      </c>
      <c r="F3611">
        <v>25.366037735849101</v>
      </c>
      <c r="G3611">
        <v>4791.4786545274101</v>
      </c>
      <c r="H3611">
        <v>136.155828176493</v>
      </c>
      <c r="I3611" s="1">
        <f t="shared" si="113"/>
        <v>101.85870010825619</v>
      </c>
    </row>
    <row r="3612" spans="1:9" x14ac:dyDescent="0.45">
      <c r="A3612" t="s">
        <v>13</v>
      </c>
      <c r="B3612" t="s">
        <v>60</v>
      </c>
      <c r="C3612" t="str">
        <f t="shared" si="112"/>
        <v>AuburnTennessee</v>
      </c>
      <c r="D3612" t="s">
        <v>60</v>
      </c>
      <c r="E3612">
        <v>48.8</v>
      </c>
      <c r="F3612">
        <v>0.320754716981132</v>
      </c>
      <c r="G3612">
        <v>105.036897843025</v>
      </c>
      <c r="H3612">
        <v>139.29454758175501</v>
      </c>
      <c r="I3612" s="1">
        <f t="shared" si="113"/>
        <v>146.05527649259525</v>
      </c>
    </row>
    <row r="3613" spans="1:9" x14ac:dyDescent="0.45">
      <c r="A3613" t="s">
        <v>14</v>
      </c>
      <c r="B3613" t="s">
        <v>60</v>
      </c>
      <c r="C3613" t="str">
        <f t="shared" si="112"/>
        <v>BaylorTennessee</v>
      </c>
      <c r="D3613" t="s">
        <v>60</v>
      </c>
      <c r="E3613">
        <v>9.1</v>
      </c>
      <c r="F3613">
        <v>15.0528301886792</v>
      </c>
      <c r="G3613">
        <v>993.87000918751198</v>
      </c>
      <c r="H3613">
        <v>137.82954559448001</v>
      </c>
      <c r="I3613" s="1">
        <f t="shared" si="113"/>
        <v>125.42645821554279</v>
      </c>
    </row>
    <row r="3614" spans="1:9" x14ac:dyDescent="0.45">
      <c r="A3614" t="s">
        <v>15</v>
      </c>
      <c r="B3614" t="s">
        <v>60</v>
      </c>
      <c r="C3614" t="str">
        <f t="shared" si="112"/>
        <v>BryantTennessee</v>
      </c>
      <c r="D3614" t="s">
        <v>60</v>
      </c>
      <c r="E3614">
        <v>0.5</v>
      </c>
      <c r="F3614">
        <v>35.339622641509401</v>
      </c>
      <c r="G3614">
        <v>21941.672597507099</v>
      </c>
      <c r="H3614">
        <v>137.37854334437401</v>
      </c>
      <c r="I3614" s="1">
        <f t="shared" si="113"/>
        <v>119.07585695985179</v>
      </c>
    </row>
    <row r="3615" spans="1:9" x14ac:dyDescent="0.45">
      <c r="A3615" t="s">
        <v>16</v>
      </c>
      <c r="B3615" t="s">
        <v>60</v>
      </c>
      <c r="C3615" t="str">
        <f t="shared" si="112"/>
        <v>BYUTennessee</v>
      </c>
      <c r="D3615" t="s">
        <v>60</v>
      </c>
      <c r="E3615">
        <v>10.9</v>
      </c>
      <c r="F3615">
        <v>13.7584905660377</v>
      </c>
      <c r="G3615">
        <v>815.81747270273297</v>
      </c>
      <c r="H3615">
        <v>137.639063822597</v>
      </c>
      <c r="I3615" s="1">
        <f t="shared" si="113"/>
        <v>122.74426809471257</v>
      </c>
    </row>
    <row r="3616" spans="1:9" x14ac:dyDescent="0.45">
      <c r="A3616" t="s">
        <v>17</v>
      </c>
      <c r="B3616" t="s">
        <v>60</v>
      </c>
      <c r="C3616" t="str">
        <f t="shared" si="112"/>
        <v>ClemsonTennessee</v>
      </c>
      <c r="D3616" t="s">
        <v>60</v>
      </c>
      <c r="E3616">
        <v>13.6</v>
      </c>
      <c r="F3616">
        <v>12.135849056603799</v>
      </c>
      <c r="G3616">
        <v>636.70971506872695</v>
      </c>
      <c r="H3616">
        <v>137.86097567888899</v>
      </c>
      <c r="I3616" s="1">
        <f t="shared" si="113"/>
        <v>125.86902792216232</v>
      </c>
    </row>
    <row r="3617" spans="1:9" x14ac:dyDescent="0.45">
      <c r="A3617" t="s">
        <v>18</v>
      </c>
      <c r="B3617" t="s">
        <v>60</v>
      </c>
      <c r="C3617" t="str">
        <f t="shared" si="112"/>
        <v>Colorado St.Tennessee</v>
      </c>
      <c r="D3617" t="s">
        <v>60</v>
      </c>
      <c r="E3617">
        <v>2.5</v>
      </c>
      <c r="F3617">
        <v>23.973584905660399</v>
      </c>
      <c r="G3617">
        <v>3875.1008225591299</v>
      </c>
      <c r="H3617">
        <v>137.16836752699399</v>
      </c>
      <c r="I3617" s="1">
        <f t="shared" si="113"/>
        <v>116.11635330004583</v>
      </c>
    </row>
    <row r="3618" spans="1:9" x14ac:dyDescent="0.45">
      <c r="A3618" t="s">
        <v>19</v>
      </c>
      <c r="B3618" t="s">
        <v>60</v>
      </c>
      <c r="C3618" t="str">
        <f t="shared" si="112"/>
        <v>ConnecticutTennessee</v>
      </c>
      <c r="D3618" t="s">
        <v>60</v>
      </c>
      <c r="E3618">
        <v>21</v>
      </c>
      <c r="F3618">
        <v>8.6716981132075492</v>
      </c>
      <c r="G3618">
        <v>375.39282323251899</v>
      </c>
      <c r="H3618">
        <v>137.80391942932999</v>
      </c>
      <c r="I3618" s="1">
        <f t="shared" si="113"/>
        <v>125.06561399238875</v>
      </c>
    </row>
    <row r="3619" spans="1:9" x14ac:dyDescent="0.45">
      <c r="A3619" t="s">
        <v>20</v>
      </c>
      <c r="B3619" t="s">
        <v>60</v>
      </c>
      <c r="C3619" t="str">
        <f t="shared" si="112"/>
        <v>CreightonTennessee</v>
      </c>
      <c r="D3619" t="s">
        <v>60</v>
      </c>
      <c r="E3619">
        <v>7.6</v>
      </c>
      <c r="F3619">
        <v>16.3622641509434</v>
      </c>
      <c r="G3619">
        <v>1213.5732434495001</v>
      </c>
      <c r="H3619">
        <v>137.276861791594</v>
      </c>
      <c r="I3619" s="1">
        <f t="shared" si="113"/>
        <v>117.64407031884599</v>
      </c>
    </row>
    <row r="3620" spans="1:9" x14ac:dyDescent="0.45">
      <c r="A3620" t="s">
        <v>21</v>
      </c>
      <c r="B3620" t="s">
        <v>60</v>
      </c>
      <c r="C3620" t="str">
        <f t="shared" si="112"/>
        <v>DrakeTennessee</v>
      </c>
      <c r="D3620" t="s">
        <v>60</v>
      </c>
      <c r="E3620">
        <v>2.5</v>
      </c>
      <c r="F3620">
        <v>24.026415094339601</v>
      </c>
      <c r="G3620">
        <v>3905.1786294848498</v>
      </c>
      <c r="H3620">
        <v>137.33032689574799</v>
      </c>
      <c r="I3620" s="1">
        <f t="shared" si="113"/>
        <v>118.39691702303904</v>
      </c>
    </row>
    <row r="3621" spans="1:9" x14ac:dyDescent="0.45">
      <c r="A3621" t="s">
        <v>22</v>
      </c>
      <c r="B3621" t="s">
        <v>60</v>
      </c>
      <c r="C3621" t="str">
        <f t="shared" si="112"/>
        <v>DukeTennessee</v>
      </c>
      <c r="D3621" t="s">
        <v>22</v>
      </c>
      <c r="E3621">
        <v>58.3</v>
      </c>
      <c r="F3621">
        <v>-2.18490566037736</v>
      </c>
      <c r="G3621">
        <v>-139.59425084884799</v>
      </c>
      <c r="H3621">
        <v>139.61764735720399</v>
      </c>
      <c r="I3621" s="1">
        <f t="shared" si="113"/>
        <v>150.60487206378701</v>
      </c>
    </row>
    <row r="3622" spans="1:9" x14ac:dyDescent="0.45">
      <c r="A3622" t="s">
        <v>23</v>
      </c>
      <c r="B3622" t="s">
        <v>60</v>
      </c>
      <c r="C3622" t="str">
        <f t="shared" si="112"/>
        <v>FloridaTennessee</v>
      </c>
      <c r="D3622" t="s">
        <v>60</v>
      </c>
      <c r="E3622">
        <v>43.5</v>
      </c>
      <c r="F3622">
        <v>1.7132075471698101</v>
      </c>
      <c r="G3622">
        <v>129.86110474348999</v>
      </c>
      <c r="H3622">
        <v>139.341403633146</v>
      </c>
      <c r="I3622" s="1">
        <f t="shared" si="113"/>
        <v>146.71506055959361</v>
      </c>
    </row>
    <row r="3623" spans="1:9" x14ac:dyDescent="0.45">
      <c r="A3623" t="s">
        <v>24</v>
      </c>
      <c r="B3623" t="s">
        <v>60</v>
      </c>
      <c r="C3623" t="str">
        <f t="shared" si="112"/>
        <v>GeorgiaTennessee</v>
      </c>
      <c r="D3623" t="s">
        <v>60</v>
      </c>
      <c r="E3623">
        <v>2.8</v>
      </c>
      <c r="F3623">
        <v>23.218867924528301</v>
      </c>
      <c r="G3623">
        <v>3453.9323352915899</v>
      </c>
      <c r="H3623">
        <v>136.483217157491</v>
      </c>
      <c r="I3623" s="1">
        <f t="shared" si="113"/>
        <v>106.46869234961775</v>
      </c>
    </row>
    <row r="3624" spans="1:9" x14ac:dyDescent="0.45">
      <c r="A3624" t="s">
        <v>25</v>
      </c>
      <c r="B3624" t="s">
        <v>60</v>
      </c>
      <c r="C3624" t="str">
        <f t="shared" si="112"/>
        <v>GonzagaTennessee</v>
      </c>
      <c r="D3624" t="s">
        <v>60</v>
      </c>
      <c r="E3624">
        <v>14</v>
      </c>
      <c r="F3624">
        <v>11.8943396226415</v>
      </c>
      <c r="G3624">
        <v>613.61019685559097</v>
      </c>
      <c r="H3624">
        <v>138.62085827701901</v>
      </c>
      <c r="I3624" s="1">
        <f t="shared" si="113"/>
        <v>136.56899977535826</v>
      </c>
    </row>
    <row r="3625" spans="1:9" x14ac:dyDescent="0.45">
      <c r="A3625" t="s">
        <v>26</v>
      </c>
      <c r="B3625" t="s">
        <v>60</v>
      </c>
      <c r="C3625" t="str">
        <f t="shared" si="112"/>
        <v>Grand CanyonTennessee</v>
      </c>
      <c r="D3625" t="s">
        <v>60</v>
      </c>
      <c r="E3625">
        <v>1.6</v>
      </c>
      <c r="F3625">
        <v>27.143396226415099</v>
      </c>
      <c r="G3625">
        <v>6283.1172539995296</v>
      </c>
      <c r="H3625">
        <v>137.272826523324</v>
      </c>
      <c r="I3625" s="1">
        <f t="shared" si="113"/>
        <v>117.58724936121995</v>
      </c>
    </row>
    <row r="3626" spans="1:9" x14ac:dyDescent="0.45">
      <c r="A3626" t="s">
        <v>27</v>
      </c>
      <c r="B3626" t="s">
        <v>60</v>
      </c>
      <c r="C3626" t="str">
        <f t="shared" si="112"/>
        <v>High PointTennessee</v>
      </c>
      <c r="D3626" t="s">
        <v>60</v>
      </c>
      <c r="E3626">
        <v>1</v>
      </c>
      <c r="F3626">
        <v>29.913207547169801</v>
      </c>
      <c r="G3626">
        <v>9590.72046870341</v>
      </c>
      <c r="H3626">
        <v>137.553718270979</v>
      </c>
      <c r="I3626" s="1">
        <f t="shared" si="113"/>
        <v>121.54251008320495</v>
      </c>
    </row>
    <row r="3627" spans="1:9" x14ac:dyDescent="0.45">
      <c r="A3627" t="s">
        <v>28</v>
      </c>
      <c r="B3627" t="s">
        <v>60</v>
      </c>
      <c r="C3627" t="str">
        <f t="shared" si="112"/>
        <v>HoustonTennessee</v>
      </c>
      <c r="D3627" t="s">
        <v>28</v>
      </c>
      <c r="E3627">
        <v>70.5</v>
      </c>
      <c r="F3627">
        <v>-5.7018867924528296</v>
      </c>
      <c r="G3627">
        <v>-238.591396150111</v>
      </c>
      <c r="H3627">
        <v>139.76131170683399</v>
      </c>
      <c r="I3627" s="1">
        <f t="shared" si="113"/>
        <v>152.62782205781451</v>
      </c>
    </row>
    <row r="3628" spans="1:9" x14ac:dyDescent="0.45">
      <c r="A3628" t="s">
        <v>29</v>
      </c>
      <c r="B3628" t="s">
        <v>60</v>
      </c>
      <c r="C3628" t="str">
        <f t="shared" si="112"/>
        <v>IllinoisTennessee</v>
      </c>
      <c r="D3628" t="s">
        <v>60</v>
      </c>
      <c r="E3628">
        <v>19.2</v>
      </c>
      <c r="F3628">
        <v>9.4113207547169804</v>
      </c>
      <c r="G3628">
        <v>420.19208709509002</v>
      </c>
      <c r="H3628">
        <v>137.81155686077</v>
      </c>
      <c r="I3628" s="1">
        <f t="shared" si="113"/>
        <v>125.17315731768642</v>
      </c>
    </row>
    <row r="3629" spans="1:9" x14ac:dyDescent="0.45">
      <c r="A3629" t="s">
        <v>30</v>
      </c>
      <c r="B3629" t="s">
        <v>60</v>
      </c>
      <c r="C3629" t="str">
        <f t="shared" si="112"/>
        <v>Iowa St.Tennessee</v>
      </c>
      <c r="D3629" t="s">
        <v>60</v>
      </c>
      <c r="E3629">
        <v>33.4</v>
      </c>
      <c r="F3629">
        <v>4.52830188679245</v>
      </c>
      <c r="G3629">
        <v>199.483734781333</v>
      </c>
      <c r="H3629">
        <v>138.73782543912799</v>
      </c>
      <c r="I3629" s="1">
        <f t="shared" si="113"/>
        <v>138.21602438862638</v>
      </c>
    </row>
    <row r="3630" spans="1:9" x14ac:dyDescent="0.45">
      <c r="A3630" t="s">
        <v>31</v>
      </c>
      <c r="B3630" t="s">
        <v>60</v>
      </c>
      <c r="C3630" t="str">
        <f t="shared" si="112"/>
        <v>KansasTennessee</v>
      </c>
      <c r="D3630" t="s">
        <v>60</v>
      </c>
      <c r="E3630">
        <v>12.7</v>
      </c>
      <c r="F3630">
        <v>12.6301886792453</v>
      </c>
      <c r="G3630">
        <v>686.62399640398701</v>
      </c>
      <c r="H3630">
        <v>137.69321572344001</v>
      </c>
      <c r="I3630" s="1">
        <f t="shared" si="113"/>
        <v>123.50678564182203</v>
      </c>
    </row>
    <row r="3631" spans="1:9" x14ac:dyDescent="0.45">
      <c r="A3631" t="s">
        <v>32</v>
      </c>
      <c r="B3631" t="s">
        <v>60</v>
      </c>
      <c r="C3631" t="str">
        <f t="shared" si="112"/>
        <v>KentuckyTennessee</v>
      </c>
      <c r="D3631" t="s">
        <v>60</v>
      </c>
      <c r="E3631">
        <v>19.7</v>
      </c>
      <c r="F3631">
        <v>9.1999999999999993</v>
      </c>
      <c r="G3631">
        <v>407.01424870256102</v>
      </c>
      <c r="H3631">
        <v>137.64025332383301</v>
      </c>
      <c r="I3631" s="1">
        <f t="shared" si="113"/>
        <v>122.7610175633489</v>
      </c>
    </row>
    <row r="3632" spans="1:9" x14ac:dyDescent="0.45">
      <c r="A3632" t="s">
        <v>33</v>
      </c>
      <c r="B3632" t="s">
        <v>60</v>
      </c>
      <c r="C3632" t="str">
        <f t="shared" si="112"/>
        <v>LibertyTennessee</v>
      </c>
      <c r="D3632" t="s">
        <v>60</v>
      </c>
      <c r="E3632">
        <v>0.7</v>
      </c>
      <c r="F3632">
        <v>32.690566037735799</v>
      </c>
      <c r="G3632">
        <v>14647.7085963557</v>
      </c>
      <c r="H3632">
        <v>136.84918957223101</v>
      </c>
      <c r="I3632" s="1">
        <f t="shared" si="113"/>
        <v>111.62198122134723</v>
      </c>
    </row>
    <row r="3633" spans="1:9" x14ac:dyDescent="0.45">
      <c r="A3633" t="s">
        <v>34</v>
      </c>
      <c r="B3633" t="s">
        <v>60</v>
      </c>
      <c r="C3633" t="str">
        <f t="shared" si="112"/>
        <v>LipscombTennessee</v>
      </c>
      <c r="D3633" t="s">
        <v>60</v>
      </c>
      <c r="E3633">
        <v>0.5</v>
      </c>
      <c r="F3633">
        <v>34.4339622641509</v>
      </c>
      <c r="G3633">
        <v>19107.309606749699</v>
      </c>
      <c r="H3633">
        <v>137.28110980348899</v>
      </c>
      <c r="I3633" s="1">
        <f t="shared" si="113"/>
        <v>117.70388693765034</v>
      </c>
    </row>
    <row r="3634" spans="1:9" x14ac:dyDescent="0.45">
      <c r="A3634" t="s">
        <v>35</v>
      </c>
      <c r="B3634" t="s">
        <v>60</v>
      </c>
      <c r="C3634" t="str">
        <f t="shared" si="112"/>
        <v>LouisvilleTennessee</v>
      </c>
      <c r="D3634" t="s">
        <v>60</v>
      </c>
      <c r="E3634">
        <v>1.3</v>
      </c>
      <c r="F3634">
        <v>28.324528301886801</v>
      </c>
      <c r="G3634">
        <v>7526.38221178199</v>
      </c>
      <c r="H3634">
        <v>136.566833115457</v>
      </c>
      <c r="I3634" s="1">
        <f t="shared" si="113"/>
        <v>107.64609580498832</v>
      </c>
    </row>
    <row r="3635" spans="1:9" x14ac:dyDescent="0.45">
      <c r="A3635" t="s">
        <v>36</v>
      </c>
      <c r="B3635" t="s">
        <v>60</v>
      </c>
      <c r="C3635" t="str">
        <f t="shared" si="112"/>
        <v>MarquetteTennessee</v>
      </c>
      <c r="D3635" t="s">
        <v>60</v>
      </c>
      <c r="E3635">
        <v>15.8</v>
      </c>
      <c r="F3635">
        <v>10.981132075471701</v>
      </c>
      <c r="G3635">
        <v>533.92574601604395</v>
      </c>
      <c r="H3635">
        <v>137.89858975036199</v>
      </c>
      <c r="I3635" s="1">
        <f t="shared" si="113"/>
        <v>126.39867487951553</v>
      </c>
    </row>
    <row r="3636" spans="1:9" x14ac:dyDescent="0.45">
      <c r="A3636" t="s">
        <v>37</v>
      </c>
      <c r="B3636" t="s">
        <v>60</v>
      </c>
      <c r="C3636" t="str">
        <f t="shared" si="112"/>
        <v>MarylandTennessee</v>
      </c>
      <c r="D3636" t="s">
        <v>60</v>
      </c>
      <c r="E3636">
        <v>11.3</v>
      </c>
      <c r="F3636">
        <v>13.5245283018868</v>
      </c>
      <c r="G3636">
        <v>787.09149798999897</v>
      </c>
      <c r="H3636">
        <v>137.50852906204099</v>
      </c>
      <c r="I3636" s="1">
        <f t="shared" si="113"/>
        <v>120.9061969673436</v>
      </c>
    </row>
    <row r="3637" spans="1:9" x14ac:dyDescent="0.45">
      <c r="A3637" t="s">
        <v>38</v>
      </c>
      <c r="B3637" t="s">
        <v>60</v>
      </c>
      <c r="C3637" t="str">
        <f t="shared" si="112"/>
        <v>McNeese St.Tennessee</v>
      </c>
      <c r="D3637" t="s">
        <v>60</v>
      </c>
      <c r="E3637">
        <v>2.2000000000000002</v>
      </c>
      <c r="F3637">
        <v>24.833962264150902</v>
      </c>
      <c r="G3637">
        <v>4417.47787270958</v>
      </c>
      <c r="H3637">
        <v>137.343940676242</v>
      </c>
      <c r="I3637" s="1">
        <f t="shared" si="113"/>
        <v>118.58861383049323</v>
      </c>
    </row>
    <row r="3638" spans="1:9" x14ac:dyDescent="0.45">
      <c r="A3638" t="s">
        <v>39</v>
      </c>
      <c r="B3638" t="s">
        <v>60</v>
      </c>
      <c r="C3638" t="str">
        <f t="shared" si="112"/>
        <v>MemphisTennessee</v>
      </c>
      <c r="D3638" t="s">
        <v>60</v>
      </c>
      <c r="E3638">
        <v>6.1</v>
      </c>
      <c r="F3638">
        <v>17.909433962264199</v>
      </c>
      <c r="G3638">
        <v>1536.70932124613</v>
      </c>
      <c r="H3638">
        <v>136.48616387505999</v>
      </c>
      <c r="I3638" s="1">
        <f t="shared" si="113"/>
        <v>106.51018533172459</v>
      </c>
    </row>
    <row r="3639" spans="1:9" x14ac:dyDescent="0.45">
      <c r="A3639" t="s">
        <v>40</v>
      </c>
      <c r="B3639" t="s">
        <v>60</v>
      </c>
      <c r="C3639" t="str">
        <f t="shared" si="112"/>
        <v>MichiganTennessee</v>
      </c>
      <c r="D3639" t="s">
        <v>60</v>
      </c>
      <c r="E3639">
        <v>3.3</v>
      </c>
      <c r="F3639">
        <v>22.0981132075472</v>
      </c>
      <c r="G3639">
        <v>2911.1244050167602</v>
      </c>
      <c r="H3639">
        <v>136.14308495974399</v>
      </c>
      <c r="I3639" s="1">
        <f t="shared" si="113"/>
        <v>101.67926178335023</v>
      </c>
    </row>
    <row r="3640" spans="1:9" x14ac:dyDescent="0.45">
      <c r="A3640" t="s">
        <v>41</v>
      </c>
      <c r="B3640" t="s">
        <v>60</v>
      </c>
      <c r="C3640" t="str">
        <f t="shared" si="112"/>
        <v>Michigan St.Tennessee</v>
      </c>
      <c r="D3640" t="s">
        <v>60</v>
      </c>
      <c r="E3640">
        <v>24.8</v>
      </c>
      <c r="F3640">
        <v>7.2754716981132104</v>
      </c>
      <c r="G3640">
        <v>303.37998807595102</v>
      </c>
      <c r="H3640">
        <v>137.84197692057299</v>
      </c>
      <c r="I3640" s="1">
        <f t="shared" si="113"/>
        <v>125.60150478144669</v>
      </c>
    </row>
    <row r="3641" spans="1:9" x14ac:dyDescent="0.45">
      <c r="A3641" t="s">
        <v>42</v>
      </c>
      <c r="B3641" t="s">
        <v>60</v>
      </c>
      <c r="C3641" t="str">
        <f t="shared" si="112"/>
        <v>MississippiTennessee</v>
      </c>
      <c r="D3641" t="s">
        <v>60</v>
      </c>
      <c r="E3641">
        <v>7.8</v>
      </c>
      <c r="F3641">
        <v>16.1849056603774</v>
      </c>
      <c r="G3641">
        <v>1181.15208317355</v>
      </c>
      <c r="H3641">
        <v>136.97289802566701</v>
      </c>
      <c r="I3641" s="1">
        <f t="shared" si="113"/>
        <v>113.36393053433973</v>
      </c>
    </row>
    <row r="3642" spans="1:9" x14ac:dyDescent="0.45">
      <c r="A3642" t="s">
        <v>43</v>
      </c>
      <c r="B3642" t="s">
        <v>60</v>
      </c>
      <c r="C3642" t="str">
        <f t="shared" si="112"/>
        <v>Mississippi St.Tennessee</v>
      </c>
      <c r="D3642" t="s">
        <v>60</v>
      </c>
      <c r="E3642">
        <v>6</v>
      </c>
      <c r="F3642">
        <v>18.033962264150901</v>
      </c>
      <c r="G3642">
        <v>1566.01927160285</v>
      </c>
      <c r="H3642">
        <v>137.09726937945601</v>
      </c>
      <c r="I3642" s="1">
        <f t="shared" si="113"/>
        <v>115.11521420389744</v>
      </c>
    </row>
    <row r="3643" spans="1:9" x14ac:dyDescent="0.45">
      <c r="A3643" t="s">
        <v>44</v>
      </c>
      <c r="B3643" t="s">
        <v>60</v>
      </c>
      <c r="C3643" t="str">
        <f t="shared" si="112"/>
        <v>MissouriTennessee</v>
      </c>
      <c r="D3643" t="s">
        <v>60</v>
      </c>
      <c r="E3643">
        <v>2.7</v>
      </c>
      <c r="F3643">
        <v>23.449056603773599</v>
      </c>
      <c r="G3643">
        <v>3575.9879213644699</v>
      </c>
      <c r="H3643">
        <v>136.36174131563001</v>
      </c>
      <c r="I3643" s="1">
        <f t="shared" si="113"/>
        <v>104.75818063115697</v>
      </c>
    </row>
    <row r="3644" spans="1:9" x14ac:dyDescent="0.45">
      <c r="A3644" t="s">
        <v>45</v>
      </c>
      <c r="B3644" t="s">
        <v>60</v>
      </c>
      <c r="C3644" t="str">
        <f t="shared" si="112"/>
        <v>MontanaTennessee</v>
      </c>
      <c r="D3644" t="s">
        <v>60</v>
      </c>
      <c r="E3644">
        <v>0.3</v>
      </c>
      <c r="F3644">
        <v>38.705660377358498</v>
      </c>
      <c r="G3644">
        <v>36659.633192212699</v>
      </c>
      <c r="H3644">
        <v>135.67047604064899</v>
      </c>
      <c r="I3644" s="1">
        <f t="shared" si="113"/>
        <v>95.024415173715738</v>
      </c>
    </row>
    <row r="3645" spans="1:9" x14ac:dyDescent="0.45">
      <c r="A3645" t="s">
        <v>46</v>
      </c>
      <c r="B3645" t="s">
        <v>60</v>
      </c>
      <c r="C3645" t="str">
        <f t="shared" si="112"/>
        <v>Mount St. Mary'sTennessee</v>
      </c>
      <c r="D3645" t="s">
        <v>60</v>
      </c>
      <c r="E3645">
        <v>0.1</v>
      </c>
      <c r="F3645">
        <v>44.822641509434</v>
      </c>
      <c r="G3645">
        <v>93194.184227143807</v>
      </c>
      <c r="H3645">
        <v>137.01835026259599</v>
      </c>
      <c r="I3645" s="1">
        <f t="shared" si="113"/>
        <v>114.00394736983735</v>
      </c>
    </row>
    <row r="3646" spans="1:9" x14ac:dyDescent="0.45">
      <c r="A3646" t="s">
        <v>47</v>
      </c>
      <c r="B3646" t="s">
        <v>60</v>
      </c>
      <c r="C3646" t="str">
        <f t="shared" si="112"/>
        <v>Nebraska OmahaTennessee</v>
      </c>
      <c r="D3646" t="s">
        <v>60</v>
      </c>
      <c r="E3646">
        <v>0.1</v>
      </c>
      <c r="F3646">
        <v>43.105660377358497</v>
      </c>
      <c r="G3646">
        <v>71732.9097116919</v>
      </c>
      <c r="H3646">
        <v>136.30235144249599</v>
      </c>
      <c r="I3646" s="1">
        <f t="shared" si="113"/>
        <v>103.92190674824039</v>
      </c>
    </row>
    <row r="3647" spans="1:9" x14ac:dyDescent="0.45">
      <c r="A3647" t="s">
        <v>48</v>
      </c>
      <c r="B3647" t="s">
        <v>60</v>
      </c>
      <c r="C3647" t="str">
        <f t="shared" si="112"/>
        <v>New MexicoTennessee</v>
      </c>
      <c r="D3647" t="s">
        <v>60</v>
      </c>
      <c r="E3647">
        <v>3.4</v>
      </c>
      <c r="F3647">
        <v>21.856603773584901</v>
      </c>
      <c r="G3647">
        <v>2805.9693357635501</v>
      </c>
      <c r="H3647">
        <v>137.180095789772</v>
      </c>
      <c r="I3647" s="1">
        <f t="shared" si="113"/>
        <v>116.28149997128213</v>
      </c>
    </row>
    <row r="3648" spans="1:9" x14ac:dyDescent="0.45">
      <c r="A3648" t="s">
        <v>49</v>
      </c>
      <c r="B3648" t="s">
        <v>60</v>
      </c>
      <c r="C3648" t="str">
        <f t="shared" si="112"/>
        <v>Norfolk St.Tennessee</v>
      </c>
      <c r="D3648" t="s">
        <v>60</v>
      </c>
      <c r="E3648">
        <v>0.2</v>
      </c>
      <c r="F3648">
        <v>40.573584905660397</v>
      </c>
      <c r="G3648">
        <v>48745.643946199001</v>
      </c>
      <c r="H3648">
        <v>136.19245945197301</v>
      </c>
      <c r="I3648" s="1">
        <f t="shared" si="113"/>
        <v>102.37450823117842</v>
      </c>
    </row>
    <row r="3649" spans="1:9" x14ac:dyDescent="0.45">
      <c r="A3649" t="s">
        <v>50</v>
      </c>
      <c r="B3649" t="s">
        <v>60</v>
      </c>
      <c r="C3649" t="str">
        <f t="shared" si="112"/>
        <v>North CarolinaTennessee</v>
      </c>
      <c r="D3649" t="s">
        <v>60</v>
      </c>
      <c r="E3649">
        <v>10.8</v>
      </c>
      <c r="F3649">
        <v>13.8188679245283</v>
      </c>
      <c r="G3649">
        <v>822.981149307073</v>
      </c>
      <c r="H3649">
        <v>138.264390883929</v>
      </c>
      <c r="I3649" s="1">
        <f t="shared" si="113"/>
        <v>131.54955192639903</v>
      </c>
    </row>
    <row r="3650" spans="1:9" x14ac:dyDescent="0.45">
      <c r="A3650" t="s">
        <v>51</v>
      </c>
      <c r="B3650" t="s">
        <v>60</v>
      </c>
      <c r="C3650" t="str">
        <f t="shared" si="112"/>
        <v>OklahomaTennessee</v>
      </c>
      <c r="D3650" t="s">
        <v>60</v>
      </c>
      <c r="E3650">
        <v>3.8</v>
      </c>
      <c r="F3650">
        <v>21.124528301886802</v>
      </c>
      <c r="G3650">
        <v>2508.4093424479602</v>
      </c>
      <c r="H3650">
        <v>136.606994179434</v>
      </c>
      <c r="I3650" s="1">
        <f t="shared" si="113"/>
        <v>108.2116071816217</v>
      </c>
    </row>
    <row r="3651" spans="1:9" x14ac:dyDescent="0.45">
      <c r="A3651" t="s">
        <v>52</v>
      </c>
      <c r="B3651" t="s">
        <v>60</v>
      </c>
      <c r="C3651" t="str">
        <f t="shared" ref="C3651:C3714" si="114">A3651&amp;B3651</f>
        <v>OregonTennessee</v>
      </c>
      <c r="D3651" t="s">
        <v>60</v>
      </c>
      <c r="E3651">
        <v>11.6</v>
      </c>
      <c r="F3651">
        <v>13.2981132075472</v>
      </c>
      <c r="G3651">
        <v>760.28076492106595</v>
      </c>
      <c r="H3651">
        <v>137.201371967574</v>
      </c>
      <c r="I3651" s="1">
        <f t="shared" ref="I3651:I3714" si="115">18*(H3651-AVERAGE($H$2:$H$4625))/_xlfn.STDEV.P($H$2:$H$4625)+AVERAGE($H$2:$H$4625)</f>
        <v>116.5810916505564</v>
      </c>
    </row>
    <row r="3652" spans="1:9" x14ac:dyDescent="0.45">
      <c r="A3652" t="s">
        <v>53</v>
      </c>
      <c r="B3652" t="s">
        <v>60</v>
      </c>
      <c r="C3652" t="str">
        <f t="shared" si="114"/>
        <v>PurdueTennessee</v>
      </c>
      <c r="D3652" t="s">
        <v>60</v>
      </c>
      <c r="E3652">
        <v>41</v>
      </c>
      <c r="F3652">
        <v>2.3886792452830199</v>
      </c>
      <c r="G3652">
        <v>143.93497363706899</v>
      </c>
      <c r="H3652">
        <v>138.54935929636301</v>
      </c>
      <c r="I3652" s="1">
        <f t="shared" si="115"/>
        <v>135.5622165137938</v>
      </c>
    </row>
    <row r="3653" spans="1:9" x14ac:dyDescent="0.45">
      <c r="A3653" t="s">
        <v>54</v>
      </c>
      <c r="B3653" t="s">
        <v>60</v>
      </c>
      <c r="C3653" t="str">
        <f t="shared" si="114"/>
        <v>Robert MorrisTennessee</v>
      </c>
      <c r="D3653" t="s">
        <v>60</v>
      </c>
      <c r="E3653">
        <v>0.1</v>
      </c>
      <c r="F3653">
        <v>46.328301886792502</v>
      </c>
      <c r="G3653">
        <v>117313.316886523</v>
      </c>
      <c r="H3653">
        <v>135.60799614512601</v>
      </c>
      <c r="I3653" s="1">
        <f t="shared" si="115"/>
        <v>94.144630421266186</v>
      </c>
    </row>
    <row r="3654" spans="1:9" x14ac:dyDescent="0.45">
      <c r="A3654" t="s">
        <v>55</v>
      </c>
      <c r="B3654" t="s">
        <v>60</v>
      </c>
      <c r="C3654" t="str">
        <f t="shared" si="114"/>
        <v>Saint FrancisTennessee</v>
      </c>
      <c r="D3654" t="s">
        <v>60</v>
      </c>
      <c r="E3654">
        <v>0.1</v>
      </c>
      <c r="F3654">
        <v>49.056603773584897</v>
      </c>
      <c r="G3654">
        <v>177812.478080915</v>
      </c>
      <c r="H3654">
        <v>136.66085167833299</v>
      </c>
      <c r="I3654" s="1">
        <f t="shared" si="115"/>
        <v>108.96997922977873</v>
      </c>
    </row>
    <row r="3655" spans="1:9" x14ac:dyDescent="0.45">
      <c r="A3655" t="s">
        <v>56</v>
      </c>
      <c r="B3655" t="s">
        <v>60</v>
      </c>
      <c r="C3655" t="str">
        <f t="shared" si="114"/>
        <v>Saint Mary'sTennessee</v>
      </c>
      <c r="D3655" t="s">
        <v>60</v>
      </c>
      <c r="E3655">
        <v>10.1</v>
      </c>
      <c r="F3655">
        <v>14.339622641509401</v>
      </c>
      <c r="G3655">
        <v>891.41217098606103</v>
      </c>
      <c r="H3655">
        <v>137.91210687942399</v>
      </c>
      <c r="I3655" s="1">
        <f t="shared" si="115"/>
        <v>126.58901072988937</v>
      </c>
    </row>
    <row r="3656" spans="1:9" x14ac:dyDescent="0.45">
      <c r="A3656" t="s">
        <v>57</v>
      </c>
      <c r="B3656" t="s">
        <v>60</v>
      </c>
      <c r="C3656" t="str">
        <f t="shared" si="114"/>
        <v>San Diego St.Tennessee</v>
      </c>
      <c r="D3656" t="s">
        <v>60</v>
      </c>
      <c r="E3656">
        <v>3.2</v>
      </c>
      <c r="F3656">
        <v>22.4339622641509</v>
      </c>
      <c r="G3656">
        <v>3063.51242085793</v>
      </c>
      <c r="H3656">
        <v>137.05836175922099</v>
      </c>
      <c r="I3656" s="1">
        <f t="shared" si="115"/>
        <v>114.56735267579552</v>
      </c>
    </row>
    <row r="3657" spans="1:9" x14ac:dyDescent="0.45">
      <c r="A3657" t="s">
        <v>58</v>
      </c>
      <c r="B3657" t="s">
        <v>60</v>
      </c>
      <c r="C3657" t="str">
        <f t="shared" si="114"/>
        <v>SIU EdwardsvilleTennessee</v>
      </c>
      <c r="D3657" t="s">
        <v>60</v>
      </c>
      <c r="E3657">
        <v>0.2</v>
      </c>
      <c r="F3657">
        <v>42.030188679245299</v>
      </c>
      <c r="G3657">
        <v>60897.100411635802</v>
      </c>
      <c r="H3657">
        <v>137.20604952606999</v>
      </c>
      <c r="I3657" s="1">
        <f t="shared" si="115"/>
        <v>116.64695675178636</v>
      </c>
    </row>
    <row r="3658" spans="1:9" x14ac:dyDescent="0.45">
      <c r="A3658" t="s">
        <v>59</v>
      </c>
      <c r="B3658" t="s">
        <v>60</v>
      </c>
      <c r="C3658" t="str">
        <f t="shared" si="114"/>
        <v>St. John'sTennessee</v>
      </c>
      <c r="D3658" t="s">
        <v>60</v>
      </c>
      <c r="E3658">
        <v>25.9</v>
      </c>
      <c r="F3658">
        <v>6.87547169811321</v>
      </c>
      <c r="G3658">
        <v>285.35737861598898</v>
      </c>
      <c r="H3658">
        <v>138.18373229861399</v>
      </c>
      <c r="I3658" s="1">
        <f t="shared" si="115"/>
        <v>130.41379148825629</v>
      </c>
    </row>
    <row r="3659" spans="1:9" x14ac:dyDescent="0.45">
      <c r="A3659" t="s">
        <v>60</v>
      </c>
      <c r="B3659" t="s">
        <v>60</v>
      </c>
      <c r="C3659" t="str">
        <f t="shared" si="114"/>
        <v>TennesseeTennessee</v>
      </c>
      <c r="D3659" t="s">
        <v>60</v>
      </c>
      <c r="E3659">
        <v>41.2</v>
      </c>
      <c r="F3659">
        <v>2.3283018867924499</v>
      </c>
      <c r="G3659">
        <v>142.64273539779199</v>
      </c>
      <c r="H3659">
        <v>138.77771517530499</v>
      </c>
      <c r="I3659" s="1">
        <f t="shared" si="115"/>
        <v>138.77771517530277</v>
      </c>
    </row>
    <row r="3660" spans="1:9" x14ac:dyDescent="0.45">
      <c r="A3660" t="s">
        <v>61</v>
      </c>
      <c r="B3660" t="s">
        <v>60</v>
      </c>
      <c r="C3660" t="str">
        <f t="shared" si="114"/>
        <v>TexasTennessee</v>
      </c>
      <c r="D3660" t="s">
        <v>60</v>
      </c>
      <c r="E3660">
        <v>2.8</v>
      </c>
      <c r="F3660">
        <v>23.2830188679245</v>
      </c>
      <c r="G3660">
        <v>3486.7143842113901</v>
      </c>
      <c r="H3660">
        <v>136.53342970637701</v>
      </c>
      <c r="I3660" s="1">
        <f t="shared" si="115"/>
        <v>107.17573954490777</v>
      </c>
    </row>
    <row r="3661" spans="1:9" x14ac:dyDescent="0.45">
      <c r="A3661" t="s">
        <v>62</v>
      </c>
      <c r="B3661" t="s">
        <v>60</v>
      </c>
      <c r="C3661" t="str">
        <f t="shared" si="114"/>
        <v>Texas A&amp;MTennessee</v>
      </c>
      <c r="D3661" t="s">
        <v>60</v>
      </c>
      <c r="E3661">
        <v>14.2</v>
      </c>
      <c r="F3661">
        <v>11.784905660377399</v>
      </c>
      <c r="G3661">
        <v>603.69211056831398</v>
      </c>
      <c r="H3661">
        <v>137.33122873397099</v>
      </c>
      <c r="I3661" s="1">
        <f t="shared" si="115"/>
        <v>118.40961588418679</v>
      </c>
    </row>
    <row r="3662" spans="1:9" x14ac:dyDescent="0.45">
      <c r="A3662" t="s">
        <v>63</v>
      </c>
      <c r="B3662" t="s">
        <v>60</v>
      </c>
      <c r="C3662" t="str">
        <f t="shared" si="114"/>
        <v>Texas TechTennessee</v>
      </c>
      <c r="D3662" t="s">
        <v>60</v>
      </c>
      <c r="E3662">
        <v>24.6</v>
      </c>
      <c r="F3662">
        <v>7.3358490566037702</v>
      </c>
      <c r="G3662">
        <v>306.12511923886399</v>
      </c>
      <c r="H3662">
        <v>138.37101285303501</v>
      </c>
      <c r="I3662" s="1">
        <f t="shared" si="115"/>
        <v>133.05090499222024</v>
      </c>
    </row>
    <row r="3663" spans="1:9" x14ac:dyDescent="0.45">
      <c r="A3663" t="s">
        <v>64</v>
      </c>
      <c r="B3663" t="s">
        <v>60</v>
      </c>
      <c r="C3663" t="str">
        <f t="shared" si="114"/>
        <v>TroyTennessee</v>
      </c>
      <c r="D3663" t="s">
        <v>60</v>
      </c>
      <c r="E3663">
        <v>0.5</v>
      </c>
      <c r="F3663">
        <v>35.279245283018902</v>
      </c>
      <c r="G3663">
        <v>21745.0230470032</v>
      </c>
      <c r="H3663">
        <v>137.074577272765</v>
      </c>
      <c r="I3663" s="1">
        <f t="shared" si="115"/>
        <v>114.79568470883986</v>
      </c>
    </row>
    <row r="3664" spans="1:9" x14ac:dyDescent="0.45">
      <c r="A3664" t="s">
        <v>65</v>
      </c>
      <c r="B3664" t="s">
        <v>60</v>
      </c>
      <c r="C3664" t="str">
        <f t="shared" si="114"/>
        <v>UC San DiegoTennessee</v>
      </c>
      <c r="D3664" t="s">
        <v>60</v>
      </c>
      <c r="E3664">
        <v>1.2</v>
      </c>
      <c r="F3664">
        <v>29.1207547169811</v>
      </c>
      <c r="G3664">
        <v>8495.9841458363007</v>
      </c>
      <c r="H3664">
        <v>137.16269901615601</v>
      </c>
      <c r="I3664" s="1">
        <f t="shared" si="115"/>
        <v>116.0365345141371</v>
      </c>
    </row>
    <row r="3665" spans="1:9" x14ac:dyDescent="0.45">
      <c r="A3665" t="s">
        <v>66</v>
      </c>
      <c r="B3665" t="s">
        <v>60</v>
      </c>
      <c r="C3665" t="str">
        <f t="shared" si="114"/>
        <v>UCLATennessee</v>
      </c>
      <c r="D3665" t="s">
        <v>60</v>
      </c>
      <c r="E3665">
        <v>4.5</v>
      </c>
      <c r="F3665">
        <v>20.075471698113201</v>
      </c>
      <c r="G3665">
        <v>2138.0158950356699</v>
      </c>
      <c r="H3665">
        <v>136.63415352926401</v>
      </c>
      <c r="I3665" s="1">
        <f t="shared" si="115"/>
        <v>108.59404030938039</v>
      </c>
    </row>
    <row r="3666" spans="1:9" x14ac:dyDescent="0.45">
      <c r="A3666" t="s">
        <v>67</v>
      </c>
      <c r="B3666" t="s">
        <v>60</v>
      </c>
      <c r="C3666" t="str">
        <f t="shared" si="114"/>
        <v>UNC WilmingtonTennessee</v>
      </c>
      <c r="D3666" t="s">
        <v>60</v>
      </c>
      <c r="E3666">
        <v>0.7</v>
      </c>
      <c r="F3666">
        <v>32.479245283018898</v>
      </c>
      <c r="G3666">
        <v>14185.7363196776</v>
      </c>
      <c r="H3666">
        <v>137.74916920318401</v>
      </c>
      <c r="I3666" s="1">
        <f t="shared" si="115"/>
        <v>124.29467137551636</v>
      </c>
    </row>
    <row r="3667" spans="1:9" x14ac:dyDescent="0.45">
      <c r="A3667" t="s">
        <v>68</v>
      </c>
      <c r="B3667" t="s">
        <v>60</v>
      </c>
      <c r="C3667" t="str">
        <f t="shared" si="114"/>
        <v>Utah St.Tennessee</v>
      </c>
      <c r="D3667" t="s">
        <v>60</v>
      </c>
      <c r="E3667">
        <v>3.5</v>
      </c>
      <c r="F3667">
        <v>21.8377358490566</v>
      </c>
      <c r="G3667">
        <v>2796.8738420388099</v>
      </c>
      <c r="H3667">
        <v>137.12053960701101</v>
      </c>
      <c r="I3667" s="1">
        <f t="shared" si="115"/>
        <v>115.44288426828467</v>
      </c>
    </row>
    <row r="3668" spans="1:9" x14ac:dyDescent="0.45">
      <c r="A3668" t="s">
        <v>69</v>
      </c>
      <c r="B3668" t="s">
        <v>60</v>
      </c>
      <c r="C3668" t="str">
        <f t="shared" si="114"/>
        <v>VanderbiltTennessee</v>
      </c>
      <c r="D3668" t="s">
        <v>60</v>
      </c>
      <c r="E3668">
        <v>0.8</v>
      </c>
      <c r="F3668">
        <v>31.9584905660377</v>
      </c>
      <c r="G3668">
        <v>13099.7457425621</v>
      </c>
      <c r="H3668">
        <v>135.69511009560901</v>
      </c>
      <c r="I3668" s="1">
        <f t="shared" si="115"/>
        <v>95.371289408434251</v>
      </c>
    </row>
    <row r="3669" spans="1:9" x14ac:dyDescent="0.45">
      <c r="A3669" t="s">
        <v>70</v>
      </c>
      <c r="B3669" t="s">
        <v>60</v>
      </c>
      <c r="C3669" t="str">
        <f t="shared" si="114"/>
        <v>VCUTennessee</v>
      </c>
      <c r="D3669" t="s">
        <v>60</v>
      </c>
      <c r="E3669">
        <v>2.2999999999999998</v>
      </c>
      <c r="F3669">
        <v>24.611320754716999</v>
      </c>
      <c r="G3669">
        <v>4271.0317899761003</v>
      </c>
      <c r="H3669">
        <v>137.54002125748499</v>
      </c>
      <c r="I3669" s="1">
        <f t="shared" si="115"/>
        <v>121.34964126475928</v>
      </c>
    </row>
    <row r="3670" spans="1:9" x14ac:dyDescent="0.45">
      <c r="A3670" t="s">
        <v>71</v>
      </c>
      <c r="B3670" t="s">
        <v>60</v>
      </c>
      <c r="C3670" t="str">
        <f t="shared" si="114"/>
        <v>WisconsinTennessee</v>
      </c>
      <c r="D3670" t="s">
        <v>60</v>
      </c>
      <c r="E3670">
        <v>22.4</v>
      </c>
      <c r="F3670">
        <v>8.1509433962264204</v>
      </c>
      <c r="G3670">
        <v>346.65061426428002</v>
      </c>
      <c r="H3670">
        <v>138.34070011275099</v>
      </c>
      <c r="I3670" s="1">
        <f t="shared" si="115"/>
        <v>132.62406870378516</v>
      </c>
    </row>
    <row r="3671" spans="1:9" x14ac:dyDescent="0.45">
      <c r="A3671" t="s">
        <v>80</v>
      </c>
      <c r="B3671" t="s">
        <v>60</v>
      </c>
      <c r="C3671" t="str">
        <f t="shared" si="114"/>
        <v>WoffordTennessee</v>
      </c>
      <c r="D3671" t="s">
        <v>60</v>
      </c>
      <c r="E3671">
        <v>0.2</v>
      </c>
      <c r="F3671">
        <v>39.535849056603801</v>
      </c>
      <c r="G3671">
        <v>41607.062620496297</v>
      </c>
      <c r="H3671">
        <v>136.37015585184599</v>
      </c>
      <c r="I3671" s="1">
        <f t="shared" si="115"/>
        <v>104.87666643526705</v>
      </c>
    </row>
    <row r="3672" spans="1:9" x14ac:dyDescent="0.45">
      <c r="A3672" t="s">
        <v>72</v>
      </c>
      <c r="B3672" t="s">
        <v>60</v>
      </c>
      <c r="C3672" t="str">
        <f t="shared" si="114"/>
        <v>XavierTennessee</v>
      </c>
      <c r="D3672" t="s">
        <v>60</v>
      </c>
      <c r="E3672">
        <v>2.2999999999999998</v>
      </c>
      <c r="F3672">
        <v>24.686792452830201</v>
      </c>
      <c r="G3672">
        <v>4321.0322981567797</v>
      </c>
      <c r="H3672">
        <v>136.946069421998</v>
      </c>
      <c r="I3672" s="1">
        <f t="shared" si="115"/>
        <v>112.98615467156131</v>
      </c>
    </row>
    <row r="3673" spans="1:9" x14ac:dyDescent="0.45">
      <c r="A3673" t="s">
        <v>73</v>
      </c>
      <c r="B3673" t="s">
        <v>60</v>
      </c>
      <c r="C3673" t="str">
        <f t="shared" si="114"/>
        <v>YaleTennessee</v>
      </c>
      <c r="D3673" t="s">
        <v>60</v>
      </c>
      <c r="E3673">
        <v>1.3</v>
      </c>
      <c r="F3673">
        <v>28.513207547169799</v>
      </c>
      <c r="G3673">
        <v>7742.8187425034503</v>
      </c>
      <c r="H3673">
        <v>137.74530405606001</v>
      </c>
      <c r="I3673" s="1">
        <f t="shared" si="115"/>
        <v>124.24024590829673</v>
      </c>
    </row>
    <row r="3674" spans="1:9" x14ac:dyDescent="0.45">
      <c r="A3674" t="s">
        <v>7</v>
      </c>
      <c r="B3674" t="s">
        <v>61</v>
      </c>
      <c r="C3674" t="str">
        <f t="shared" si="114"/>
        <v>AkronTexas</v>
      </c>
      <c r="D3674" t="s">
        <v>61</v>
      </c>
      <c r="E3674">
        <v>13.9</v>
      </c>
      <c r="F3674">
        <v>11.954716981132099</v>
      </c>
      <c r="G3674">
        <v>619.29869622341505</v>
      </c>
      <c r="H3674">
        <v>138.77205498043401</v>
      </c>
      <c r="I3674" s="1">
        <f t="shared" si="115"/>
        <v>138.69801348723649</v>
      </c>
    </row>
    <row r="3675" spans="1:9" x14ac:dyDescent="0.45">
      <c r="A3675" t="s">
        <v>8</v>
      </c>
      <c r="B3675" t="s">
        <v>61</v>
      </c>
      <c r="C3675" t="str">
        <f t="shared" si="114"/>
        <v>AlabamaTexas</v>
      </c>
      <c r="D3675" t="s">
        <v>8</v>
      </c>
      <c r="E3675">
        <v>92.2</v>
      </c>
      <c r="F3675">
        <v>-16.218867924528301</v>
      </c>
      <c r="G3675">
        <v>-1187.47235333553</v>
      </c>
      <c r="H3675">
        <v>140.52015099257301</v>
      </c>
      <c r="I3675" s="1">
        <f t="shared" si="115"/>
        <v>163.31310294000349</v>
      </c>
    </row>
    <row r="3676" spans="1:9" x14ac:dyDescent="0.45">
      <c r="A3676" t="s">
        <v>9</v>
      </c>
      <c r="B3676" t="s">
        <v>61</v>
      </c>
      <c r="C3676" t="str">
        <f t="shared" si="114"/>
        <v>Alabama St.Texas</v>
      </c>
      <c r="D3676" t="s">
        <v>61</v>
      </c>
      <c r="E3676">
        <v>2.5</v>
      </c>
      <c r="F3676">
        <v>24.094339622641499</v>
      </c>
      <c r="G3676">
        <v>3946.0618955080499</v>
      </c>
      <c r="H3676">
        <v>138.99889583624699</v>
      </c>
      <c r="I3676" s="1">
        <f t="shared" si="115"/>
        <v>141.89217897849372</v>
      </c>
    </row>
    <row r="3677" spans="1:9" x14ac:dyDescent="0.45">
      <c r="A3677" t="s">
        <v>10</v>
      </c>
      <c r="B3677" t="s">
        <v>61</v>
      </c>
      <c r="C3677" t="str">
        <f t="shared" si="114"/>
        <v>AmericanTexas</v>
      </c>
      <c r="D3677" t="s">
        <v>61</v>
      </c>
      <c r="E3677">
        <v>3</v>
      </c>
      <c r="F3677">
        <v>22.8301886792453</v>
      </c>
      <c r="G3677">
        <v>3254.3650941466399</v>
      </c>
      <c r="H3677">
        <v>139.089981717851</v>
      </c>
      <c r="I3677" s="1">
        <f t="shared" si="115"/>
        <v>143.17476706747604</v>
      </c>
    </row>
    <row r="3678" spans="1:9" x14ac:dyDescent="0.45">
      <c r="A3678" t="s">
        <v>11</v>
      </c>
      <c r="B3678" t="s">
        <v>61</v>
      </c>
      <c r="C3678" t="str">
        <f t="shared" si="114"/>
        <v>ArizonaTexas</v>
      </c>
      <c r="D3678" t="s">
        <v>11</v>
      </c>
      <c r="E3678">
        <v>89.4</v>
      </c>
      <c r="F3678">
        <v>-13.981132075471701</v>
      </c>
      <c r="G3678">
        <v>-843.69465502842002</v>
      </c>
      <c r="H3678">
        <v>140.28250981156299</v>
      </c>
      <c r="I3678" s="1">
        <f t="shared" si="115"/>
        <v>159.9668571459494</v>
      </c>
    </row>
    <row r="3679" spans="1:9" x14ac:dyDescent="0.45">
      <c r="A3679" t="s">
        <v>12</v>
      </c>
      <c r="B3679" t="s">
        <v>61</v>
      </c>
      <c r="C3679" t="str">
        <f t="shared" si="114"/>
        <v>ArkansasTexas</v>
      </c>
      <c r="D3679" t="s">
        <v>61</v>
      </c>
      <c r="E3679">
        <v>33.799999999999997</v>
      </c>
      <c r="F3679">
        <v>4.4113207547169804</v>
      </c>
      <c r="G3679">
        <v>196.02110943667199</v>
      </c>
      <c r="H3679">
        <v>138.40011364542099</v>
      </c>
      <c r="I3679" s="1">
        <f t="shared" si="115"/>
        <v>133.46067573865119</v>
      </c>
    </row>
    <row r="3680" spans="1:9" x14ac:dyDescent="0.45">
      <c r="A3680" t="s">
        <v>13</v>
      </c>
      <c r="B3680" t="s">
        <v>61</v>
      </c>
      <c r="C3680" t="str">
        <f t="shared" si="114"/>
        <v>AuburnTexas</v>
      </c>
      <c r="D3680" t="s">
        <v>13</v>
      </c>
      <c r="E3680">
        <v>95.9</v>
      </c>
      <c r="F3680">
        <v>-20.6301886792453</v>
      </c>
      <c r="G3680">
        <v>-2327.1524153231398</v>
      </c>
      <c r="H3680">
        <v>141.538833050682</v>
      </c>
      <c r="I3680" s="1">
        <f t="shared" si="115"/>
        <v>177.65725212297625</v>
      </c>
    </row>
    <row r="3681" spans="1:9" x14ac:dyDescent="0.45">
      <c r="A3681" t="s">
        <v>14</v>
      </c>
      <c r="B3681" t="s">
        <v>61</v>
      </c>
      <c r="C3681" t="str">
        <f t="shared" si="114"/>
        <v>BaylorTexas</v>
      </c>
      <c r="D3681" t="s">
        <v>14</v>
      </c>
      <c r="E3681">
        <v>71.099999999999994</v>
      </c>
      <c r="F3681">
        <v>-5.8981132075471701</v>
      </c>
      <c r="G3681">
        <v>-245.944508088411</v>
      </c>
      <c r="H3681">
        <v>140.07383106340799</v>
      </c>
      <c r="I3681" s="1">
        <f t="shared" si="115"/>
        <v>157.0284338459378</v>
      </c>
    </row>
    <row r="3682" spans="1:9" x14ac:dyDescent="0.45">
      <c r="A3682" t="s">
        <v>15</v>
      </c>
      <c r="B3682" t="s">
        <v>61</v>
      </c>
      <c r="C3682" t="str">
        <f t="shared" si="114"/>
        <v>BryantTexas</v>
      </c>
      <c r="D3682" t="s">
        <v>61</v>
      </c>
      <c r="E3682">
        <v>10</v>
      </c>
      <c r="F3682">
        <v>14.384905660377401</v>
      </c>
      <c r="G3682">
        <v>897.64169175533698</v>
      </c>
      <c r="H3682">
        <v>139.62282881330199</v>
      </c>
      <c r="I3682" s="1">
        <f t="shared" si="115"/>
        <v>150.67783259024679</v>
      </c>
    </row>
    <row r="3683" spans="1:9" x14ac:dyDescent="0.45">
      <c r="A3683" t="s">
        <v>16</v>
      </c>
      <c r="B3683" t="s">
        <v>61</v>
      </c>
      <c r="C3683" t="str">
        <f t="shared" si="114"/>
        <v>BYUTexas</v>
      </c>
      <c r="D3683" t="s">
        <v>16</v>
      </c>
      <c r="E3683">
        <v>75</v>
      </c>
      <c r="F3683">
        <v>-7.1924528301886799</v>
      </c>
      <c r="G3683">
        <v>-299.622009447344</v>
      </c>
      <c r="H3683">
        <v>139.88334929152501</v>
      </c>
      <c r="I3683" s="1">
        <f t="shared" si="115"/>
        <v>154.34624372510797</v>
      </c>
    </row>
    <row r="3684" spans="1:9" x14ac:dyDescent="0.45">
      <c r="A3684" t="s">
        <v>17</v>
      </c>
      <c r="B3684" t="s">
        <v>61</v>
      </c>
      <c r="C3684" t="str">
        <f t="shared" si="114"/>
        <v>ClemsonTexas</v>
      </c>
      <c r="D3684" t="s">
        <v>17</v>
      </c>
      <c r="E3684">
        <v>79.3</v>
      </c>
      <c r="F3684">
        <v>-8.8188679245283002</v>
      </c>
      <c r="G3684">
        <v>-383.90629941473799</v>
      </c>
      <c r="H3684">
        <v>140.105261147817</v>
      </c>
      <c r="I3684" s="1">
        <f t="shared" si="115"/>
        <v>157.4710035525577</v>
      </c>
    </row>
    <row r="3685" spans="1:9" x14ac:dyDescent="0.45">
      <c r="A3685" t="s">
        <v>18</v>
      </c>
      <c r="B3685" t="s">
        <v>61</v>
      </c>
      <c r="C3685" t="str">
        <f t="shared" si="114"/>
        <v>Colorado St.Texas</v>
      </c>
      <c r="D3685" t="s">
        <v>61</v>
      </c>
      <c r="E3685">
        <v>38.700000000000003</v>
      </c>
      <c r="F3685">
        <v>3.0188679245282999</v>
      </c>
      <c r="G3685">
        <v>158.531763821856</v>
      </c>
      <c r="H3685">
        <v>139.412652995922</v>
      </c>
      <c r="I3685" s="1">
        <f t="shared" si="115"/>
        <v>147.71832893044123</v>
      </c>
    </row>
    <row r="3686" spans="1:9" x14ac:dyDescent="0.45">
      <c r="A3686" t="s">
        <v>19</v>
      </c>
      <c r="B3686" t="s">
        <v>61</v>
      </c>
      <c r="C3686" t="str">
        <f t="shared" si="114"/>
        <v>ConnecticutTexas</v>
      </c>
      <c r="D3686" t="s">
        <v>19</v>
      </c>
      <c r="E3686">
        <v>86.7</v>
      </c>
      <c r="F3686">
        <v>-12.2830188679245</v>
      </c>
      <c r="G3686">
        <v>-651.14955690573299</v>
      </c>
      <c r="H3686">
        <v>140.04820489825801</v>
      </c>
      <c r="I3686" s="1">
        <f t="shared" si="115"/>
        <v>156.66758962278413</v>
      </c>
    </row>
    <row r="3687" spans="1:9" x14ac:dyDescent="0.45">
      <c r="A3687" t="s">
        <v>20</v>
      </c>
      <c r="B3687" t="s">
        <v>61</v>
      </c>
      <c r="C3687" t="str">
        <f t="shared" si="114"/>
        <v>CreightonTexas</v>
      </c>
      <c r="D3687" t="s">
        <v>20</v>
      </c>
      <c r="E3687">
        <v>66.8</v>
      </c>
      <c r="F3687">
        <v>-4.5886792452830196</v>
      </c>
      <c r="G3687">
        <v>-201.41913298834001</v>
      </c>
      <c r="H3687">
        <v>139.52114726052201</v>
      </c>
      <c r="I3687" s="1">
        <f t="shared" si="115"/>
        <v>149.24604594924139</v>
      </c>
    </row>
    <row r="3688" spans="1:9" x14ac:dyDescent="0.45">
      <c r="A3688" t="s">
        <v>21</v>
      </c>
      <c r="B3688" t="s">
        <v>61</v>
      </c>
      <c r="C3688" t="str">
        <f t="shared" si="114"/>
        <v>DrakeTexas</v>
      </c>
      <c r="D3688" t="s">
        <v>61</v>
      </c>
      <c r="E3688">
        <v>38.5</v>
      </c>
      <c r="F3688">
        <v>3.07169811320755</v>
      </c>
      <c r="G3688">
        <v>159.76225768567201</v>
      </c>
      <c r="H3688">
        <v>139.574612364676</v>
      </c>
      <c r="I3688" s="1">
        <f t="shared" si="115"/>
        <v>149.99889265343444</v>
      </c>
    </row>
    <row r="3689" spans="1:9" x14ac:dyDescent="0.45">
      <c r="A3689" t="s">
        <v>22</v>
      </c>
      <c r="B3689" t="s">
        <v>61</v>
      </c>
      <c r="C3689" t="str">
        <f t="shared" si="114"/>
        <v>DukeTexas</v>
      </c>
      <c r="D3689" t="s">
        <v>22</v>
      </c>
      <c r="E3689">
        <v>97.2</v>
      </c>
      <c r="F3689">
        <v>-23.139622641509401</v>
      </c>
      <c r="G3689">
        <v>-3412.1981819161401</v>
      </c>
      <c r="H3689">
        <v>141.861932826132</v>
      </c>
      <c r="I3689" s="1">
        <f t="shared" si="115"/>
        <v>182.20684769418241</v>
      </c>
    </row>
    <row r="3690" spans="1:9" x14ac:dyDescent="0.45">
      <c r="A3690" t="s">
        <v>23</v>
      </c>
      <c r="B3690" t="s">
        <v>61</v>
      </c>
      <c r="C3690" t="str">
        <f t="shared" si="114"/>
        <v>FloridaTexas</v>
      </c>
      <c r="D3690" t="s">
        <v>23</v>
      </c>
      <c r="E3690">
        <v>95</v>
      </c>
      <c r="F3690">
        <v>-19.2415094339623</v>
      </c>
      <c r="G3690">
        <v>-1882.2947101541699</v>
      </c>
      <c r="H3690">
        <v>141.58568910207401</v>
      </c>
      <c r="I3690" s="1">
        <f t="shared" si="115"/>
        <v>178.31703618998898</v>
      </c>
    </row>
    <row r="3691" spans="1:9" x14ac:dyDescent="0.45">
      <c r="A3691" t="s">
        <v>24</v>
      </c>
      <c r="B3691" t="s">
        <v>61</v>
      </c>
      <c r="C3691" t="str">
        <f t="shared" si="114"/>
        <v>GeorgiaTexas</v>
      </c>
      <c r="D3691" t="s">
        <v>61</v>
      </c>
      <c r="E3691">
        <v>41.4</v>
      </c>
      <c r="F3691">
        <v>2.2679245283018901</v>
      </c>
      <c r="G3691">
        <v>141.30161002456401</v>
      </c>
      <c r="H3691">
        <v>138.72750262641901</v>
      </c>
      <c r="I3691" s="1">
        <f t="shared" si="115"/>
        <v>138.07066798001316</v>
      </c>
    </row>
    <row r="3692" spans="1:9" x14ac:dyDescent="0.45">
      <c r="A3692" t="s">
        <v>25</v>
      </c>
      <c r="B3692" t="s">
        <v>61</v>
      </c>
      <c r="C3692" t="str">
        <f t="shared" si="114"/>
        <v>GonzagaTexas</v>
      </c>
      <c r="D3692" t="s">
        <v>25</v>
      </c>
      <c r="E3692">
        <v>79.900000000000006</v>
      </c>
      <c r="F3692">
        <v>-9.0603773584905696</v>
      </c>
      <c r="G3692">
        <v>-398.35855363233702</v>
      </c>
      <c r="H3692">
        <v>140.86514374594699</v>
      </c>
      <c r="I3692" s="1">
        <f t="shared" si="115"/>
        <v>168.17097540575327</v>
      </c>
    </row>
    <row r="3693" spans="1:9" x14ac:dyDescent="0.45">
      <c r="A3693" t="s">
        <v>26</v>
      </c>
      <c r="B3693" t="s">
        <v>61</v>
      </c>
      <c r="C3693" t="str">
        <f t="shared" si="114"/>
        <v>Grand CanyonTexas</v>
      </c>
      <c r="D3693" t="s">
        <v>61</v>
      </c>
      <c r="E3693">
        <v>28</v>
      </c>
      <c r="F3693">
        <v>6.1886792452830202</v>
      </c>
      <c r="G3693">
        <v>257.04457927323602</v>
      </c>
      <c r="H3693">
        <v>139.51711199225201</v>
      </c>
      <c r="I3693" s="1">
        <f t="shared" si="115"/>
        <v>149.18922499161533</v>
      </c>
    </row>
    <row r="3694" spans="1:9" x14ac:dyDescent="0.45">
      <c r="A3694" t="s">
        <v>27</v>
      </c>
      <c r="B3694" t="s">
        <v>61</v>
      </c>
      <c r="C3694" t="str">
        <f t="shared" si="114"/>
        <v>High PointTexas</v>
      </c>
      <c r="D3694" t="s">
        <v>61</v>
      </c>
      <c r="E3694">
        <v>20.3</v>
      </c>
      <c r="F3694">
        <v>8.9622641509433993</v>
      </c>
      <c r="G3694">
        <v>392.35981251755601</v>
      </c>
      <c r="H3694">
        <v>139.79800373990699</v>
      </c>
      <c r="I3694" s="1">
        <f t="shared" si="115"/>
        <v>153.14448571359995</v>
      </c>
    </row>
    <row r="3695" spans="1:9" x14ac:dyDescent="0.45">
      <c r="A3695" t="s">
        <v>28</v>
      </c>
      <c r="B3695" t="s">
        <v>61</v>
      </c>
      <c r="C3695" t="str">
        <f t="shared" si="114"/>
        <v>HoustonTexas</v>
      </c>
      <c r="D3695" t="s">
        <v>28</v>
      </c>
      <c r="E3695">
        <v>98.3</v>
      </c>
      <c r="F3695">
        <v>-26.6528301886792</v>
      </c>
      <c r="G3695">
        <v>-5832.0534206367001</v>
      </c>
      <c r="H3695">
        <v>142.00559717576201</v>
      </c>
      <c r="I3695" s="1">
        <f t="shared" si="115"/>
        <v>184.22979768820991</v>
      </c>
    </row>
    <row r="3696" spans="1:9" x14ac:dyDescent="0.45">
      <c r="A3696" t="s">
        <v>29</v>
      </c>
      <c r="B3696" t="s">
        <v>61</v>
      </c>
      <c r="C3696" t="str">
        <f t="shared" si="114"/>
        <v>IllinoisTexas</v>
      </c>
      <c r="D3696" t="s">
        <v>29</v>
      </c>
      <c r="E3696">
        <v>85.3</v>
      </c>
      <c r="F3696">
        <v>-11.5433962264151</v>
      </c>
      <c r="G3696">
        <v>-581.72649609684504</v>
      </c>
      <c r="H3696">
        <v>140.05584232969801</v>
      </c>
      <c r="I3696" s="1">
        <f t="shared" si="115"/>
        <v>156.77513294808182</v>
      </c>
    </row>
    <row r="3697" spans="1:9" x14ac:dyDescent="0.45">
      <c r="A3697" t="s">
        <v>30</v>
      </c>
      <c r="B3697" t="s">
        <v>61</v>
      </c>
      <c r="C3697" t="str">
        <f t="shared" si="114"/>
        <v>Iowa St.Texas</v>
      </c>
      <c r="D3697" t="s">
        <v>30</v>
      </c>
      <c r="E3697">
        <v>92.5</v>
      </c>
      <c r="F3697">
        <v>-16.4264150943396</v>
      </c>
      <c r="G3697">
        <v>-1225.3473737164099</v>
      </c>
      <c r="H3697">
        <v>140.982110908057</v>
      </c>
      <c r="I3697" s="1">
        <f t="shared" si="115"/>
        <v>169.81800001903579</v>
      </c>
    </row>
    <row r="3698" spans="1:9" x14ac:dyDescent="0.45">
      <c r="A3698" t="s">
        <v>31</v>
      </c>
      <c r="B3698" t="s">
        <v>61</v>
      </c>
      <c r="C3698" t="str">
        <f t="shared" si="114"/>
        <v>KansasTexas</v>
      </c>
      <c r="D3698" t="s">
        <v>31</v>
      </c>
      <c r="E3698">
        <v>78.099999999999994</v>
      </c>
      <c r="F3698">
        <v>-8.3245283018867902</v>
      </c>
      <c r="G3698">
        <v>-355.99814715713501</v>
      </c>
      <c r="H3698">
        <v>139.93750119236799</v>
      </c>
      <c r="I3698" s="1">
        <f t="shared" si="115"/>
        <v>155.10876127221701</v>
      </c>
    </row>
    <row r="3699" spans="1:9" x14ac:dyDescent="0.45">
      <c r="A3699" t="s">
        <v>32</v>
      </c>
      <c r="B3699" t="s">
        <v>61</v>
      </c>
      <c r="C3699" t="str">
        <f t="shared" si="114"/>
        <v>KentuckyTexas</v>
      </c>
      <c r="D3699" t="s">
        <v>32</v>
      </c>
      <c r="E3699">
        <v>85.7</v>
      </c>
      <c r="F3699">
        <v>-11.7509433962264</v>
      </c>
      <c r="G3699">
        <v>-600.56096633628499</v>
      </c>
      <c r="H3699">
        <v>139.88453879276099</v>
      </c>
      <c r="I3699" s="1">
        <f t="shared" si="115"/>
        <v>154.3629931937439</v>
      </c>
    </row>
    <row r="3700" spans="1:9" x14ac:dyDescent="0.45">
      <c r="A3700" t="s">
        <v>33</v>
      </c>
      <c r="B3700" t="s">
        <v>61</v>
      </c>
      <c r="C3700" t="str">
        <f t="shared" si="114"/>
        <v>LibertyTexas</v>
      </c>
      <c r="D3700" t="s">
        <v>61</v>
      </c>
      <c r="E3700">
        <v>14.3</v>
      </c>
      <c r="F3700">
        <v>11.735849056603801</v>
      </c>
      <c r="G3700">
        <v>599.24300968130296</v>
      </c>
      <c r="H3700">
        <v>139.093475041159</v>
      </c>
      <c r="I3700" s="1">
        <f t="shared" si="115"/>
        <v>143.2239568517422</v>
      </c>
    </row>
    <row r="3701" spans="1:9" x14ac:dyDescent="0.45">
      <c r="A3701" t="s">
        <v>34</v>
      </c>
      <c r="B3701" t="s">
        <v>61</v>
      </c>
      <c r="C3701" t="str">
        <f t="shared" si="114"/>
        <v>LipscombTexas</v>
      </c>
      <c r="D3701" t="s">
        <v>61</v>
      </c>
      <c r="E3701">
        <v>11.3</v>
      </c>
      <c r="F3701">
        <v>13.4792452830189</v>
      </c>
      <c r="G3701">
        <v>781.68688572285703</v>
      </c>
      <c r="H3701">
        <v>139.525395272417</v>
      </c>
      <c r="I3701" s="1">
        <f t="shared" si="115"/>
        <v>149.30586256804574</v>
      </c>
    </row>
    <row r="3702" spans="1:9" x14ac:dyDescent="0.45">
      <c r="A3702" t="s">
        <v>35</v>
      </c>
      <c r="B3702" t="s">
        <v>61</v>
      </c>
      <c r="C3702" t="str">
        <f t="shared" si="114"/>
        <v>LouisvilleTexas</v>
      </c>
      <c r="D3702" t="s">
        <v>61</v>
      </c>
      <c r="E3702">
        <v>24.5</v>
      </c>
      <c r="F3702">
        <v>7.3735849056603797</v>
      </c>
      <c r="G3702">
        <v>307.90699438970103</v>
      </c>
      <c r="H3702">
        <v>138.81111858438501</v>
      </c>
      <c r="I3702" s="1">
        <f t="shared" si="115"/>
        <v>139.24807143538371</v>
      </c>
    </row>
    <row r="3703" spans="1:9" x14ac:dyDescent="0.45">
      <c r="A3703" t="s">
        <v>36</v>
      </c>
      <c r="B3703" t="s">
        <v>61</v>
      </c>
      <c r="C3703" t="str">
        <f t="shared" si="114"/>
        <v>MarquetteTexas</v>
      </c>
      <c r="D3703" t="s">
        <v>36</v>
      </c>
      <c r="E3703">
        <v>82.1</v>
      </c>
      <c r="F3703">
        <v>-9.9735849056603794</v>
      </c>
      <c r="G3703">
        <v>-457.81060819288899</v>
      </c>
      <c r="H3703">
        <v>140.14287521929</v>
      </c>
      <c r="I3703" s="1">
        <f t="shared" si="115"/>
        <v>158.00065050991091</v>
      </c>
    </row>
    <row r="3704" spans="1:9" x14ac:dyDescent="0.45">
      <c r="A3704" t="s">
        <v>37</v>
      </c>
      <c r="B3704" t="s">
        <v>61</v>
      </c>
      <c r="C3704" t="str">
        <f t="shared" si="114"/>
        <v>MarylandTexas</v>
      </c>
      <c r="D3704" t="s">
        <v>37</v>
      </c>
      <c r="E3704">
        <v>75.599999999999994</v>
      </c>
      <c r="F3704">
        <v>-7.4301886792452798</v>
      </c>
      <c r="G3704">
        <v>-310.55712218676803</v>
      </c>
      <c r="H3704">
        <v>139.752814530969</v>
      </c>
      <c r="I3704" s="1">
        <f t="shared" si="115"/>
        <v>152.50817259773899</v>
      </c>
    </row>
    <row r="3705" spans="1:9" x14ac:dyDescent="0.45">
      <c r="A3705" t="s">
        <v>38</v>
      </c>
      <c r="B3705" t="s">
        <v>61</v>
      </c>
      <c r="C3705" t="str">
        <f t="shared" si="114"/>
        <v>McNeese St.Texas</v>
      </c>
      <c r="D3705" t="s">
        <v>61</v>
      </c>
      <c r="E3705">
        <v>35.6</v>
      </c>
      <c r="F3705">
        <v>3.8792452830188702</v>
      </c>
      <c r="G3705">
        <v>180.72060337830899</v>
      </c>
      <c r="H3705">
        <v>139.58822614517001</v>
      </c>
      <c r="I3705" s="1">
        <f t="shared" si="115"/>
        <v>150.19058946088862</v>
      </c>
    </row>
    <row r="3706" spans="1:9" x14ac:dyDescent="0.45">
      <c r="A3706" t="s">
        <v>39</v>
      </c>
      <c r="B3706" t="s">
        <v>61</v>
      </c>
      <c r="C3706" t="str">
        <f t="shared" si="114"/>
        <v>MemphisTexas</v>
      </c>
      <c r="D3706" t="s">
        <v>39</v>
      </c>
      <c r="E3706">
        <v>61.4</v>
      </c>
      <c r="F3706">
        <v>-3.0415094339622599</v>
      </c>
      <c r="G3706">
        <v>-159.065131664088</v>
      </c>
      <c r="H3706">
        <v>138.730449343988</v>
      </c>
      <c r="I3706" s="1">
        <f t="shared" si="115"/>
        <v>138.11216096211996</v>
      </c>
    </row>
    <row r="3707" spans="1:9" x14ac:dyDescent="0.45">
      <c r="A3707" t="s">
        <v>40</v>
      </c>
      <c r="B3707" t="s">
        <v>61</v>
      </c>
      <c r="C3707" t="str">
        <f t="shared" si="114"/>
        <v>MichiganTexas</v>
      </c>
      <c r="D3707" t="s">
        <v>61</v>
      </c>
      <c r="E3707">
        <v>45.6</v>
      </c>
      <c r="F3707">
        <v>1.14716981132075</v>
      </c>
      <c r="G3707">
        <v>119.095143007757</v>
      </c>
      <c r="H3707">
        <v>138.387370428672</v>
      </c>
      <c r="I3707" s="1">
        <f t="shared" si="115"/>
        <v>133.28123741374563</v>
      </c>
    </row>
    <row r="3708" spans="1:9" x14ac:dyDescent="0.45">
      <c r="A3708" t="s">
        <v>41</v>
      </c>
      <c r="B3708" t="s">
        <v>61</v>
      </c>
      <c r="C3708" t="str">
        <f t="shared" si="114"/>
        <v>Michigan St.Texas</v>
      </c>
      <c r="D3708" t="s">
        <v>41</v>
      </c>
      <c r="E3708">
        <v>89</v>
      </c>
      <c r="F3708">
        <v>-13.679245283018901</v>
      </c>
      <c r="G3708">
        <v>-805.71191285119301</v>
      </c>
      <c r="H3708">
        <v>140.086262389501</v>
      </c>
      <c r="I3708" s="1">
        <f t="shared" si="115"/>
        <v>157.20348041184209</v>
      </c>
    </row>
    <row r="3709" spans="1:9" x14ac:dyDescent="0.45">
      <c r="A3709" t="s">
        <v>42</v>
      </c>
      <c r="B3709" t="s">
        <v>61</v>
      </c>
      <c r="C3709" t="str">
        <f t="shared" si="114"/>
        <v>MississippiTexas</v>
      </c>
      <c r="D3709" t="s">
        <v>42</v>
      </c>
      <c r="E3709">
        <v>67.400000000000006</v>
      </c>
      <c r="F3709">
        <v>-4.7660377358490598</v>
      </c>
      <c r="G3709">
        <v>-206.94783846690399</v>
      </c>
      <c r="H3709">
        <v>139.21718349459499</v>
      </c>
      <c r="I3709" s="1">
        <f t="shared" si="115"/>
        <v>144.96590616473472</v>
      </c>
    </row>
    <row r="3710" spans="1:9" x14ac:dyDescent="0.45">
      <c r="A3710" t="s">
        <v>43</v>
      </c>
      <c r="B3710" t="s">
        <v>61</v>
      </c>
      <c r="C3710" t="str">
        <f t="shared" si="114"/>
        <v>Mississippi St.Texas</v>
      </c>
      <c r="D3710" t="s">
        <v>43</v>
      </c>
      <c r="E3710">
        <v>61</v>
      </c>
      <c r="F3710">
        <v>-2.9169811320754699</v>
      </c>
      <c r="G3710">
        <v>-156.08803476809101</v>
      </c>
      <c r="H3710">
        <v>139.34155484838399</v>
      </c>
      <c r="I3710" s="1">
        <f t="shared" si="115"/>
        <v>146.71718983429244</v>
      </c>
    </row>
    <row r="3711" spans="1:9" x14ac:dyDescent="0.45">
      <c r="A3711" t="s">
        <v>44</v>
      </c>
      <c r="B3711" t="s">
        <v>61</v>
      </c>
      <c r="C3711" t="str">
        <f t="shared" si="114"/>
        <v>MissouriTexas</v>
      </c>
      <c r="D3711" t="s">
        <v>61</v>
      </c>
      <c r="E3711">
        <v>40.6</v>
      </c>
      <c r="F3711">
        <v>2.49433962264151</v>
      </c>
      <c r="G3711">
        <v>146.29494780607399</v>
      </c>
      <c r="H3711">
        <v>138.606026784558</v>
      </c>
      <c r="I3711" s="1">
        <f t="shared" si="115"/>
        <v>136.36015626155196</v>
      </c>
    </row>
    <row r="3712" spans="1:9" x14ac:dyDescent="0.45">
      <c r="A3712" t="s">
        <v>45</v>
      </c>
      <c r="B3712" t="s">
        <v>61</v>
      </c>
      <c r="C3712" t="str">
        <f t="shared" si="114"/>
        <v>MontanaTexas</v>
      </c>
      <c r="D3712" t="s">
        <v>61</v>
      </c>
      <c r="E3712">
        <v>6.3</v>
      </c>
      <c r="F3712">
        <v>17.7509433962264</v>
      </c>
      <c r="G3712">
        <v>1499.75873587352</v>
      </c>
      <c r="H3712">
        <v>137.914761509577</v>
      </c>
      <c r="I3712" s="1">
        <f t="shared" si="115"/>
        <v>126.62639080411114</v>
      </c>
    </row>
    <row r="3713" spans="1:9" x14ac:dyDescent="0.45">
      <c r="A3713" t="s">
        <v>46</v>
      </c>
      <c r="B3713" t="s">
        <v>61</v>
      </c>
      <c r="C3713" t="str">
        <f t="shared" si="114"/>
        <v>Mount St. Mary'sTexas</v>
      </c>
      <c r="D3713" t="s">
        <v>61</v>
      </c>
      <c r="E3713">
        <v>2.6</v>
      </c>
      <c r="F3713">
        <v>23.867924528301899</v>
      </c>
      <c r="G3713">
        <v>3812.6074855805</v>
      </c>
      <c r="H3713">
        <v>139.262635731524</v>
      </c>
      <c r="I3713" s="1">
        <f t="shared" si="115"/>
        <v>145.60592300023274</v>
      </c>
    </row>
    <row r="3714" spans="1:9" x14ac:dyDescent="0.45">
      <c r="A3714" t="s">
        <v>47</v>
      </c>
      <c r="B3714" t="s">
        <v>61</v>
      </c>
      <c r="C3714" t="str">
        <f t="shared" si="114"/>
        <v>Nebraska OmahaTexas</v>
      </c>
      <c r="D3714" t="s">
        <v>61</v>
      </c>
      <c r="E3714">
        <v>3.3</v>
      </c>
      <c r="F3714">
        <v>22.150943396226399</v>
      </c>
      <c r="G3714">
        <v>2934.61905157822</v>
      </c>
      <c r="H3714">
        <v>138.546636911424</v>
      </c>
      <c r="I3714" s="1">
        <f t="shared" si="115"/>
        <v>135.52388237863579</v>
      </c>
    </row>
    <row r="3715" spans="1:9" x14ac:dyDescent="0.45">
      <c r="A3715" t="s">
        <v>48</v>
      </c>
      <c r="B3715" t="s">
        <v>61</v>
      </c>
      <c r="C3715" t="str">
        <f t="shared" ref="C3715:C3778" si="116">A3715&amp;B3715</f>
        <v>New MexicoTexas</v>
      </c>
      <c r="D3715" t="s">
        <v>61</v>
      </c>
      <c r="E3715">
        <v>46.6</v>
      </c>
      <c r="F3715">
        <v>0.90566037735849103</v>
      </c>
      <c r="G3715">
        <v>114.79321142794601</v>
      </c>
      <c r="H3715">
        <v>139.42438125870001</v>
      </c>
      <c r="I3715" s="1">
        <f t="shared" ref="I3715:I3778" si="117">18*(H3715-AVERAGE($H$2:$H$4625))/_xlfn.STDEV.P($H$2:$H$4625)+AVERAGE($H$2:$H$4625)</f>
        <v>147.88347560167753</v>
      </c>
    </row>
    <row r="3716" spans="1:9" x14ac:dyDescent="0.45">
      <c r="A3716" t="s">
        <v>49</v>
      </c>
      <c r="B3716" t="s">
        <v>61</v>
      </c>
      <c r="C3716" t="str">
        <f t="shared" si="116"/>
        <v>Norfolk St.Texas</v>
      </c>
      <c r="D3716" t="s">
        <v>61</v>
      </c>
      <c r="E3716">
        <v>4.8</v>
      </c>
      <c r="F3716">
        <v>19.618867924528299</v>
      </c>
      <c r="G3716">
        <v>1994.20176848965</v>
      </c>
      <c r="H3716">
        <v>138.43674492090099</v>
      </c>
      <c r="I3716" s="1">
        <f t="shared" si="117"/>
        <v>133.97648386157343</v>
      </c>
    </row>
    <row r="3717" spans="1:9" x14ac:dyDescent="0.45">
      <c r="A3717" t="s">
        <v>50</v>
      </c>
      <c r="B3717" t="s">
        <v>61</v>
      </c>
      <c r="C3717" t="str">
        <f t="shared" si="116"/>
        <v>North CarolinaTexas</v>
      </c>
      <c r="D3717" t="s">
        <v>50</v>
      </c>
      <c r="E3717">
        <v>74.8</v>
      </c>
      <c r="F3717">
        <v>-7.13584905660377</v>
      </c>
      <c r="G3717">
        <v>-297.01393612630801</v>
      </c>
      <c r="H3717">
        <v>140.50867635285701</v>
      </c>
      <c r="I3717" s="1">
        <f t="shared" si="117"/>
        <v>163.15152755679441</v>
      </c>
    </row>
    <row r="3718" spans="1:9" x14ac:dyDescent="0.45">
      <c r="A3718" t="s">
        <v>51</v>
      </c>
      <c r="B3718" t="s">
        <v>61</v>
      </c>
      <c r="C3718" t="str">
        <f t="shared" si="116"/>
        <v>OklahomaTexas</v>
      </c>
      <c r="D3718" t="s">
        <v>61</v>
      </c>
      <c r="E3718">
        <v>49.4</v>
      </c>
      <c r="F3718">
        <v>0.169811320754717</v>
      </c>
      <c r="G3718">
        <v>102.61992543019301</v>
      </c>
      <c r="H3718">
        <v>138.85127964836201</v>
      </c>
      <c r="I3718" s="1">
        <f t="shared" si="117"/>
        <v>139.8135828120171</v>
      </c>
    </row>
    <row r="3719" spans="1:9" x14ac:dyDescent="0.45">
      <c r="A3719" t="s">
        <v>52</v>
      </c>
      <c r="B3719" t="s">
        <v>61</v>
      </c>
      <c r="C3719" t="str">
        <f t="shared" si="116"/>
        <v>OregonTexas</v>
      </c>
      <c r="D3719" t="s">
        <v>52</v>
      </c>
      <c r="E3719">
        <v>76.3</v>
      </c>
      <c r="F3719">
        <v>-7.6566037735849104</v>
      </c>
      <c r="G3719">
        <v>-321.50868704251002</v>
      </c>
      <c r="H3719">
        <v>139.44565743650199</v>
      </c>
      <c r="I3719" s="1">
        <f t="shared" si="117"/>
        <v>148.18306728095141</v>
      </c>
    </row>
    <row r="3720" spans="1:9" x14ac:dyDescent="0.45">
      <c r="A3720" t="s">
        <v>53</v>
      </c>
      <c r="B3720" t="s">
        <v>61</v>
      </c>
      <c r="C3720" t="str">
        <f t="shared" si="116"/>
        <v>PurdueTexas</v>
      </c>
      <c r="D3720" t="s">
        <v>53</v>
      </c>
      <c r="E3720">
        <v>94.4</v>
      </c>
      <c r="F3720">
        <v>-18.5660377358491</v>
      </c>
      <c r="G3720">
        <v>-1698.2451473523899</v>
      </c>
      <c r="H3720">
        <v>140.79364476529099</v>
      </c>
      <c r="I3720" s="1">
        <f t="shared" si="117"/>
        <v>167.16419214418877</v>
      </c>
    </row>
    <row r="3721" spans="1:9" x14ac:dyDescent="0.45">
      <c r="A3721" t="s">
        <v>54</v>
      </c>
      <c r="B3721" t="s">
        <v>61</v>
      </c>
      <c r="C3721" t="str">
        <f t="shared" si="116"/>
        <v>Robert MorrisTexas</v>
      </c>
      <c r="D3721" t="s">
        <v>61</v>
      </c>
      <c r="E3721">
        <v>2</v>
      </c>
      <c r="F3721">
        <v>25.377358490565999</v>
      </c>
      <c r="G3721">
        <v>4799.3298490568404</v>
      </c>
      <c r="H3721">
        <v>137.85228161405399</v>
      </c>
      <c r="I3721" s="1">
        <f t="shared" si="117"/>
        <v>125.74660605166117</v>
      </c>
    </row>
    <row r="3722" spans="1:9" x14ac:dyDescent="0.45">
      <c r="A3722" t="s">
        <v>55</v>
      </c>
      <c r="B3722" t="s">
        <v>61</v>
      </c>
      <c r="C3722" t="str">
        <f t="shared" si="116"/>
        <v>Saint FrancisTexas</v>
      </c>
      <c r="D3722" t="s">
        <v>61</v>
      </c>
      <c r="E3722">
        <v>1.4</v>
      </c>
      <c r="F3722">
        <v>28.101886792452799</v>
      </c>
      <c r="G3722">
        <v>7274.3722216462102</v>
      </c>
      <c r="H3722">
        <v>138.905137147261</v>
      </c>
      <c r="I3722" s="1">
        <f t="shared" si="117"/>
        <v>140.57195486017412</v>
      </c>
    </row>
    <row r="3723" spans="1:9" x14ac:dyDescent="0.45">
      <c r="A3723" t="s">
        <v>56</v>
      </c>
      <c r="B3723" t="s">
        <v>61</v>
      </c>
      <c r="C3723" t="str">
        <f t="shared" si="116"/>
        <v>Saint Mary'sTexas</v>
      </c>
      <c r="D3723" t="s">
        <v>56</v>
      </c>
      <c r="E3723">
        <v>73.3</v>
      </c>
      <c r="F3723">
        <v>-6.6113207547169797</v>
      </c>
      <c r="G3723">
        <v>-274.21307277312098</v>
      </c>
      <c r="H3723">
        <v>140.15639234835101</v>
      </c>
      <c r="I3723" s="1">
        <f t="shared" si="117"/>
        <v>158.19098636027076</v>
      </c>
    </row>
    <row r="3724" spans="1:9" x14ac:dyDescent="0.45">
      <c r="A3724" t="s">
        <v>57</v>
      </c>
      <c r="B3724" t="s">
        <v>61</v>
      </c>
      <c r="C3724" t="str">
        <f t="shared" si="116"/>
        <v>San Diego St.Texas</v>
      </c>
      <c r="D3724" t="s">
        <v>61</v>
      </c>
      <c r="E3724">
        <v>44.4</v>
      </c>
      <c r="F3724">
        <v>1.47924528301887</v>
      </c>
      <c r="G3724">
        <v>125.32939136485101</v>
      </c>
      <c r="H3724">
        <v>139.302647228149</v>
      </c>
      <c r="I3724" s="1">
        <f t="shared" si="117"/>
        <v>146.16932830619092</v>
      </c>
    </row>
    <row r="3725" spans="1:9" x14ac:dyDescent="0.45">
      <c r="A3725" t="s">
        <v>58</v>
      </c>
      <c r="B3725" t="s">
        <v>61</v>
      </c>
      <c r="C3725" t="str">
        <f t="shared" si="116"/>
        <v>SIU EdwardsvilleTexas</v>
      </c>
      <c r="D3725" t="s">
        <v>61</v>
      </c>
      <c r="E3725">
        <v>3.9</v>
      </c>
      <c r="F3725">
        <v>21.079245283018899</v>
      </c>
      <c r="G3725">
        <v>2491.3222086226101</v>
      </c>
      <c r="H3725">
        <v>139.450334994998</v>
      </c>
      <c r="I3725" s="1">
        <f t="shared" si="117"/>
        <v>148.24893238218175</v>
      </c>
    </row>
    <row r="3726" spans="1:9" x14ac:dyDescent="0.45">
      <c r="A3726" t="s">
        <v>59</v>
      </c>
      <c r="B3726" t="s">
        <v>61</v>
      </c>
      <c r="C3726" t="str">
        <f t="shared" si="116"/>
        <v>St. John'sTexas</v>
      </c>
      <c r="D3726" t="s">
        <v>59</v>
      </c>
      <c r="E3726">
        <v>89.5</v>
      </c>
      <c r="F3726">
        <v>-14.079245283018899</v>
      </c>
      <c r="G3726">
        <v>-856.59908883025696</v>
      </c>
      <c r="H3726">
        <v>140.428017767542</v>
      </c>
      <c r="I3726" s="1">
        <f t="shared" si="117"/>
        <v>162.0157671186517</v>
      </c>
    </row>
    <row r="3727" spans="1:9" x14ac:dyDescent="0.45">
      <c r="A3727" t="s">
        <v>60</v>
      </c>
      <c r="B3727" t="s">
        <v>61</v>
      </c>
      <c r="C3727" t="str">
        <f t="shared" si="116"/>
        <v>TennesseeTexas</v>
      </c>
      <c r="D3727" t="s">
        <v>60</v>
      </c>
      <c r="E3727">
        <v>94.5</v>
      </c>
      <c r="F3727">
        <v>-18.626415094339599</v>
      </c>
      <c r="G3727">
        <v>-1713.6299989745601</v>
      </c>
      <c r="H3727">
        <v>141.022000644233</v>
      </c>
      <c r="I3727" s="1">
        <f t="shared" si="117"/>
        <v>170.37969080569815</v>
      </c>
    </row>
    <row r="3728" spans="1:9" x14ac:dyDescent="0.45">
      <c r="A3728" t="s">
        <v>61</v>
      </c>
      <c r="B3728" t="s">
        <v>61</v>
      </c>
      <c r="C3728" t="str">
        <f t="shared" si="116"/>
        <v>TexasTexas</v>
      </c>
      <c r="D3728" t="s">
        <v>61</v>
      </c>
      <c r="E3728">
        <v>41.2</v>
      </c>
      <c r="F3728">
        <v>2.3283018867924499</v>
      </c>
      <c r="G3728">
        <v>142.64273539779199</v>
      </c>
      <c r="H3728">
        <v>138.77771517530499</v>
      </c>
      <c r="I3728" s="1">
        <f t="shared" si="117"/>
        <v>138.77771517530277</v>
      </c>
    </row>
    <row r="3729" spans="1:9" x14ac:dyDescent="0.45">
      <c r="A3729" t="s">
        <v>62</v>
      </c>
      <c r="B3729" t="s">
        <v>61</v>
      </c>
      <c r="C3729" t="str">
        <f t="shared" si="116"/>
        <v>Texas A&amp;MTexas</v>
      </c>
      <c r="D3729" t="s">
        <v>62</v>
      </c>
      <c r="E3729">
        <v>80.2</v>
      </c>
      <c r="F3729">
        <v>-9.1660377358490592</v>
      </c>
      <c r="G3729">
        <v>-404.903205184071</v>
      </c>
      <c r="H3729">
        <v>139.575514202899</v>
      </c>
      <c r="I3729" s="1">
        <f t="shared" si="117"/>
        <v>150.01159151458219</v>
      </c>
    </row>
    <row r="3730" spans="1:9" x14ac:dyDescent="0.45">
      <c r="A3730" t="s">
        <v>63</v>
      </c>
      <c r="B3730" t="s">
        <v>61</v>
      </c>
      <c r="C3730" t="str">
        <f t="shared" si="116"/>
        <v>Texas TechTexas</v>
      </c>
      <c r="D3730" t="s">
        <v>63</v>
      </c>
      <c r="E3730">
        <v>88.9</v>
      </c>
      <c r="F3730">
        <v>-13.618867924528301</v>
      </c>
      <c r="G3730">
        <v>-798.48681193233699</v>
      </c>
      <c r="H3730">
        <v>140.615298321963</v>
      </c>
      <c r="I3730" s="1">
        <f t="shared" si="117"/>
        <v>164.65288062261521</v>
      </c>
    </row>
    <row r="3731" spans="1:9" x14ac:dyDescent="0.45">
      <c r="A3731" t="s">
        <v>64</v>
      </c>
      <c r="B3731" t="s">
        <v>61</v>
      </c>
      <c r="C3731" t="str">
        <f t="shared" si="116"/>
        <v>TroyTexas</v>
      </c>
      <c r="D3731" t="s">
        <v>61</v>
      </c>
      <c r="E3731">
        <v>10.1</v>
      </c>
      <c r="F3731">
        <v>14.3283018867925</v>
      </c>
      <c r="G3731">
        <v>889.59668814803399</v>
      </c>
      <c r="H3731">
        <v>139.31886274169199</v>
      </c>
      <c r="I3731" s="1">
        <f t="shared" si="117"/>
        <v>146.39766033922083</v>
      </c>
    </row>
    <row r="3732" spans="1:9" x14ac:dyDescent="0.45">
      <c r="A3732" t="s">
        <v>65</v>
      </c>
      <c r="B3732" t="s">
        <v>61</v>
      </c>
      <c r="C3732" t="str">
        <f t="shared" si="116"/>
        <v>UC San DiegoTexas</v>
      </c>
      <c r="D3732" t="s">
        <v>61</v>
      </c>
      <c r="E3732">
        <v>22.3</v>
      </c>
      <c r="F3732">
        <v>8.1660377358490592</v>
      </c>
      <c r="G3732">
        <v>347.57375710097398</v>
      </c>
      <c r="H3732">
        <v>139.406984485083</v>
      </c>
      <c r="I3732" s="1">
        <f t="shared" si="117"/>
        <v>147.63851014451808</v>
      </c>
    </row>
    <row r="3733" spans="1:9" x14ac:dyDescent="0.45">
      <c r="A3733" t="s">
        <v>66</v>
      </c>
      <c r="B3733" t="s">
        <v>61</v>
      </c>
      <c r="C3733" t="str">
        <f t="shared" si="116"/>
        <v>UCLATexas</v>
      </c>
      <c r="D3733" t="s">
        <v>66</v>
      </c>
      <c r="E3733">
        <v>53.3</v>
      </c>
      <c r="F3733">
        <v>-0.87924528301886795</v>
      </c>
      <c r="G3733">
        <v>-114.328836881435</v>
      </c>
      <c r="H3733">
        <v>138.878438998192</v>
      </c>
      <c r="I3733" s="1">
        <f t="shared" si="117"/>
        <v>140.19601593977538</v>
      </c>
    </row>
    <row r="3734" spans="1:9" x14ac:dyDescent="0.45">
      <c r="A3734" t="s">
        <v>67</v>
      </c>
      <c r="B3734" t="s">
        <v>61</v>
      </c>
      <c r="C3734" t="str">
        <f t="shared" si="116"/>
        <v>UNC WilmingtonTexas</v>
      </c>
      <c r="D3734" t="s">
        <v>61</v>
      </c>
      <c r="E3734">
        <v>14.7</v>
      </c>
      <c r="F3734">
        <v>11.5283018867925</v>
      </c>
      <c r="G3734">
        <v>580.34355823162298</v>
      </c>
      <c r="H3734">
        <v>139.99345467211199</v>
      </c>
      <c r="I3734" s="1">
        <f t="shared" si="117"/>
        <v>155.89664700591135</v>
      </c>
    </row>
    <row r="3735" spans="1:9" x14ac:dyDescent="0.45">
      <c r="A3735" t="s">
        <v>68</v>
      </c>
      <c r="B3735" t="s">
        <v>61</v>
      </c>
      <c r="C3735" t="str">
        <f t="shared" si="116"/>
        <v>Utah St.Texas</v>
      </c>
      <c r="D3735" t="s">
        <v>61</v>
      </c>
      <c r="E3735">
        <v>46.6</v>
      </c>
      <c r="F3735">
        <v>0.88301886792452799</v>
      </c>
      <c r="G3735">
        <v>114.421111519056</v>
      </c>
      <c r="H3735">
        <v>139.364825075939</v>
      </c>
      <c r="I3735" s="1">
        <f t="shared" si="117"/>
        <v>147.04485989867968</v>
      </c>
    </row>
    <row r="3736" spans="1:9" x14ac:dyDescent="0.45">
      <c r="A3736" t="s">
        <v>69</v>
      </c>
      <c r="B3736" t="s">
        <v>61</v>
      </c>
      <c r="C3736" t="str">
        <f t="shared" si="116"/>
        <v>VanderbiltTexas</v>
      </c>
      <c r="D3736" t="s">
        <v>61</v>
      </c>
      <c r="E3736">
        <v>15.7</v>
      </c>
      <c r="F3736">
        <v>11.0037735849057</v>
      </c>
      <c r="G3736">
        <v>535.91529440896795</v>
      </c>
      <c r="H3736">
        <v>137.93939556453699</v>
      </c>
      <c r="I3736" s="1">
        <f t="shared" si="117"/>
        <v>126.97326503882925</v>
      </c>
    </row>
    <row r="3737" spans="1:9" x14ac:dyDescent="0.45">
      <c r="A3737" t="s">
        <v>70</v>
      </c>
      <c r="B3737" t="s">
        <v>61</v>
      </c>
      <c r="C3737" t="str">
        <f t="shared" si="116"/>
        <v>VCUTexas</v>
      </c>
      <c r="D3737" t="s">
        <v>61</v>
      </c>
      <c r="E3737">
        <v>36.4</v>
      </c>
      <c r="F3737">
        <v>3.65660377358491</v>
      </c>
      <c r="G3737">
        <v>174.72944163475299</v>
      </c>
      <c r="H3737">
        <v>139.78430672641301</v>
      </c>
      <c r="I3737" s="1">
        <f t="shared" si="117"/>
        <v>152.95161689515467</v>
      </c>
    </row>
    <row r="3738" spans="1:9" x14ac:dyDescent="0.45">
      <c r="A3738" t="s">
        <v>71</v>
      </c>
      <c r="B3738" t="s">
        <v>61</v>
      </c>
      <c r="C3738" t="str">
        <f t="shared" si="116"/>
        <v>WisconsinTexas</v>
      </c>
      <c r="D3738" t="s">
        <v>71</v>
      </c>
      <c r="E3738">
        <v>87.6</v>
      </c>
      <c r="F3738">
        <v>-12.8037735849057</v>
      </c>
      <c r="G3738">
        <v>-705.13900871698002</v>
      </c>
      <c r="H3738">
        <v>140.58498558167901</v>
      </c>
      <c r="I3738" s="1">
        <f t="shared" si="117"/>
        <v>164.22604433418053</v>
      </c>
    </row>
    <row r="3739" spans="1:9" x14ac:dyDescent="0.45">
      <c r="A3739" t="s">
        <v>80</v>
      </c>
      <c r="B3739" t="s">
        <v>61</v>
      </c>
      <c r="C3739" t="str">
        <f t="shared" si="116"/>
        <v>WoffordTexas</v>
      </c>
      <c r="D3739" t="s">
        <v>61</v>
      </c>
      <c r="E3739">
        <v>5.5</v>
      </c>
      <c r="F3739">
        <v>18.5811320754717</v>
      </c>
      <c r="G3739">
        <v>1702.15984737079</v>
      </c>
      <c r="H3739">
        <v>138.61444132077401</v>
      </c>
      <c r="I3739" s="1">
        <f t="shared" si="117"/>
        <v>136.47864206566243</v>
      </c>
    </row>
    <row r="3740" spans="1:9" x14ac:dyDescent="0.45">
      <c r="A3740" t="s">
        <v>72</v>
      </c>
      <c r="B3740" t="s">
        <v>61</v>
      </c>
      <c r="C3740" t="str">
        <f t="shared" si="116"/>
        <v>XavierTexas</v>
      </c>
      <c r="D3740" t="s">
        <v>61</v>
      </c>
      <c r="E3740">
        <v>36.1</v>
      </c>
      <c r="F3740">
        <v>3.7358490566037701</v>
      </c>
      <c r="G3740">
        <v>176.77498034892699</v>
      </c>
      <c r="H3740">
        <v>139.19035489092599</v>
      </c>
      <c r="I3740" s="1">
        <f t="shared" si="117"/>
        <v>144.58813030195628</v>
      </c>
    </row>
    <row r="3741" spans="1:9" x14ac:dyDescent="0.45">
      <c r="A3741" t="s">
        <v>73</v>
      </c>
      <c r="B3741" t="s">
        <v>61</v>
      </c>
      <c r="C3741" t="str">
        <f t="shared" si="116"/>
        <v>YaleTexas</v>
      </c>
      <c r="D3741" t="s">
        <v>61</v>
      </c>
      <c r="E3741">
        <v>24</v>
      </c>
      <c r="F3741">
        <v>7.5584905660377402</v>
      </c>
      <c r="G3741">
        <v>316.76149045107002</v>
      </c>
      <c r="H3741">
        <v>139.98958952498799</v>
      </c>
      <c r="I3741" s="1">
        <f t="shared" si="117"/>
        <v>155.84222153869172</v>
      </c>
    </row>
    <row r="3742" spans="1:9" x14ac:dyDescent="0.45">
      <c r="A3742" t="s">
        <v>7</v>
      </c>
      <c r="B3742" t="s">
        <v>62</v>
      </c>
      <c r="C3742" t="str">
        <f t="shared" si="116"/>
        <v>AkronTexas A&amp;M</v>
      </c>
      <c r="D3742" t="s">
        <v>62</v>
      </c>
      <c r="E3742">
        <v>2.7</v>
      </c>
      <c r="F3742">
        <v>23.449056603773599</v>
      </c>
      <c r="G3742">
        <v>3576.8525618344802</v>
      </c>
      <c r="H3742">
        <v>137.97425595284</v>
      </c>
      <c r="I3742" s="1">
        <f t="shared" si="117"/>
        <v>127.46413714795708</v>
      </c>
    </row>
    <row r="3743" spans="1:9" x14ac:dyDescent="0.45">
      <c r="A3743" t="s">
        <v>8</v>
      </c>
      <c r="B3743" t="s">
        <v>62</v>
      </c>
      <c r="C3743" t="str">
        <f t="shared" si="116"/>
        <v>AlabamaTexas A&amp;M</v>
      </c>
      <c r="D3743" t="s">
        <v>8</v>
      </c>
      <c r="E3743">
        <v>67.3</v>
      </c>
      <c r="F3743">
        <v>-4.7245283018867896</v>
      </c>
      <c r="G3743">
        <v>-205.599774524917</v>
      </c>
      <c r="H3743">
        <v>139.722351964979</v>
      </c>
      <c r="I3743" s="1">
        <f t="shared" si="117"/>
        <v>152.07922660072404</v>
      </c>
    </row>
    <row r="3744" spans="1:9" x14ac:dyDescent="0.45">
      <c r="A3744" t="s">
        <v>9</v>
      </c>
      <c r="B3744" t="s">
        <v>62</v>
      </c>
      <c r="C3744" t="str">
        <f t="shared" si="116"/>
        <v>Alabama St.Texas A&amp;M</v>
      </c>
      <c r="D3744" t="s">
        <v>62</v>
      </c>
      <c r="E3744">
        <v>0.4</v>
      </c>
      <c r="F3744">
        <v>35.588679245282997</v>
      </c>
      <c r="G3744">
        <v>22791.072686214</v>
      </c>
      <c r="H3744">
        <v>138.20109680865301</v>
      </c>
      <c r="I3744" s="1">
        <f t="shared" si="117"/>
        <v>130.65830263921467</v>
      </c>
    </row>
    <row r="3745" spans="1:9" x14ac:dyDescent="0.45">
      <c r="A3745" t="s">
        <v>10</v>
      </c>
      <c r="B3745" t="s">
        <v>62</v>
      </c>
      <c r="C3745" t="str">
        <f t="shared" si="116"/>
        <v>AmericanTexas A&amp;M</v>
      </c>
      <c r="D3745" t="s">
        <v>62</v>
      </c>
      <c r="E3745">
        <v>0.5</v>
      </c>
      <c r="F3745">
        <v>34.324528301886801</v>
      </c>
      <c r="G3745">
        <v>18796.074002945701</v>
      </c>
      <c r="H3745">
        <v>138.29218269025699</v>
      </c>
      <c r="I3745" s="1">
        <f t="shared" si="117"/>
        <v>131.94089072819662</v>
      </c>
    </row>
    <row r="3746" spans="1:9" x14ac:dyDescent="0.45">
      <c r="A3746" t="s">
        <v>11</v>
      </c>
      <c r="B3746" t="s">
        <v>62</v>
      </c>
      <c r="C3746" t="str">
        <f t="shared" si="116"/>
        <v>ArizonaTexas A&amp;M</v>
      </c>
      <c r="D3746" t="s">
        <v>11</v>
      </c>
      <c r="E3746">
        <v>59.4</v>
      </c>
      <c r="F3746">
        <v>-2.48301886792453</v>
      </c>
      <c r="G3746">
        <v>-146.07786897477999</v>
      </c>
      <c r="H3746">
        <v>139.48471078396901</v>
      </c>
      <c r="I3746" s="1">
        <f t="shared" si="117"/>
        <v>148.73298080667038</v>
      </c>
    </row>
    <row r="3747" spans="1:9" x14ac:dyDescent="0.45">
      <c r="A3747" t="s">
        <v>12</v>
      </c>
      <c r="B3747" t="s">
        <v>62</v>
      </c>
      <c r="C3747" t="str">
        <f t="shared" si="116"/>
        <v>ArkansasTexas A&amp;M</v>
      </c>
      <c r="D3747" t="s">
        <v>62</v>
      </c>
      <c r="E3747">
        <v>8.1</v>
      </c>
      <c r="F3747">
        <v>15.909433962264201</v>
      </c>
      <c r="G3747">
        <v>1132.1493355917901</v>
      </c>
      <c r="H3747">
        <v>137.60231461782701</v>
      </c>
      <c r="I3747" s="1">
        <f t="shared" si="117"/>
        <v>122.22679939937215</v>
      </c>
    </row>
    <row r="3748" spans="1:9" x14ac:dyDescent="0.45">
      <c r="A3748" t="s">
        <v>13</v>
      </c>
      <c r="B3748" t="s">
        <v>62</v>
      </c>
      <c r="C3748" t="str">
        <f t="shared" si="116"/>
        <v>AuburnTexas A&amp;M</v>
      </c>
      <c r="D3748" t="s">
        <v>13</v>
      </c>
      <c r="E3748">
        <v>80.099999999999994</v>
      </c>
      <c r="F3748">
        <v>-9.1358490566037691</v>
      </c>
      <c r="G3748">
        <v>-402.924759074674</v>
      </c>
      <c r="H3748">
        <v>140.74103402308899</v>
      </c>
      <c r="I3748" s="1">
        <f t="shared" si="117"/>
        <v>166.42337578371084</v>
      </c>
    </row>
    <row r="3749" spans="1:9" x14ac:dyDescent="0.45">
      <c r="A3749" t="s">
        <v>14</v>
      </c>
      <c r="B3749" t="s">
        <v>62</v>
      </c>
      <c r="C3749" t="str">
        <f t="shared" si="116"/>
        <v>BaylorTexas A&amp;M</v>
      </c>
      <c r="D3749" t="s">
        <v>62</v>
      </c>
      <c r="E3749">
        <v>29.9</v>
      </c>
      <c r="F3749">
        <v>5.5962264150943399</v>
      </c>
      <c r="G3749">
        <v>234.83549686755899</v>
      </c>
      <c r="H3749">
        <v>139.27603203581401</v>
      </c>
      <c r="I3749" s="1">
        <f t="shared" si="117"/>
        <v>145.79455750665875</v>
      </c>
    </row>
    <row r="3750" spans="1:9" x14ac:dyDescent="0.45">
      <c r="A3750" t="s">
        <v>15</v>
      </c>
      <c r="B3750" t="s">
        <v>62</v>
      </c>
      <c r="C3750" t="str">
        <f t="shared" si="116"/>
        <v>BryantTexas A&amp;M</v>
      </c>
      <c r="D3750" t="s">
        <v>62</v>
      </c>
      <c r="E3750">
        <v>1.9</v>
      </c>
      <c r="F3750">
        <v>25.883018867924498</v>
      </c>
      <c r="G3750">
        <v>5184.4643050987997</v>
      </c>
      <c r="H3750">
        <v>138.82502978570801</v>
      </c>
      <c r="I3750" s="1">
        <f t="shared" si="117"/>
        <v>139.44395625096774</v>
      </c>
    </row>
    <row r="3751" spans="1:9" x14ac:dyDescent="0.45">
      <c r="A3751" t="s">
        <v>16</v>
      </c>
      <c r="B3751" t="s">
        <v>62</v>
      </c>
      <c r="C3751" t="str">
        <f t="shared" si="116"/>
        <v>BYUTexas A&amp;M</v>
      </c>
      <c r="D3751" t="s">
        <v>62</v>
      </c>
      <c r="E3751">
        <v>34.200000000000003</v>
      </c>
      <c r="F3751">
        <v>4.3018867924528301</v>
      </c>
      <c r="G3751">
        <v>192.76454645411999</v>
      </c>
      <c r="H3751">
        <v>139.085550263931</v>
      </c>
      <c r="I3751" s="1">
        <f t="shared" si="117"/>
        <v>143.11236738582852</v>
      </c>
    </row>
    <row r="3752" spans="1:9" x14ac:dyDescent="0.45">
      <c r="A3752" t="s">
        <v>17</v>
      </c>
      <c r="B3752" t="s">
        <v>62</v>
      </c>
      <c r="C3752" t="str">
        <f t="shared" si="116"/>
        <v>ClemsonTexas A&amp;M</v>
      </c>
      <c r="D3752" t="s">
        <v>62</v>
      </c>
      <c r="E3752">
        <v>39.9</v>
      </c>
      <c r="F3752">
        <v>2.67924528301887</v>
      </c>
      <c r="G3752">
        <v>150.444264256249</v>
      </c>
      <c r="H3752">
        <v>139.30746212022299</v>
      </c>
      <c r="I3752" s="1">
        <f t="shared" si="117"/>
        <v>146.23712721327828</v>
      </c>
    </row>
    <row r="3753" spans="1:9" x14ac:dyDescent="0.45">
      <c r="A3753" t="s">
        <v>18</v>
      </c>
      <c r="B3753" t="s">
        <v>62</v>
      </c>
      <c r="C3753" t="str">
        <f t="shared" si="116"/>
        <v>Colorado St.Texas A&amp;M</v>
      </c>
      <c r="D3753" t="s">
        <v>62</v>
      </c>
      <c r="E3753">
        <v>9.8000000000000007</v>
      </c>
      <c r="F3753">
        <v>14.5169811320755</v>
      </c>
      <c r="G3753">
        <v>915.623993746922</v>
      </c>
      <c r="H3753">
        <v>138.61485396832799</v>
      </c>
      <c r="I3753" s="1">
        <f t="shared" si="117"/>
        <v>136.48445259116178</v>
      </c>
    </row>
    <row r="3754" spans="1:9" x14ac:dyDescent="0.45">
      <c r="A3754" t="s">
        <v>19</v>
      </c>
      <c r="B3754" t="s">
        <v>62</v>
      </c>
      <c r="C3754" t="str">
        <f t="shared" si="116"/>
        <v>ConnecticutTexas A&amp;M</v>
      </c>
      <c r="D3754" t="s">
        <v>19</v>
      </c>
      <c r="E3754">
        <v>53</v>
      </c>
      <c r="F3754">
        <v>-0.78490566037735898</v>
      </c>
      <c r="G3754">
        <v>-112.74047914106799</v>
      </c>
      <c r="H3754">
        <v>139.250405870664</v>
      </c>
      <c r="I3754" s="1">
        <f t="shared" si="117"/>
        <v>145.43371328350472</v>
      </c>
    </row>
    <row r="3755" spans="1:9" x14ac:dyDescent="0.45">
      <c r="A3755" t="s">
        <v>20</v>
      </c>
      <c r="B3755" t="s">
        <v>62</v>
      </c>
      <c r="C3755" t="str">
        <f t="shared" si="116"/>
        <v>CreightonTexas A&amp;M</v>
      </c>
      <c r="D3755" t="s">
        <v>62</v>
      </c>
      <c r="E3755">
        <v>25.9</v>
      </c>
      <c r="F3755">
        <v>6.9056603773584904</v>
      </c>
      <c r="G3755">
        <v>286.747837218288</v>
      </c>
      <c r="H3755">
        <v>138.723348232928</v>
      </c>
      <c r="I3755" s="1">
        <f t="shared" si="117"/>
        <v>138.01216960996194</v>
      </c>
    </row>
    <row r="3756" spans="1:9" x14ac:dyDescent="0.45">
      <c r="A3756" t="s">
        <v>21</v>
      </c>
      <c r="B3756" t="s">
        <v>62</v>
      </c>
      <c r="C3756" t="str">
        <f t="shared" si="116"/>
        <v>DrakeTexas A&amp;M</v>
      </c>
      <c r="D3756" t="s">
        <v>62</v>
      </c>
      <c r="E3756">
        <v>9.8000000000000007</v>
      </c>
      <c r="F3756">
        <v>14.5660377358491</v>
      </c>
      <c r="G3756">
        <v>922.730895724839</v>
      </c>
      <c r="H3756">
        <v>138.77681333708199</v>
      </c>
      <c r="I3756" s="1">
        <f t="shared" si="117"/>
        <v>138.76501631415502</v>
      </c>
    </row>
    <row r="3757" spans="1:9" x14ac:dyDescent="0.45">
      <c r="A3757" t="s">
        <v>22</v>
      </c>
      <c r="B3757" t="s">
        <v>62</v>
      </c>
      <c r="C3757" t="str">
        <f t="shared" si="116"/>
        <v>DukeTexas A&amp;M</v>
      </c>
      <c r="D3757" t="s">
        <v>22</v>
      </c>
      <c r="E3757">
        <v>85.5</v>
      </c>
      <c r="F3757">
        <v>-11.6452830188679</v>
      </c>
      <c r="G3757">
        <v>-590.79032439424304</v>
      </c>
      <c r="H3757">
        <v>141.06413379853799</v>
      </c>
      <c r="I3757" s="1">
        <f t="shared" si="117"/>
        <v>170.972971354903</v>
      </c>
    </row>
    <row r="3758" spans="1:9" x14ac:dyDescent="0.45">
      <c r="A3758" t="s">
        <v>23</v>
      </c>
      <c r="B3758" t="s">
        <v>62</v>
      </c>
      <c r="C3758" t="str">
        <f t="shared" si="116"/>
        <v>FloridaTexas A&amp;M</v>
      </c>
      <c r="D3758" t="s">
        <v>23</v>
      </c>
      <c r="E3758">
        <v>76.5</v>
      </c>
      <c r="F3758">
        <v>-7.74339622641509</v>
      </c>
      <c r="G3758">
        <v>-325.90179207969499</v>
      </c>
      <c r="H3758">
        <v>140.787890074481</v>
      </c>
      <c r="I3758" s="1">
        <f t="shared" si="117"/>
        <v>167.08315985072358</v>
      </c>
    </row>
    <row r="3759" spans="1:9" x14ac:dyDescent="0.45">
      <c r="A3759" t="s">
        <v>24</v>
      </c>
      <c r="B3759" t="s">
        <v>62</v>
      </c>
      <c r="C3759" t="str">
        <f t="shared" si="116"/>
        <v>GeorgiaTexas A&amp;M</v>
      </c>
      <c r="D3759" t="s">
        <v>62</v>
      </c>
      <c r="E3759">
        <v>10.9</v>
      </c>
      <c r="F3759">
        <v>13.7622641509434</v>
      </c>
      <c r="G3759">
        <v>816.10865466018697</v>
      </c>
      <c r="H3759">
        <v>137.929703598825</v>
      </c>
      <c r="I3759" s="1">
        <f t="shared" si="117"/>
        <v>126.83679164073371</v>
      </c>
    </row>
    <row r="3760" spans="1:9" x14ac:dyDescent="0.45">
      <c r="A3760" t="s">
        <v>25</v>
      </c>
      <c r="B3760" t="s">
        <v>62</v>
      </c>
      <c r="C3760" t="str">
        <f t="shared" si="116"/>
        <v>GonzagaTexas A&amp;M</v>
      </c>
      <c r="D3760" t="s">
        <v>62</v>
      </c>
      <c r="E3760">
        <v>40.799999999999997</v>
      </c>
      <c r="F3760">
        <v>2.43396226415094</v>
      </c>
      <c r="G3760">
        <v>144.986219656012</v>
      </c>
      <c r="H3760">
        <v>140.06734471835401</v>
      </c>
      <c r="I3760" s="1">
        <f t="shared" si="117"/>
        <v>156.93709906648823</v>
      </c>
    </row>
    <row r="3761" spans="1:9" x14ac:dyDescent="0.45">
      <c r="A3761" t="s">
        <v>26</v>
      </c>
      <c r="B3761" t="s">
        <v>62</v>
      </c>
      <c r="C3761" t="str">
        <f t="shared" si="116"/>
        <v>Grand CanyonTexas A&amp;M</v>
      </c>
      <c r="D3761" t="s">
        <v>62</v>
      </c>
      <c r="E3761">
        <v>6.3</v>
      </c>
      <c r="F3761">
        <v>17.683018867924499</v>
      </c>
      <c r="G3761">
        <v>1484.59954378373</v>
      </c>
      <c r="H3761">
        <v>138.719312964658</v>
      </c>
      <c r="I3761" s="1">
        <f t="shared" si="117"/>
        <v>137.95534865233591</v>
      </c>
    </row>
    <row r="3762" spans="1:9" x14ac:dyDescent="0.45">
      <c r="A3762" t="s">
        <v>27</v>
      </c>
      <c r="B3762" t="s">
        <v>62</v>
      </c>
      <c r="C3762" t="str">
        <f t="shared" si="116"/>
        <v>High PointTexas A&amp;M</v>
      </c>
      <c r="D3762" t="s">
        <v>62</v>
      </c>
      <c r="E3762">
        <v>4.2</v>
      </c>
      <c r="F3762">
        <v>20.456603773584899</v>
      </c>
      <c r="G3762">
        <v>2266.1329809388699</v>
      </c>
      <c r="H3762">
        <v>139.000204712314</v>
      </c>
      <c r="I3762" s="1">
        <f t="shared" si="117"/>
        <v>141.91060937433491</v>
      </c>
    </row>
    <row r="3763" spans="1:9" x14ac:dyDescent="0.45">
      <c r="A3763" t="s">
        <v>28</v>
      </c>
      <c r="B3763" t="s">
        <v>62</v>
      </c>
      <c r="C3763" t="str">
        <f t="shared" si="116"/>
        <v>HoustonTexas A&amp;M</v>
      </c>
      <c r="D3763" t="s">
        <v>28</v>
      </c>
      <c r="E3763">
        <v>91</v>
      </c>
      <c r="F3763">
        <v>-15.158490566037701</v>
      </c>
      <c r="G3763">
        <v>-1009.76571364552</v>
      </c>
      <c r="H3763">
        <v>141.207798148168</v>
      </c>
      <c r="I3763" s="1">
        <f t="shared" si="117"/>
        <v>172.99592134893047</v>
      </c>
    </row>
    <row r="3764" spans="1:9" x14ac:dyDescent="0.45">
      <c r="A3764" t="s">
        <v>29</v>
      </c>
      <c r="B3764" t="s">
        <v>62</v>
      </c>
      <c r="C3764" t="str">
        <f t="shared" si="116"/>
        <v>IllinoisTexas A&amp;M</v>
      </c>
      <c r="D3764" t="s">
        <v>29</v>
      </c>
      <c r="E3764">
        <v>50.2</v>
      </c>
      <c r="F3764">
        <v>-4.5283018867924497E-2</v>
      </c>
      <c r="G3764">
        <v>-100.720522963525</v>
      </c>
      <c r="H3764">
        <v>139.258043302104</v>
      </c>
      <c r="I3764" s="1">
        <f t="shared" si="117"/>
        <v>145.54125660880237</v>
      </c>
    </row>
    <row r="3765" spans="1:9" x14ac:dyDescent="0.45">
      <c r="A3765" t="s">
        <v>30</v>
      </c>
      <c r="B3765" t="s">
        <v>62</v>
      </c>
      <c r="C3765" t="str">
        <f t="shared" si="116"/>
        <v>Iowa St.Texas A&amp;M</v>
      </c>
      <c r="D3765" t="s">
        <v>30</v>
      </c>
      <c r="E3765">
        <v>68</v>
      </c>
      <c r="F3765">
        <v>-4.9320754716981101</v>
      </c>
      <c r="G3765">
        <v>-212.15748142947101</v>
      </c>
      <c r="H3765">
        <v>140.18431188046301</v>
      </c>
      <c r="I3765" s="1">
        <f t="shared" si="117"/>
        <v>158.58412367975674</v>
      </c>
    </row>
    <row r="3766" spans="1:9" x14ac:dyDescent="0.45">
      <c r="A3766" t="s">
        <v>31</v>
      </c>
      <c r="B3766" t="s">
        <v>62</v>
      </c>
      <c r="C3766" t="str">
        <f t="shared" si="116"/>
        <v>KansasTexas A&amp;M</v>
      </c>
      <c r="D3766" t="s">
        <v>62</v>
      </c>
      <c r="E3766">
        <v>38.1</v>
      </c>
      <c r="F3766">
        <v>3.17358490566038</v>
      </c>
      <c r="G3766">
        <v>162.23820606935899</v>
      </c>
      <c r="H3766">
        <v>139.13970216477401</v>
      </c>
      <c r="I3766" s="1">
        <f t="shared" si="117"/>
        <v>143.87488493293799</v>
      </c>
    </row>
    <row r="3767" spans="1:9" x14ac:dyDescent="0.45">
      <c r="A3767" t="s">
        <v>32</v>
      </c>
      <c r="B3767" t="s">
        <v>62</v>
      </c>
      <c r="C3767" t="str">
        <f t="shared" si="116"/>
        <v>KentuckyTexas A&amp;M</v>
      </c>
      <c r="D3767" t="s">
        <v>32</v>
      </c>
      <c r="E3767">
        <v>51</v>
      </c>
      <c r="F3767">
        <v>-0.25660377358490599</v>
      </c>
      <c r="G3767">
        <v>-103.98153600829001</v>
      </c>
      <c r="H3767">
        <v>139.08673976516701</v>
      </c>
      <c r="I3767" s="1">
        <f t="shared" si="117"/>
        <v>143.12911685446488</v>
      </c>
    </row>
    <row r="3768" spans="1:9" x14ac:dyDescent="0.45">
      <c r="A3768" t="s">
        <v>33</v>
      </c>
      <c r="B3768" t="s">
        <v>62</v>
      </c>
      <c r="C3768" t="str">
        <f t="shared" si="116"/>
        <v>LibertyTexas A&amp;M</v>
      </c>
      <c r="D3768" t="s">
        <v>62</v>
      </c>
      <c r="E3768">
        <v>2.8</v>
      </c>
      <c r="F3768">
        <v>23.2339622641509</v>
      </c>
      <c r="G3768">
        <v>3461.0179343357299</v>
      </c>
      <c r="H3768">
        <v>138.29567601356499</v>
      </c>
      <c r="I3768" s="1">
        <f t="shared" si="117"/>
        <v>131.99008051246278</v>
      </c>
    </row>
    <row r="3769" spans="1:9" x14ac:dyDescent="0.45">
      <c r="A3769" t="s">
        <v>34</v>
      </c>
      <c r="B3769" t="s">
        <v>62</v>
      </c>
      <c r="C3769" t="str">
        <f t="shared" si="116"/>
        <v>LipscombTexas A&amp;M</v>
      </c>
      <c r="D3769" t="s">
        <v>62</v>
      </c>
      <c r="E3769">
        <v>2.2000000000000002</v>
      </c>
      <c r="F3769">
        <v>24.977358490566001</v>
      </c>
      <c r="G3769">
        <v>4514.7499208387799</v>
      </c>
      <c r="H3769">
        <v>138.72759624482299</v>
      </c>
      <c r="I3769" s="1">
        <f t="shared" si="117"/>
        <v>138.07198622876629</v>
      </c>
    </row>
    <row r="3770" spans="1:9" x14ac:dyDescent="0.45">
      <c r="A3770" t="s">
        <v>35</v>
      </c>
      <c r="B3770" t="s">
        <v>62</v>
      </c>
      <c r="C3770" t="str">
        <f t="shared" si="116"/>
        <v>LouisvilleTexas A&amp;M</v>
      </c>
      <c r="D3770" t="s">
        <v>62</v>
      </c>
      <c r="E3770">
        <v>5.3</v>
      </c>
      <c r="F3770">
        <v>18.867924528301899</v>
      </c>
      <c r="G3770">
        <v>1778.3630555105301</v>
      </c>
      <c r="H3770">
        <v>138.013319556791</v>
      </c>
      <c r="I3770" s="1">
        <f t="shared" si="117"/>
        <v>128.01419509610429</v>
      </c>
    </row>
    <row r="3771" spans="1:9" x14ac:dyDescent="0.45">
      <c r="A3771" t="s">
        <v>36</v>
      </c>
      <c r="B3771" t="s">
        <v>62</v>
      </c>
      <c r="C3771" t="str">
        <f t="shared" si="116"/>
        <v>MarquetteTexas A&amp;M</v>
      </c>
      <c r="D3771" t="s">
        <v>62</v>
      </c>
      <c r="E3771">
        <v>44.2</v>
      </c>
      <c r="F3771">
        <v>1.5245283018867899</v>
      </c>
      <c r="G3771">
        <v>126.15806563935</v>
      </c>
      <c r="H3771">
        <v>139.34507619169599</v>
      </c>
      <c r="I3771" s="1">
        <f t="shared" si="117"/>
        <v>146.76677417063149</v>
      </c>
    </row>
    <row r="3772" spans="1:9" x14ac:dyDescent="0.45">
      <c r="A3772" t="s">
        <v>37</v>
      </c>
      <c r="B3772" t="s">
        <v>62</v>
      </c>
      <c r="C3772" t="str">
        <f t="shared" si="116"/>
        <v>MarylandTexas A&amp;M</v>
      </c>
      <c r="D3772" t="s">
        <v>62</v>
      </c>
      <c r="E3772">
        <v>35</v>
      </c>
      <c r="F3772">
        <v>4.0679245283018899</v>
      </c>
      <c r="G3772">
        <v>185.977060684039</v>
      </c>
      <c r="H3772">
        <v>138.95501550337499</v>
      </c>
      <c r="I3772" s="1">
        <f t="shared" si="117"/>
        <v>141.27429625845957</v>
      </c>
    </row>
    <row r="3773" spans="1:9" x14ac:dyDescent="0.45">
      <c r="A3773" t="s">
        <v>38</v>
      </c>
      <c r="B3773" t="s">
        <v>62</v>
      </c>
      <c r="C3773" t="str">
        <f t="shared" si="116"/>
        <v>McNeese St.Texas A&amp;M</v>
      </c>
      <c r="D3773" t="s">
        <v>62</v>
      </c>
      <c r="E3773">
        <v>8.6999999999999993</v>
      </c>
      <c r="F3773">
        <v>15.373584905660399</v>
      </c>
      <c r="G3773">
        <v>1043.7789666148201</v>
      </c>
      <c r="H3773">
        <v>138.790427117576</v>
      </c>
      <c r="I3773" s="1">
        <f t="shared" si="117"/>
        <v>138.9567131216092</v>
      </c>
    </row>
    <row r="3774" spans="1:9" x14ac:dyDescent="0.45">
      <c r="A3774" t="s">
        <v>39</v>
      </c>
      <c r="B3774" t="s">
        <v>62</v>
      </c>
      <c r="C3774" t="str">
        <f t="shared" si="116"/>
        <v>MemphisTexas A&amp;M</v>
      </c>
      <c r="D3774" t="s">
        <v>62</v>
      </c>
      <c r="E3774">
        <v>21.6</v>
      </c>
      <c r="F3774">
        <v>8.4528301886792505</v>
      </c>
      <c r="G3774">
        <v>363.09969478891702</v>
      </c>
      <c r="H3774">
        <v>137.93265031639501</v>
      </c>
      <c r="I3774" s="1">
        <f t="shared" si="117"/>
        <v>126.87828462285495</v>
      </c>
    </row>
    <row r="3775" spans="1:9" x14ac:dyDescent="0.45">
      <c r="A3775" t="s">
        <v>40</v>
      </c>
      <c r="B3775" t="s">
        <v>62</v>
      </c>
      <c r="C3775" t="str">
        <f t="shared" si="116"/>
        <v>MichiganTexas A&amp;M</v>
      </c>
      <c r="D3775" t="s">
        <v>62</v>
      </c>
      <c r="E3775">
        <v>12.7</v>
      </c>
      <c r="F3775">
        <v>12.6415094339623</v>
      </c>
      <c r="G3775">
        <v>687.85187174956502</v>
      </c>
      <c r="H3775">
        <v>137.58957140107799</v>
      </c>
      <c r="I3775" s="1">
        <f t="shared" si="117"/>
        <v>122.0473610744662</v>
      </c>
    </row>
    <row r="3776" spans="1:9" x14ac:dyDescent="0.45">
      <c r="A3776" t="s">
        <v>41</v>
      </c>
      <c r="B3776" t="s">
        <v>62</v>
      </c>
      <c r="C3776" t="str">
        <f t="shared" si="116"/>
        <v>Michigan St.Texas A&amp;M</v>
      </c>
      <c r="D3776" t="s">
        <v>41</v>
      </c>
      <c r="E3776">
        <v>58.2</v>
      </c>
      <c r="F3776">
        <v>-2.1811320754716998</v>
      </c>
      <c r="G3776">
        <v>-139.50151104481199</v>
      </c>
      <c r="H3776">
        <v>139.28846336190699</v>
      </c>
      <c r="I3776" s="1">
        <f t="shared" si="117"/>
        <v>145.96960407256265</v>
      </c>
    </row>
    <row r="3777" spans="1:9" x14ac:dyDescent="0.45">
      <c r="A3777" t="s">
        <v>42</v>
      </c>
      <c r="B3777" t="s">
        <v>62</v>
      </c>
      <c r="C3777" t="str">
        <f t="shared" si="116"/>
        <v>MississippiTexas A&amp;M</v>
      </c>
      <c r="D3777" t="s">
        <v>62</v>
      </c>
      <c r="E3777">
        <v>26.4</v>
      </c>
      <c r="F3777">
        <v>6.7283018867924502</v>
      </c>
      <c r="G3777">
        <v>279.08723853632301</v>
      </c>
      <c r="H3777">
        <v>138.419384467002</v>
      </c>
      <c r="I3777" s="1">
        <f t="shared" si="117"/>
        <v>133.73202982546971</v>
      </c>
    </row>
    <row r="3778" spans="1:9" x14ac:dyDescent="0.45">
      <c r="A3778" t="s">
        <v>43</v>
      </c>
      <c r="B3778" t="s">
        <v>62</v>
      </c>
      <c r="C3778" t="str">
        <f t="shared" si="116"/>
        <v>Mississippi St.Texas A&amp;M</v>
      </c>
      <c r="D3778" t="s">
        <v>62</v>
      </c>
      <c r="E3778">
        <v>21.3</v>
      </c>
      <c r="F3778">
        <v>8.5773584905660396</v>
      </c>
      <c r="G3778">
        <v>370.02516461047901</v>
      </c>
      <c r="H3778">
        <v>138.54375582079101</v>
      </c>
      <c r="I3778" s="1">
        <f t="shared" si="117"/>
        <v>135.4833134950274</v>
      </c>
    </row>
    <row r="3779" spans="1:9" x14ac:dyDescent="0.45">
      <c r="A3779" t="s">
        <v>44</v>
      </c>
      <c r="B3779" t="s">
        <v>62</v>
      </c>
      <c r="C3779" t="str">
        <f t="shared" ref="C3779:C3842" si="118">A3779&amp;B3779</f>
        <v>MissouriTexas A&amp;M</v>
      </c>
      <c r="D3779" t="s">
        <v>62</v>
      </c>
      <c r="E3779">
        <v>10.6</v>
      </c>
      <c r="F3779">
        <v>13.988679245283</v>
      </c>
      <c r="G3779">
        <v>844.94842639685203</v>
      </c>
      <c r="H3779">
        <v>137.80822775696501</v>
      </c>
      <c r="I3779" s="1">
        <f t="shared" ref="I3779:I3842" si="119">18*(H3779-AVERAGE($H$2:$H$4625))/_xlfn.STDEV.P($H$2:$H$4625)+AVERAGE($H$2:$H$4625)</f>
        <v>125.12627992228694</v>
      </c>
    </row>
    <row r="3780" spans="1:9" x14ac:dyDescent="0.45">
      <c r="A3780" t="s">
        <v>45</v>
      </c>
      <c r="B3780" t="s">
        <v>62</v>
      </c>
      <c r="C3780" t="str">
        <f t="shared" si="118"/>
        <v>MontanaTexas A&amp;M</v>
      </c>
      <c r="D3780" t="s">
        <v>62</v>
      </c>
      <c r="E3780">
        <v>1.1000000000000001</v>
      </c>
      <c r="F3780">
        <v>29.245283018867902</v>
      </c>
      <c r="G3780">
        <v>8662.0816566480007</v>
      </c>
      <c r="H3780">
        <v>137.11696248198299</v>
      </c>
      <c r="I3780" s="1">
        <f t="shared" si="119"/>
        <v>115.39251446483171</v>
      </c>
    </row>
    <row r="3781" spans="1:9" x14ac:dyDescent="0.45">
      <c r="A3781" t="s">
        <v>46</v>
      </c>
      <c r="B3781" t="s">
        <v>62</v>
      </c>
      <c r="C3781" t="str">
        <f t="shared" si="118"/>
        <v>Mount St. Mary'sTexas A&amp;M</v>
      </c>
      <c r="D3781" t="s">
        <v>62</v>
      </c>
      <c r="E3781">
        <v>0.5</v>
      </c>
      <c r="F3781">
        <v>35.362264150943403</v>
      </c>
      <c r="G3781">
        <v>22020.2867133896</v>
      </c>
      <c r="H3781">
        <v>138.46483670393101</v>
      </c>
      <c r="I3781" s="1">
        <f t="shared" si="119"/>
        <v>134.37204666096773</v>
      </c>
    </row>
    <row r="3782" spans="1:9" x14ac:dyDescent="0.45">
      <c r="A3782" t="s">
        <v>47</v>
      </c>
      <c r="B3782" t="s">
        <v>62</v>
      </c>
      <c r="C3782" t="str">
        <f t="shared" si="118"/>
        <v>Nebraska OmahaTexas A&amp;M</v>
      </c>
      <c r="D3782" t="s">
        <v>62</v>
      </c>
      <c r="E3782">
        <v>0.6</v>
      </c>
      <c r="F3782">
        <v>33.649056603773602</v>
      </c>
      <c r="G3782">
        <v>16949.332747923501</v>
      </c>
      <c r="H3782">
        <v>137.74883788382999</v>
      </c>
      <c r="I3782" s="1">
        <f t="shared" si="119"/>
        <v>124.29000603935636</v>
      </c>
    </row>
    <row r="3783" spans="1:9" x14ac:dyDescent="0.45">
      <c r="A3783" t="s">
        <v>48</v>
      </c>
      <c r="B3783" t="s">
        <v>62</v>
      </c>
      <c r="C3783" t="str">
        <f t="shared" si="118"/>
        <v>New MexicoTexas A&amp;M</v>
      </c>
      <c r="D3783" t="s">
        <v>62</v>
      </c>
      <c r="E3783">
        <v>13.1</v>
      </c>
      <c r="F3783">
        <v>12.4</v>
      </c>
      <c r="G3783">
        <v>663.00542029420103</v>
      </c>
      <c r="H3783">
        <v>138.626582231106</v>
      </c>
      <c r="I3783" s="1">
        <f t="shared" si="119"/>
        <v>136.64959926239808</v>
      </c>
    </row>
    <row r="3784" spans="1:9" x14ac:dyDescent="0.45">
      <c r="A3784" t="s">
        <v>49</v>
      </c>
      <c r="B3784" t="s">
        <v>62</v>
      </c>
      <c r="C3784" t="str">
        <f t="shared" si="118"/>
        <v>Norfolk St.Texas A&amp;M</v>
      </c>
      <c r="D3784" t="s">
        <v>62</v>
      </c>
      <c r="E3784">
        <v>0.9</v>
      </c>
      <c r="F3784">
        <v>31.1132075471698</v>
      </c>
      <c r="G3784">
        <v>11517.811595495101</v>
      </c>
      <c r="H3784">
        <v>137.63894589330701</v>
      </c>
      <c r="I3784" s="1">
        <f t="shared" si="119"/>
        <v>122.74260752229439</v>
      </c>
    </row>
    <row r="3785" spans="1:9" x14ac:dyDescent="0.45">
      <c r="A3785" t="s">
        <v>50</v>
      </c>
      <c r="B3785" t="s">
        <v>62</v>
      </c>
      <c r="C3785" t="str">
        <f t="shared" si="118"/>
        <v>North CarolinaTexas A&amp;M</v>
      </c>
      <c r="D3785" t="s">
        <v>62</v>
      </c>
      <c r="E3785">
        <v>34</v>
      </c>
      <c r="F3785">
        <v>4.35849056603774</v>
      </c>
      <c r="G3785">
        <v>194.45720800867699</v>
      </c>
      <c r="H3785">
        <v>139.710877325263</v>
      </c>
      <c r="I3785" s="1">
        <f t="shared" si="119"/>
        <v>151.91765121751499</v>
      </c>
    </row>
    <row r="3786" spans="1:9" x14ac:dyDescent="0.45">
      <c r="A3786" t="s">
        <v>51</v>
      </c>
      <c r="B3786" t="s">
        <v>62</v>
      </c>
      <c r="C3786" t="str">
        <f t="shared" si="118"/>
        <v>OklahomaTexas A&amp;M</v>
      </c>
      <c r="D3786" t="s">
        <v>62</v>
      </c>
      <c r="E3786">
        <v>14.4</v>
      </c>
      <c r="F3786">
        <v>11.6641509433962</v>
      </c>
      <c r="G3786">
        <v>592.69678009758297</v>
      </c>
      <c r="H3786">
        <v>138.053480620768</v>
      </c>
      <c r="I3786" s="1">
        <f t="shared" si="119"/>
        <v>128.57970647273766</v>
      </c>
    </row>
    <row r="3787" spans="1:9" x14ac:dyDescent="0.45">
      <c r="A3787" t="s">
        <v>52</v>
      </c>
      <c r="B3787" t="s">
        <v>62</v>
      </c>
      <c r="C3787" t="str">
        <f t="shared" si="118"/>
        <v>OregonTexas A&amp;M</v>
      </c>
      <c r="D3787" t="s">
        <v>62</v>
      </c>
      <c r="E3787">
        <v>35.799999999999997</v>
      </c>
      <c r="F3787">
        <v>3.8415094339622602</v>
      </c>
      <c r="G3787">
        <v>179.64211570791201</v>
      </c>
      <c r="H3787">
        <v>138.64785840890801</v>
      </c>
      <c r="I3787" s="1">
        <f t="shared" si="119"/>
        <v>136.94919094167236</v>
      </c>
    </row>
    <row r="3788" spans="1:9" x14ac:dyDescent="0.45">
      <c r="A3788" t="s">
        <v>53</v>
      </c>
      <c r="B3788" t="s">
        <v>62</v>
      </c>
      <c r="C3788" t="str">
        <f t="shared" si="118"/>
        <v>PurdueTexas A&amp;M</v>
      </c>
      <c r="D3788" t="s">
        <v>53</v>
      </c>
      <c r="E3788">
        <v>74.599999999999994</v>
      </c>
      <c r="F3788">
        <v>-7.0716981132075496</v>
      </c>
      <c r="G3788">
        <v>-294.035325035504</v>
      </c>
      <c r="H3788">
        <v>139.995845737698</v>
      </c>
      <c r="I3788" s="1">
        <f t="shared" si="119"/>
        <v>155.93031580492377</v>
      </c>
    </row>
    <row r="3789" spans="1:9" x14ac:dyDescent="0.45">
      <c r="A3789" t="s">
        <v>54</v>
      </c>
      <c r="B3789" t="s">
        <v>62</v>
      </c>
      <c r="C3789" t="str">
        <f t="shared" si="118"/>
        <v>Robert MorrisTexas A&amp;M</v>
      </c>
      <c r="D3789" t="s">
        <v>62</v>
      </c>
      <c r="E3789">
        <v>0.4</v>
      </c>
      <c r="F3789">
        <v>36.8716981132076</v>
      </c>
      <c r="G3789">
        <v>27719.249806873198</v>
      </c>
      <c r="H3789">
        <v>137.05448258646001</v>
      </c>
      <c r="I3789" s="1">
        <f t="shared" si="119"/>
        <v>114.51272971238214</v>
      </c>
    </row>
    <row r="3790" spans="1:9" x14ac:dyDescent="0.45">
      <c r="A3790" t="s">
        <v>55</v>
      </c>
      <c r="B3790" t="s">
        <v>62</v>
      </c>
      <c r="C3790" t="str">
        <f t="shared" si="118"/>
        <v>Saint FrancisTexas A&amp;M</v>
      </c>
      <c r="D3790" t="s">
        <v>62</v>
      </c>
      <c r="E3790">
        <v>0.2</v>
      </c>
      <c r="F3790">
        <v>39.6</v>
      </c>
      <c r="G3790">
        <v>42014.228473922398</v>
      </c>
      <c r="H3790">
        <v>138.10733811966699</v>
      </c>
      <c r="I3790" s="1">
        <f t="shared" si="119"/>
        <v>129.3380785208947</v>
      </c>
    </row>
    <row r="3791" spans="1:9" x14ac:dyDescent="0.45">
      <c r="A3791" t="s">
        <v>56</v>
      </c>
      <c r="B3791" t="s">
        <v>62</v>
      </c>
      <c r="C3791" t="str">
        <f t="shared" si="118"/>
        <v>Saint Mary'sTexas A&amp;M</v>
      </c>
      <c r="D3791" t="s">
        <v>62</v>
      </c>
      <c r="E3791">
        <v>32.200000000000003</v>
      </c>
      <c r="F3791">
        <v>4.8830188679245303</v>
      </c>
      <c r="G3791">
        <v>210.62635772502301</v>
      </c>
      <c r="H3791">
        <v>139.35859332075799</v>
      </c>
      <c r="I3791" s="1">
        <f t="shared" si="119"/>
        <v>146.95711002100532</v>
      </c>
    </row>
    <row r="3792" spans="1:9" x14ac:dyDescent="0.45">
      <c r="A3792" t="s">
        <v>57</v>
      </c>
      <c r="B3792" t="s">
        <v>62</v>
      </c>
      <c r="C3792" t="str">
        <f t="shared" si="118"/>
        <v>San Diego St.Texas A&amp;M</v>
      </c>
      <c r="D3792" t="s">
        <v>62</v>
      </c>
      <c r="E3792">
        <v>12.1</v>
      </c>
      <c r="F3792">
        <v>12.977358490566001</v>
      </c>
      <c r="G3792">
        <v>723.85870874626301</v>
      </c>
      <c r="H3792">
        <v>138.50484820055499</v>
      </c>
      <c r="I3792" s="1">
        <f t="shared" si="119"/>
        <v>134.93545196691147</v>
      </c>
    </row>
    <row r="3793" spans="1:9" x14ac:dyDescent="0.45">
      <c r="A3793" t="s">
        <v>58</v>
      </c>
      <c r="B3793" t="s">
        <v>62</v>
      </c>
      <c r="C3793" t="str">
        <f t="shared" si="118"/>
        <v>SIU EdwardsvilleTexas A&amp;M</v>
      </c>
      <c r="D3793" t="s">
        <v>62</v>
      </c>
      <c r="E3793">
        <v>0.7</v>
      </c>
      <c r="F3793">
        <v>32.573584905660397</v>
      </c>
      <c r="G3793">
        <v>14389.00530327</v>
      </c>
      <c r="H3793">
        <v>138.65253596740399</v>
      </c>
      <c r="I3793" s="1">
        <f t="shared" si="119"/>
        <v>137.01505604290233</v>
      </c>
    </row>
    <row r="3794" spans="1:9" x14ac:dyDescent="0.45">
      <c r="A3794" t="s">
        <v>59</v>
      </c>
      <c r="B3794" t="s">
        <v>62</v>
      </c>
      <c r="C3794" t="str">
        <f t="shared" si="118"/>
        <v>St. John'sTexas A&amp;M</v>
      </c>
      <c r="D3794" t="s">
        <v>59</v>
      </c>
      <c r="E3794">
        <v>59.7</v>
      </c>
      <c r="F3794">
        <v>-2.5849056603773599</v>
      </c>
      <c r="G3794">
        <v>-148.31215145940101</v>
      </c>
      <c r="H3794">
        <v>139.63021873994799</v>
      </c>
      <c r="I3794" s="1">
        <f t="shared" si="119"/>
        <v>150.78189077937228</v>
      </c>
    </row>
    <row r="3795" spans="1:9" x14ac:dyDescent="0.45">
      <c r="A3795" t="s">
        <v>60</v>
      </c>
      <c r="B3795" t="s">
        <v>62</v>
      </c>
      <c r="C3795" t="str">
        <f t="shared" si="118"/>
        <v>TennesseeTexas A&amp;M</v>
      </c>
      <c r="D3795" t="s">
        <v>60</v>
      </c>
      <c r="E3795">
        <v>74.8</v>
      </c>
      <c r="F3795">
        <v>-7.1283018867924497</v>
      </c>
      <c r="G3795">
        <v>-296.69906875613299</v>
      </c>
      <c r="H3795">
        <v>140.22420161663999</v>
      </c>
      <c r="I3795" s="1">
        <f t="shared" si="119"/>
        <v>159.14581446643274</v>
      </c>
    </row>
    <row r="3796" spans="1:9" x14ac:dyDescent="0.45">
      <c r="A3796" t="s">
        <v>61</v>
      </c>
      <c r="B3796" t="s">
        <v>62</v>
      </c>
      <c r="C3796" t="str">
        <f t="shared" si="118"/>
        <v>TexasTexas A&amp;M</v>
      </c>
      <c r="D3796" t="s">
        <v>62</v>
      </c>
      <c r="E3796">
        <v>10.8</v>
      </c>
      <c r="F3796">
        <v>13.822641509434</v>
      </c>
      <c r="G3796">
        <v>823.85452552383401</v>
      </c>
      <c r="H3796">
        <v>137.979916147712</v>
      </c>
      <c r="I3796" s="1">
        <f t="shared" si="119"/>
        <v>127.54383883603774</v>
      </c>
    </row>
    <row r="3797" spans="1:9" x14ac:dyDescent="0.45">
      <c r="A3797" t="s">
        <v>62</v>
      </c>
      <c r="B3797" t="s">
        <v>62</v>
      </c>
      <c r="C3797" t="str">
        <f t="shared" si="118"/>
        <v>Texas A&amp;MTexas A&amp;M</v>
      </c>
      <c r="D3797" t="s">
        <v>62</v>
      </c>
      <c r="E3797">
        <v>41.2</v>
      </c>
      <c r="F3797">
        <v>2.3283018867924499</v>
      </c>
      <c r="G3797">
        <v>142.64273539779199</v>
      </c>
      <c r="H3797">
        <v>138.77771517530499</v>
      </c>
      <c r="I3797" s="1">
        <f t="shared" si="119"/>
        <v>138.77771517530277</v>
      </c>
    </row>
    <row r="3798" spans="1:9" x14ac:dyDescent="0.45">
      <c r="A3798" t="s">
        <v>63</v>
      </c>
      <c r="B3798" t="s">
        <v>62</v>
      </c>
      <c r="C3798" t="str">
        <f t="shared" si="118"/>
        <v>Texas TechTexas A&amp;M</v>
      </c>
      <c r="D3798" t="s">
        <v>63</v>
      </c>
      <c r="E3798">
        <v>58</v>
      </c>
      <c r="F3798">
        <v>-2.12452830188679</v>
      </c>
      <c r="G3798">
        <v>-138.25055213561001</v>
      </c>
      <c r="H3798">
        <v>139.81749929436899</v>
      </c>
      <c r="I3798" s="1">
        <f t="shared" si="119"/>
        <v>153.41900428333579</v>
      </c>
    </row>
    <row r="3799" spans="1:9" x14ac:dyDescent="0.45">
      <c r="A3799" t="s">
        <v>64</v>
      </c>
      <c r="B3799" t="s">
        <v>62</v>
      </c>
      <c r="C3799" t="str">
        <f t="shared" si="118"/>
        <v>TroyTexas A&amp;M</v>
      </c>
      <c r="D3799" t="s">
        <v>62</v>
      </c>
      <c r="E3799">
        <v>1.9</v>
      </c>
      <c r="F3799">
        <v>25.822641509434</v>
      </c>
      <c r="G3799">
        <v>5137.9991794038397</v>
      </c>
      <c r="H3799">
        <v>138.521063714099</v>
      </c>
      <c r="I3799" s="1">
        <f t="shared" si="119"/>
        <v>135.16378399995583</v>
      </c>
    </row>
    <row r="3800" spans="1:9" x14ac:dyDescent="0.45">
      <c r="A3800" t="s">
        <v>65</v>
      </c>
      <c r="B3800" t="s">
        <v>62</v>
      </c>
      <c r="C3800" t="str">
        <f t="shared" si="118"/>
        <v>UC San DiegoTexas A&amp;M</v>
      </c>
      <c r="D3800" t="s">
        <v>62</v>
      </c>
      <c r="E3800">
        <v>4.7</v>
      </c>
      <c r="F3800">
        <v>19.664150943396201</v>
      </c>
      <c r="G3800">
        <v>2007.46439657376</v>
      </c>
      <c r="H3800">
        <v>138.60918545749001</v>
      </c>
      <c r="I3800" s="1">
        <f t="shared" si="119"/>
        <v>136.40463380525307</v>
      </c>
    </row>
    <row r="3801" spans="1:9" x14ac:dyDescent="0.45">
      <c r="A3801" t="s">
        <v>66</v>
      </c>
      <c r="B3801" t="s">
        <v>62</v>
      </c>
      <c r="C3801" t="str">
        <f t="shared" si="118"/>
        <v>UCLATexas A&amp;M</v>
      </c>
      <c r="D3801" t="s">
        <v>62</v>
      </c>
      <c r="E3801">
        <v>16.5</v>
      </c>
      <c r="F3801">
        <v>10.618867924528301</v>
      </c>
      <c r="G3801">
        <v>505.17876621701299</v>
      </c>
      <c r="H3801">
        <v>138.08063997059801</v>
      </c>
      <c r="I3801" s="1">
        <f t="shared" si="119"/>
        <v>128.96213960049636</v>
      </c>
    </row>
    <row r="3802" spans="1:9" x14ac:dyDescent="0.45">
      <c r="A3802" t="s">
        <v>67</v>
      </c>
      <c r="B3802" t="s">
        <v>62</v>
      </c>
      <c r="C3802" t="str">
        <f t="shared" si="118"/>
        <v>UNC WilmingtonTexas A&amp;M</v>
      </c>
      <c r="D3802" t="s">
        <v>62</v>
      </c>
      <c r="E3802">
        <v>2.9</v>
      </c>
      <c r="F3802">
        <v>23.022641509433999</v>
      </c>
      <c r="G3802">
        <v>3351.8613161363201</v>
      </c>
      <c r="H3802">
        <v>139.19565564451801</v>
      </c>
      <c r="I3802" s="1">
        <f t="shared" si="119"/>
        <v>144.66277066663233</v>
      </c>
    </row>
    <row r="3803" spans="1:9" x14ac:dyDescent="0.45">
      <c r="A3803" t="s">
        <v>68</v>
      </c>
      <c r="B3803" t="s">
        <v>62</v>
      </c>
      <c r="C3803" t="str">
        <f t="shared" si="118"/>
        <v>Utah St.Texas A&amp;M</v>
      </c>
      <c r="D3803" t="s">
        <v>62</v>
      </c>
      <c r="E3803">
        <v>13.1</v>
      </c>
      <c r="F3803">
        <v>12.377358490565999</v>
      </c>
      <c r="G3803">
        <v>660.85630142718503</v>
      </c>
      <c r="H3803">
        <v>138.56702604834501</v>
      </c>
      <c r="I3803" s="1">
        <f t="shared" si="119"/>
        <v>135.81098355940063</v>
      </c>
    </row>
    <row r="3804" spans="1:9" x14ac:dyDescent="0.45">
      <c r="A3804" t="s">
        <v>69</v>
      </c>
      <c r="B3804" t="s">
        <v>62</v>
      </c>
      <c r="C3804" t="str">
        <f t="shared" si="118"/>
        <v>VanderbiltTexas A&amp;M</v>
      </c>
      <c r="D3804" t="s">
        <v>62</v>
      </c>
      <c r="E3804">
        <v>3.1</v>
      </c>
      <c r="F3804">
        <v>22.501886792452801</v>
      </c>
      <c r="G3804">
        <v>3095.2592108178301</v>
      </c>
      <c r="H3804">
        <v>137.14159653694301</v>
      </c>
      <c r="I3804" s="1">
        <f t="shared" si="119"/>
        <v>115.73938869955022</v>
      </c>
    </row>
    <row r="3805" spans="1:9" x14ac:dyDescent="0.45">
      <c r="A3805" t="s">
        <v>70</v>
      </c>
      <c r="B3805" t="s">
        <v>62</v>
      </c>
      <c r="C3805" t="str">
        <f t="shared" si="118"/>
        <v>VCUTexas A&amp;M</v>
      </c>
      <c r="D3805" t="s">
        <v>62</v>
      </c>
      <c r="E3805">
        <v>9</v>
      </c>
      <c r="F3805">
        <v>15.154716981132101</v>
      </c>
      <c r="G3805">
        <v>1009.17611283604</v>
      </c>
      <c r="H3805">
        <v>138.986507698819</v>
      </c>
      <c r="I3805" s="1">
        <f t="shared" si="119"/>
        <v>141.71774055587525</v>
      </c>
    </row>
    <row r="3806" spans="1:9" x14ac:dyDescent="0.45">
      <c r="A3806" t="s">
        <v>71</v>
      </c>
      <c r="B3806" t="s">
        <v>62</v>
      </c>
      <c r="C3806" t="str">
        <f t="shared" si="118"/>
        <v>WisconsinTexas A&amp;M</v>
      </c>
      <c r="D3806" t="s">
        <v>71</v>
      </c>
      <c r="E3806">
        <v>55</v>
      </c>
      <c r="F3806">
        <v>-1.30943396226415</v>
      </c>
      <c r="G3806">
        <v>-122.08824971268299</v>
      </c>
      <c r="H3806">
        <v>139.78718655408599</v>
      </c>
      <c r="I3806" s="1">
        <f t="shared" si="119"/>
        <v>152.99216799491512</v>
      </c>
    </row>
    <row r="3807" spans="1:9" x14ac:dyDescent="0.45">
      <c r="A3807" t="s">
        <v>80</v>
      </c>
      <c r="B3807" t="s">
        <v>62</v>
      </c>
      <c r="C3807" t="str">
        <f t="shared" si="118"/>
        <v>WoffordTexas A&amp;M</v>
      </c>
      <c r="D3807" t="s">
        <v>62</v>
      </c>
      <c r="E3807">
        <v>1</v>
      </c>
      <c r="F3807">
        <v>30.075471698113201</v>
      </c>
      <c r="G3807">
        <v>9831.0796516251703</v>
      </c>
      <c r="H3807">
        <v>137.81664229318</v>
      </c>
      <c r="I3807" s="1">
        <f t="shared" si="119"/>
        <v>125.24476572638301</v>
      </c>
    </row>
    <row r="3808" spans="1:9" x14ac:dyDescent="0.45">
      <c r="A3808" t="s">
        <v>72</v>
      </c>
      <c r="B3808" t="s">
        <v>62</v>
      </c>
      <c r="C3808" t="str">
        <f t="shared" si="118"/>
        <v>XavierTexas A&amp;M</v>
      </c>
      <c r="D3808" t="s">
        <v>62</v>
      </c>
      <c r="E3808">
        <v>8.9</v>
      </c>
      <c r="F3808">
        <v>15.2301886792453</v>
      </c>
      <c r="G3808">
        <v>1020.99042866578</v>
      </c>
      <c r="H3808">
        <v>138.39255586333201</v>
      </c>
      <c r="I3808" s="1">
        <f t="shared" si="119"/>
        <v>133.35425396267726</v>
      </c>
    </row>
    <row r="3809" spans="1:9" x14ac:dyDescent="0.45">
      <c r="A3809" t="s">
        <v>73</v>
      </c>
      <c r="B3809" t="s">
        <v>62</v>
      </c>
      <c r="C3809" t="str">
        <f t="shared" si="118"/>
        <v>YaleTexas A&amp;M</v>
      </c>
      <c r="D3809" t="s">
        <v>62</v>
      </c>
      <c r="E3809">
        <v>5.2</v>
      </c>
      <c r="F3809">
        <v>19.052830188679199</v>
      </c>
      <c r="G3809">
        <v>1829.5035263592399</v>
      </c>
      <c r="H3809">
        <v>139.19179049739401</v>
      </c>
      <c r="I3809" s="1">
        <f t="shared" si="119"/>
        <v>144.6083451994127</v>
      </c>
    </row>
    <row r="3810" spans="1:9" x14ac:dyDescent="0.45">
      <c r="A3810" t="s">
        <v>7</v>
      </c>
      <c r="B3810" t="s">
        <v>63</v>
      </c>
      <c r="C3810" t="str">
        <f t="shared" si="118"/>
        <v>AkronTexas Tech</v>
      </c>
      <c r="D3810" t="s">
        <v>63</v>
      </c>
      <c r="E3810">
        <v>1.4</v>
      </c>
      <c r="F3810">
        <v>27.9018867924528</v>
      </c>
      <c r="G3810">
        <v>7053.7095342400398</v>
      </c>
      <c r="H3810">
        <v>136.934471833776</v>
      </c>
      <c r="I3810" s="1">
        <f t="shared" si="119"/>
        <v>112.82284803992404</v>
      </c>
    </row>
    <row r="3811" spans="1:9" x14ac:dyDescent="0.45">
      <c r="A3811" t="s">
        <v>8</v>
      </c>
      <c r="B3811" t="s">
        <v>63</v>
      </c>
      <c r="C3811" t="str">
        <f t="shared" si="118"/>
        <v>AlabamaTexas Tech</v>
      </c>
      <c r="D3811" t="s">
        <v>8</v>
      </c>
      <c r="E3811">
        <v>51</v>
      </c>
      <c r="F3811">
        <v>-0.271698113207547</v>
      </c>
      <c r="G3811">
        <v>-104.257210571583</v>
      </c>
      <c r="H3811">
        <v>138.682567845916</v>
      </c>
      <c r="I3811" s="1">
        <f t="shared" si="119"/>
        <v>137.437937492705</v>
      </c>
    </row>
    <row r="3812" spans="1:9" x14ac:dyDescent="0.45">
      <c r="A3812" t="s">
        <v>9</v>
      </c>
      <c r="B3812" t="s">
        <v>63</v>
      </c>
      <c r="C3812" t="str">
        <f t="shared" si="118"/>
        <v>Alabama St.Texas Tech</v>
      </c>
      <c r="D3812" t="s">
        <v>63</v>
      </c>
      <c r="E3812">
        <v>0.2</v>
      </c>
      <c r="F3812">
        <v>40.041509433962297</v>
      </c>
      <c r="G3812">
        <v>44944.991140438397</v>
      </c>
      <c r="H3812">
        <v>137.16131268958901</v>
      </c>
      <c r="I3812" s="1">
        <f t="shared" si="119"/>
        <v>116.01701353118165</v>
      </c>
    </row>
    <row r="3813" spans="1:9" x14ac:dyDescent="0.45">
      <c r="A3813" t="s">
        <v>10</v>
      </c>
      <c r="B3813" t="s">
        <v>63</v>
      </c>
      <c r="C3813" t="str">
        <f t="shared" si="118"/>
        <v>AmericanTexas Tech</v>
      </c>
      <c r="D3813" t="s">
        <v>63</v>
      </c>
      <c r="E3813">
        <v>0.3</v>
      </c>
      <c r="F3813">
        <v>38.777358490566002</v>
      </c>
      <c r="G3813">
        <v>37066.679184802997</v>
      </c>
      <c r="H3813">
        <v>137.252398571193</v>
      </c>
      <c r="I3813" s="1">
        <f t="shared" si="119"/>
        <v>117.29960162016357</v>
      </c>
    </row>
    <row r="3814" spans="1:9" x14ac:dyDescent="0.45">
      <c r="A3814" t="s">
        <v>11</v>
      </c>
      <c r="B3814" t="s">
        <v>63</v>
      </c>
      <c r="C3814" t="str">
        <f t="shared" si="118"/>
        <v>ArizonaTexas Tech</v>
      </c>
      <c r="D3814" t="s">
        <v>63</v>
      </c>
      <c r="E3814">
        <v>42.6</v>
      </c>
      <c r="F3814">
        <v>1.9660377358490599</v>
      </c>
      <c r="G3814">
        <v>134.999483941562</v>
      </c>
      <c r="H3814">
        <v>138.44492666490601</v>
      </c>
      <c r="I3814" s="1">
        <f t="shared" si="119"/>
        <v>134.09169169865135</v>
      </c>
    </row>
    <row r="3815" spans="1:9" x14ac:dyDescent="0.45">
      <c r="A3815" t="s">
        <v>12</v>
      </c>
      <c r="B3815" t="s">
        <v>63</v>
      </c>
      <c r="C3815" t="str">
        <f t="shared" si="118"/>
        <v>ArkansasTexas Tech</v>
      </c>
      <c r="D3815" t="s">
        <v>63</v>
      </c>
      <c r="E3815">
        <v>4.3</v>
      </c>
      <c r="F3815">
        <v>20.358490566037698</v>
      </c>
      <c r="G3815">
        <v>2232.64795643451</v>
      </c>
      <c r="H3815">
        <v>136.562530498764</v>
      </c>
      <c r="I3815" s="1">
        <f t="shared" si="119"/>
        <v>107.58551029135313</v>
      </c>
    </row>
    <row r="3816" spans="1:9" x14ac:dyDescent="0.45">
      <c r="A3816" t="s">
        <v>13</v>
      </c>
      <c r="B3816" t="s">
        <v>63</v>
      </c>
      <c r="C3816" t="str">
        <f t="shared" si="118"/>
        <v>AuburnTexas Tech</v>
      </c>
      <c r="D3816" t="s">
        <v>13</v>
      </c>
      <c r="E3816">
        <v>67.099999999999994</v>
      </c>
      <c r="F3816">
        <v>-4.6830188679245301</v>
      </c>
      <c r="G3816">
        <v>-204.31837315201699</v>
      </c>
      <c r="H3816">
        <v>139.70124990402499</v>
      </c>
      <c r="I3816" s="1">
        <f t="shared" si="119"/>
        <v>151.78208667567779</v>
      </c>
    </row>
    <row r="3817" spans="1:9" x14ac:dyDescent="0.45">
      <c r="A3817" t="s">
        <v>14</v>
      </c>
      <c r="B3817" t="s">
        <v>63</v>
      </c>
      <c r="C3817" t="str">
        <f t="shared" si="118"/>
        <v>BaylorTexas Tech</v>
      </c>
      <c r="D3817" t="s">
        <v>63</v>
      </c>
      <c r="E3817">
        <v>17.8</v>
      </c>
      <c r="F3817">
        <v>10.0490566037736</v>
      </c>
      <c r="G3817">
        <v>463.10586041688401</v>
      </c>
      <c r="H3817">
        <v>138.23624791674999</v>
      </c>
      <c r="I3817" s="1">
        <f t="shared" si="119"/>
        <v>131.15326839862533</v>
      </c>
    </row>
    <row r="3818" spans="1:9" x14ac:dyDescent="0.45">
      <c r="A3818" t="s">
        <v>15</v>
      </c>
      <c r="B3818" t="s">
        <v>63</v>
      </c>
      <c r="C3818" t="str">
        <f t="shared" si="118"/>
        <v>BryantTexas Tech</v>
      </c>
      <c r="D3818" t="s">
        <v>63</v>
      </c>
      <c r="E3818">
        <v>1</v>
      </c>
      <c r="F3818">
        <v>30.332075471698101</v>
      </c>
      <c r="G3818">
        <v>10223.990132835301</v>
      </c>
      <c r="H3818">
        <v>137.78524566664399</v>
      </c>
      <c r="I3818" s="1">
        <f t="shared" si="119"/>
        <v>124.80266714293433</v>
      </c>
    </row>
    <row r="3819" spans="1:9" x14ac:dyDescent="0.45">
      <c r="A3819" t="s">
        <v>16</v>
      </c>
      <c r="B3819" t="s">
        <v>63</v>
      </c>
      <c r="C3819" t="str">
        <f t="shared" si="118"/>
        <v>BYUTexas Tech</v>
      </c>
      <c r="D3819" t="s">
        <v>63</v>
      </c>
      <c r="E3819">
        <v>20.8</v>
      </c>
      <c r="F3819">
        <v>8.7547169811320806</v>
      </c>
      <c r="G3819">
        <v>380.140108008678</v>
      </c>
      <c r="H3819">
        <v>138.045766144867</v>
      </c>
      <c r="I3819" s="1">
        <f t="shared" si="119"/>
        <v>128.4710782777955</v>
      </c>
    </row>
    <row r="3820" spans="1:9" x14ac:dyDescent="0.45">
      <c r="A3820" t="s">
        <v>17</v>
      </c>
      <c r="B3820" t="s">
        <v>63</v>
      </c>
      <c r="C3820" t="str">
        <f t="shared" si="118"/>
        <v>ClemsonTexas Tech</v>
      </c>
      <c r="D3820" t="s">
        <v>63</v>
      </c>
      <c r="E3820">
        <v>25.2</v>
      </c>
      <c r="F3820">
        <v>7.1283018867924497</v>
      </c>
      <c r="G3820">
        <v>296.68266242759699</v>
      </c>
      <c r="H3820">
        <v>138.267678001159</v>
      </c>
      <c r="I3820" s="1">
        <f t="shared" si="119"/>
        <v>131.59583810524524</v>
      </c>
    </row>
    <row r="3821" spans="1:9" x14ac:dyDescent="0.45">
      <c r="A3821" t="s">
        <v>18</v>
      </c>
      <c r="B3821" t="s">
        <v>63</v>
      </c>
      <c r="C3821" t="str">
        <f t="shared" si="118"/>
        <v>Colorado St.Texas Tech</v>
      </c>
      <c r="D3821" t="s">
        <v>63</v>
      </c>
      <c r="E3821">
        <v>5.2</v>
      </c>
      <c r="F3821">
        <v>18.969811320754701</v>
      </c>
      <c r="G3821">
        <v>1805.65052174227</v>
      </c>
      <c r="H3821">
        <v>137.57506984926499</v>
      </c>
      <c r="I3821" s="1">
        <f t="shared" si="119"/>
        <v>121.84316348314276</v>
      </c>
    </row>
    <row r="3822" spans="1:9" x14ac:dyDescent="0.45">
      <c r="A3822" t="s">
        <v>19</v>
      </c>
      <c r="B3822" t="s">
        <v>63</v>
      </c>
      <c r="C3822" t="str">
        <f t="shared" si="118"/>
        <v>ConnecticutTexas Tech</v>
      </c>
      <c r="D3822" t="s">
        <v>63</v>
      </c>
      <c r="E3822">
        <v>36.4</v>
      </c>
      <c r="F3822">
        <v>3.6641509433962298</v>
      </c>
      <c r="G3822">
        <v>174.91886744780501</v>
      </c>
      <c r="H3822">
        <v>138.2106217516</v>
      </c>
      <c r="I3822" s="1">
        <f t="shared" si="119"/>
        <v>130.79242417547167</v>
      </c>
    </row>
    <row r="3823" spans="1:9" x14ac:dyDescent="0.45">
      <c r="A3823" t="s">
        <v>20</v>
      </c>
      <c r="B3823" t="s">
        <v>63</v>
      </c>
      <c r="C3823" t="str">
        <f t="shared" si="118"/>
        <v>CreightonTexas Tech</v>
      </c>
      <c r="D3823" t="s">
        <v>63</v>
      </c>
      <c r="E3823">
        <v>15</v>
      </c>
      <c r="F3823">
        <v>11.3584905660377</v>
      </c>
      <c r="G3823">
        <v>565.47926377820397</v>
      </c>
      <c r="H3823">
        <v>137.68356411386401</v>
      </c>
      <c r="I3823" s="1">
        <f t="shared" si="119"/>
        <v>123.37088050192892</v>
      </c>
    </row>
    <row r="3824" spans="1:9" x14ac:dyDescent="0.45">
      <c r="A3824" t="s">
        <v>21</v>
      </c>
      <c r="B3824" t="s">
        <v>63</v>
      </c>
      <c r="C3824" t="str">
        <f t="shared" si="118"/>
        <v>DrakeTexas Tech</v>
      </c>
      <c r="D3824" t="s">
        <v>63</v>
      </c>
      <c r="E3824">
        <v>5.2</v>
      </c>
      <c r="F3824">
        <v>19.018867924528301</v>
      </c>
      <c r="G3824">
        <v>1819.6656429623699</v>
      </c>
      <c r="H3824">
        <v>137.73702921801799</v>
      </c>
      <c r="I3824" s="1">
        <f t="shared" si="119"/>
        <v>124.12372720612197</v>
      </c>
    </row>
    <row r="3825" spans="1:9" x14ac:dyDescent="0.45">
      <c r="A3825" t="s">
        <v>22</v>
      </c>
      <c r="B3825" t="s">
        <v>63</v>
      </c>
      <c r="C3825" t="str">
        <f t="shared" si="118"/>
        <v>DukeTexas Tech</v>
      </c>
      <c r="D3825" t="s">
        <v>22</v>
      </c>
      <c r="E3825">
        <v>75</v>
      </c>
      <c r="F3825">
        <v>-7.1924528301886799</v>
      </c>
      <c r="G3825">
        <v>-299.58277627663102</v>
      </c>
      <c r="H3825">
        <v>140.024349679474</v>
      </c>
      <c r="I3825" s="1">
        <f t="shared" si="119"/>
        <v>156.33168224686995</v>
      </c>
    </row>
    <row r="3826" spans="1:9" x14ac:dyDescent="0.45">
      <c r="A3826" t="s">
        <v>23</v>
      </c>
      <c r="B3826" t="s">
        <v>63</v>
      </c>
      <c r="C3826" t="str">
        <f t="shared" si="118"/>
        <v>FloridaTexas Tech</v>
      </c>
      <c r="D3826" t="s">
        <v>23</v>
      </c>
      <c r="E3826">
        <v>62.3</v>
      </c>
      <c r="F3826">
        <v>-3.2943396226415098</v>
      </c>
      <c r="G3826">
        <v>-165.26093883624901</v>
      </c>
      <c r="H3826">
        <v>139.748105955417</v>
      </c>
      <c r="I3826" s="1">
        <f t="shared" si="119"/>
        <v>152.44187074269053</v>
      </c>
    </row>
    <row r="3827" spans="1:9" x14ac:dyDescent="0.45">
      <c r="A3827" t="s">
        <v>24</v>
      </c>
      <c r="B3827" t="s">
        <v>63</v>
      </c>
      <c r="C3827" t="str">
        <f t="shared" si="118"/>
        <v>GeorgiaTexas Tech</v>
      </c>
      <c r="D3827" t="s">
        <v>63</v>
      </c>
      <c r="E3827">
        <v>5.8</v>
      </c>
      <c r="F3827">
        <v>18.215094339622599</v>
      </c>
      <c r="G3827">
        <v>1609.40192497058</v>
      </c>
      <c r="H3827">
        <v>136.88991947976101</v>
      </c>
      <c r="I3827" s="1">
        <f t="shared" si="119"/>
        <v>112.19550253270067</v>
      </c>
    </row>
    <row r="3828" spans="1:9" x14ac:dyDescent="0.45">
      <c r="A3828" t="s">
        <v>25</v>
      </c>
      <c r="B3828" t="s">
        <v>63</v>
      </c>
      <c r="C3828" t="str">
        <f t="shared" si="118"/>
        <v>GonzagaTexas Tech</v>
      </c>
      <c r="D3828" t="s">
        <v>63</v>
      </c>
      <c r="E3828">
        <v>25.9</v>
      </c>
      <c r="F3828">
        <v>6.88679245283019</v>
      </c>
      <c r="G3828">
        <v>285.91915999929199</v>
      </c>
      <c r="H3828">
        <v>139.02756059929001</v>
      </c>
      <c r="I3828" s="1">
        <f t="shared" si="119"/>
        <v>142.29580995845521</v>
      </c>
    </row>
    <row r="3829" spans="1:9" x14ac:dyDescent="0.45">
      <c r="A3829" t="s">
        <v>26</v>
      </c>
      <c r="B3829" t="s">
        <v>63</v>
      </c>
      <c r="C3829" t="str">
        <f t="shared" si="118"/>
        <v>Grand CanyonTexas Tech</v>
      </c>
      <c r="D3829" t="s">
        <v>63</v>
      </c>
      <c r="E3829">
        <v>3.3</v>
      </c>
      <c r="F3829">
        <v>22.135849056603799</v>
      </c>
      <c r="G3829">
        <v>2927.6951664859498</v>
      </c>
      <c r="H3829">
        <v>137.67952884559401</v>
      </c>
      <c r="I3829" s="1">
        <f t="shared" si="119"/>
        <v>123.31405954430288</v>
      </c>
    </row>
    <row r="3830" spans="1:9" x14ac:dyDescent="0.45">
      <c r="A3830" t="s">
        <v>27</v>
      </c>
      <c r="B3830" t="s">
        <v>63</v>
      </c>
      <c r="C3830" t="str">
        <f t="shared" si="118"/>
        <v>High PointTexas Tech</v>
      </c>
      <c r="D3830" t="s">
        <v>63</v>
      </c>
      <c r="E3830">
        <v>2.2000000000000002</v>
      </c>
      <c r="F3830">
        <v>24.909433962264199</v>
      </c>
      <c r="G3830">
        <v>4468.9132518523802</v>
      </c>
      <c r="H3830">
        <v>137.96042059325001</v>
      </c>
      <c r="I3830" s="1">
        <f t="shared" si="119"/>
        <v>127.26932026630188</v>
      </c>
    </row>
    <row r="3831" spans="1:9" x14ac:dyDescent="0.45">
      <c r="A3831" t="s">
        <v>28</v>
      </c>
      <c r="B3831" t="s">
        <v>63</v>
      </c>
      <c r="C3831" t="str">
        <f t="shared" si="118"/>
        <v>HoustonTexas Tech</v>
      </c>
      <c r="D3831" t="s">
        <v>28</v>
      </c>
      <c r="E3831">
        <v>83.7</v>
      </c>
      <c r="F3831">
        <v>-10.7056603773585</v>
      </c>
      <c r="G3831">
        <v>-512.04023389017402</v>
      </c>
      <c r="H3831">
        <v>140.168014029104</v>
      </c>
      <c r="I3831" s="1">
        <f t="shared" si="119"/>
        <v>158.35463224089744</v>
      </c>
    </row>
    <row r="3832" spans="1:9" x14ac:dyDescent="0.45">
      <c r="A3832" t="s">
        <v>29</v>
      </c>
      <c r="B3832" t="s">
        <v>63</v>
      </c>
      <c r="C3832" t="str">
        <f t="shared" si="118"/>
        <v>IllinoisTexas Tech</v>
      </c>
      <c r="D3832" t="s">
        <v>63</v>
      </c>
      <c r="E3832">
        <v>33.799999999999997</v>
      </c>
      <c r="F3832">
        <v>4.4037735849056601</v>
      </c>
      <c r="G3832">
        <v>195.793631194906</v>
      </c>
      <c r="H3832">
        <v>138.218259183041</v>
      </c>
      <c r="I3832" s="1">
        <f t="shared" si="119"/>
        <v>130.89996750078336</v>
      </c>
    </row>
    <row r="3833" spans="1:9" x14ac:dyDescent="0.45">
      <c r="A3833" t="s">
        <v>30</v>
      </c>
      <c r="B3833" t="s">
        <v>63</v>
      </c>
      <c r="C3833" t="str">
        <f t="shared" si="118"/>
        <v>Iowa St.Texas Tech</v>
      </c>
      <c r="D3833" t="s">
        <v>30</v>
      </c>
      <c r="E3833">
        <v>51.8</v>
      </c>
      <c r="F3833">
        <v>-0.47924528301886798</v>
      </c>
      <c r="G3833">
        <v>-107.58254607447699</v>
      </c>
      <c r="H3833">
        <v>139.14452776139899</v>
      </c>
      <c r="I3833" s="1">
        <f t="shared" si="119"/>
        <v>143.94283457172332</v>
      </c>
    </row>
    <row r="3834" spans="1:9" x14ac:dyDescent="0.45">
      <c r="A3834" t="s">
        <v>31</v>
      </c>
      <c r="B3834" t="s">
        <v>63</v>
      </c>
      <c r="C3834" t="str">
        <f t="shared" si="118"/>
        <v>KansasTexas Tech</v>
      </c>
      <c r="D3834" t="s">
        <v>63</v>
      </c>
      <c r="E3834">
        <v>23.8</v>
      </c>
      <c r="F3834">
        <v>7.6226415094339597</v>
      </c>
      <c r="G3834">
        <v>319.94083099206898</v>
      </c>
      <c r="H3834">
        <v>138.09991804571001</v>
      </c>
      <c r="I3834" s="1">
        <f t="shared" si="119"/>
        <v>129.23359582490497</v>
      </c>
    </row>
    <row r="3835" spans="1:9" x14ac:dyDescent="0.45">
      <c r="A3835" t="s">
        <v>32</v>
      </c>
      <c r="B3835" t="s">
        <v>63</v>
      </c>
      <c r="C3835" t="str">
        <f t="shared" si="118"/>
        <v>KentuckyTexas Tech</v>
      </c>
      <c r="D3835" t="s">
        <v>63</v>
      </c>
      <c r="E3835">
        <v>34.5</v>
      </c>
      <c r="F3835">
        <v>4.1962264150943396</v>
      </c>
      <c r="G3835">
        <v>189.65325656764901</v>
      </c>
      <c r="H3835">
        <v>138.04695564610299</v>
      </c>
      <c r="I3835" s="1">
        <f t="shared" si="119"/>
        <v>128.48782774643144</v>
      </c>
    </row>
    <row r="3836" spans="1:9" x14ac:dyDescent="0.45">
      <c r="A3836" t="s">
        <v>33</v>
      </c>
      <c r="B3836" t="s">
        <v>63</v>
      </c>
      <c r="C3836" t="str">
        <f t="shared" si="118"/>
        <v>LibertyTexas Tech</v>
      </c>
      <c r="D3836" t="s">
        <v>63</v>
      </c>
      <c r="E3836">
        <v>1.4</v>
      </c>
      <c r="F3836">
        <v>27.683018867924499</v>
      </c>
      <c r="G3836">
        <v>6825.2785876862699</v>
      </c>
      <c r="H3836">
        <v>137.25589189450099</v>
      </c>
      <c r="I3836" s="1">
        <f t="shared" si="119"/>
        <v>117.34879140442975</v>
      </c>
    </row>
    <row r="3837" spans="1:9" x14ac:dyDescent="0.45">
      <c r="A3837" t="s">
        <v>34</v>
      </c>
      <c r="B3837" t="s">
        <v>63</v>
      </c>
      <c r="C3837" t="str">
        <f t="shared" si="118"/>
        <v>LipscombTexas Tech</v>
      </c>
      <c r="D3837" t="s">
        <v>63</v>
      </c>
      <c r="E3837">
        <v>1.1000000000000001</v>
      </c>
      <c r="F3837">
        <v>29.4264150943396</v>
      </c>
      <c r="G3837">
        <v>8903.28410545304</v>
      </c>
      <c r="H3837">
        <v>137.687812125759</v>
      </c>
      <c r="I3837" s="1">
        <f t="shared" si="119"/>
        <v>123.43069712073327</v>
      </c>
    </row>
    <row r="3838" spans="1:9" x14ac:dyDescent="0.45">
      <c r="A3838" t="s">
        <v>35</v>
      </c>
      <c r="B3838" t="s">
        <v>63</v>
      </c>
      <c r="C3838" t="str">
        <f t="shared" si="118"/>
        <v>LouisvilleTexas Tech</v>
      </c>
      <c r="D3838" t="s">
        <v>63</v>
      </c>
      <c r="E3838">
        <v>2.8</v>
      </c>
      <c r="F3838">
        <v>23.320754716981099</v>
      </c>
      <c r="G3838">
        <v>3507.00964692861</v>
      </c>
      <c r="H3838">
        <v>136.97353543772701</v>
      </c>
      <c r="I3838" s="1">
        <f t="shared" si="119"/>
        <v>113.37290598807125</v>
      </c>
    </row>
    <row r="3839" spans="1:9" x14ac:dyDescent="0.45">
      <c r="A3839" t="s">
        <v>36</v>
      </c>
      <c r="B3839" t="s">
        <v>63</v>
      </c>
      <c r="C3839" t="str">
        <f t="shared" si="118"/>
        <v>MarquetteTexas Tech</v>
      </c>
      <c r="D3839" t="s">
        <v>63</v>
      </c>
      <c r="E3839">
        <v>28.7</v>
      </c>
      <c r="F3839">
        <v>5.9735849056603803</v>
      </c>
      <c r="G3839">
        <v>248.789217625779</v>
      </c>
      <c r="H3839">
        <v>138.305292072632</v>
      </c>
      <c r="I3839" s="1">
        <f t="shared" si="119"/>
        <v>132.12548506259844</v>
      </c>
    </row>
    <row r="3840" spans="1:9" x14ac:dyDescent="0.45">
      <c r="A3840" t="s">
        <v>37</v>
      </c>
      <c r="B3840" t="s">
        <v>63</v>
      </c>
      <c r="C3840" t="str">
        <f t="shared" si="118"/>
        <v>MarylandTexas Tech</v>
      </c>
      <c r="D3840" t="s">
        <v>63</v>
      </c>
      <c r="E3840">
        <v>21.4</v>
      </c>
      <c r="F3840">
        <v>8.5207547169811306</v>
      </c>
      <c r="G3840">
        <v>366.75488950658303</v>
      </c>
      <c r="H3840">
        <v>137.915231384311</v>
      </c>
      <c r="I3840" s="1">
        <f t="shared" si="119"/>
        <v>126.63300715042652</v>
      </c>
    </row>
    <row r="3841" spans="1:9" x14ac:dyDescent="0.45">
      <c r="A3841" t="s">
        <v>38</v>
      </c>
      <c r="B3841" t="s">
        <v>63</v>
      </c>
      <c r="C3841" t="str">
        <f t="shared" si="118"/>
        <v>McNeese St.Texas Tech</v>
      </c>
      <c r="D3841" t="s">
        <v>63</v>
      </c>
      <c r="E3841">
        <v>4.5999999999999996</v>
      </c>
      <c r="F3841">
        <v>19.826415094339598</v>
      </c>
      <c r="G3841">
        <v>2058.3777276729802</v>
      </c>
      <c r="H3841">
        <v>137.75064299851201</v>
      </c>
      <c r="I3841" s="1">
        <f t="shared" si="119"/>
        <v>124.31542401357616</v>
      </c>
    </row>
    <row r="3842" spans="1:9" x14ac:dyDescent="0.45">
      <c r="A3842" t="s">
        <v>39</v>
      </c>
      <c r="B3842" t="s">
        <v>63</v>
      </c>
      <c r="C3842" t="str">
        <f t="shared" si="118"/>
        <v>MemphisTexas Tech</v>
      </c>
      <c r="D3842" t="s">
        <v>63</v>
      </c>
      <c r="E3842">
        <v>12.3</v>
      </c>
      <c r="F3842">
        <v>12.905660377358499</v>
      </c>
      <c r="G3842">
        <v>716.04846292536297</v>
      </c>
      <c r="H3842">
        <v>136.89286619733099</v>
      </c>
      <c r="I3842" s="1">
        <f t="shared" si="119"/>
        <v>112.23699551482152</v>
      </c>
    </row>
    <row r="3843" spans="1:9" x14ac:dyDescent="0.45">
      <c r="A3843" t="s">
        <v>40</v>
      </c>
      <c r="B3843" t="s">
        <v>63</v>
      </c>
      <c r="C3843" t="str">
        <f t="shared" ref="C3843:C3906" si="120">A3843&amp;B3843</f>
        <v>MichiganTexas Tech</v>
      </c>
      <c r="D3843" t="s">
        <v>63</v>
      </c>
      <c r="E3843">
        <v>6.9</v>
      </c>
      <c r="F3843">
        <v>17.094339622641499</v>
      </c>
      <c r="G3843">
        <v>1356.4739451872499</v>
      </c>
      <c r="H3843">
        <v>136.54978728201399</v>
      </c>
      <c r="I3843" s="1">
        <f t="shared" ref="I3843:I3906" si="121">18*(H3843-AVERAGE($H$2:$H$4625))/_xlfn.STDEV.P($H$2:$H$4625)+AVERAGE($H$2:$H$4625)</f>
        <v>107.40607196643316</v>
      </c>
    </row>
    <row r="3844" spans="1:9" x14ac:dyDescent="0.45">
      <c r="A3844" t="s">
        <v>41</v>
      </c>
      <c r="B3844" t="s">
        <v>63</v>
      </c>
      <c r="C3844" t="str">
        <f t="shared" si="120"/>
        <v>Michigan St.Texas Tech</v>
      </c>
      <c r="D3844" t="s">
        <v>63</v>
      </c>
      <c r="E3844">
        <v>41.4</v>
      </c>
      <c r="F3844">
        <v>2.2679245283018901</v>
      </c>
      <c r="G3844">
        <v>141.363608029619</v>
      </c>
      <c r="H3844">
        <v>138.248679242843</v>
      </c>
      <c r="I3844" s="1">
        <f t="shared" si="121"/>
        <v>131.32831496452962</v>
      </c>
    </row>
    <row r="3845" spans="1:9" x14ac:dyDescent="0.45">
      <c r="A3845" t="s">
        <v>42</v>
      </c>
      <c r="B3845" t="s">
        <v>63</v>
      </c>
      <c r="C3845" t="str">
        <f t="shared" si="120"/>
        <v>MississippiTexas Tech</v>
      </c>
      <c r="D3845" t="s">
        <v>63</v>
      </c>
      <c r="E3845">
        <v>15.4</v>
      </c>
      <c r="F3845">
        <v>11.1811320754717</v>
      </c>
      <c r="G3845">
        <v>550.37222846522297</v>
      </c>
      <c r="H3845">
        <v>137.37960034793801</v>
      </c>
      <c r="I3845" s="1">
        <f t="shared" si="121"/>
        <v>119.09074071743666</v>
      </c>
    </row>
    <row r="3846" spans="1:9" x14ac:dyDescent="0.45">
      <c r="A3846" t="s">
        <v>43</v>
      </c>
      <c r="B3846" t="s">
        <v>63</v>
      </c>
      <c r="C3846" t="str">
        <f t="shared" si="120"/>
        <v>Mississippi St.Texas Tech</v>
      </c>
      <c r="D3846" t="s">
        <v>63</v>
      </c>
      <c r="E3846">
        <v>12.1</v>
      </c>
      <c r="F3846">
        <v>13.030188679245301</v>
      </c>
      <c r="G3846">
        <v>729.70579200587497</v>
      </c>
      <c r="H3846">
        <v>137.50397170172701</v>
      </c>
      <c r="I3846" s="1">
        <f t="shared" si="121"/>
        <v>120.84202438699438</v>
      </c>
    </row>
    <row r="3847" spans="1:9" x14ac:dyDescent="0.45">
      <c r="A3847" t="s">
        <v>44</v>
      </c>
      <c r="B3847" t="s">
        <v>63</v>
      </c>
      <c r="C3847" t="str">
        <f t="shared" si="120"/>
        <v>MissouriTexas Tech</v>
      </c>
      <c r="D3847" t="s">
        <v>63</v>
      </c>
      <c r="E3847">
        <v>5.7</v>
      </c>
      <c r="F3847">
        <v>18.441509433962299</v>
      </c>
      <c r="G3847">
        <v>1666.27521492243</v>
      </c>
      <c r="H3847">
        <v>136.76844363790099</v>
      </c>
      <c r="I3847" s="1">
        <f t="shared" si="121"/>
        <v>110.48499081425351</v>
      </c>
    </row>
    <row r="3848" spans="1:9" x14ac:dyDescent="0.45">
      <c r="A3848" t="s">
        <v>45</v>
      </c>
      <c r="B3848" t="s">
        <v>63</v>
      </c>
      <c r="C3848" t="str">
        <f t="shared" si="120"/>
        <v>MontanaTexas Tech</v>
      </c>
      <c r="D3848" t="s">
        <v>63</v>
      </c>
      <c r="E3848">
        <v>0.6</v>
      </c>
      <c r="F3848">
        <v>33.698113207547202</v>
      </c>
      <c r="G3848">
        <v>17082.003496539699</v>
      </c>
      <c r="H3848">
        <v>136.07717836291999</v>
      </c>
      <c r="I3848" s="1">
        <f t="shared" si="121"/>
        <v>100.75122535681268</v>
      </c>
    </row>
    <row r="3849" spans="1:9" x14ac:dyDescent="0.45">
      <c r="A3849" t="s">
        <v>46</v>
      </c>
      <c r="B3849" t="s">
        <v>63</v>
      </c>
      <c r="C3849" t="str">
        <f t="shared" si="120"/>
        <v>Mount St. Mary'sTexas Tech</v>
      </c>
      <c r="D3849" t="s">
        <v>63</v>
      </c>
      <c r="E3849">
        <v>0.2</v>
      </c>
      <c r="F3849">
        <v>39.815094339622597</v>
      </c>
      <c r="G3849">
        <v>43424.967524317697</v>
      </c>
      <c r="H3849">
        <v>137.42505258486699</v>
      </c>
      <c r="I3849" s="1">
        <f t="shared" si="121"/>
        <v>119.73075755293428</v>
      </c>
    </row>
    <row r="3850" spans="1:9" x14ac:dyDescent="0.45">
      <c r="A3850" t="s">
        <v>47</v>
      </c>
      <c r="B3850" t="s">
        <v>63</v>
      </c>
      <c r="C3850" t="str">
        <f t="shared" si="120"/>
        <v>Nebraska OmahaTexas Tech</v>
      </c>
      <c r="D3850" t="s">
        <v>63</v>
      </c>
      <c r="E3850">
        <v>0.3</v>
      </c>
      <c r="F3850">
        <v>38.0981132075472</v>
      </c>
      <c r="G3850">
        <v>33424.824740809898</v>
      </c>
      <c r="H3850">
        <v>136.709053764766</v>
      </c>
      <c r="I3850" s="1">
        <f t="shared" si="121"/>
        <v>109.64871693132332</v>
      </c>
    </row>
    <row r="3851" spans="1:9" x14ac:dyDescent="0.45">
      <c r="A3851" t="s">
        <v>48</v>
      </c>
      <c r="B3851" t="s">
        <v>63</v>
      </c>
      <c r="C3851" t="str">
        <f t="shared" si="120"/>
        <v>New MexicoTexas Tech</v>
      </c>
      <c r="D3851" t="s">
        <v>63</v>
      </c>
      <c r="E3851">
        <v>7.1</v>
      </c>
      <c r="F3851">
        <v>16.852830188679199</v>
      </c>
      <c r="G3851">
        <v>1307.4756573090301</v>
      </c>
      <c r="H3851">
        <v>137.586798112042</v>
      </c>
      <c r="I3851" s="1">
        <f t="shared" si="121"/>
        <v>122.00831015436505</v>
      </c>
    </row>
    <row r="3852" spans="1:9" x14ac:dyDescent="0.45">
      <c r="A3852" t="s">
        <v>49</v>
      </c>
      <c r="B3852" t="s">
        <v>63</v>
      </c>
      <c r="C3852" t="str">
        <f t="shared" si="120"/>
        <v>Norfolk St.Texas Tech</v>
      </c>
      <c r="D3852" t="s">
        <v>63</v>
      </c>
      <c r="E3852">
        <v>0.4</v>
      </c>
      <c r="F3852">
        <v>35.5660377358491</v>
      </c>
      <c r="G3852">
        <v>22713.627710462901</v>
      </c>
      <c r="H3852">
        <v>136.59916177424299</v>
      </c>
      <c r="I3852" s="1">
        <f t="shared" si="121"/>
        <v>108.10131841426096</v>
      </c>
    </row>
    <row r="3853" spans="1:9" x14ac:dyDescent="0.45">
      <c r="A3853" t="s">
        <v>50</v>
      </c>
      <c r="B3853" t="s">
        <v>63</v>
      </c>
      <c r="C3853" t="str">
        <f t="shared" si="120"/>
        <v>North CarolinaTexas Tech</v>
      </c>
      <c r="D3853" t="s">
        <v>63</v>
      </c>
      <c r="E3853">
        <v>20.7</v>
      </c>
      <c r="F3853">
        <v>8.8113207547169807</v>
      </c>
      <c r="G3853">
        <v>383.47811055119797</v>
      </c>
      <c r="H3853">
        <v>138.671093206199</v>
      </c>
      <c r="I3853" s="1">
        <f t="shared" si="121"/>
        <v>137.27636210948194</v>
      </c>
    </row>
    <row r="3854" spans="1:9" x14ac:dyDescent="0.45">
      <c r="A3854" t="s">
        <v>51</v>
      </c>
      <c r="B3854" t="s">
        <v>63</v>
      </c>
      <c r="C3854" t="str">
        <f t="shared" si="120"/>
        <v>OklahomaTexas Tech</v>
      </c>
      <c r="D3854" t="s">
        <v>63</v>
      </c>
      <c r="E3854">
        <v>7.9</v>
      </c>
      <c r="F3854">
        <v>16.116981132075502</v>
      </c>
      <c r="G3854">
        <v>1168.82394686783</v>
      </c>
      <c r="H3854">
        <v>137.013696501704</v>
      </c>
      <c r="I3854" s="1">
        <f t="shared" si="121"/>
        <v>113.93841736470463</v>
      </c>
    </row>
    <row r="3855" spans="1:9" x14ac:dyDescent="0.45">
      <c r="A3855" t="s">
        <v>52</v>
      </c>
      <c r="B3855" t="s">
        <v>63</v>
      </c>
      <c r="C3855" t="str">
        <f t="shared" si="120"/>
        <v>OregonTexas Tech</v>
      </c>
      <c r="D3855" t="s">
        <v>63</v>
      </c>
      <c r="E3855">
        <v>22</v>
      </c>
      <c r="F3855">
        <v>8.2905660377358501</v>
      </c>
      <c r="G3855">
        <v>354.26210122288597</v>
      </c>
      <c r="H3855">
        <v>137.60807428984401</v>
      </c>
      <c r="I3855" s="1">
        <f t="shared" si="121"/>
        <v>122.30790183363933</v>
      </c>
    </row>
    <row r="3856" spans="1:9" x14ac:dyDescent="0.45">
      <c r="A3856" t="s">
        <v>53</v>
      </c>
      <c r="B3856" t="s">
        <v>63</v>
      </c>
      <c r="C3856" t="str">
        <f t="shared" si="120"/>
        <v>PurdueTexas Tech</v>
      </c>
      <c r="D3856" t="s">
        <v>53</v>
      </c>
      <c r="E3856">
        <v>59.9</v>
      </c>
      <c r="F3856">
        <v>-2.6188679245283</v>
      </c>
      <c r="G3856">
        <v>-149.10183081934801</v>
      </c>
      <c r="H3856">
        <v>138.95606161863401</v>
      </c>
      <c r="I3856" s="1">
        <f t="shared" si="121"/>
        <v>141.28902669689072</v>
      </c>
    </row>
    <row r="3857" spans="1:9" x14ac:dyDescent="0.45">
      <c r="A3857" t="s">
        <v>54</v>
      </c>
      <c r="B3857" t="s">
        <v>63</v>
      </c>
      <c r="C3857" t="str">
        <f t="shared" si="120"/>
        <v>Robert MorrisTexas Tech</v>
      </c>
      <c r="D3857" t="s">
        <v>63</v>
      </c>
      <c r="E3857">
        <v>0.2</v>
      </c>
      <c r="F3857">
        <v>41.324528301886801</v>
      </c>
      <c r="G3857">
        <v>54663.571747682799</v>
      </c>
      <c r="H3857">
        <v>136.01469846739599</v>
      </c>
      <c r="I3857" s="1">
        <f t="shared" si="121"/>
        <v>99.871440604348706</v>
      </c>
    </row>
    <row r="3858" spans="1:9" x14ac:dyDescent="0.45">
      <c r="A3858" t="s">
        <v>55</v>
      </c>
      <c r="B3858" t="s">
        <v>63</v>
      </c>
      <c r="C3858" t="str">
        <f t="shared" si="120"/>
        <v>Saint FrancisTexas Tech</v>
      </c>
      <c r="D3858" t="s">
        <v>63</v>
      </c>
      <c r="E3858">
        <v>0.1</v>
      </c>
      <c r="F3858">
        <v>44.0490566037736</v>
      </c>
      <c r="G3858">
        <v>82853.894265144394</v>
      </c>
      <c r="H3858">
        <v>137.06755400060399</v>
      </c>
      <c r="I3858" s="1">
        <f t="shared" si="121"/>
        <v>114.69678941287566</v>
      </c>
    </row>
    <row r="3859" spans="1:9" x14ac:dyDescent="0.45">
      <c r="A3859" t="s">
        <v>56</v>
      </c>
      <c r="B3859" t="s">
        <v>63</v>
      </c>
      <c r="C3859" t="str">
        <f t="shared" si="120"/>
        <v>Saint Mary'sTexas Tech</v>
      </c>
      <c r="D3859" t="s">
        <v>63</v>
      </c>
      <c r="E3859">
        <v>19.399999999999999</v>
      </c>
      <c r="F3859">
        <v>9.3358490566037702</v>
      </c>
      <c r="G3859">
        <v>415.36438026544403</v>
      </c>
      <c r="H3859">
        <v>138.31880920169399</v>
      </c>
      <c r="I3859" s="1">
        <f t="shared" si="121"/>
        <v>132.3158209129723</v>
      </c>
    </row>
    <row r="3860" spans="1:9" x14ac:dyDescent="0.45">
      <c r="A3860" t="s">
        <v>57</v>
      </c>
      <c r="B3860" t="s">
        <v>63</v>
      </c>
      <c r="C3860" t="str">
        <f t="shared" si="120"/>
        <v>San Diego St.Texas Tech</v>
      </c>
      <c r="D3860" t="s">
        <v>63</v>
      </c>
      <c r="E3860">
        <v>6.5</v>
      </c>
      <c r="F3860">
        <v>17.4264150943396</v>
      </c>
      <c r="G3860">
        <v>1427.48100098023</v>
      </c>
      <c r="H3860">
        <v>137.46506408149199</v>
      </c>
      <c r="I3860" s="1">
        <f t="shared" si="121"/>
        <v>120.29416285889245</v>
      </c>
    </row>
    <row r="3861" spans="1:9" x14ac:dyDescent="0.45">
      <c r="A3861" t="s">
        <v>58</v>
      </c>
      <c r="B3861" t="s">
        <v>63</v>
      </c>
      <c r="C3861" t="str">
        <f t="shared" si="120"/>
        <v>SIU EdwardsvilleTexas Tech</v>
      </c>
      <c r="D3861" t="s">
        <v>63</v>
      </c>
      <c r="E3861">
        <v>0.4</v>
      </c>
      <c r="F3861">
        <v>37.026415094339598</v>
      </c>
      <c r="G3861">
        <v>28375.7471523655</v>
      </c>
      <c r="H3861">
        <v>137.61275184834</v>
      </c>
      <c r="I3861" s="1">
        <f t="shared" si="121"/>
        <v>122.37376693486928</v>
      </c>
    </row>
    <row r="3862" spans="1:9" x14ac:dyDescent="0.45">
      <c r="A3862" t="s">
        <v>59</v>
      </c>
      <c r="B3862" t="s">
        <v>63</v>
      </c>
      <c r="C3862" t="str">
        <f t="shared" si="120"/>
        <v>St. John'sTexas Tech</v>
      </c>
      <c r="D3862" t="s">
        <v>63</v>
      </c>
      <c r="E3862">
        <v>42.9</v>
      </c>
      <c r="F3862">
        <v>1.8679245283018899</v>
      </c>
      <c r="G3862">
        <v>132.96575319572901</v>
      </c>
      <c r="H3862">
        <v>138.59043462088499</v>
      </c>
      <c r="I3862" s="1">
        <f t="shared" si="121"/>
        <v>136.14060167135324</v>
      </c>
    </row>
    <row r="3863" spans="1:9" x14ac:dyDescent="0.45">
      <c r="A3863" t="s">
        <v>60</v>
      </c>
      <c r="B3863" t="s">
        <v>63</v>
      </c>
      <c r="C3863" t="str">
        <f t="shared" si="120"/>
        <v>TennesseeTexas Tech</v>
      </c>
      <c r="D3863" t="s">
        <v>60</v>
      </c>
      <c r="E3863">
        <v>60.1</v>
      </c>
      <c r="F3863">
        <v>-2.67924528301887</v>
      </c>
      <c r="G3863">
        <v>-150.45258371113499</v>
      </c>
      <c r="H3863">
        <v>139.18441749757599</v>
      </c>
      <c r="I3863" s="1">
        <f t="shared" si="121"/>
        <v>144.50452535839969</v>
      </c>
    </row>
    <row r="3864" spans="1:9" x14ac:dyDescent="0.45">
      <c r="A3864" t="s">
        <v>61</v>
      </c>
      <c r="B3864" t="s">
        <v>63</v>
      </c>
      <c r="C3864" t="str">
        <f t="shared" si="120"/>
        <v>TexasTexas Tech</v>
      </c>
      <c r="D3864" t="s">
        <v>63</v>
      </c>
      <c r="E3864">
        <v>5.8</v>
      </c>
      <c r="F3864">
        <v>18.275471698113201</v>
      </c>
      <c r="G3864">
        <v>1624.6771207516099</v>
      </c>
      <c r="H3864">
        <v>136.94013202864801</v>
      </c>
      <c r="I3864" s="1">
        <f t="shared" si="121"/>
        <v>112.9025497280047</v>
      </c>
    </row>
    <row r="3865" spans="1:9" x14ac:dyDescent="0.45">
      <c r="A3865" t="s">
        <v>62</v>
      </c>
      <c r="B3865" t="s">
        <v>63</v>
      </c>
      <c r="C3865" t="str">
        <f t="shared" si="120"/>
        <v>Texas A&amp;MTexas Tech</v>
      </c>
      <c r="D3865" t="s">
        <v>63</v>
      </c>
      <c r="E3865">
        <v>26.2</v>
      </c>
      <c r="F3865">
        <v>6.7811320754717004</v>
      </c>
      <c r="G3865">
        <v>281.29770664895602</v>
      </c>
      <c r="H3865">
        <v>137.73793105624199</v>
      </c>
      <c r="I3865" s="1">
        <f t="shared" si="121"/>
        <v>124.13642606728374</v>
      </c>
    </row>
    <row r="3866" spans="1:9" x14ac:dyDescent="0.45">
      <c r="A3866" t="s">
        <v>63</v>
      </c>
      <c r="B3866" t="s">
        <v>63</v>
      </c>
      <c r="C3866" t="str">
        <f t="shared" si="120"/>
        <v>Texas TechTexas Tech</v>
      </c>
      <c r="D3866" t="s">
        <v>63</v>
      </c>
      <c r="E3866">
        <v>41.2</v>
      </c>
      <c r="F3866">
        <v>2.3283018867924499</v>
      </c>
      <c r="G3866">
        <v>142.64273539779199</v>
      </c>
      <c r="H3866">
        <v>138.77771517530499</v>
      </c>
      <c r="I3866" s="1">
        <f t="shared" si="121"/>
        <v>138.77771517530277</v>
      </c>
    </row>
    <row r="3867" spans="1:9" x14ac:dyDescent="0.45">
      <c r="A3867" t="s">
        <v>64</v>
      </c>
      <c r="B3867" t="s">
        <v>63</v>
      </c>
      <c r="C3867" t="str">
        <f t="shared" si="120"/>
        <v>TroyTexas Tech</v>
      </c>
      <c r="D3867" t="s">
        <v>63</v>
      </c>
      <c r="E3867">
        <v>1</v>
      </c>
      <c r="F3867">
        <v>30.275471698113201</v>
      </c>
      <c r="G3867">
        <v>10132.3588747786</v>
      </c>
      <c r="H3867">
        <v>137.48127959503501</v>
      </c>
      <c r="I3867" s="1">
        <f t="shared" si="121"/>
        <v>120.52249489192278</v>
      </c>
    </row>
    <row r="3868" spans="1:9" x14ac:dyDescent="0.45">
      <c r="A3868" t="s">
        <v>65</v>
      </c>
      <c r="B3868" t="s">
        <v>63</v>
      </c>
      <c r="C3868" t="str">
        <f t="shared" si="120"/>
        <v>UC San DiegoTexas Tech</v>
      </c>
      <c r="D3868" t="s">
        <v>63</v>
      </c>
      <c r="E3868">
        <v>2.5</v>
      </c>
      <c r="F3868">
        <v>24.1132075471698</v>
      </c>
      <c r="G3868">
        <v>3958.8075015586901</v>
      </c>
      <c r="H3868">
        <v>137.56940133842599</v>
      </c>
      <c r="I3868" s="1">
        <f t="shared" si="121"/>
        <v>121.76334469721964</v>
      </c>
    </row>
    <row r="3869" spans="1:9" x14ac:dyDescent="0.45">
      <c r="A3869" t="s">
        <v>66</v>
      </c>
      <c r="B3869" t="s">
        <v>63</v>
      </c>
      <c r="C3869" t="str">
        <f t="shared" si="120"/>
        <v>UCLATexas Tech</v>
      </c>
      <c r="D3869" t="s">
        <v>63</v>
      </c>
      <c r="E3869">
        <v>9.1</v>
      </c>
      <c r="F3869">
        <v>15.0679245283019</v>
      </c>
      <c r="G3869">
        <v>996.23459959808497</v>
      </c>
      <c r="H3869">
        <v>137.04085585153399</v>
      </c>
      <c r="I3869" s="1">
        <f t="shared" si="121"/>
        <v>114.32085049246291</v>
      </c>
    </row>
    <row r="3870" spans="1:9" x14ac:dyDescent="0.45">
      <c r="A3870" t="s">
        <v>67</v>
      </c>
      <c r="B3870" t="s">
        <v>63</v>
      </c>
      <c r="C3870" t="str">
        <f t="shared" si="120"/>
        <v>UNC WilmingtonTexas Tech</v>
      </c>
      <c r="D3870" t="s">
        <v>63</v>
      </c>
      <c r="E3870">
        <v>1.5</v>
      </c>
      <c r="F3870">
        <v>27.4754716981132</v>
      </c>
      <c r="G3870">
        <v>6610.0169672509901</v>
      </c>
      <c r="H3870">
        <v>138.15587152545399</v>
      </c>
      <c r="I3870" s="1">
        <f t="shared" si="121"/>
        <v>130.02148155859888</v>
      </c>
    </row>
    <row r="3871" spans="1:9" x14ac:dyDescent="0.45">
      <c r="A3871" t="s">
        <v>68</v>
      </c>
      <c r="B3871" t="s">
        <v>63</v>
      </c>
      <c r="C3871" t="str">
        <f t="shared" si="120"/>
        <v>Utah St.Texas Tech</v>
      </c>
      <c r="D3871" t="s">
        <v>63</v>
      </c>
      <c r="E3871">
        <v>7.1</v>
      </c>
      <c r="F3871">
        <v>16.8301886792453</v>
      </c>
      <c r="G3871">
        <v>1303.23750100249</v>
      </c>
      <c r="H3871">
        <v>137.52724192928099</v>
      </c>
      <c r="I3871" s="1">
        <f t="shared" si="121"/>
        <v>121.16969445136719</v>
      </c>
    </row>
    <row r="3872" spans="1:9" x14ac:dyDescent="0.45">
      <c r="A3872" t="s">
        <v>69</v>
      </c>
      <c r="B3872" t="s">
        <v>63</v>
      </c>
      <c r="C3872" t="str">
        <f t="shared" si="120"/>
        <v>VanderbiltTexas Tech</v>
      </c>
      <c r="D3872" t="s">
        <v>63</v>
      </c>
      <c r="E3872">
        <v>1.6</v>
      </c>
      <c r="F3872">
        <v>26.9509433962264</v>
      </c>
      <c r="G3872">
        <v>6103.9864039272497</v>
      </c>
      <c r="H3872">
        <v>136.10181241787899</v>
      </c>
      <c r="I3872" s="1">
        <f t="shared" si="121"/>
        <v>101.09809959151679</v>
      </c>
    </row>
    <row r="3873" spans="1:9" x14ac:dyDescent="0.45">
      <c r="A3873" t="s">
        <v>70</v>
      </c>
      <c r="B3873" t="s">
        <v>63</v>
      </c>
      <c r="C3873" t="str">
        <f t="shared" si="120"/>
        <v>VCUTexas Tech</v>
      </c>
      <c r="D3873" t="s">
        <v>63</v>
      </c>
      <c r="E3873">
        <v>4.8</v>
      </c>
      <c r="F3873">
        <v>19.607547169811301</v>
      </c>
      <c r="G3873">
        <v>1990.1393881295501</v>
      </c>
      <c r="H3873">
        <v>137.946723579755</v>
      </c>
      <c r="I3873" s="1">
        <f t="shared" si="121"/>
        <v>127.07645144784222</v>
      </c>
    </row>
    <row r="3874" spans="1:9" x14ac:dyDescent="0.45">
      <c r="A3874" t="s">
        <v>71</v>
      </c>
      <c r="B3874" t="s">
        <v>63</v>
      </c>
      <c r="C3874" t="str">
        <f t="shared" si="120"/>
        <v>WisconsinTexas Tech</v>
      </c>
      <c r="D3874" t="s">
        <v>63</v>
      </c>
      <c r="E3874">
        <v>38.200000000000003</v>
      </c>
      <c r="F3874">
        <v>3.1433962264150899</v>
      </c>
      <c r="G3874">
        <v>161.52608439622699</v>
      </c>
      <c r="H3874">
        <v>138.747402435022</v>
      </c>
      <c r="I3874" s="1">
        <f t="shared" si="121"/>
        <v>138.35087888688207</v>
      </c>
    </row>
    <row r="3875" spans="1:9" x14ac:dyDescent="0.45">
      <c r="A3875" t="s">
        <v>80</v>
      </c>
      <c r="B3875" t="s">
        <v>63</v>
      </c>
      <c r="C3875" t="str">
        <f t="shared" si="120"/>
        <v>WoffordTexas Tech</v>
      </c>
      <c r="D3875" t="s">
        <v>63</v>
      </c>
      <c r="E3875">
        <v>0.5</v>
      </c>
      <c r="F3875">
        <v>34.528301886792498</v>
      </c>
      <c r="G3875">
        <v>19387.3186192992</v>
      </c>
      <c r="H3875">
        <v>136.776858174117</v>
      </c>
      <c r="I3875" s="1">
        <f t="shared" si="121"/>
        <v>110.60347661836398</v>
      </c>
    </row>
    <row r="3876" spans="1:9" x14ac:dyDescent="0.45">
      <c r="A3876" t="s">
        <v>72</v>
      </c>
      <c r="B3876" t="s">
        <v>63</v>
      </c>
      <c r="C3876" t="str">
        <f t="shared" si="120"/>
        <v>XavierTexas Tech</v>
      </c>
      <c r="D3876" t="s">
        <v>63</v>
      </c>
      <c r="E3876">
        <v>4.7</v>
      </c>
      <c r="F3876">
        <v>19.683018867924499</v>
      </c>
      <c r="G3876">
        <v>2013.437735145</v>
      </c>
      <c r="H3876">
        <v>137.35277174426801</v>
      </c>
      <c r="I3876" s="1">
        <f t="shared" si="121"/>
        <v>118.71296485464423</v>
      </c>
    </row>
    <row r="3877" spans="1:9" x14ac:dyDescent="0.45">
      <c r="A3877" t="s">
        <v>73</v>
      </c>
      <c r="B3877" t="s">
        <v>63</v>
      </c>
      <c r="C3877" t="str">
        <f t="shared" si="120"/>
        <v>YaleTexas Tech</v>
      </c>
      <c r="D3877" t="s">
        <v>63</v>
      </c>
      <c r="E3877">
        <v>2.7</v>
      </c>
      <c r="F3877">
        <v>23.505660377358499</v>
      </c>
      <c r="G3877">
        <v>3607.8608899069</v>
      </c>
      <c r="H3877">
        <v>138.15200637833101</v>
      </c>
      <c r="I3877" s="1">
        <f t="shared" si="121"/>
        <v>129.96705609139366</v>
      </c>
    </row>
    <row r="3878" spans="1:9" x14ac:dyDescent="0.45">
      <c r="A3878" t="s">
        <v>7</v>
      </c>
      <c r="B3878" t="s">
        <v>64</v>
      </c>
      <c r="C3878" t="str">
        <f t="shared" si="120"/>
        <v>AkronTroy</v>
      </c>
      <c r="D3878" t="s">
        <v>7</v>
      </c>
      <c r="E3878">
        <v>50.2</v>
      </c>
      <c r="F3878">
        <v>-4.5283018867924497E-2</v>
      </c>
      <c r="G3878">
        <v>-100.703214383412</v>
      </c>
      <c r="H3878">
        <v>138.23090741404701</v>
      </c>
      <c r="I3878" s="1">
        <f t="shared" si="121"/>
        <v>131.07806832331843</v>
      </c>
    </row>
    <row r="3879" spans="1:9" x14ac:dyDescent="0.45">
      <c r="A3879" t="s">
        <v>8</v>
      </c>
      <c r="B3879" t="s">
        <v>64</v>
      </c>
      <c r="C3879" t="str">
        <f t="shared" si="120"/>
        <v>AlabamaTroy</v>
      </c>
      <c r="D3879" t="s">
        <v>8</v>
      </c>
      <c r="E3879">
        <v>98.7</v>
      </c>
      <c r="F3879">
        <v>-28.218867924528301</v>
      </c>
      <c r="G3879">
        <v>-7405.7151936179098</v>
      </c>
      <c r="H3879">
        <v>139.97900342618601</v>
      </c>
      <c r="I3879" s="1">
        <f t="shared" si="121"/>
        <v>155.6931577760854</v>
      </c>
    </row>
    <row r="3880" spans="1:9" x14ac:dyDescent="0.45">
      <c r="A3880" t="s">
        <v>9</v>
      </c>
      <c r="B3880" t="s">
        <v>64</v>
      </c>
      <c r="C3880" t="str">
        <f t="shared" si="120"/>
        <v>Alabama St.Troy</v>
      </c>
      <c r="D3880" t="s">
        <v>64</v>
      </c>
      <c r="E3880">
        <v>13.6</v>
      </c>
      <c r="F3880">
        <v>12.094339622641501</v>
      </c>
      <c r="G3880">
        <v>632.73286684111201</v>
      </c>
      <c r="H3880">
        <v>138.45774826985999</v>
      </c>
      <c r="I3880" s="1">
        <f t="shared" si="121"/>
        <v>134.27223381457563</v>
      </c>
    </row>
    <row r="3881" spans="1:9" x14ac:dyDescent="0.45">
      <c r="A3881" t="s">
        <v>10</v>
      </c>
      <c r="B3881" t="s">
        <v>64</v>
      </c>
      <c r="C3881" t="str">
        <f t="shared" si="120"/>
        <v>AmericanTroy</v>
      </c>
      <c r="D3881" t="s">
        <v>64</v>
      </c>
      <c r="E3881">
        <v>16.100000000000001</v>
      </c>
      <c r="F3881">
        <v>10.8301886792453</v>
      </c>
      <c r="G3881">
        <v>521.82246763819001</v>
      </c>
      <c r="H3881">
        <v>138.54883415146401</v>
      </c>
      <c r="I3881" s="1">
        <f t="shared" si="121"/>
        <v>135.55482190355795</v>
      </c>
    </row>
    <row r="3882" spans="1:9" x14ac:dyDescent="0.45">
      <c r="A3882" t="s">
        <v>11</v>
      </c>
      <c r="B3882" t="s">
        <v>64</v>
      </c>
      <c r="C3882" t="str">
        <f t="shared" si="120"/>
        <v>ArizonaTroy</v>
      </c>
      <c r="D3882" t="s">
        <v>11</v>
      </c>
      <c r="E3882">
        <v>98.1</v>
      </c>
      <c r="F3882">
        <v>-25.981132075471699</v>
      </c>
      <c r="G3882">
        <v>-5261.7328799002998</v>
      </c>
      <c r="H3882">
        <v>139.74136224517599</v>
      </c>
      <c r="I3882" s="1">
        <f t="shared" si="121"/>
        <v>152.34691198203132</v>
      </c>
    </row>
    <row r="3883" spans="1:9" x14ac:dyDescent="0.45">
      <c r="A3883" t="s">
        <v>12</v>
      </c>
      <c r="B3883" t="s">
        <v>64</v>
      </c>
      <c r="C3883" t="str">
        <f t="shared" si="120"/>
        <v>ArkansasTroy</v>
      </c>
      <c r="D3883" t="s">
        <v>12</v>
      </c>
      <c r="E3883">
        <v>76.099999999999994</v>
      </c>
      <c r="F3883">
        <v>-7.5886792452830196</v>
      </c>
      <c r="G3883">
        <v>-318.15639423927399</v>
      </c>
      <c r="H3883">
        <v>137.85896607903399</v>
      </c>
      <c r="I3883" s="1">
        <f t="shared" si="121"/>
        <v>125.8407305747331</v>
      </c>
    </row>
    <row r="3884" spans="1:9" x14ac:dyDescent="0.45">
      <c r="A3884" t="s">
        <v>13</v>
      </c>
      <c r="B3884" t="s">
        <v>64</v>
      </c>
      <c r="C3884" t="str">
        <f t="shared" si="120"/>
        <v>AuburnTroy</v>
      </c>
      <c r="D3884" t="s">
        <v>13</v>
      </c>
      <c r="E3884">
        <v>99.3</v>
      </c>
      <c r="F3884">
        <v>-32.6301886792453</v>
      </c>
      <c r="G3884">
        <v>-14513.3719969254</v>
      </c>
      <c r="H3884">
        <v>140.997685484295</v>
      </c>
      <c r="I3884" s="1">
        <f t="shared" si="121"/>
        <v>170.03730695905818</v>
      </c>
    </row>
    <row r="3885" spans="1:9" x14ac:dyDescent="0.45">
      <c r="A3885" t="s">
        <v>14</v>
      </c>
      <c r="B3885" t="s">
        <v>64</v>
      </c>
      <c r="C3885" t="str">
        <f t="shared" si="120"/>
        <v>BaylorTroy</v>
      </c>
      <c r="D3885" t="s">
        <v>14</v>
      </c>
      <c r="E3885">
        <v>93.9</v>
      </c>
      <c r="F3885">
        <v>-17.898113207547201</v>
      </c>
      <c r="G3885">
        <v>-1533.84200922323</v>
      </c>
      <c r="H3885">
        <v>139.53268349702</v>
      </c>
      <c r="I3885" s="1">
        <f t="shared" si="121"/>
        <v>149.4084886820057</v>
      </c>
    </row>
    <row r="3886" spans="1:9" x14ac:dyDescent="0.45">
      <c r="A3886" t="s">
        <v>15</v>
      </c>
      <c r="B3886" t="s">
        <v>64</v>
      </c>
      <c r="C3886" t="str">
        <f t="shared" si="120"/>
        <v>BryantTroy</v>
      </c>
      <c r="D3886" t="s">
        <v>64</v>
      </c>
      <c r="E3886">
        <v>41</v>
      </c>
      <c r="F3886">
        <v>2.3886792452830199</v>
      </c>
      <c r="G3886">
        <v>143.932714706528</v>
      </c>
      <c r="H3886">
        <v>139.081681246915</v>
      </c>
      <c r="I3886" s="1">
        <f t="shared" si="121"/>
        <v>143.0578874263287</v>
      </c>
    </row>
    <row r="3887" spans="1:9" x14ac:dyDescent="0.45">
      <c r="A3887" t="s">
        <v>16</v>
      </c>
      <c r="B3887" t="s">
        <v>64</v>
      </c>
      <c r="C3887" t="str">
        <f t="shared" si="120"/>
        <v>BYUTroy</v>
      </c>
      <c r="D3887" t="s">
        <v>16</v>
      </c>
      <c r="E3887">
        <v>94.9</v>
      </c>
      <c r="F3887">
        <v>-19.192452830188699</v>
      </c>
      <c r="G3887">
        <v>-1868.6037291510199</v>
      </c>
      <c r="H3887">
        <v>139.34220172513801</v>
      </c>
      <c r="I3887" s="1">
        <f t="shared" si="121"/>
        <v>146.72629856118988</v>
      </c>
    </row>
    <row r="3888" spans="1:9" x14ac:dyDescent="0.45">
      <c r="A3888" t="s">
        <v>17</v>
      </c>
      <c r="B3888" t="s">
        <v>64</v>
      </c>
      <c r="C3888" t="str">
        <f t="shared" si="120"/>
        <v>ClemsonTroy</v>
      </c>
      <c r="D3888" t="s">
        <v>17</v>
      </c>
      <c r="E3888">
        <v>96</v>
      </c>
      <c r="F3888">
        <v>-20.818867924528298</v>
      </c>
      <c r="G3888">
        <v>-2394.2458167680702</v>
      </c>
      <c r="H3888">
        <v>139.56411358142901</v>
      </c>
      <c r="I3888" s="1">
        <f t="shared" si="121"/>
        <v>149.85105838862563</v>
      </c>
    </row>
    <row r="3889" spans="1:9" x14ac:dyDescent="0.45">
      <c r="A3889" t="s">
        <v>18</v>
      </c>
      <c r="B3889" t="s">
        <v>64</v>
      </c>
      <c r="C3889" t="str">
        <f t="shared" si="120"/>
        <v>Colorado St.Troy</v>
      </c>
      <c r="D3889" t="s">
        <v>18</v>
      </c>
      <c r="E3889">
        <v>79.7</v>
      </c>
      <c r="F3889">
        <v>-8.97735849056604</v>
      </c>
      <c r="G3889">
        <v>-393.39352486631401</v>
      </c>
      <c r="H3889">
        <v>138.87150542953501</v>
      </c>
      <c r="I3889" s="1">
        <f t="shared" si="121"/>
        <v>140.09838376652314</v>
      </c>
    </row>
    <row r="3890" spans="1:9" x14ac:dyDescent="0.45">
      <c r="A3890" t="s">
        <v>19</v>
      </c>
      <c r="B3890" t="s">
        <v>64</v>
      </c>
      <c r="C3890" t="str">
        <f t="shared" si="120"/>
        <v>ConnecticutTroy</v>
      </c>
      <c r="D3890" t="s">
        <v>19</v>
      </c>
      <c r="E3890">
        <v>97.6</v>
      </c>
      <c r="F3890">
        <v>-24.279245283018899</v>
      </c>
      <c r="G3890">
        <v>-4060.9182633591499</v>
      </c>
      <c r="H3890">
        <v>139.50705733187101</v>
      </c>
      <c r="I3890" s="1">
        <f t="shared" si="121"/>
        <v>149.04764445886605</v>
      </c>
    </row>
    <row r="3891" spans="1:9" x14ac:dyDescent="0.45">
      <c r="A3891" t="s">
        <v>20</v>
      </c>
      <c r="B3891" t="s">
        <v>64</v>
      </c>
      <c r="C3891" t="str">
        <f t="shared" si="120"/>
        <v>CreightonTroy</v>
      </c>
      <c r="D3891" t="s">
        <v>20</v>
      </c>
      <c r="E3891">
        <v>92.6</v>
      </c>
      <c r="F3891">
        <v>-16.588679245283</v>
      </c>
      <c r="G3891">
        <v>-1256.15786276382</v>
      </c>
      <c r="H3891">
        <v>138.97999969413499</v>
      </c>
      <c r="I3891" s="1">
        <f t="shared" si="121"/>
        <v>141.6261007853229</v>
      </c>
    </row>
    <row r="3892" spans="1:9" x14ac:dyDescent="0.45">
      <c r="A3892" t="s">
        <v>21</v>
      </c>
      <c r="B3892" t="s">
        <v>64</v>
      </c>
      <c r="C3892" t="str">
        <f t="shared" si="120"/>
        <v>DrakeTroy</v>
      </c>
      <c r="D3892" t="s">
        <v>21</v>
      </c>
      <c r="E3892">
        <v>79.599999999999994</v>
      </c>
      <c r="F3892">
        <v>-8.9283018867924504</v>
      </c>
      <c r="G3892">
        <v>-390.36359573646098</v>
      </c>
      <c r="H3892">
        <v>139.033464798289</v>
      </c>
      <c r="I3892" s="1">
        <f t="shared" si="121"/>
        <v>142.37894748951635</v>
      </c>
    </row>
    <row r="3893" spans="1:9" x14ac:dyDescent="0.45">
      <c r="A3893" t="s">
        <v>22</v>
      </c>
      <c r="B3893" t="s">
        <v>64</v>
      </c>
      <c r="C3893" t="str">
        <f t="shared" si="120"/>
        <v>DukeTroy</v>
      </c>
      <c r="D3893" t="s">
        <v>22</v>
      </c>
      <c r="E3893">
        <v>99.5</v>
      </c>
      <c r="F3893">
        <v>-35.139622641509398</v>
      </c>
      <c r="G3893">
        <v>-21280.299998960501</v>
      </c>
      <c r="H3893">
        <v>141.32078525974501</v>
      </c>
      <c r="I3893" s="1">
        <f t="shared" si="121"/>
        <v>174.58690253026435</v>
      </c>
    </row>
    <row r="3894" spans="1:9" x14ac:dyDescent="0.45">
      <c r="A3894" t="s">
        <v>23</v>
      </c>
      <c r="B3894" t="s">
        <v>64</v>
      </c>
      <c r="C3894" t="str">
        <f t="shared" si="120"/>
        <v>FloridaTroy</v>
      </c>
      <c r="D3894" t="s">
        <v>23</v>
      </c>
      <c r="E3894">
        <v>99.2</v>
      </c>
      <c r="F3894">
        <v>-31.2415094339623</v>
      </c>
      <c r="G3894">
        <v>-11739.0004867896</v>
      </c>
      <c r="H3894">
        <v>141.04454153568699</v>
      </c>
      <c r="I3894" s="1">
        <f t="shared" si="121"/>
        <v>170.69709102607052</v>
      </c>
    </row>
    <row r="3895" spans="1:9" x14ac:dyDescent="0.45">
      <c r="A3895" t="s">
        <v>24</v>
      </c>
      <c r="B3895" t="s">
        <v>64</v>
      </c>
      <c r="C3895" t="str">
        <f t="shared" si="120"/>
        <v>GeorgiaTroy</v>
      </c>
      <c r="D3895" t="s">
        <v>24</v>
      </c>
      <c r="E3895">
        <v>81.5</v>
      </c>
      <c r="F3895">
        <v>-9.7320754716981099</v>
      </c>
      <c r="G3895">
        <v>-441.36347322802698</v>
      </c>
      <c r="H3895">
        <v>138.18635506003201</v>
      </c>
      <c r="I3895" s="1">
        <f t="shared" si="121"/>
        <v>130.45072281609507</v>
      </c>
    </row>
    <row r="3896" spans="1:9" x14ac:dyDescent="0.45">
      <c r="A3896" t="s">
        <v>25</v>
      </c>
      <c r="B3896" t="s">
        <v>64</v>
      </c>
      <c r="C3896" t="str">
        <f t="shared" si="120"/>
        <v>GonzagaTroy</v>
      </c>
      <c r="D3896" t="s">
        <v>25</v>
      </c>
      <c r="E3896">
        <v>96.1</v>
      </c>
      <c r="F3896">
        <v>-21.060377358490602</v>
      </c>
      <c r="G3896">
        <v>-2484.3778340236099</v>
      </c>
      <c r="H3896">
        <v>140.32399617956</v>
      </c>
      <c r="I3896" s="1">
        <f t="shared" si="121"/>
        <v>160.55103024183518</v>
      </c>
    </row>
    <row r="3897" spans="1:9" x14ac:dyDescent="0.45">
      <c r="A3897" t="s">
        <v>26</v>
      </c>
      <c r="B3897" t="s">
        <v>64</v>
      </c>
      <c r="C3897" t="str">
        <f t="shared" si="120"/>
        <v>Grand CanyonTroy</v>
      </c>
      <c r="D3897" t="s">
        <v>26</v>
      </c>
      <c r="E3897">
        <v>70.8</v>
      </c>
      <c r="F3897">
        <v>-5.8113207547169798</v>
      </c>
      <c r="G3897">
        <v>-242.62472116504</v>
      </c>
      <c r="H3897">
        <v>138.97596442586399</v>
      </c>
      <c r="I3897" s="1">
        <f t="shared" si="121"/>
        <v>141.56927982768286</v>
      </c>
    </row>
    <row r="3898" spans="1:9" x14ac:dyDescent="0.45">
      <c r="A3898" t="s">
        <v>27</v>
      </c>
      <c r="B3898" t="s">
        <v>64</v>
      </c>
      <c r="C3898" t="str">
        <f t="shared" si="120"/>
        <v>High PointTroy</v>
      </c>
      <c r="D3898" t="s">
        <v>27</v>
      </c>
      <c r="E3898">
        <v>61.4</v>
      </c>
      <c r="F3898">
        <v>-3.0377358490566002</v>
      </c>
      <c r="G3898">
        <v>-158.94943208630301</v>
      </c>
      <c r="H3898">
        <v>139.25685617351999</v>
      </c>
      <c r="I3898" s="1">
        <f t="shared" si="121"/>
        <v>145.52454054968186</v>
      </c>
    </row>
    <row r="3899" spans="1:9" x14ac:dyDescent="0.45">
      <c r="A3899" t="s">
        <v>28</v>
      </c>
      <c r="B3899" t="s">
        <v>64</v>
      </c>
      <c r="C3899" t="str">
        <f t="shared" si="120"/>
        <v>HoustonTroy</v>
      </c>
      <c r="D3899" t="s">
        <v>28</v>
      </c>
      <c r="E3899">
        <v>99.7</v>
      </c>
      <c r="F3899">
        <v>-38.652830188679197</v>
      </c>
      <c r="G3899">
        <v>-36371.816578196704</v>
      </c>
      <c r="H3899">
        <v>141.46444960937399</v>
      </c>
      <c r="I3899" s="1">
        <f t="shared" si="121"/>
        <v>176.60985252427741</v>
      </c>
    </row>
    <row r="3900" spans="1:9" x14ac:dyDescent="0.45">
      <c r="A3900" t="s">
        <v>29</v>
      </c>
      <c r="B3900" t="s">
        <v>64</v>
      </c>
      <c r="C3900" t="str">
        <f t="shared" si="120"/>
        <v>IllinoisTroy</v>
      </c>
      <c r="D3900" t="s">
        <v>29</v>
      </c>
      <c r="E3900">
        <v>97.3</v>
      </c>
      <c r="F3900">
        <v>-23.543396226415101</v>
      </c>
      <c r="G3900">
        <v>-3627.9587803230302</v>
      </c>
      <c r="H3900">
        <v>139.51469476331101</v>
      </c>
      <c r="I3900" s="1">
        <f t="shared" si="121"/>
        <v>149.15518778416373</v>
      </c>
    </row>
    <row r="3901" spans="1:9" x14ac:dyDescent="0.45">
      <c r="A3901" t="s">
        <v>30</v>
      </c>
      <c r="B3901" t="s">
        <v>64</v>
      </c>
      <c r="C3901" t="str">
        <f t="shared" si="120"/>
        <v>Iowa St.Troy</v>
      </c>
      <c r="D3901" t="s">
        <v>30</v>
      </c>
      <c r="E3901">
        <v>98.7</v>
      </c>
      <c r="F3901">
        <v>-28.4264150943396</v>
      </c>
      <c r="G3901">
        <v>-7641.9241572247602</v>
      </c>
      <c r="H3901">
        <v>140.440963341669</v>
      </c>
      <c r="I3901" s="1">
        <f t="shared" si="121"/>
        <v>162.19805485510369</v>
      </c>
    </row>
    <row r="3902" spans="1:9" x14ac:dyDescent="0.45">
      <c r="A3902" t="s">
        <v>31</v>
      </c>
      <c r="B3902" t="s">
        <v>64</v>
      </c>
      <c r="C3902" t="str">
        <f t="shared" si="120"/>
        <v>KansasTroy</v>
      </c>
      <c r="D3902" t="s">
        <v>31</v>
      </c>
      <c r="E3902">
        <v>95.7</v>
      </c>
      <c r="F3902">
        <v>-20.324528301886801</v>
      </c>
      <c r="G3902">
        <v>-2220.1955943613202</v>
      </c>
      <c r="H3902">
        <v>139.39635362598099</v>
      </c>
      <c r="I3902" s="1">
        <f t="shared" si="121"/>
        <v>147.48881610829895</v>
      </c>
    </row>
    <row r="3903" spans="1:9" x14ac:dyDescent="0.45">
      <c r="A3903" t="s">
        <v>32</v>
      </c>
      <c r="B3903" t="s">
        <v>64</v>
      </c>
      <c r="C3903" t="str">
        <f t="shared" si="120"/>
        <v>KentuckyTroy</v>
      </c>
      <c r="D3903" t="s">
        <v>32</v>
      </c>
      <c r="E3903">
        <v>97.4</v>
      </c>
      <c r="F3903">
        <v>-23.7509433962264</v>
      </c>
      <c r="G3903">
        <v>-3745.42064966609</v>
      </c>
      <c r="H3903">
        <v>139.343391226373</v>
      </c>
      <c r="I3903" s="1">
        <f t="shared" si="121"/>
        <v>146.7430480298118</v>
      </c>
    </row>
    <row r="3904" spans="1:9" x14ac:dyDescent="0.45">
      <c r="A3904" t="s">
        <v>33</v>
      </c>
      <c r="B3904" t="s">
        <v>64</v>
      </c>
      <c r="C3904" t="str">
        <f t="shared" si="120"/>
        <v>LibertyTroy</v>
      </c>
      <c r="D3904" t="s">
        <v>33</v>
      </c>
      <c r="E3904">
        <v>51</v>
      </c>
      <c r="F3904">
        <v>-0.26037735849056598</v>
      </c>
      <c r="G3904">
        <v>-104.073586784637</v>
      </c>
      <c r="H3904">
        <v>138.552327474772</v>
      </c>
      <c r="I3904" s="1">
        <f t="shared" si="121"/>
        <v>135.60401168782414</v>
      </c>
    </row>
    <row r="3905" spans="1:9" x14ac:dyDescent="0.45">
      <c r="A3905" t="s">
        <v>34</v>
      </c>
      <c r="B3905" t="s">
        <v>64</v>
      </c>
      <c r="C3905" t="str">
        <f t="shared" si="120"/>
        <v>LipscombTroy</v>
      </c>
      <c r="D3905" t="s">
        <v>64</v>
      </c>
      <c r="E3905">
        <v>44.4</v>
      </c>
      <c r="F3905">
        <v>1.47924528301887</v>
      </c>
      <c r="G3905">
        <v>125.339895134069</v>
      </c>
      <c r="H3905">
        <v>138.98424770603</v>
      </c>
      <c r="I3905" s="1">
        <f t="shared" si="121"/>
        <v>141.68591740412765</v>
      </c>
    </row>
    <row r="3906" spans="1:9" x14ac:dyDescent="0.45">
      <c r="A3906" t="s">
        <v>35</v>
      </c>
      <c r="B3906" t="s">
        <v>64</v>
      </c>
      <c r="C3906" t="str">
        <f t="shared" si="120"/>
        <v>LouisvilleTroy</v>
      </c>
      <c r="D3906" t="s">
        <v>35</v>
      </c>
      <c r="E3906">
        <v>66.900000000000006</v>
      </c>
      <c r="F3906">
        <v>-4.6264150943396203</v>
      </c>
      <c r="G3906">
        <v>-202.54612759533899</v>
      </c>
      <c r="H3906">
        <v>138.26997101799799</v>
      </c>
      <c r="I3906" s="1">
        <f t="shared" si="121"/>
        <v>131.62812627146522</v>
      </c>
    </row>
    <row r="3907" spans="1:9" x14ac:dyDescent="0.45">
      <c r="A3907" t="s">
        <v>36</v>
      </c>
      <c r="B3907" t="s">
        <v>64</v>
      </c>
      <c r="C3907" t="str">
        <f t="shared" ref="C3907:C3970" si="122">A3907&amp;B3907</f>
        <v>MarquetteTroy</v>
      </c>
      <c r="D3907" t="s">
        <v>36</v>
      </c>
      <c r="E3907">
        <v>96.6</v>
      </c>
      <c r="F3907">
        <v>-21.973584905660399</v>
      </c>
      <c r="G3907">
        <v>-2855.1527682897699</v>
      </c>
      <c r="H3907">
        <v>139.60172765290301</v>
      </c>
      <c r="I3907" s="1">
        <f t="shared" ref="I3907:I3970" si="123">18*(H3907-AVERAGE($H$2:$H$4625))/_xlfn.STDEV.P($H$2:$H$4625)+AVERAGE($H$2:$H$4625)</f>
        <v>150.38070534599282</v>
      </c>
    </row>
    <row r="3908" spans="1:9" x14ac:dyDescent="0.45">
      <c r="A3908" t="s">
        <v>37</v>
      </c>
      <c r="B3908" t="s">
        <v>64</v>
      </c>
      <c r="C3908" t="str">
        <f t="shared" si="122"/>
        <v>MarylandTroy</v>
      </c>
      <c r="D3908" t="s">
        <v>37</v>
      </c>
      <c r="E3908">
        <v>95.1</v>
      </c>
      <c r="F3908">
        <v>-19.4264150943396</v>
      </c>
      <c r="G3908">
        <v>-1936.80096366416</v>
      </c>
      <c r="H3908">
        <v>139.21166696458201</v>
      </c>
      <c r="I3908" s="1">
        <f t="shared" si="123"/>
        <v>144.8882274338209</v>
      </c>
    </row>
    <row r="3909" spans="1:9" x14ac:dyDescent="0.45">
      <c r="A3909" t="s">
        <v>38</v>
      </c>
      <c r="B3909" t="s">
        <v>64</v>
      </c>
      <c r="C3909" t="str">
        <f t="shared" si="122"/>
        <v>McNeese St.Troy</v>
      </c>
      <c r="D3909" t="s">
        <v>38</v>
      </c>
      <c r="E3909">
        <v>77.5</v>
      </c>
      <c r="F3909">
        <v>-8.1207547169811303</v>
      </c>
      <c r="G3909">
        <v>-345.09274652321801</v>
      </c>
      <c r="H3909">
        <v>139.04707857878299</v>
      </c>
      <c r="I3909" s="1">
        <f t="shared" si="123"/>
        <v>142.57064429697013</v>
      </c>
    </row>
    <row r="3910" spans="1:9" x14ac:dyDescent="0.45">
      <c r="A3910" t="s">
        <v>39</v>
      </c>
      <c r="B3910" t="s">
        <v>64</v>
      </c>
      <c r="C3910" t="str">
        <f t="shared" si="122"/>
        <v>MemphisTroy</v>
      </c>
      <c r="D3910" t="s">
        <v>39</v>
      </c>
      <c r="E3910">
        <v>90.8</v>
      </c>
      <c r="F3910">
        <v>-15.0415094339623</v>
      </c>
      <c r="G3910">
        <v>-992.01556906201904</v>
      </c>
      <c r="H3910">
        <v>138.189301777601</v>
      </c>
      <c r="I3910" s="1">
        <f t="shared" si="123"/>
        <v>130.4922157982019</v>
      </c>
    </row>
    <row r="3911" spans="1:9" x14ac:dyDescent="0.45">
      <c r="A3911" t="s">
        <v>40</v>
      </c>
      <c r="B3911" t="s">
        <v>64</v>
      </c>
      <c r="C3911" t="str">
        <f t="shared" si="122"/>
        <v>MichiganTroy</v>
      </c>
      <c r="D3911" t="s">
        <v>40</v>
      </c>
      <c r="E3911">
        <v>84</v>
      </c>
      <c r="F3911">
        <v>-10.852830188679199</v>
      </c>
      <c r="G3911">
        <v>-523.66005697723301</v>
      </c>
      <c r="H3911">
        <v>137.846222862285</v>
      </c>
      <c r="I3911" s="1">
        <f t="shared" si="123"/>
        <v>125.66129224982754</v>
      </c>
    </row>
    <row r="3912" spans="1:9" x14ac:dyDescent="0.45">
      <c r="A3912" t="s">
        <v>41</v>
      </c>
      <c r="B3912" t="s">
        <v>64</v>
      </c>
      <c r="C3912" t="str">
        <f t="shared" si="122"/>
        <v>Michigan St.Troy</v>
      </c>
      <c r="D3912" t="s">
        <v>41</v>
      </c>
      <c r="E3912">
        <v>98</v>
      </c>
      <c r="F3912">
        <v>-25.675471698113199</v>
      </c>
      <c r="G3912">
        <v>-5024.8521053315098</v>
      </c>
      <c r="H3912">
        <v>139.54511482311401</v>
      </c>
      <c r="I3912" s="1">
        <f t="shared" si="123"/>
        <v>149.583535247924</v>
      </c>
    </row>
    <row r="3913" spans="1:9" x14ac:dyDescent="0.45">
      <c r="A3913" t="s">
        <v>42</v>
      </c>
      <c r="B3913" t="s">
        <v>64</v>
      </c>
      <c r="C3913" t="str">
        <f t="shared" si="122"/>
        <v>MississippiTroy</v>
      </c>
      <c r="D3913" t="s">
        <v>42</v>
      </c>
      <c r="E3913">
        <v>92.8</v>
      </c>
      <c r="F3913">
        <v>-16.7660377358491</v>
      </c>
      <c r="G3913">
        <v>-1290.63783869642</v>
      </c>
      <c r="H3913">
        <v>138.67603592820799</v>
      </c>
      <c r="I3913" s="1">
        <f t="shared" si="123"/>
        <v>137.34596100081663</v>
      </c>
    </row>
    <row r="3914" spans="1:9" x14ac:dyDescent="0.45">
      <c r="A3914" t="s">
        <v>43</v>
      </c>
      <c r="B3914" t="s">
        <v>64</v>
      </c>
      <c r="C3914" t="str">
        <f t="shared" si="122"/>
        <v>Mississippi St.Troy</v>
      </c>
      <c r="D3914" t="s">
        <v>43</v>
      </c>
      <c r="E3914">
        <v>90.7</v>
      </c>
      <c r="F3914">
        <v>-14.916981132075501</v>
      </c>
      <c r="G3914">
        <v>-973.44879430417097</v>
      </c>
      <c r="H3914">
        <v>138.800407281997</v>
      </c>
      <c r="I3914" s="1">
        <f t="shared" si="123"/>
        <v>139.09724467037435</v>
      </c>
    </row>
    <row r="3915" spans="1:9" x14ac:dyDescent="0.45">
      <c r="A3915" t="s">
        <v>44</v>
      </c>
      <c r="B3915" t="s">
        <v>64</v>
      </c>
      <c r="C3915" t="str">
        <f t="shared" si="122"/>
        <v>MissouriTroy</v>
      </c>
      <c r="D3915" t="s">
        <v>44</v>
      </c>
      <c r="E3915">
        <v>81</v>
      </c>
      <c r="F3915">
        <v>-9.50566037735849</v>
      </c>
      <c r="G3915">
        <v>-426.29885931416101</v>
      </c>
      <c r="H3915">
        <v>138.064879218171</v>
      </c>
      <c r="I3915" s="1">
        <f t="shared" si="123"/>
        <v>128.74021109763387</v>
      </c>
    </row>
    <row r="3916" spans="1:9" x14ac:dyDescent="0.45">
      <c r="A3916" t="s">
        <v>45</v>
      </c>
      <c r="B3916" t="s">
        <v>64</v>
      </c>
      <c r="C3916" t="str">
        <f t="shared" si="122"/>
        <v>MontanaTroy</v>
      </c>
      <c r="D3916" t="s">
        <v>64</v>
      </c>
      <c r="E3916">
        <v>29.4</v>
      </c>
      <c r="F3916">
        <v>5.75094339622642</v>
      </c>
      <c r="G3916">
        <v>240.47941204355601</v>
      </c>
      <c r="H3916">
        <v>137.37361394319001</v>
      </c>
      <c r="I3916" s="1">
        <f t="shared" si="123"/>
        <v>119.00644564019305</v>
      </c>
    </row>
    <row r="3917" spans="1:9" x14ac:dyDescent="0.45">
      <c r="A3917" t="s">
        <v>46</v>
      </c>
      <c r="B3917" t="s">
        <v>64</v>
      </c>
      <c r="C3917" t="str">
        <f t="shared" si="122"/>
        <v>Mount St. Mary'sTroy</v>
      </c>
      <c r="D3917" t="s">
        <v>64</v>
      </c>
      <c r="E3917">
        <v>14.1</v>
      </c>
      <c r="F3917">
        <v>11.8679245283019</v>
      </c>
      <c r="G3917">
        <v>611.33406630983495</v>
      </c>
      <c r="H3917">
        <v>138.721488165137</v>
      </c>
      <c r="I3917" s="1">
        <f t="shared" si="123"/>
        <v>137.98597783631467</v>
      </c>
    </row>
    <row r="3918" spans="1:9" x14ac:dyDescent="0.45">
      <c r="A3918" t="s">
        <v>47</v>
      </c>
      <c r="B3918" t="s">
        <v>64</v>
      </c>
      <c r="C3918" t="str">
        <f t="shared" si="122"/>
        <v>Nebraska OmahaTroy</v>
      </c>
      <c r="D3918" t="s">
        <v>64</v>
      </c>
      <c r="E3918">
        <v>17.5</v>
      </c>
      <c r="F3918">
        <v>10.150943396226401</v>
      </c>
      <c r="G3918">
        <v>470.55266104805099</v>
      </c>
      <c r="H3918">
        <v>138.00548934503701</v>
      </c>
      <c r="I3918" s="1">
        <f t="shared" si="123"/>
        <v>127.90393721471771</v>
      </c>
    </row>
    <row r="3919" spans="1:9" x14ac:dyDescent="0.45">
      <c r="A3919" t="s">
        <v>48</v>
      </c>
      <c r="B3919" t="s">
        <v>64</v>
      </c>
      <c r="C3919" t="str">
        <f t="shared" si="122"/>
        <v>New MexicoTroy</v>
      </c>
      <c r="D3919" t="s">
        <v>48</v>
      </c>
      <c r="E3919">
        <v>84.5</v>
      </c>
      <c r="F3919">
        <v>-11.094339622641501</v>
      </c>
      <c r="G3919">
        <v>-543.28447298732397</v>
      </c>
      <c r="H3919">
        <v>138.88323369231301</v>
      </c>
      <c r="I3919" s="1">
        <f t="shared" si="123"/>
        <v>140.26353043775944</v>
      </c>
    </row>
    <row r="3920" spans="1:9" x14ac:dyDescent="0.45">
      <c r="A3920" t="s">
        <v>49</v>
      </c>
      <c r="B3920" t="s">
        <v>64</v>
      </c>
      <c r="C3920" t="str">
        <f t="shared" si="122"/>
        <v>Norfolk St.Troy</v>
      </c>
      <c r="D3920" t="s">
        <v>64</v>
      </c>
      <c r="E3920">
        <v>23.8</v>
      </c>
      <c r="F3920">
        <v>7.6188679245283</v>
      </c>
      <c r="G3920">
        <v>319.761077106372</v>
      </c>
      <c r="H3920">
        <v>137.895597354514</v>
      </c>
      <c r="I3920" s="1">
        <f t="shared" si="123"/>
        <v>126.35653869765535</v>
      </c>
    </row>
    <row r="3921" spans="1:9" x14ac:dyDescent="0.45">
      <c r="A3921" t="s">
        <v>50</v>
      </c>
      <c r="B3921" t="s">
        <v>64</v>
      </c>
      <c r="C3921" t="str">
        <f t="shared" si="122"/>
        <v>North CarolinaTroy</v>
      </c>
      <c r="D3921" t="s">
        <v>50</v>
      </c>
      <c r="E3921">
        <v>94.9</v>
      </c>
      <c r="F3921">
        <v>-19.135849056603799</v>
      </c>
      <c r="G3921">
        <v>-1852.33838354915</v>
      </c>
      <c r="H3921">
        <v>139.96752878647001</v>
      </c>
      <c r="I3921" s="1">
        <f t="shared" si="123"/>
        <v>155.53158239287632</v>
      </c>
    </row>
    <row r="3922" spans="1:9" x14ac:dyDescent="0.45">
      <c r="A3922" t="s">
        <v>51</v>
      </c>
      <c r="B3922" t="s">
        <v>64</v>
      </c>
      <c r="C3922" t="str">
        <f t="shared" si="122"/>
        <v>OklahomaTroy</v>
      </c>
      <c r="D3922" t="s">
        <v>51</v>
      </c>
      <c r="E3922">
        <v>85.9</v>
      </c>
      <c r="F3922">
        <v>-11.8301886792453</v>
      </c>
      <c r="G3922">
        <v>-607.73157953206601</v>
      </c>
      <c r="H3922">
        <v>138.31013208197501</v>
      </c>
      <c r="I3922" s="1">
        <f t="shared" si="123"/>
        <v>132.19363764809901</v>
      </c>
    </row>
    <row r="3923" spans="1:9" x14ac:dyDescent="0.45">
      <c r="A3923" t="s">
        <v>52</v>
      </c>
      <c r="B3923" t="s">
        <v>64</v>
      </c>
      <c r="C3923" t="str">
        <f t="shared" si="122"/>
        <v>OregonTroy</v>
      </c>
      <c r="D3923" t="s">
        <v>52</v>
      </c>
      <c r="E3923">
        <v>95.2</v>
      </c>
      <c r="F3923">
        <v>-19.656603773584902</v>
      </c>
      <c r="G3923">
        <v>-2005.1008024083801</v>
      </c>
      <c r="H3923">
        <v>138.90450987011499</v>
      </c>
      <c r="I3923" s="1">
        <f t="shared" si="123"/>
        <v>140.56312211703332</v>
      </c>
    </row>
    <row r="3924" spans="1:9" x14ac:dyDescent="0.45">
      <c r="A3924" t="s">
        <v>53</v>
      </c>
      <c r="B3924" t="s">
        <v>64</v>
      </c>
      <c r="C3924" t="str">
        <f t="shared" si="122"/>
        <v>PurdueTroy</v>
      </c>
      <c r="D3924" t="s">
        <v>53</v>
      </c>
      <c r="E3924">
        <v>99.1</v>
      </c>
      <c r="F3924">
        <v>-30.5660377358491</v>
      </c>
      <c r="G3924">
        <v>-10591.1685900798</v>
      </c>
      <c r="H3924">
        <v>140.252497198904</v>
      </c>
      <c r="I3924" s="1">
        <f t="shared" si="123"/>
        <v>159.54424698027071</v>
      </c>
    </row>
    <row r="3925" spans="1:9" x14ac:dyDescent="0.45">
      <c r="A3925" t="s">
        <v>54</v>
      </c>
      <c r="B3925" t="s">
        <v>64</v>
      </c>
      <c r="C3925" t="str">
        <f t="shared" si="122"/>
        <v>Robert MorrisTroy</v>
      </c>
      <c r="D3925" t="s">
        <v>64</v>
      </c>
      <c r="E3925">
        <v>11.5</v>
      </c>
      <c r="F3925">
        <v>13.377358490565999</v>
      </c>
      <c r="G3925">
        <v>769.55045681534705</v>
      </c>
      <c r="H3925">
        <v>137.311134047667</v>
      </c>
      <c r="I3925" s="1">
        <f t="shared" si="123"/>
        <v>118.1266608877431</v>
      </c>
    </row>
    <row r="3926" spans="1:9" x14ac:dyDescent="0.45">
      <c r="A3926" t="s">
        <v>55</v>
      </c>
      <c r="B3926" t="s">
        <v>64</v>
      </c>
      <c r="C3926" t="str">
        <f t="shared" si="122"/>
        <v>Saint FrancisTroy</v>
      </c>
      <c r="D3926" t="s">
        <v>64</v>
      </c>
      <c r="E3926">
        <v>7.9</v>
      </c>
      <c r="F3926">
        <v>16.101886792452799</v>
      </c>
      <c r="G3926">
        <v>1166.4121121645401</v>
      </c>
      <c r="H3926">
        <v>138.36398958087401</v>
      </c>
      <c r="I3926" s="1">
        <f t="shared" si="123"/>
        <v>132.95200969625603</v>
      </c>
    </row>
    <row r="3927" spans="1:9" x14ac:dyDescent="0.45">
      <c r="A3927" t="s">
        <v>56</v>
      </c>
      <c r="B3927" t="s">
        <v>64</v>
      </c>
      <c r="C3927" t="str">
        <f t="shared" si="122"/>
        <v>Saint Mary'sTroy</v>
      </c>
      <c r="D3927" t="s">
        <v>56</v>
      </c>
      <c r="E3927">
        <v>94.5</v>
      </c>
      <c r="F3927">
        <v>-18.611320754716999</v>
      </c>
      <c r="G3927">
        <v>-1710.13995704432</v>
      </c>
      <c r="H3927">
        <v>139.61524478196401</v>
      </c>
      <c r="I3927" s="1">
        <f t="shared" si="123"/>
        <v>150.57104119635267</v>
      </c>
    </row>
    <row r="3928" spans="1:9" x14ac:dyDescent="0.45">
      <c r="A3928" t="s">
        <v>57</v>
      </c>
      <c r="B3928" t="s">
        <v>64</v>
      </c>
      <c r="C3928" t="str">
        <f t="shared" si="122"/>
        <v>San Diego St.Troy</v>
      </c>
      <c r="D3928" t="s">
        <v>57</v>
      </c>
      <c r="E3928">
        <v>83.3</v>
      </c>
      <c r="F3928">
        <v>-10.5207547169811</v>
      </c>
      <c r="G3928">
        <v>-497.61168305365402</v>
      </c>
      <c r="H3928">
        <v>138.761499661762</v>
      </c>
      <c r="I3928" s="1">
        <f t="shared" si="123"/>
        <v>138.54938314227283</v>
      </c>
    </row>
    <row r="3929" spans="1:9" x14ac:dyDescent="0.45">
      <c r="A3929" t="s">
        <v>58</v>
      </c>
      <c r="B3929" t="s">
        <v>64</v>
      </c>
      <c r="C3929" t="str">
        <f t="shared" si="122"/>
        <v>SIU EdwardsvilleTroy</v>
      </c>
      <c r="D3929" t="s">
        <v>64</v>
      </c>
      <c r="E3929">
        <v>20</v>
      </c>
      <c r="F3929">
        <v>9.0792452830188708</v>
      </c>
      <c r="G3929">
        <v>399.47205214422002</v>
      </c>
      <c r="H3929">
        <v>138.90918742861001</v>
      </c>
      <c r="I3929" s="1">
        <f t="shared" si="123"/>
        <v>140.62898721824968</v>
      </c>
    </row>
    <row r="3930" spans="1:9" x14ac:dyDescent="0.45">
      <c r="A3930" t="s">
        <v>59</v>
      </c>
      <c r="B3930" t="s">
        <v>64</v>
      </c>
      <c r="C3930" t="str">
        <f t="shared" si="122"/>
        <v>St. John'sTroy</v>
      </c>
      <c r="D3930" t="s">
        <v>59</v>
      </c>
      <c r="E3930">
        <v>98.2</v>
      </c>
      <c r="F3930">
        <v>-26.079245283018899</v>
      </c>
      <c r="G3930">
        <v>-5342.2118579606104</v>
      </c>
      <c r="H3930">
        <v>139.88687020115501</v>
      </c>
      <c r="I3930" s="1">
        <f t="shared" si="123"/>
        <v>154.39582195473361</v>
      </c>
    </row>
    <row r="3931" spans="1:9" x14ac:dyDescent="0.45">
      <c r="A3931" t="s">
        <v>60</v>
      </c>
      <c r="B3931" t="s">
        <v>64</v>
      </c>
      <c r="C3931" t="str">
        <f t="shared" si="122"/>
        <v>TennesseeTroy</v>
      </c>
      <c r="D3931" t="s">
        <v>60</v>
      </c>
      <c r="E3931">
        <v>99.1</v>
      </c>
      <c r="F3931">
        <v>-30.622641509434001</v>
      </c>
      <c r="G3931">
        <v>-10687.116785496701</v>
      </c>
      <c r="H3931">
        <v>140.48085307784601</v>
      </c>
      <c r="I3931" s="1">
        <f t="shared" si="123"/>
        <v>162.75974564178006</v>
      </c>
    </row>
    <row r="3932" spans="1:9" x14ac:dyDescent="0.45">
      <c r="A3932" t="s">
        <v>61</v>
      </c>
      <c r="B3932" t="s">
        <v>64</v>
      </c>
      <c r="C3932" t="str">
        <f t="shared" si="122"/>
        <v>TexasTroy</v>
      </c>
      <c r="D3932" t="s">
        <v>61</v>
      </c>
      <c r="E3932">
        <v>81.400000000000006</v>
      </c>
      <c r="F3932">
        <v>-9.6716981132075492</v>
      </c>
      <c r="G3932">
        <v>-437.21377888073903</v>
      </c>
      <c r="H3932">
        <v>138.23656760891799</v>
      </c>
      <c r="I3932" s="1">
        <f t="shared" si="123"/>
        <v>131.15777001138468</v>
      </c>
    </row>
    <row r="3933" spans="1:9" x14ac:dyDescent="0.45">
      <c r="A3933" t="s">
        <v>62</v>
      </c>
      <c r="B3933" t="s">
        <v>64</v>
      </c>
      <c r="C3933" t="str">
        <f t="shared" si="122"/>
        <v>Texas A&amp;MTroy</v>
      </c>
      <c r="D3933" t="s">
        <v>62</v>
      </c>
      <c r="E3933">
        <v>96.2</v>
      </c>
      <c r="F3933">
        <v>-21.166037735849098</v>
      </c>
      <c r="G3933">
        <v>-2525.1937951678501</v>
      </c>
      <c r="H3933">
        <v>139.034366636512</v>
      </c>
      <c r="I3933" s="1">
        <f t="shared" si="123"/>
        <v>142.3916463506641</v>
      </c>
    </row>
    <row r="3934" spans="1:9" x14ac:dyDescent="0.45">
      <c r="A3934" t="s">
        <v>63</v>
      </c>
      <c r="B3934" t="s">
        <v>64</v>
      </c>
      <c r="C3934" t="str">
        <f t="shared" si="122"/>
        <v>Texas TechTroy</v>
      </c>
      <c r="D3934" t="s">
        <v>63</v>
      </c>
      <c r="E3934">
        <v>98</v>
      </c>
      <c r="F3934">
        <v>-25.618867924528299</v>
      </c>
      <c r="G3934">
        <v>-4979.79249657524</v>
      </c>
      <c r="H3934">
        <v>140.074150755576</v>
      </c>
      <c r="I3934" s="1">
        <f t="shared" si="123"/>
        <v>157.03293545869715</v>
      </c>
    </row>
    <row r="3935" spans="1:9" x14ac:dyDescent="0.45">
      <c r="A3935" t="s">
        <v>64</v>
      </c>
      <c r="B3935" t="s">
        <v>64</v>
      </c>
      <c r="C3935" t="str">
        <f t="shared" si="122"/>
        <v>TroyTroy</v>
      </c>
      <c r="D3935" t="s">
        <v>64</v>
      </c>
      <c r="E3935">
        <v>41.2</v>
      </c>
      <c r="F3935">
        <v>2.3283018867924499</v>
      </c>
      <c r="G3935">
        <v>142.64273539779199</v>
      </c>
      <c r="H3935">
        <v>138.77771517530499</v>
      </c>
      <c r="I3935" s="1">
        <f t="shared" si="123"/>
        <v>138.77771517530277</v>
      </c>
    </row>
    <row r="3936" spans="1:9" x14ac:dyDescent="0.45">
      <c r="A3936" t="s">
        <v>65</v>
      </c>
      <c r="B3936" t="s">
        <v>64</v>
      </c>
      <c r="C3936" t="str">
        <f t="shared" si="122"/>
        <v>UC San DiegoTroy</v>
      </c>
      <c r="D3936" t="s">
        <v>65</v>
      </c>
      <c r="E3936">
        <v>64.2</v>
      </c>
      <c r="F3936">
        <v>-3.8339622641509399</v>
      </c>
      <c r="G3936">
        <v>-179.430604581105</v>
      </c>
      <c r="H3936">
        <v>138.865836918696</v>
      </c>
      <c r="I3936" s="1">
        <f t="shared" si="123"/>
        <v>140.01856498060002</v>
      </c>
    </row>
    <row r="3937" spans="1:9" x14ac:dyDescent="0.45">
      <c r="A3937" t="s">
        <v>66</v>
      </c>
      <c r="B3937" t="s">
        <v>64</v>
      </c>
      <c r="C3937" t="str">
        <f t="shared" si="122"/>
        <v>UCLATroy</v>
      </c>
      <c r="D3937" t="s">
        <v>66</v>
      </c>
      <c r="E3937">
        <v>87.7</v>
      </c>
      <c r="F3937">
        <v>-12.8754716981132</v>
      </c>
      <c r="G3937">
        <v>-713.01601421137195</v>
      </c>
      <c r="H3937">
        <v>138.337291431805</v>
      </c>
      <c r="I3937" s="1">
        <f t="shared" si="123"/>
        <v>132.57607077585729</v>
      </c>
    </row>
    <row r="3938" spans="1:9" x14ac:dyDescent="0.45">
      <c r="A3938" t="s">
        <v>67</v>
      </c>
      <c r="B3938" t="s">
        <v>64</v>
      </c>
      <c r="C3938" t="str">
        <f t="shared" si="122"/>
        <v>UNC WilmingtonTroy</v>
      </c>
      <c r="D3938" t="s">
        <v>67</v>
      </c>
      <c r="E3938">
        <v>51.8</v>
      </c>
      <c r="F3938">
        <v>-0.47169811320754701</v>
      </c>
      <c r="G3938">
        <v>-107.462844186965</v>
      </c>
      <c r="H3938">
        <v>139.452307105725</v>
      </c>
      <c r="I3938" s="1">
        <f t="shared" si="123"/>
        <v>148.27670184199326</v>
      </c>
    </row>
    <row r="3939" spans="1:9" x14ac:dyDescent="0.45">
      <c r="A3939" t="s">
        <v>68</v>
      </c>
      <c r="B3939" t="s">
        <v>64</v>
      </c>
      <c r="C3939" t="str">
        <f t="shared" si="122"/>
        <v>Utah St.Troy</v>
      </c>
      <c r="D3939" t="s">
        <v>68</v>
      </c>
      <c r="E3939">
        <v>84.5</v>
      </c>
      <c r="F3939">
        <v>-11.1169811320755</v>
      </c>
      <c r="G3939">
        <v>-545.05124574644196</v>
      </c>
      <c r="H3939">
        <v>138.823677509552</v>
      </c>
      <c r="I3939" s="1">
        <f t="shared" si="123"/>
        <v>139.42491473476159</v>
      </c>
    </row>
    <row r="3940" spans="1:9" x14ac:dyDescent="0.45">
      <c r="A3940" t="s">
        <v>69</v>
      </c>
      <c r="B3940" t="s">
        <v>64</v>
      </c>
      <c r="C3940" t="str">
        <f t="shared" si="122"/>
        <v>VanderbiltTroy</v>
      </c>
      <c r="D3940" t="s">
        <v>69</v>
      </c>
      <c r="E3940">
        <v>53.8</v>
      </c>
      <c r="F3940">
        <v>-0.99245283018867902</v>
      </c>
      <c r="G3940">
        <v>-116.37169161580501</v>
      </c>
      <c r="H3940">
        <v>137.39824799815</v>
      </c>
      <c r="I3940" s="1">
        <f t="shared" si="123"/>
        <v>119.35331987491116</v>
      </c>
    </row>
    <row r="3941" spans="1:9" x14ac:dyDescent="0.45">
      <c r="A3941" t="s">
        <v>70</v>
      </c>
      <c r="B3941" t="s">
        <v>64</v>
      </c>
      <c r="C3941" t="str">
        <f t="shared" si="122"/>
        <v>VCUTroy</v>
      </c>
      <c r="D3941" t="s">
        <v>70</v>
      </c>
      <c r="E3941">
        <v>78.099999999999994</v>
      </c>
      <c r="F3941">
        <v>-8.3396226415094308</v>
      </c>
      <c r="G3941">
        <v>-356.92536294781797</v>
      </c>
      <c r="H3941">
        <v>139.24315916002601</v>
      </c>
      <c r="I3941" s="1">
        <f t="shared" si="123"/>
        <v>145.33167173123661</v>
      </c>
    </row>
    <row r="3942" spans="1:9" x14ac:dyDescent="0.45">
      <c r="A3942" t="s">
        <v>71</v>
      </c>
      <c r="B3942" t="s">
        <v>64</v>
      </c>
      <c r="C3942" t="str">
        <f t="shared" si="122"/>
        <v>WisconsinTroy</v>
      </c>
      <c r="D3942" t="s">
        <v>71</v>
      </c>
      <c r="E3942">
        <v>97.8</v>
      </c>
      <c r="F3942">
        <v>-24.803773584905699</v>
      </c>
      <c r="G3942">
        <v>-4397.6254738053703</v>
      </c>
      <c r="H3942">
        <v>140.04383801529201</v>
      </c>
      <c r="I3942" s="1">
        <f t="shared" si="123"/>
        <v>156.60609917026247</v>
      </c>
    </row>
    <row r="3943" spans="1:9" x14ac:dyDescent="0.45">
      <c r="A3943" t="s">
        <v>80</v>
      </c>
      <c r="B3943" t="s">
        <v>64</v>
      </c>
      <c r="C3943" t="str">
        <f t="shared" si="122"/>
        <v>WoffordTroy</v>
      </c>
      <c r="D3943" t="s">
        <v>64</v>
      </c>
      <c r="E3943">
        <v>26.8</v>
      </c>
      <c r="F3943">
        <v>6.5811320754717002</v>
      </c>
      <c r="G3943">
        <v>272.933498908052</v>
      </c>
      <c r="H3943">
        <v>138.07329375438701</v>
      </c>
      <c r="I3943" s="1">
        <f t="shared" si="123"/>
        <v>128.85869690174437</v>
      </c>
    </row>
    <row r="3944" spans="1:9" x14ac:dyDescent="0.45">
      <c r="A3944" t="s">
        <v>72</v>
      </c>
      <c r="B3944" t="s">
        <v>64</v>
      </c>
      <c r="C3944" t="str">
        <f t="shared" si="122"/>
        <v>XavierTroy</v>
      </c>
      <c r="D3944" t="s">
        <v>72</v>
      </c>
      <c r="E3944">
        <v>77.900000000000006</v>
      </c>
      <c r="F3944">
        <v>-8.2641509433962295</v>
      </c>
      <c r="G3944">
        <v>-352.79522730000599</v>
      </c>
      <c r="H3944">
        <v>138.64920732453899</v>
      </c>
      <c r="I3944" s="1">
        <f t="shared" si="123"/>
        <v>136.96818513803822</v>
      </c>
    </row>
    <row r="3945" spans="1:9" x14ac:dyDescent="0.45">
      <c r="A3945" t="s">
        <v>73</v>
      </c>
      <c r="B3945" t="s">
        <v>64</v>
      </c>
      <c r="C3945" t="str">
        <f t="shared" si="122"/>
        <v>YaleTroy</v>
      </c>
      <c r="D3945" t="s">
        <v>73</v>
      </c>
      <c r="E3945">
        <v>66.3</v>
      </c>
      <c r="F3945">
        <v>-4.4415094339622598</v>
      </c>
      <c r="G3945">
        <v>-196.88431597018101</v>
      </c>
      <c r="H3945">
        <v>139.44844195860099</v>
      </c>
      <c r="I3945" s="1">
        <f t="shared" si="123"/>
        <v>148.22227637477363</v>
      </c>
    </row>
    <row r="3946" spans="1:9" x14ac:dyDescent="0.45">
      <c r="A3946" t="s">
        <v>7</v>
      </c>
      <c r="B3946" t="s">
        <v>65</v>
      </c>
      <c r="C3946" t="str">
        <f t="shared" si="122"/>
        <v>AkronUC San Diego</v>
      </c>
      <c r="D3946" t="s">
        <v>65</v>
      </c>
      <c r="E3946">
        <v>28.2</v>
      </c>
      <c r="F3946">
        <v>6.11320754716981</v>
      </c>
      <c r="G3946">
        <v>254.15745076499201</v>
      </c>
      <c r="H3946">
        <v>138.142785670656</v>
      </c>
      <c r="I3946" s="1">
        <f t="shared" si="123"/>
        <v>129.83721851802116</v>
      </c>
    </row>
    <row r="3947" spans="1:9" x14ac:dyDescent="0.45">
      <c r="A3947" t="s">
        <v>8</v>
      </c>
      <c r="B3947" t="s">
        <v>65</v>
      </c>
      <c r="C3947" t="str">
        <f t="shared" si="122"/>
        <v>AlabamaUC San Diego</v>
      </c>
      <c r="D3947" t="s">
        <v>8</v>
      </c>
      <c r="E3947">
        <v>96.7</v>
      </c>
      <c r="F3947">
        <v>-22.060377358490602</v>
      </c>
      <c r="G3947">
        <v>-2893.4822804075002</v>
      </c>
      <c r="H3947">
        <v>139.890881682795</v>
      </c>
      <c r="I3947" s="1">
        <f t="shared" si="123"/>
        <v>154.45230797078813</v>
      </c>
    </row>
    <row r="3948" spans="1:9" x14ac:dyDescent="0.45">
      <c r="A3948" t="s">
        <v>9</v>
      </c>
      <c r="B3948" t="s">
        <v>65</v>
      </c>
      <c r="C3948" t="str">
        <f t="shared" si="122"/>
        <v>Alabama St.UC San Diego</v>
      </c>
      <c r="D3948" t="s">
        <v>65</v>
      </c>
      <c r="E3948">
        <v>5.8</v>
      </c>
      <c r="F3948">
        <v>18.252830188679201</v>
      </c>
      <c r="G3948">
        <v>1619.4463802994801</v>
      </c>
      <c r="H3948">
        <v>138.36962652646901</v>
      </c>
      <c r="I3948" s="1">
        <f t="shared" si="123"/>
        <v>133.03138400927878</v>
      </c>
    </row>
    <row r="3949" spans="1:9" x14ac:dyDescent="0.45">
      <c r="A3949" t="s">
        <v>10</v>
      </c>
      <c r="B3949" t="s">
        <v>65</v>
      </c>
      <c r="C3949" t="str">
        <f t="shared" si="122"/>
        <v>AmericanUC San Diego</v>
      </c>
      <c r="D3949" t="s">
        <v>65</v>
      </c>
      <c r="E3949">
        <v>7</v>
      </c>
      <c r="F3949">
        <v>16.9924528301887</v>
      </c>
      <c r="G3949">
        <v>1335.57706681897</v>
      </c>
      <c r="H3949">
        <v>138.46071240807299</v>
      </c>
      <c r="I3949" s="1">
        <f t="shared" si="123"/>
        <v>134.31397209826071</v>
      </c>
    </row>
    <row r="3950" spans="1:9" x14ac:dyDescent="0.45">
      <c r="A3950" t="s">
        <v>11</v>
      </c>
      <c r="B3950" t="s">
        <v>65</v>
      </c>
      <c r="C3950" t="str">
        <f t="shared" si="122"/>
        <v>ArizonaUC San Diego</v>
      </c>
      <c r="D3950" t="s">
        <v>11</v>
      </c>
      <c r="E3950">
        <v>95.4</v>
      </c>
      <c r="F3950">
        <v>-19.818867924528298</v>
      </c>
      <c r="G3950">
        <v>-2055.80831211947</v>
      </c>
      <c r="H3950">
        <v>139.65324050178501</v>
      </c>
      <c r="I3950" s="1">
        <f t="shared" si="123"/>
        <v>151.10606217673447</v>
      </c>
    </row>
    <row r="3951" spans="1:9" x14ac:dyDescent="0.45">
      <c r="A3951" t="s">
        <v>12</v>
      </c>
      <c r="B3951" t="s">
        <v>65</v>
      </c>
      <c r="C3951" t="str">
        <f t="shared" si="122"/>
        <v>ArkansasUC San Diego</v>
      </c>
      <c r="D3951" t="s">
        <v>12</v>
      </c>
      <c r="E3951">
        <v>55.4</v>
      </c>
      <c r="F3951">
        <v>-1.4264150943396201</v>
      </c>
      <c r="G3951">
        <v>-124.30668275267</v>
      </c>
      <c r="H3951">
        <v>137.77084433564301</v>
      </c>
      <c r="I3951" s="1">
        <f t="shared" si="123"/>
        <v>124.59988076943625</v>
      </c>
    </row>
    <row r="3952" spans="1:9" x14ac:dyDescent="0.45">
      <c r="A3952" t="s">
        <v>13</v>
      </c>
      <c r="B3952" t="s">
        <v>65</v>
      </c>
      <c r="C3952" t="str">
        <f t="shared" si="122"/>
        <v>AuburnUC San Diego</v>
      </c>
      <c r="D3952" t="s">
        <v>13</v>
      </c>
      <c r="E3952">
        <v>98.3</v>
      </c>
      <c r="F3952">
        <v>-26.4679245283019</v>
      </c>
      <c r="G3952">
        <v>-5670.5103564145402</v>
      </c>
      <c r="H3952">
        <v>140.90956374090399</v>
      </c>
      <c r="I3952" s="1">
        <f t="shared" si="123"/>
        <v>168.79645715376091</v>
      </c>
    </row>
    <row r="3953" spans="1:9" x14ac:dyDescent="0.45">
      <c r="A3953" t="s">
        <v>14</v>
      </c>
      <c r="B3953" t="s">
        <v>65</v>
      </c>
      <c r="C3953" t="str">
        <f t="shared" si="122"/>
        <v>BaylorUC San Diego</v>
      </c>
      <c r="D3953" t="s">
        <v>14</v>
      </c>
      <c r="E3953">
        <v>85.7</v>
      </c>
      <c r="F3953">
        <v>-11.739622641509399</v>
      </c>
      <c r="G3953">
        <v>-599.28643737971402</v>
      </c>
      <c r="H3953">
        <v>139.44456175362899</v>
      </c>
      <c r="I3953" s="1">
        <f t="shared" si="123"/>
        <v>148.16763887670845</v>
      </c>
    </row>
    <row r="3954" spans="1:9" x14ac:dyDescent="0.45">
      <c r="A3954" t="s">
        <v>15</v>
      </c>
      <c r="B3954" t="s">
        <v>65</v>
      </c>
      <c r="C3954" t="str">
        <f t="shared" si="122"/>
        <v>BryantUC San Diego</v>
      </c>
      <c r="D3954" t="s">
        <v>65</v>
      </c>
      <c r="E3954">
        <v>21.3</v>
      </c>
      <c r="F3954">
        <v>8.5471698113207495</v>
      </c>
      <c r="G3954">
        <v>368.38818726433698</v>
      </c>
      <c r="H3954">
        <v>138.99355950352299</v>
      </c>
      <c r="I3954" s="1">
        <f t="shared" si="123"/>
        <v>141.81703762101745</v>
      </c>
    </row>
    <row r="3955" spans="1:9" x14ac:dyDescent="0.45">
      <c r="A3955" t="s">
        <v>16</v>
      </c>
      <c r="B3955" t="s">
        <v>65</v>
      </c>
      <c r="C3955" t="str">
        <f t="shared" si="122"/>
        <v>BYUUC San Diego</v>
      </c>
      <c r="D3955" t="s">
        <v>16</v>
      </c>
      <c r="E3955">
        <v>88</v>
      </c>
      <c r="F3955">
        <v>-13.030188679245301</v>
      </c>
      <c r="G3955">
        <v>-730.080976387173</v>
      </c>
      <c r="H3955">
        <v>139.254079981747</v>
      </c>
      <c r="I3955" s="1">
        <f t="shared" si="123"/>
        <v>145.48544875589263</v>
      </c>
    </row>
    <row r="3956" spans="1:9" x14ac:dyDescent="0.45">
      <c r="A3956" t="s">
        <v>17</v>
      </c>
      <c r="B3956" t="s">
        <v>65</v>
      </c>
      <c r="C3956" t="str">
        <f t="shared" si="122"/>
        <v>ClemsonUC San Diego</v>
      </c>
      <c r="D3956" t="s">
        <v>17</v>
      </c>
      <c r="E3956">
        <v>90.3</v>
      </c>
      <c r="F3956">
        <v>-14.6566037735849</v>
      </c>
      <c r="G3956">
        <v>-935.45426263872298</v>
      </c>
      <c r="H3956">
        <v>139.475991838038</v>
      </c>
      <c r="I3956" s="1">
        <f t="shared" si="123"/>
        <v>148.61020858332836</v>
      </c>
    </row>
    <row r="3957" spans="1:9" x14ac:dyDescent="0.45">
      <c r="A3957" t="s">
        <v>18</v>
      </c>
      <c r="B3957" t="s">
        <v>65</v>
      </c>
      <c r="C3957" t="str">
        <f t="shared" si="122"/>
        <v>Colorado St.UC San Diego</v>
      </c>
      <c r="D3957" t="s">
        <v>18</v>
      </c>
      <c r="E3957">
        <v>60.6</v>
      </c>
      <c r="F3957">
        <v>-2.8188679245283002</v>
      </c>
      <c r="G3957">
        <v>-153.70253428172299</v>
      </c>
      <c r="H3957">
        <v>138.78338368614399</v>
      </c>
      <c r="I3957" s="1">
        <f t="shared" si="123"/>
        <v>138.8575339612259</v>
      </c>
    </row>
    <row r="3958" spans="1:9" x14ac:dyDescent="0.45">
      <c r="A3958" t="s">
        <v>19</v>
      </c>
      <c r="B3958" t="s">
        <v>65</v>
      </c>
      <c r="C3958" t="str">
        <f t="shared" si="122"/>
        <v>ConnecticutUC San Diego</v>
      </c>
      <c r="D3958" t="s">
        <v>19</v>
      </c>
      <c r="E3958">
        <v>94.1</v>
      </c>
      <c r="F3958">
        <v>-18.1207547169811</v>
      </c>
      <c r="G3958">
        <v>-1586.6387958503999</v>
      </c>
      <c r="H3958">
        <v>139.41893558848</v>
      </c>
      <c r="I3958" s="1">
        <f t="shared" si="123"/>
        <v>147.8067946535688</v>
      </c>
    </row>
    <row r="3959" spans="1:9" x14ac:dyDescent="0.45">
      <c r="A3959" t="s">
        <v>20</v>
      </c>
      <c r="B3959" t="s">
        <v>65</v>
      </c>
      <c r="C3959" t="str">
        <f t="shared" si="122"/>
        <v>CreightonUC San Diego</v>
      </c>
      <c r="D3959" t="s">
        <v>20</v>
      </c>
      <c r="E3959">
        <v>83.1</v>
      </c>
      <c r="F3959">
        <v>-10.430188679245299</v>
      </c>
      <c r="G3959">
        <v>-490.79264085580502</v>
      </c>
      <c r="H3959">
        <v>138.891877950744</v>
      </c>
      <c r="I3959" s="1">
        <f t="shared" si="123"/>
        <v>140.38525098002606</v>
      </c>
    </row>
    <row r="3960" spans="1:9" x14ac:dyDescent="0.45">
      <c r="A3960" t="s">
        <v>21</v>
      </c>
      <c r="B3960" t="s">
        <v>65</v>
      </c>
      <c r="C3960" t="str">
        <f t="shared" si="122"/>
        <v>DrakeUC San Diego</v>
      </c>
      <c r="D3960" t="s">
        <v>21</v>
      </c>
      <c r="E3960">
        <v>60.4</v>
      </c>
      <c r="F3960">
        <v>-2.7660377358490602</v>
      </c>
      <c r="G3960">
        <v>-152.51871259551001</v>
      </c>
      <c r="H3960">
        <v>138.94534305489799</v>
      </c>
      <c r="I3960" s="1">
        <f t="shared" si="123"/>
        <v>141.1380976842191</v>
      </c>
    </row>
    <row r="3961" spans="1:9" x14ac:dyDescent="0.45">
      <c r="A3961" t="s">
        <v>22</v>
      </c>
      <c r="B3961" t="s">
        <v>65</v>
      </c>
      <c r="C3961" t="str">
        <f t="shared" si="122"/>
        <v>DukeUC San Diego</v>
      </c>
      <c r="D3961" t="s">
        <v>22</v>
      </c>
      <c r="E3961">
        <v>98.8</v>
      </c>
      <c r="F3961">
        <v>-28.977358490566001</v>
      </c>
      <c r="G3961">
        <v>-8314.4124988510594</v>
      </c>
      <c r="H3961">
        <v>141.23266351635399</v>
      </c>
      <c r="I3961" s="1">
        <f t="shared" si="123"/>
        <v>173.34605272496708</v>
      </c>
    </row>
    <row r="3962" spans="1:9" x14ac:dyDescent="0.45">
      <c r="A3962" t="s">
        <v>23</v>
      </c>
      <c r="B3962" t="s">
        <v>65</v>
      </c>
      <c r="C3962" t="str">
        <f t="shared" si="122"/>
        <v>FloridaUC San Diego</v>
      </c>
      <c r="D3962" t="s">
        <v>23</v>
      </c>
      <c r="E3962">
        <v>97.9</v>
      </c>
      <c r="F3962">
        <v>-25.079245283018899</v>
      </c>
      <c r="G3962">
        <v>-4586.5374255133802</v>
      </c>
      <c r="H3962">
        <v>140.956419792296</v>
      </c>
      <c r="I3962" s="1">
        <f t="shared" si="123"/>
        <v>169.45624122077368</v>
      </c>
    </row>
    <row r="3963" spans="1:9" x14ac:dyDescent="0.45">
      <c r="A3963" t="s">
        <v>24</v>
      </c>
      <c r="B3963" t="s">
        <v>65</v>
      </c>
      <c r="C3963" t="str">
        <f t="shared" si="122"/>
        <v>GeorgiaUC San Diego</v>
      </c>
      <c r="D3963" t="s">
        <v>24</v>
      </c>
      <c r="E3963">
        <v>63.3</v>
      </c>
      <c r="F3963">
        <v>-3.5735849056603799</v>
      </c>
      <c r="G3963">
        <v>-172.44484234351501</v>
      </c>
      <c r="H3963">
        <v>138.098233316641</v>
      </c>
      <c r="I3963" s="1">
        <f t="shared" si="123"/>
        <v>129.20987301079782</v>
      </c>
    </row>
    <row r="3964" spans="1:9" x14ac:dyDescent="0.45">
      <c r="A3964" t="s">
        <v>25</v>
      </c>
      <c r="B3964" t="s">
        <v>65</v>
      </c>
      <c r="C3964" t="str">
        <f t="shared" si="122"/>
        <v>GonzagaUC San Diego</v>
      </c>
      <c r="D3964" t="s">
        <v>25</v>
      </c>
      <c r="E3964">
        <v>90.7</v>
      </c>
      <c r="F3964">
        <v>-14.898113207547199</v>
      </c>
      <c r="G3964">
        <v>-970.66968586361497</v>
      </c>
      <c r="H3964">
        <v>140.23587443616901</v>
      </c>
      <c r="I3964" s="1">
        <f t="shared" si="123"/>
        <v>159.31018043653833</v>
      </c>
    </row>
    <row r="3965" spans="1:9" x14ac:dyDescent="0.45">
      <c r="A3965" t="s">
        <v>26</v>
      </c>
      <c r="B3965" t="s">
        <v>65</v>
      </c>
      <c r="C3965" t="str">
        <f t="shared" si="122"/>
        <v>Grand CanyonUC San Diego</v>
      </c>
      <c r="D3965" t="s">
        <v>65</v>
      </c>
      <c r="E3965">
        <v>48.7</v>
      </c>
      <c r="F3965">
        <v>0.35094339622641502</v>
      </c>
      <c r="G3965">
        <v>105.489960497959</v>
      </c>
      <c r="H3965">
        <v>138.88784268247301</v>
      </c>
      <c r="I3965" s="1">
        <f t="shared" si="123"/>
        <v>140.32843002238602</v>
      </c>
    </row>
    <row r="3966" spans="1:9" x14ac:dyDescent="0.45">
      <c r="A3966" t="s">
        <v>27</v>
      </c>
      <c r="B3966" t="s">
        <v>65</v>
      </c>
      <c r="C3966" t="str">
        <f t="shared" si="122"/>
        <v>High PointUC San Diego</v>
      </c>
      <c r="D3966" t="s">
        <v>65</v>
      </c>
      <c r="E3966">
        <v>38.299999999999997</v>
      </c>
      <c r="F3966">
        <v>3.12452830188679</v>
      </c>
      <c r="G3966">
        <v>161.02273481311701</v>
      </c>
      <c r="H3966">
        <v>139.16873443012901</v>
      </c>
      <c r="I3966" s="1">
        <f t="shared" si="123"/>
        <v>144.28369074438501</v>
      </c>
    </row>
    <row r="3967" spans="1:9" x14ac:dyDescent="0.45">
      <c r="A3967" t="s">
        <v>28</v>
      </c>
      <c r="B3967" t="s">
        <v>65</v>
      </c>
      <c r="C3967" t="str">
        <f t="shared" si="122"/>
        <v>HoustonUC San Diego</v>
      </c>
      <c r="D3967" t="s">
        <v>28</v>
      </c>
      <c r="E3967">
        <v>99.3</v>
      </c>
      <c r="F3967">
        <v>-32.490566037735803</v>
      </c>
      <c r="G3967">
        <v>-14210.809357878399</v>
      </c>
      <c r="H3967">
        <v>141.376327865983</v>
      </c>
      <c r="I3967" s="1">
        <f t="shared" si="123"/>
        <v>175.36900271898057</v>
      </c>
    </row>
    <row r="3968" spans="1:9" x14ac:dyDescent="0.45">
      <c r="A3968" t="s">
        <v>29</v>
      </c>
      <c r="B3968" t="s">
        <v>65</v>
      </c>
      <c r="C3968" t="str">
        <f t="shared" si="122"/>
        <v>IllinoisUC San Diego</v>
      </c>
      <c r="D3968" t="s">
        <v>29</v>
      </c>
      <c r="E3968">
        <v>93.4</v>
      </c>
      <c r="F3968">
        <v>-17.381132075471701</v>
      </c>
      <c r="G3968">
        <v>-1417.4774711779401</v>
      </c>
      <c r="H3968">
        <v>139.42657301992</v>
      </c>
      <c r="I3968" s="1">
        <f t="shared" si="123"/>
        <v>147.91433797886648</v>
      </c>
    </row>
    <row r="3969" spans="1:9" x14ac:dyDescent="0.45">
      <c r="A3969" t="s">
        <v>30</v>
      </c>
      <c r="B3969" t="s">
        <v>65</v>
      </c>
      <c r="C3969" t="str">
        <f t="shared" si="122"/>
        <v>Iowa St.UC San Diego</v>
      </c>
      <c r="D3969" t="s">
        <v>30</v>
      </c>
      <c r="E3969">
        <v>96.8</v>
      </c>
      <c r="F3969">
        <v>-22.264150943396199</v>
      </c>
      <c r="G3969">
        <v>-2985.77133457731</v>
      </c>
      <c r="H3969">
        <v>140.35284159827799</v>
      </c>
      <c r="I3969" s="1">
        <f t="shared" si="123"/>
        <v>160.95720504980645</v>
      </c>
    </row>
    <row r="3970" spans="1:9" x14ac:dyDescent="0.45">
      <c r="A3970" t="s">
        <v>31</v>
      </c>
      <c r="B3970" t="s">
        <v>65</v>
      </c>
      <c r="C3970" t="str">
        <f t="shared" si="122"/>
        <v>KansasUC San Diego</v>
      </c>
      <c r="D3970" t="s">
        <v>31</v>
      </c>
      <c r="E3970">
        <v>89.7</v>
      </c>
      <c r="F3970">
        <v>-14.1622641509434</v>
      </c>
      <c r="G3970">
        <v>-867.451210770221</v>
      </c>
      <c r="H3970">
        <v>139.30823188259001</v>
      </c>
      <c r="I3970" s="1">
        <f t="shared" si="123"/>
        <v>146.2479663030021</v>
      </c>
    </row>
    <row r="3971" spans="1:9" x14ac:dyDescent="0.45">
      <c r="A3971" t="s">
        <v>32</v>
      </c>
      <c r="B3971" t="s">
        <v>65</v>
      </c>
      <c r="C3971" t="str">
        <f t="shared" ref="C3971:C4034" si="124">A3971&amp;B3971</f>
        <v>KentuckyUC San Diego</v>
      </c>
      <c r="D3971" t="s">
        <v>32</v>
      </c>
      <c r="E3971">
        <v>93.6</v>
      </c>
      <c r="F3971">
        <v>-17.588679245283</v>
      </c>
      <c r="G3971">
        <v>-1463.37092355652</v>
      </c>
      <c r="H3971">
        <v>139.25526948298199</v>
      </c>
      <c r="I3971" s="1">
        <f t="shared" ref="I3971:I4034" si="125">18*(H3971-AVERAGE($H$2:$H$4625))/_xlfn.STDEV.P($H$2:$H$4625)+AVERAGE($H$2:$H$4625)</f>
        <v>145.50219822451456</v>
      </c>
    </row>
    <row r="3972" spans="1:9" x14ac:dyDescent="0.45">
      <c r="A3972" t="s">
        <v>33</v>
      </c>
      <c r="B3972" t="s">
        <v>65</v>
      </c>
      <c r="C3972" t="str">
        <f t="shared" si="124"/>
        <v>LibertyUC San Diego</v>
      </c>
      <c r="D3972" t="s">
        <v>65</v>
      </c>
      <c r="E3972">
        <v>28.9</v>
      </c>
      <c r="F3972">
        <v>5.8981132075471701</v>
      </c>
      <c r="G3972">
        <v>245.926685552713</v>
      </c>
      <c r="H3972">
        <v>138.46420573138101</v>
      </c>
      <c r="I3972" s="1">
        <f t="shared" si="125"/>
        <v>134.36316188252729</v>
      </c>
    </row>
    <row r="3973" spans="1:9" x14ac:dyDescent="0.45">
      <c r="A3973" t="s">
        <v>34</v>
      </c>
      <c r="B3973" t="s">
        <v>65</v>
      </c>
      <c r="C3973" t="str">
        <f t="shared" si="124"/>
        <v>LipscombUC San Diego</v>
      </c>
      <c r="D3973" t="s">
        <v>65</v>
      </c>
      <c r="E3973">
        <v>23.8</v>
      </c>
      <c r="F3973">
        <v>7.64150943396226</v>
      </c>
      <c r="G3973">
        <v>320.80084680184001</v>
      </c>
      <c r="H3973">
        <v>138.89612596263899</v>
      </c>
      <c r="I3973" s="1">
        <f t="shared" si="125"/>
        <v>140.44506759883041</v>
      </c>
    </row>
    <row r="3974" spans="1:9" x14ac:dyDescent="0.45">
      <c r="A3974" t="s">
        <v>35</v>
      </c>
      <c r="B3974" t="s">
        <v>65</v>
      </c>
      <c r="C3974" t="str">
        <f t="shared" si="124"/>
        <v>LouisvilleUC San Diego</v>
      </c>
      <c r="D3974" t="s">
        <v>65</v>
      </c>
      <c r="E3974">
        <v>44.2</v>
      </c>
      <c r="F3974">
        <v>1.53207547169811</v>
      </c>
      <c r="G3974">
        <v>126.363671107367</v>
      </c>
      <c r="H3974">
        <v>138.181849274607</v>
      </c>
      <c r="I3974" s="1">
        <f t="shared" si="125"/>
        <v>130.38727646616837</v>
      </c>
    </row>
    <row r="3975" spans="1:9" x14ac:dyDescent="0.45">
      <c r="A3975" t="s">
        <v>36</v>
      </c>
      <c r="B3975" t="s">
        <v>65</v>
      </c>
      <c r="C3975" t="str">
        <f t="shared" si="124"/>
        <v>MarquetteUC San Diego</v>
      </c>
      <c r="D3975" t="s">
        <v>36</v>
      </c>
      <c r="E3975">
        <v>91.8</v>
      </c>
      <c r="F3975">
        <v>-15.811320754717</v>
      </c>
      <c r="G3975">
        <v>-1115.53492497556</v>
      </c>
      <c r="H3975">
        <v>139.51360590951199</v>
      </c>
      <c r="I3975" s="1">
        <f t="shared" si="125"/>
        <v>149.13985554069558</v>
      </c>
    </row>
    <row r="3976" spans="1:9" x14ac:dyDescent="0.45">
      <c r="A3976" t="s">
        <v>37</v>
      </c>
      <c r="B3976" t="s">
        <v>65</v>
      </c>
      <c r="C3976" t="str">
        <f t="shared" si="124"/>
        <v>MarylandUC San Diego</v>
      </c>
      <c r="D3976" t="s">
        <v>37</v>
      </c>
      <c r="E3976">
        <v>88.3</v>
      </c>
      <c r="F3976">
        <v>-13.267924528301901</v>
      </c>
      <c r="G3976">
        <v>-756.72627457614203</v>
      </c>
      <c r="H3976">
        <v>139.12354522119099</v>
      </c>
      <c r="I3976" s="1">
        <f t="shared" si="125"/>
        <v>143.64737762852366</v>
      </c>
    </row>
    <row r="3977" spans="1:9" x14ac:dyDescent="0.45">
      <c r="A3977" t="s">
        <v>38</v>
      </c>
      <c r="B3977" t="s">
        <v>65</v>
      </c>
      <c r="C3977" t="str">
        <f t="shared" si="124"/>
        <v>McNeese St.UC San Diego</v>
      </c>
      <c r="D3977" t="s">
        <v>38</v>
      </c>
      <c r="E3977">
        <v>57.4</v>
      </c>
      <c r="F3977">
        <v>-1.9584905660377401</v>
      </c>
      <c r="G3977">
        <v>-134.83096784799301</v>
      </c>
      <c r="H3977">
        <v>138.958956835392</v>
      </c>
      <c r="I3977" s="1">
        <f t="shared" si="125"/>
        <v>141.32979449167328</v>
      </c>
    </row>
    <row r="3978" spans="1:9" x14ac:dyDescent="0.45">
      <c r="A3978" t="s">
        <v>39</v>
      </c>
      <c r="B3978" t="s">
        <v>65</v>
      </c>
      <c r="C3978" t="str">
        <f t="shared" si="124"/>
        <v>MemphisUC San Diego</v>
      </c>
      <c r="D3978" t="s">
        <v>39</v>
      </c>
      <c r="E3978">
        <v>79.5</v>
      </c>
      <c r="F3978">
        <v>-8.8792452830188697</v>
      </c>
      <c r="G3978">
        <v>-387.58977302326798</v>
      </c>
      <c r="H3978">
        <v>138.10118003420999</v>
      </c>
      <c r="I3978" s="1">
        <f t="shared" si="125"/>
        <v>129.25136599290465</v>
      </c>
    </row>
    <row r="3979" spans="1:9" x14ac:dyDescent="0.45">
      <c r="A3979" t="s">
        <v>40</v>
      </c>
      <c r="B3979" t="s">
        <v>65</v>
      </c>
      <c r="C3979" t="str">
        <f t="shared" si="124"/>
        <v>MichiganUC San Diego</v>
      </c>
      <c r="D3979" t="s">
        <v>40</v>
      </c>
      <c r="E3979">
        <v>67.2</v>
      </c>
      <c r="F3979">
        <v>-4.6943396226415102</v>
      </c>
      <c r="G3979">
        <v>-204.59888831892701</v>
      </c>
      <c r="H3979">
        <v>137.75810111889399</v>
      </c>
      <c r="I3979" s="1">
        <f t="shared" si="125"/>
        <v>124.42044244453029</v>
      </c>
    </row>
    <row r="3980" spans="1:9" x14ac:dyDescent="0.45">
      <c r="A3980" t="s">
        <v>41</v>
      </c>
      <c r="B3980" t="s">
        <v>65</v>
      </c>
      <c r="C3980" t="str">
        <f t="shared" si="124"/>
        <v>Michigan St.UC San Diego</v>
      </c>
      <c r="D3980" t="s">
        <v>41</v>
      </c>
      <c r="E3980">
        <v>95.2</v>
      </c>
      <c r="F3980">
        <v>-19.5169811320755</v>
      </c>
      <c r="G3980">
        <v>-1963.2567751153499</v>
      </c>
      <c r="H3980">
        <v>139.45699307972299</v>
      </c>
      <c r="I3980" s="1">
        <f t="shared" si="125"/>
        <v>148.34268544262676</v>
      </c>
    </row>
    <row r="3981" spans="1:9" x14ac:dyDescent="0.45">
      <c r="A3981" t="s">
        <v>42</v>
      </c>
      <c r="B3981" t="s">
        <v>65</v>
      </c>
      <c r="C3981" t="str">
        <f t="shared" si="124"/>
        <v>MississippiUC San Diego</v>
      </c>
      <c r="D3981" t="s">
        <v>42</v>
      </c>
      <c r="E3981">
        <v>83.5</v>
      </c>
      <c r="F3981">
        <v>-10.6075471698113</v>
      </c>
      <c r="G3981">
        <v>-504.26429035642798</v>
      </c>
      <c r="H3981">
        <v>138.58791418481701</v>
      </c>
      <c r="I3981" s="1">
        <f t="shared" si="125"/>
        <v>136.10511119551978</v>
      </c>
    </row>
    <row r="3982" spans="1:9" x14ac:dyDescent="0.45">
      <c r="A3982" t="s">
        <v>43</v>
      </c>
      <c r="B3982" t="s">
        <v>65</v>
      </c>
      <c r="C3982" t="str">
        <f t="shared" si="124"/>
        <v>Mississippi St.UC San Diego</v>
      </c>
      <c r="D3982" t="s">
        <v>43</v>
      </c>
      <c r="E3982">
        <v>79.2</v>
      </c>
      <c r="F3982">
        <v>-8.7584905660377395</v>
      </c>
      <c r="G3982">
        <v>-380.33556024818699</v>
      </c>
      <c r="H3982">
        <v>138.71228553860601</v>
      </c>
      <c r="I3982" s="1">
        <f t="shared" si="125"/>
        <v>137.8563948650775</v>
      </c>
    </row>
    <row r="3983" spans="1:9" x14ac:dyDescent="0.45">
      <c r="A3983" t="s">
        <v>44</v>
      </c>
      <c r="B3983" t="s">
        <v>65</v>
      </c>
      <c r="C3983" t="str">
        <f t="shared" si="124"/>
        <v>MissouriUC San Diego</v>
      </c>
      <c r="D3983" t="s">
        <v>44</v>
      </c>
      <c r="E3983">
        <v>62.5</v>
      </c>
      <c r="F3983">
        <v>-3.34339622641509</v>
      </c>
      <c r="G3983">
        <v>-166.558956607791</v>
      </c>
      <c r="H3983">
        <v>137.97675747477999</v>
      </c>
      <c r="I3983" s="1">
        <f t="shared" si="125"/>
        <v>127.49936129233663</v>
      </c>
    </row>
    <row r="3984" spans="1:9" x14ac:dyDescent="0.45">
      <c r="A3984" t="s">
        <v>45</v>
      </c>
      <c r="B3984" t="s">
        <v>65</v>
      </c>
      <c r="C3984" t="str">
        <f t="shared" si="124"/>
        <v>MontanaUC San Diego</v>
      </c>
      <c r="D3984" t="s">
        <v>65</v>
      </c>
      <c r="E3984">
        <v>14</v>
      </c>
      <c r="F3984">
        <v>11.913207547169799</v>
      </c>
      <c r="G3984">
        <v>615.49436386126399</v>
      </c>
      <c r="H3984">
        <v>137.28549219979899</v>
      </c>
      <c r="I3984" s="1">
        <f t="shared" si="125"/>
        <v>117.76559583489581</v>
      </c>
    </row>
    <row r="3985" spans="1:9" x14ac:dyDescent="0.45">
      <c r="A3985" t="s">
        <v>46</v>
      </c>
      <c r="B3985" t="s">
        <v>65</v>
      </c>
      <c r="C3985" t="str">
        <f t="shared" si="124"/>
        <v>Mount St. Mary'sUC San Diego</v>
      </c>
      <c r="D3985" t="s">
        <v>65</v>
      </c>
      <c r="E3985">
        <v>6</v>
      </c>
      <c r="F3985">
        <v>18.030188679245299</v>
      </c>
      <c r="G3985">
        <v>1564.6772796581099</v>
      </c>
      <c r="H3985">
        <v>138.63336642174599</v>
      </c>
      <c r="I3985" s="1">
        <f t="shared" si="125"/>
        <v>136.7451280310174</v>
      </c>
    </row>
    <row r="3986" spans="1:9" x14ac:dyDescent="0.45">
      <c r="A3986" t="s">
        <v>47</v>
      </c>
      <c r="B3986" t="s">
        <v>65</v>
      </c>
      <c r="C3986" t="str">
        <f t="shared" si="124"/>
        <v>Nebraska OmahaUC San Diego</v>
      </c>
      <c r="D3986" t="s">
        <v>65</v>
      </c>
      <c r="E3986">
        <v>7.7</v>
      </c>
      <c r="F3986">
        <v>16.313207547169799</v>
      </c>
      <c r="G3986">
        <v>1204.3547026077199</v>
      </c>
      <c r="H3986">
        <v>137.91736760164599</v>
      </c>
      <c r="I3986" s="1">
        <f t="shared" si="125"/>
        <v>126.66308740942046</v>
      </c>
    </row>
    <row r="3987" spans="1:9" x14ac:dyDescent="0.45">
      <c r="A3987" t="s">
        <v>48</v>
      </c>
      <c r="B3987" t="s">
        <v>65</v>
      </c>
      <c r="C3987" t="str">
        <f t="shared" si="124"/>
        <v>New MexicoUC San Diego</v>
      </c>
      <c r="D3987" t="s">
        <v>48</v>
      </c>
      <c r="E3987">
        <v>68</v>
      </c>
      <c r="F3987">
        <v>-4.9358490566037698</v>
      </c>
      <c r="G3987">
        <v>-212.266331436032</v>
      </c>
      <c r="H3987">
        <v>138.795111948922</v>
      </c>
      <c r="I3987" s="1">
        <f t="shared" si="125"/>
        <v>139.0226806324622</v>
      </c>
    </row>
    <row r="3988" spans="1:9" x14ac:dyDescent="0.45">
      <c r="A3988" t="s">
        <v>49</v>
      </c>
      <c r="B3988" t="s">
        <v>65</v>
      </c>
      <c r="C3988" t="str">
        <f t="shared" si="124"/>
        <v>Norfolk St.UC San Diego</v>
      </c>
      <c r="D3988" t="s">
        <v>65</v>
      </c>
      <c r="E3988">
        <v>10.9</v>
      </c>
      <c r="F3988">
        <v>13.781132075471699</v>
      </c>
      <c r="G3988">
        <v>818.41160151178701</v>
      </c>
      <c r="H3988">
        <v>137.80747561112301</v>
      </c>
      <c r="I3988" s="1">
        <f t="shared" si="125"/>
        <v>125.11568889235849</v>
      </c>
    </row>
    <row r="3989" spans="1:9" x14ac:dyDescent="0.45">
      <c r="A3989" t="s">
        <v>50</v>
      </c>
      <c r="B3989" t="s">
        <v>65</v>
      </c>
      <c r="C3989" t="str">
        <f t="shared" si="124"/>
        <v>North CarolinaUC San Diego</v>
      </c>
      <c r="D3989" t="s">
        <v>50</v>
      </c>
      <c r="E3989">
        <v>87.9</v>
      </c>
      <c r="F3989">
        <v>-12.973584905660401</v>
      </c>
      <c r="G3989">
        <v>-723.72595353613701</v>
      </c>
      <c r="H3989">
        <v>139.879407043079</v>
      </c>
      <c r="I3989" s="1">
        <f t="shared" si="125"/>
        <v>154.29073258757907</v>
      </c>
    </row>
    <row r="3990" spans="1:9" x14ac:dyDescent="0.45">
      <c r="A3990" t="s">
        <v>51</v>
      </c>
      <c r="B3990" t="s">
        <v>65</v>
      </c>
      <c r="C3990" t="str">
        <f t="shared" si="124"/>
        <v>OklahomaUC San Diego</v>
      </c>
      <c r="D3990" t="s">
        <v>51</v>
      </c>
      <c r="E3990">
        <v>70.400000000000006</v>
      </c>
      <c r="F3990">
        <v>-5.6679245283018904</v>
      </c>
      <c r="G3990">
        <v>-237.44641950793701</v>
      </c>
      <c r="H3990">
        <v>138.222010338584</v>
      </c>
      <c r="I3990" s="1">
        <f t="shared" si="125"/>
        <v>130.95278784280177</v>
      </c>
    </row>
    <row r="3991" spans="1:9" x14ac:dyDescent="0.45">
      <c r="A3991" t="s">
        <v>52</v>
      </c>
      <c r="B3991" t="s">
        <v>65</v>
      </c>
      <c r="C3991" t="str">
        <f t="shared" si="124"/>
        <v>OregonUC San Diego</v>
      </c>
      <c r="D3991" t="s">
        <v>52</v>
      </c>
      <c r="E3991">
        <v>88.7</v>
      </c>
      <c r="F3991">
        <v>-13.494339622641499</v>
      </c>
      <c r="G3991">
        <v>-783.41166119908996</v>
      </c>
      <c r="H3991">
        <v>138.81638812672401</v>
      </c>
      <c r="I3991" s="1">
        <f t="shared" si="125"/>
        <v>139.32227231173647</v>
      </c>
    </row>
    <row r="3992" spans="1:9" x14ac:dyDescent="0.45">
      <c r="A3992" t="s">
        <v>53</v>
      </c>
      <c r="B3992" t="s">
        <v>65</v>
      </c>
      <c r="C3992" t="str">
        <f t="shared" si="124"/>
        <v>PurdueUC San Diego</v>
      </c>
      <c r="D3992" t="s">
        <v>53</v>
      </c>
      <c r="E3992">
        <v>97.6</v>
      </c>
      <c r="F3992">
        <v>-24.4037735849057</v>
      </c>
      <c r="G3992">
        <v>-4138.06875406361</v>
      </c>
      <c r="H3992">
        <v>140.16437545551301</v>
      </c>
      <c r="I3992" s="1">
        <f t="shared" si="125"/>
        <v>158.30339717497384</v>
      </c>
    </row>
    <row r="3993" spans="1:9" x14ac:dyDescent="0.45">
      <c r="A3993" t="s">
        <v>54</v>
      </c>
      <c r="B3993" t="s">
        <v>65</v>
      </c>
      <c r="C3993" t="str">
        <f t="shared" si="124"/>
        <v>Robert MorrisUC San Diego</v>
      </c>
      <c r="D3993" t="s">
        <v>65</v>
      </c>
      <c r="E3993">
        <v>4.8</v>
      </c>
      <c r="F3993">
        <v>19.5396226415094</v>
      </c>
      <c r="G3993">
        <v>1969.62378131114</v>
      </c>
      <c r="H3993">
        <v>137.22301230427601</v>
      </c>
      <c r="I3993" s="1">
        <f t="shared" si="125"/>
        <v>116.88581108244624</v>
      </c>
    </row>
    <row r="3994" spans="1:9" x14ac:dyDescent="0.45">
      <c r="A3994" t="s">
        <v>55</v>
      </c>
      <c r="B3994" t="s">
        <v>65</v>
      </c>
      <c r="C3994" t="str">
        <f t="shared" si="124"/>
        <v>Saint FrancisUC San Diego</v>
      </c>
      <c r="D3994" t="s">
        <v>65</v>
      </c>
      <c r="E3994">
        <v>3.2</v>
      </c>
      <c r="F3994">
        <v>22.264150943396199</v>
      </c>
      <c r="G3994">
        <v>2985.3702438641899</v>
      </c>
      <c r="H3994">
        <v>138.27586783748299</v>
      </c>
      <c r="I3994" s="1">
        <f t="shared" si="125"/>
        <v>131.71115989095878</v>
      </c>
    </row>
    <row r="3995" spans="1:9" x14ac:dyDescent="0.45">
      <c r="A3995" t="s">
        <v>56</v>
      </c>
      <c r="B3995" t="s">
        <v>65</v>
      </c>
      <c r="C3995" t="str">
        <f t="shared" si="124"/>
        <v>Saint Mary'sUC San Diego</v>
      </c>
      <c r="D3995" t="s">
        <v>56</v>
      </c>
      <c r="E3995">
        <v>87</v>
      </c>
      <c r="F3995">
        <v>-12.452830188679201</v>
      </c>
      <c r="G3995">
        <v>-668.16769661746196</v>
      </c>
      <c r="H3995">
        <v>139.527123038573</v>
      </c>
      <c r="I3995" s="1">
        <f t="shared" si="125"/>
        <v>149.33019139105542</v>
      </c>
    </row>
    <row r="3996" spans="1:9" x14ac:dyDescent="0.45">
      <c r="A3996" t="s">
        <v>57</v>
      </c>
      <c r="B3996" t="s">
        <v>65</v>
      </c>
      <c r="C3996" t="str">
        <f t="shared" si="124"/>
        <v>San Diego St.UC San Diego</v>
      </c>
      <c r="D3996" t="s">
        <v>57</v>
      </c>
      <c r="E3996">
        <v>66</v>
      </c>
      <c r="F3996">
        <v>-4.35849056603774</v>
      </c>
      <c r="G3996">
        <v>-194.421544684884</v>
      </c>
      <c r="H3996">
        <v>138.67337791837099</v>
      </c>
      <c r="I3996" s="1">
        <f t="shared" si="125"/>
        <v>137.30853333697559</v>
      </c>
    </row>
    <row r="3997" spans="1:9" x14ac:dyDescent="0.45">
      <c r="A3997" t="s">
        <v>58</v>
      </c>
      <c r="B3997" t="s">
        <v>65</v>
      </c>
      <c r="C3997" t="str">
        <f t="shared" si="124"/>
        <v>SIU EdwardsvilleUC San Diego</v>
      </c>
      <c r="D3997" t="s">
        <v>65</v>
      </c>
      <c r="E3997">
        <v>8.9</v>
      </c>
      <c r="F3997">
        <v>15.2415094339623</v>
      </c>
      <c r="G3997">
        <v>1022.42763538663</v>
      </c>
      <c r="H3997">
        <v>138.82106568521999</v>
      </c>
      <c r="I3997" s="1">
        <f t="shared" si="125"/>
        <v>139.38813741296642</v>
      </c>
    </row>
    <row r="3998" spans="1:9" x14ac:dyDescent="0.45">
      <c r="A3998" t="s">
        <v>59</v>
      </c>
      <c r="B3998" t="s">
        <v>65</v>
      </c>
      <c r="C3998" t="str">
        <f t="shared" si="124"/>
        <v>St. John'sUC San Diego</v>
      </c>
      <c r="D3998" t="s">
        <v>59</v>
      </c>
      <c r="E3998">
        <v>95.4</v>
      </c>
      <c r="F3998">
        <v>-19.916981132075499</v>
      </c>
      <c r="G3998">
        <v>-2087.2522025304102</v>
      </c>
      <c r="H3998">
        <v>139.79874845776399</v>
      </c>
      <c r="I3998" s="1">
        <f t="shared" si="125"/>
        <v>153.15497214943636</v>
      </c>
    </row>
    <row r="3999" spans="1:9" x14ac:dyDescent="0.45">
      <c r="A3999" t="s">
        <v>60</v>
      </c>
      <c r="B3999" t="s">
        <v>65</v>
      </c>
      <c r="C3999" t="str">
        <f t="shared" si="124"/>
        <v>TennesseeUC San Diego</v>
      </c>
      <c r="D3999" t="s">
        <v>60</v>
      </c>
      <c r="E3999">
        <v>97.7</v>
      </c>
      <c r="F3999">
        <v>-24.464150943396199</v>
      </c>
      <c r="G3999">
        <v>-4175.55661256443</v>
      </c>
      <c r="H3999">
        <v>140.39273133445499</v>
      </c>
      <c r="I3999" s="1">
        <f t="shared" si="125"/>
        <v>161.51889583648281</v>
      </c>
    </row>
    <row r="4000" spans="1:9" x14ac:dyDescent="0.45">
      <c r="A4000" t="s">
        <v>61</v>
      </c>
      <c r="B4000" t="s">
        <v>65</v>
      </c>
      <c r="C4000" t="str">
        <f t="shared" si="124"/>
        <v>TexasUC San Diego</v>
      </c>
      <c r="D4000" t="s">
        <v>61</v>
      </c>
      <c r="E4000">
        <v>63.1</v>
      </c>
      <c r="F4000">
        <v>-3.5094339622641502</v>
      </c>
      <c r="G4000">
        <v>-170.82351790028801</v>
      </c>
      <c r="H4000">
        <v>138.14844586552701</v>
      </c>
      <c r="I4000" s="1">
        <f t="shared" si="125"/>
        <v>129.91692020608784</v>
      </c>
    </row>
    <row r="4001" spans="1:9" x14ac:dyDescent="0.45">
      <c r="A4001" t="s">
        <v>62</v>
      </c>
      <c r="B4001" t="s">
        <v>65</v>
      </c>
      <c r="C4001" t="str">
        <f t="shared" si="124"/>
        <v>Texas A&amp;MUC San Diego</v>
      </c>
      <c r="D4001" t="s">
        <v>62</v>
      </c>
      <c r="E4001">
        <v>90.8</v>
      </c>
      <c r="F4001">
        <v>-15.0075471698113</v>
      </c>
      <c r="G4001">
        <v>-986.61686412270501</v>
      </c>
      <c r="H4001">
        <v>138.94624489312099</v>
      </c>
      <c r="I4001" s="1">
        <f t="shared" si="125"/>
        <v>141.15079654536686</v>
      </c>
    </row>
    <row r="4002" spans="1:9" x14ac:dyDescent="0.45">
      <c r="A4002" t="s">
        <v>63</v>
      </c>
      <c r="B4002" t="s">
        <v>65</v>
      </c>
      <c r="C4002" t="str">
        <f t="shared" si="124"/>
        <v>Texas TechUC San Diego</v>
      </c>
      <c r="D4002" t="s">
        <v>63</v>
      </c>
      <c r="E4002">
        <v>95.1</v>
      </c>
      <c r="F4002">
        <v>-19.456603773584899</v>
      </c>
      <c r="G4002">
        <v>-1945.6515639926299</v>
      </c>
      <c r="H4002">
        <v>139.98602901218501</v>
      </c>
      <c r="I4002" s="1">
        <f t="shared" si="125"/>
        <v>155.79208565340031</v>
      </c>
    </row>
    <row r="4003" spans="1:9" x14ac:dyDescent="0.45">
      <c r="A4003" t="s">
        <v>64</v>
      </c>
      <c r="B4003" t="s">
        <v>65</v>
      </c>
      <c r="C4003" t="str">
        <f t="shared" si="124"/>
        <v>TroyUC San Diego</v>
      </c>
      <c r="D4003" t="s">
        <v>65</v>
      </c>
      <c r="E4003">
        <v>21.5</v>
      </c>
      <c r="F4003">
        <v>8.4905660377358494</v>
      </c>
      <c r="G4003">
        <v>365.08655330208802</v>
      </c>
      <c r="H4003">
        <v>138.68959343191401</v>
      </c>
      <c r="I4003" s="1">
        <f t="shared" si="125"/>
        <v>137.5368653700059</v>
      </c>
    </row>
    <row r="4004" spans="1:9" x14ac:dyDescent="0.45">
      <c r="A4004" t="s">
        <v>65</v>
      </c>
      <c r="B4004" t="s">
        <v>65</v>
      </c>
      <c r="C4004" t="str">
        <f t="shared" si="124"/>
        <v>UC San DiegoUC San Diego</v>
      </c>
      <c r="D4004" t="s">
        <v>65</v>
      </c>
      <c r="E4004">
        <v>41.2</v>
      </c>
      <c r="F4004">
        <v>2.3283018867924499</v>
      </c>
      <c r="G4004">
        <v>142.64273539779199</v>
      </c>
      <c r="H4004">
        <v>138.77771517530499</v>
      </c>
      <c r="I4004" s="1">
        <f t="shared" si="125"/>
        <v>138.77771517530277</v>
      </c>
    </row>
    <row r="4005" spans="1:9" x14ac:dyDescent="0.45">
      <c r="A4005" t="s">
        <v>66</v>
      </c>
      <c r="B4005" t="s">
        <v>65</v>
      </c>
      <c r="C4005" t="str">
        <f t="shared" si="124"/>
        <v>UCLAUC San Diego</v>
      </c>
      <c r="D4005" t="s">
        <v>66</v>
      </c>
      <c r="E4005">
        <v>73.599999999999994</v>
      </c>
      <c r="F4005">
        <v>-6.7169811320754702</v>
      </c>
      <c r="G4005">
        <v>-278.58203412215101</v>
      </c>
      <c r="H4005">
        <v>138.24916968841401</v>
      </c>
      <c r="I4005" s="1">
        <f t="shared" si="125"/>
        <v>131.33522097056044</v>
      </c>
    </row>
    <row r="4006" spans="1:9" x14ac:dyDescent="0.45">
      <c r="A4006" t="s">
        <v>67</v>
      </c>
      <c r="B4006" t="s">
        <v>65</v>
      </c>
      <c r="C4006" t="str">
        <f t="shared" si="124"/>
        <v>UNC WilmingtonUC San Diego</v>
      </c>
      <c r="D4006" t="s">
        <v>65</v>
      </c>
      <c r="E4006">
        <v>29.6</v>
      </c>
      <c r="F4006">
        <v>5.6905660377358496</v>
      </c>
      <c r="G4006">
        <v>238.170434117664</v>
      </c>
      <c r="H4006">
        <v>139.36418536233401</v>
      </c>
      <c r="I4006" s="1">
        <f t="shared" si="125"/>
        <v>147.03585203669641</v>
      </c>
    </row>
    <row r="4007" spans="1:9" x14ac:dyDescent="0.45">
      <c r="A4007" t="s">
        <v>68</v>
      </c>
      <c r="B4007" t="s">
        <v>65</v>
      </c>
      <c r="C4007" t="str">
        <f t="shared" si="124"/>
        <v>Utah St.UC San Diego</v>
      </c>
      <c r="D4007" t="s">
        <v>68</v>
      </c>
      <c r="E4007">
        <v>68</v>
      </c>
      <c r="F4007">
        <v>-4.9547169811320799</v>
      </c>
      <c r="G4007">
        <v>-212.956626098784</v>
      </c>
      <c r="H4007">
        <v>138.73555576616101</v>
      </c>
      <c r="I4007" s="1">
        <f t="shared" si="125"/>
        <v>138.18406492946474</v>
      </c>
    </row>
    <row r="4008" spans="1:9" x14ac:dyDescent="0.45">
      <c r="A4008" t="s">
        <v>69</v>
      </c>
      <c r="B4008" t="s">
        <v>65</v>
      </c>
      <c r="C4008" t="str">
        <f t="shared" si="124"/>
        <v>VanderbiltUC San Diego</v>
      </c>
      <c r="D4008" t="s">
        <v>65</v>
      </c>
      <c r="E4008">
        <v>31.3</v>
      </c>
      <c r="F4008">
        <v>5.1660377358490601</v>
      </c>
      <c r="G4008">
        <v>219.93727079285901</v>
      </c>
      <c r="H4008">
        <v>137.31012625475901</v>
      </c>
      <c r="I4008" s="1">
        <f t="shared" si="125"/>
        <v>118.11247006961432</v>
      </c>
    </row>
    <row r="4009" spans="1:9" x14ac:dyDescent="0.45">
      <c r="A4009" t="s">
        <v>70</v>
      </c>
      <c r="B4009" t="s">
        <v>65</v>
      </c>
      <c r="C4009" t="str">
        <f t="shared" si="124"/>
        <v>VCUUC San Diego</v>
      </c>
      <c r="D4009" t="s">
        <v>70</v>
      </c>
      <c r="E4009">
        <v>58.2</v>
      </c>
      <c r="F4009">
        <v>-2.1811320754716998</v>
      </c>
      <c r="G4009">
        <v>-139.45408189711901</v>
      </c>
      <c r="H4009">
        <v>139.155037416635</v>
      </c>
      <c r="I4009" s="1">
        <f t="shared" si="125"/>
        <v>144.09082192593934</v>
      </c>
    </row>
    <row r="4010" spans="1:9" x14ac:dyDescent="0.45">
      <c r="A4010" t="s">
        <v>71</v>
      </c>
      <c r="B4010" t="s">
        <v>65</v>
      </c>
      <c r="C4010" t="str">
        <f t="shared" si="124"/>
        <v>WisconsinUC San Diego</v>
      </c>
      <c r="D4010" t="s">
        <v>71</v>
      </c>
      <c r="E4010">
        <v>94.5</v>
      </c>
      <c r="F4010">
        <v>-18.641509433962302</v>
      </c>
      <c r="G4010">
        <v>-1718.1934562228801</v>
      </c>
      <c r="H4010">
        <v>139.955716271901</v>
      </c>
      <c r="I4010" s="1">
        <f t="shared" si="125"/>
        <v>155.36524936496522</v>
      </c>
    </row>
    <row r="4011" spans="1:9" x14ac:dyDescent="0.45">
      <c r="A4011" t="s">
        <v>80</v>
      </c>
      <c r="B4011" t="s">
        <v>65</v>
      </c>
      <c r="C4011" t="str">
        <f t="shared" si="124"/>
        <v>WoffordUC San Diego</v>
      </c>
      <c r="D4011" t="s">
        <v>65</v>
      </c>
      <c r="E4011">
        <v>12.5</v>
      </c>
      <c r="F4011">
        <v>12.743396226415101</v>
      </c>
      <c r="G4011">
        <v>698.55888643146704</v>
      </c>
      <c r="H4011">
        <v>137.985172010996</v>
      </c>
      <c r="I4011" s="1">
        <f t="shared" si="125"/>
        <v>127.61784709644711</v>
      </c>
    </row>
    <row r="4012" spans="1:9" x14ac:dyDescent="0.45">
      <c r="A4012" t="s">
        <v>72</v>
      </c>
      <c r="B4012" t="s">
        <v>65</v>
      </c>
      <c r="C4012" t="str">
        <f t="shared" si="124"/>
        <v>XavierUC San Diego</v>
      </c>
      <c r="D4012" t="s">
        <v>72</v>
      </c>
      <c r="E4012">
        <v>58</v>
      </c>
      <c r="F4012">
        <v>-2.1056603773584901</v>
      </c>
      <c r="G4012">
        <v>-137.84039922094499</v>
      </c>
      <c r="H4012">
        <v>138.56108558114801</v>
      </c>
      <c r="I4012" s="1">
        <f t="shared" si="125"/>
        <v>135.72733533274138</v>
      </c>
    </row>
    <row r="4013" spans="1:9" x14ac:dyDescent="0.45">
      <c r="A4013" t="s">
        <v>73</v>
      </c>
      <c r="B4013" t="s">
        <v>65</v>
      </c>
      <c r="C4013" t="str">
        <f t="shared" si="124"/>
        <v>YaleUC San Diego</v>
      </c>
      <c r="D4013" t="s">
        <v>65</v>
      </c>
      <c r="E4013">
        <v>43.5</v>
      </c>
      <c r="F4013">
        <v>1.7207547169811299</v>
      </c>
      <c r="G4013">
        <v>129.997517198906</v>
      </c>
      <c r="H4013">
        <v>139.36032021521001</v>
      </c>
      <c r="I4013" s="1">
        <f t="shared" si="125"/>
        <v>146.98142656947678</v>
      </c>
    </row>
    <row r="4014" spans="1:9" x14ac:dyDescent="0.45">
      <c r="A4014" t="s">
        <v>7</v>
      </c>
      <c r="B4014" t="s">
        <v>66</v>
      </c>
      <c r="C4014" t="str">
        <f t="shared" si="124"/>
        <v>AkronUCLA</v>
      </c>
      <c r="D4014" t="s">
        <v>66</v>
      </c>
      <c r="E4014">
        <v>9</v>
      </c>
      <c r="F4014">
        <v>15.158490566037701</v>
      </c>
      <c r="G4014">
        <v>1009.96333902818</v>
      </c>
      <c r="H4014">
        <v>138.671331157547</v>
      </c>
      <c r="I4014" s="1">
        <f t="shared" si="125"/>
        <v>137.27971272276389</v>
      </c>
    </row>
    <row r="4015" spans="1:9" x14ac:dyDescent="0.45">
      <c r="A4015" t="s">
        <v>8</v>
      </c>
      <c r="B4015" t="s">
        <v>66</v>
      </c>
      <c r="C4015" t="str">
        <f t="shared" si="124"/>
        <v>AlabamaUCLA</v>
      </c>
      <c r="D4015" t="s">
        <v>8</v>
      </c>
      <c r="E4015">
        <v>87.9</v>
      </c>
      <c r="F4015">
        <v>-13.0150943396226</v>
      </c>
      <c r="G4015">
        <v>-728.14532152193703</v>
      </c>
      <c r="H4015">
        <v>140.419427169687</v>
      </c>
      <c r="I4015" s="1">
        <f t="shared" si="125"/>
        <v>161.89480217554487</v>
      </c>
    </row>
    <row r="4016" spans="1:9" x14ac:dyDescent="0.45">
      <c r="A4016" t="s">
        <v>9</v>
      </c>
      <c r="B4016" t="s">
        <v>66</v>
      </c>
      <c r="C4016" t="str">
        <f t="shared" si="124"/>
        <v>Alabama St.UCLA</v>
      </c>
      <c r="D4016" t="s">
        <v>66</v>
      </c>
      <c r="E4016">
        <v>1.5</v>
      </c>
      <c r="F4016">
        <v>27.2981132075472</v>
      </c>
      <c r="G4016">
        <v>6435.3079899936201</v>
      </c>
      <c r="H4016">
        <v>138.89817201336001</v>
      </c>
      <c r="I4016" s="1">
        <f t="shared" si="125"/>
        <v>140.47387821402148</v>
      </c>
    </row>
    <row r="4017" spans="1:9" x14ac:dyDescent="0.45">
      <c r="A4017" t="s">
        <v>10</v>
      </c>
      <c r="B4017" t="s">
        <v>66</v>
      </c>
      <c r="C4017" t="str">
        <f t="shared" si="124"/>
        <v>AmericanUCLA</v>
      </c>
      <c r="D4017" t="s">
        <v>66</v>
      </c>
      <c r="E4017">
        <v>1.8</v>
      </c>
      <c r="F4017">
        <v>26.033962264150901</v>
      </c>
      <c r="G4017">
        <v>5307.2765322201803</v>
      </c>
      <c r="H4017">
        <v>138.989257894964</v>
      </c>
      <c r="I4017" s="1">
        <f t="shared" si="125"/>
        <v>141.75646630300341</v>
      </c>
    </row>
    <row r="4018" spans="1:9" x14ac:dyDescent="0.45">
      <c r="A4018" t="s">
        <v>11</v>
      </c>
      <c r="B4018" t="s">
        <v>66</v>
      </c>
      <c r="C4018" t="str">
        <f t="shared" si="124"/>
        <v>ArizonaUCLA</v>
      </c>
      <c r="D4018" t="s">
        <v>11</v>
      </c>
      <c r="E4018">
        <v>83.8</v>
      </c>
      <c r="F4018">
        <v>-10.7735849056604</v>
      </c>
      <c r="G4018">
        <v>-517.34452101254601</v>
      </c>
      <c r="H4018">
        <v>140.18178598867701</v>
      </c>
      <c r="I4018" s="1">
        <f t="shared" si="125"/>
        <v>158.54855638149121</v>
      </c>
    </row>
    <row r="4019" spans="1:9" x14ac:dyDescent="0.45">
      <c r="A4019" t="s">
        <v>12</v>
      </c>
      <c r="B4019" t="s">
        <v>66</v>
      </c>
      <c r="C4019" t="str">
        <f t="shared" si="124"/>
        <v>ArkansasUCLA</v>
      </c>
      <c r="D4019" t="s">
        <v>66</v>
      </c>
      <c r="E4019">
        <v>23.8</v>
      </c>
      <c r="F4019">
        <v>7.6188679245283</v>
      </c>
      <c r="G4019">
        <v>319.67471498639998</v>
      </c>
      <c r="H4019">
        <v>138.29938982253401</v>
      </c>
      <c r="I4019" s="1">
        <f t="shared" si="125"/>
        <v>132.04237497417898</v>
      </c>
    </row>
    <row r="4020" spans="1:9" x14ac:dyDescent="0.45">
      <c r="A4020" t="s">
        <v>13</v>
      </c>
      <c r="B4020" t="s">
        <v>66</v>
      </c>
      <c r="C4020" t="str">
        <f t="shared" si="124"/>
        <v>AuburnUCLA</v>
      </c>
      <c r="D4020" t="s">
        <v>13</v>
      </c>
      <c r="E4020">
        <v>93.5</v>
      </c>
      <c r="F4020">
        <v>-17.4264150943396</v>
      </c>
      <c r="G4020">
        <v>-1426.9849221552599</v>
      </c>
      <c r="H4020">
        <v>141.43810922779599</v>
      </c>
      <c r="I4020" s="1">
        <f t="shared" si="125"/>
        <v>176.23895135851762</v>
      </c>
    </row>
    <row r="4021" spans="1:9" x14ac:dyDescent="0.45">
      <c r="A4021" t="s">
        <v>14</v>
      </c>
      <c r="B4021" t="s">
        <v>66</v>
      </c>
      <c r="C4021" t="str">
        <f t="shared" si="124"/>
        <v>BaylorUCLA</v>
      </c>
      <c r="D4021" t="s">
        <v>14</v>
      </c>
      <c r="E4021">
        <v>60.1</v>
      </c>
      <c r="F4021">
        <v>-2.6943396226415102</v>
      </c>
      <c r="G4021">
        <v>-150.81053669633499</v>
      </c>
      <c r="H4021">
        <v>139.97310724052099</v>
      </c>
      <c r="I4021" s="1">
        <f t="shared" si="125"/>
        <v>155.61013308146516</v>
      </c>
    </row>
    <row r="4022" spans="1:9" x14ac:dyDescent="0.45">
      <c r="A4022" t="s">
        <v>15</v>
      </c>
      <c r="B4022" t="s">
        <v>66</v>
      </c>
      <c r="C4022" t="str">
        <f t="shared" si="124"/>
        <v>BryantUCLA</v>
      </c>
      <c r="D4022" t="s">
        <v>66</v>
      </c>
      <c r="E4022">
        <v>6.4</v>
      </c>
      <c r="F4022">
        <v>17.592452830188702</v>
      </c>
      <c r="G4022">
        <v>1463.8900514156201</v>
      </c>
      <c r="H4022">
        <v>139.52210499041499</v>
      </c>
      <c r="I4022" s="1">
        <f t="shared" si="125"/>
        <v>149.25953182577416</v>
      </c>
    </row>
    <row r="4023" spans="1:9" x14ac:dyDescent="0.45">
      <c r="A4023" t="s">
        <v>16</v>
      </c>
      <c r="B4023" t="s">
        <v>66</v>
      </c>
      <c r="C4023" t="str">
        <f t="shared" si="124"/>
        <v>BYUUCLA</v>
      </c>
      <c r="D4023" t="s">
        <v>16</v>
      </c>
      <c r="E4023">
        <v>64.8</v>
      </c>
      <c r="F4023">
        <v>-3.98867924528302</v>
      </c>
      <c r="G4023">
        <v>-183.725005294873</v>
      </c>
      <c r="H4023">
        <v>139.782625468638</v>
      </c>
      <c r="I4023" s="1">
        <f t="shared" si="125"/>
        <v>152.92794296063533</v>
      </c>
    </row>
    <row r="4024" spans="1:9" x14ac:dyDescent="0.45">
      <c r="A4024" t="s">
        <v>17</v>
      </c>
      <c r="B4024" t="s">
        <v>66</v>
      </c>
      <c r="C4024" t="str">
        <f t="shared" si="124"/>
        <v>ClemsonUCLA</v>
      </c>
      <c r="D4024" t="s">
        <v>17</v>
      </c>
      <c r="E4024">
        <v>70.2</v>
      </c>
      <c r="F4024">
        <v>-5.6113207547169797</v>
      </c>
      <c r="G4024">
        <v>-235.407228670574</v>
      </c>
      <c r="H4024">
        <v>140.00453732493</v>
      </c>
      <c r="I4024" s="1">
        <f t="shared" si="125"/>
        <v>156.05270278808507</v>
      </c>
    </row>
    <row r="4025" spans="1:9" x14ac:dyDescent="0.45">
      <c r="A4025" t="s">
        <v>18</v>
      </c>
      <c r="B4025" t="s">
        <v>66</v>
      </c>
      <c r="C4025" t="str">
        <f t="shared" si="124"/>
        <v>Colorado St.UCLA</v>
      </c>
      <c r="D4025" t="s">
        <v>66</v>
      </c>
      <c r="E4025">
        <v>27.9</v>
      </c>
      <c r="F4025">
        <v>6.2264150943396199</v>
      </c>
      <c r="G4025">
        <v>258.53642274387602</v>
      </c>
      <c r="H4025">
        <v>139.31192917303599</v>
      </c>
      <c r="I4025" s="1">
        <f t="shared" si="125"/>
        <v>146.30002816598261</v>
      </c>
    </row>
    <row r="4026" spans="1:9" x14ac:dyDescent="0.45">
      <c r="A4026" t="s">
        <v>19</v>
      </c>
      <c r="B4026" t="s">
        <v>66</v>
      </c>
      <c r="C4026" t="str">
        <f t="shared" si="124"/>
        <v>ConnecticutUCLA</v>
      </c>
      <c r="D4026" t="s">
        <v>19</v>
      </c>
      <c r="E4026">
        <v>80</v>
      </c>
      <c r="F4026">
        <v>-9.0754716981132102</v>
      </c>
      <c r="G4026">
        <v>-399.27793025259899</v>
      </c>
      <c r="H4026">
        <v>139.947481075371</v>
      </c>
      <c r="I4026" s="1">
        <f t="shared" si="125"/>
        <v>155.2492888583115</v>
      </c>
    </row>
    <row r="4027" spans="1:9" x14ac:dyDescent="0.45">
      <c r="A4027" t="s">
        <v>20</v>
      </c>
      <c r="B4027" t="s">
        <v>66</v>
      </c>
      <c r="C4027" t="str">
        <f t="shared" si="124"/>
        <v>CreightonUCLA</v>
      </c>
      <c r="D4027" t="s">
        <v>20</v>
      </c>
      <c r="E4027">
        <v>55.3</v>
      </c>
      <c r="F4027">
        <v>-1.38490566037736</v>
      </c>
      <c r="G4027">
        <v>-123.508053841001</v>
      </c>
      <c r="H4027">
        <v>139.42042343763501</v>
      </c>
      <c r="I4027" s="1">
        <f t="shared" si="125"/>
        <v>147.82774518476876</v>
      </c>
    </row>
    <row r="4028" spans="1:9" x14ac:dyDescent="0.45">
      <c r="A4028" t="s">
        <v>21</v>
      </c>
      <c r="B4028" t="s">
        <v>66</v>
      </c>
      <c r="C4028" t="str">
        <f t="shared" si="124"/>
        <v>DrakeUCLA</v>
      </c>
      <c r="D4028" t="s">
        <v>66</v>
      </c>
      <c r="E4028">
        <v>27.7</v>
      </c>
      <c r="F4028">
        <v>6.2792452830188701</v>
      </c>
      <c r="G4028">
        <v>260.543134043176</v>
      </c>
      <c r="H4028">
        <v>139.47388854178899</v>
      </c>
      <c r="I4028" s="1">
        <f t="shared" si="125"/>
        <v>148.58059188896181</v>
      </c>
    </row>
    <row r="4029" spans="1:9" x14ac:dyDescent="0.45">
      <c r="A4029" t="s">
        <v>22</v>
      </c>
      <c r="B4029" t="s">
        <v>66</v>
      </c>
      <c r="C4029" t="str">
        <f t="shared" si="124"/>
        <v>DukeUCLA</v>
      </c>
      <c r="D4029" t="s">
        <v>22</v>
      </c>
      <c r="E4029">
        <v>95.4</v>
      </c>
      <c r="F4029">
        <v>-19.9358490566038</v>
      </c>
      <c r="G4029">
        <v>-2092.3233583408401</v>
      </c>
      <c r="H4029">
        <v>141.761209003245</v>
      </c>
      <c r="I4029" s="1">
        <f t="shared" si="125"/>
        <v>180.78854692970981</v>
      </c>
    </row>
    <row r="4030" spans="1:9" x14ac:dyDescent="0.45">
      <c r="A4030" t="s">
        <v>23</v>
      </c>
      <c r="B4030" t="s">
        <v>66</v>
      </c>
      <c r="C4030" t="str">
        <f t="shared" si="124"/>
        <v>FloridaUCLA</v>
      </c>
      <c r="D4030" t="s">
        <v>23</v>
      </c>
      <c r="E4030">
        <v>92</v>
      </c>
      <c r="F4030">
        <v>-16.033962264150901</v>
      </c>
      <c r="G4030">
        <v>-1154.20294466172</v>
      </c>
      <c r="H4030">
        <v>141.484965279188</v>
      </c>
      <c r="I4030" s="1">
        <f t="shared" si="125"/>
        <v>176.89873542553039</v>
      </c>
    </row>
    <row r="4031" spans="1:9" x14ac:dyDescent="0.45">
      <c r="A4031" t="s">
        <v>24</v>
      </c>
      <c r="B4031" t="s">
        <v>66</v>
      </c>
      <c r="C4031" t="str">
        <f t="shared" si="124"/>
        <v>GeorgiaUCLA</v>
      </c>
      <c r="D4031" t="s">
        <v>66</v>
      </c>
      <c r="E4031">
        <v>30.3</v>
      </c>
      <c r="F4031">
        <v>5.47169811320755</v>
      </c>
      <c r="G4031">
        <v>230.437181186933</v>
      </c>
      <c r="H4031">
        <v>138.62677880353201</v>
      </c>
      <c r="I4031" s="1">
        <f t="shared" si="125"/>
        <v>136.65236721554052</v>
      </c>
    </row>
    <row r="4032" spans="1:9" x14ac:dyDescent="0.45">
      <c r="A4032" t="s">
        <v>25</v>
      </c>
      <c r="B4032" t="s">
        <v>66</v>
      </c>
      <c r="C4032" t="str">
        <f t="shared" si="124"/>
        <v>GonzagaUCLA</v>
      </c>
      <c r="D4032" t="s">
        <v>25</v>
      </c>
      <c r="E4032">
        <v>71</v>
      </c>
      <c r="F4032">
        <v>-5.8528301886792402</v>
      </c>
      <c r="G4032">
        <v>-244.269196079273</v>
      </c>
      <c r="H4032">
        <v>140.76441992306101</v>
      </c>
      <c r="I4032" s="1">
        <f t="shared" si="125"/>
        <v>166.75267464129504</v>
      </c>
    </row>
    <row r="4033" spans="1:9" x14ac:dyDescent="0.45">
      <c r="A4033" t="s">
        <v>26</v>
      </c>
      <c r="B4033" t="s">
        <v>66</v>
      </c>
      <c r="C4033" t="str">
        <f t="shared" si="124"/>
        <v>Grand CanyonUCLA</v>
      </c>
      <c r="D4033" t="s">
        <v>66</v>
      </c>
      <c r="E4033">
        <v>19.3</v>
      </c>
      <c r="F4033">
        <v>9.3962264150943398</v>
      </c>
      <c r="G4033">
        <v>419.19287598215197</v>
      </c>
      <c r="H4033">
        <v>139.41638816936501</v>
      </c>
      <c r="I4033" s="1">
        <f t="shared" si="125"/>
        <v>147.77092422714273</v>
      </c>
    </row>
    <row r="4034" spans="1:9" x14ac:dyDescent="0.45">
      <c r="A4034" t="s">
        <v>27</v>
      </c>
      <c r="B4034" t="s">
        <v>66</v>
      </c>
      <c r="C4034" t="str">
        <f t="shared" si="124"/>
        <v>High PointUCLA</v>
      </c>
      <c r="D4034" t="s">
        <v>66</v>
      </c>
      <c r="E4034">
        <v>13.5</v>
      </c>
      <c r="F4034">
        <v>12.1660377358491</v>
      </c>
      <c r="G4034">
        <v>639.867367341825</v>
      </c>
      <c r="H4034">
        <v>139.69727991702101</v>
      </c>
      <c r="I4034" s="1">
        <f t="shared" si="125"/>
        <v>151.72618494914173</v>
      </c>
    </row>
    <row r="4035" spans="1:9" x14ac:dyDescent="0.45">
      <c r="A4035" t="s">
        <v>28</v>
      </c>
      <c r="B4035" t="s">
        <v>66</v>
      </c>
      <c r="C4035" t="str">
        <f t="shared" ref="C4035:C4098" si="126">A4035&amp;B4035</f>
        <v>HoustonUCLA</v>
      </c>
      <c r="D4035" t="s">
        <v>28</v>
      </c>
      <c r="E4035">
        <v>97.3</v>
      </c>
      <c r="F4035">
        <v>-23.449056603773599</v>
      </c>
      <c r="G4035">
        <v>-3576.1526583539298</v>
      </c>
      <c r="H4035">
        <v>141.904873352875</v>
      </c>
      <c r="I4035" s="1">
        <f t="shared" ref="I4035:I4098" si="127">18*(H4035-AVERAGE($H$2:$H$4625))/_xlfn.STDEV.P($H$2:$H$4625)+AVERAGE($H$2:$H$4625)</f>
        <v>182.81149692373728</v>
      </c>
    </row>
    <row r="4036" spans="1:9" x14ac:dyDescent="0.45">
      <c r="A4036" t="s">
        <v>29</v>
      </c>
      <c r="B4036" t="s">
        <v>66</v>
      </c>
      <c r="C4036" t="str">
        <f t="shared" si="126"/>
        <v>IllinoisUCLA</v>
      </c>
      <c r="D4036" t="s">
        <v>29</v>
      </c>
      <c r="E4036">
        <v>78.099999999999994</v>
      </c>
      <c r="F4036">
        <v>-8.3358490566037702</v>
      </c>
      <c r="G4036">
        <v>-356.70845333658201</v>
      </c>
      <c r="H4036">
        <v>139.955118506812</v>
      </c>
      <c r="I4036" s="1">
        <f t="shared" si="127"/>
        <v>155.3568321836232</v>
      </c>
    </row>
    <row r="4037" spans="1:9" x14ac:dyDescent="0.45">
      <c r="A4037" t="s">
        <v>30</v>
      </c>
      <c r="B4037" t="s">
        <v>66</v>
      </c>
      <c r="C4037" t="str">
        <f t="shared" si="126"/>
        <v>Iowa St.UCLA</v>
      </c>
      <c r="D4037" t="s">
        <v>30</v>
      </c>
      <c r="E4037">
        <v>88.3</v>
      </c>
      <c r="F4037">
        <v>-13.218867924528301</v>
      </c>
      <c r="G4037">
        <v>-751.36987813196697</v>
      </c>
      <c r="H4037">
        <v>140.88138708516999</v>
      </c>
      <c r="I4037" s="1">
        <f t="shared" si="127"/>
        <v>168.39969925456316</v>
      </c>
    </row>
    <row r="4038" spans="1:9" x14ac:dyDescent="0.45">
      <c r="A4038" t="s">
        <v>31</v>
      </c>
      <c r="B4038" t="s">
        <v>66</v>
      </c>
      <c r="C4038" t="str">
        <f t="shared" si="126"/>
        <v>KansasUCLA</v>
      </c>
      <c r="D4038" t="s">
        <v>31</v>
      </c>
      <c r="E4038">
        <v>68.599999999999994</v>
      </c>
      <c r="F4038">
        <v>-5.1169811320754697</v>
      </c>
      <c r="G4038">
        <v>-218.29424878383</v>
      </c>
      <c r="H4038">
        <v>139.83677736948101</v>
      </c>
      <c r="I4038" s="1">
        <f t="shared" si="127"/>
        <v>153.6904605077448</v>
      </c>
    </row>
    <row r="4039" spans="1:9" x14ac:dyDescent="0.45">
      <c r="A4039" t="s">
        <v>32</v>
      </c>
      <c r="B4039" t="s">
        <v>66</v>
      </c>
      <c r="C4039" t="str">
        <f t="shared" si="126"/>
        <v>KentuckyUCLA</v>
      </c>
      <c r="D4039" t="s">
        <v>32</v>
      </c>
      <c r="E4039">
        <v>78.599999999999994</v>
      </c>
      <c r="F4039">
        <v>-8.5471698113207495</v>
      </c>
      <c r="G4039">
        <v>-368.25754864787098</v>
      </c>
      <c r="H4039">
        <v>139.78381496987399</v>
      </c>
      <c r="I4039" s="1">
        <f t="shared" si="127"/>
        <v>152.94469242927127</v>
      </c>
    </row>
    <row r="4040" spans="1:9" x14ac:dyDescent="0.45">
      <c r="A4040" t="s">
        <v>33</v>
      </c>
      <c r="B4040" t="s">
        <v>66</v>
      </c>
      <c r="C4040" t="str">
        <f t="shared" si="126"/>
        <v>LibertyUCLA</v>
      </c>
      <c r="D4040" t="s">
        <v>66</v>
      </c>
      <c r="E4040">
        <v>9.3000000000000007</v>
      </c>
      <c r="F4040">
        <v>14.9433962264151</v>
      </c>
      <c r="G4040">
        <v>977.25616836869597</v>
      </c>
      <c r="H4040">
        <v>138.99275121827199</v>
      </c>
      <c r="I4040" s="1">
        <f t="shared" si="127"/>
        <v>141.8056560872696</v>
      </c>
    </row>
    <row r="4041" spans="1:9" x14ac:dyDescent="0.45">
      <c r="A4041" t="s">
        <v>34</v>
      </c>
      <c r="B4041" t="s">
        <v>66</v>
      </c>
      <c r="C4041" t="str">
        <f t="shared" si="126"/>
        <v>LipscombUCLA</v>
      </c>
      <c r="D4041" t="s">
        <v>66</v>
      </c>
      <c r="E4041">
        <v>7.3</v>
      </c>
      <c r="F4041">
        <v>16.686792452830201</v>
      </c>
      <c r="G4041">
        <v>1274.7888894220901</v>
      </c>
      <c r="H4041">
        <v>139.42467144953</v>
      </c>
      <c r="I4041" s="1">
        <f t="shared" si="127"/>
        <v>147.88756180357311</v>
      </c>
    </row>
    <row r="4042" spans="1:9" x14ac:dyDescent="0.45">
      <c r="A4042" t="s">
        <v>35</v>
      </c>
      <c r="B4042" t="s">
        <v>66</v>
      </c>
      <c r="C4042" t="str">
        <f t="shared" si="126"/>
        <v>LouisvilleUCLA</v>
      </c>
      <c r="D4042" t="s">
        <v>66</v>
      </c>
      <c r="E4042">
        <v>16.600000000000001</v>
      </c>
      <c r="F4042">
        <v>10.577358490566001</v>
      </c>
      <c r="G4042">
        <v>502.14020804553297</v>
      </c>
      <c r="H4042">
        <v>138.71039476149801</v>
      </c>
      <c r="I4042" s="1">
        <f t="shared" si="127"/>
        <v>137.8297706709111</v>
      </c>
    </row>
    <row r="4043" spans="1:9" x14ac:dyDescent="0.45">
      <c r="A4043" t="s">
        <v>36</v>
      </c>
      <c r="B4043" t="s">
        <v>66</v>
      </c>
      <c r="C4043" t="str">
        <f t="shared" si="126"/>
        <v>MarquetteUCLA</v>
      </c>
      <c r="D4043" t="s">
        <v>36</v>
      </c>
      <c r="E4043">
        <v>73.7</v>
      </c>
      <c r="F4043">
        <v>-6.7660377358490598</v>
      </c>
      <c r="G4043">
        <v>-280.724558818064</v>
      </c>
      <c r="H4043">
        <v>140.042151396403</v>
      </c>
      <c r="I4043" s="1">
        <f t="shared" si="127"/>
        <v>156.58234974543831</v>
      </c>
    </row>
    <row r="4044" spans="1:9" x14ac:dyDescent="0.45">
      <c r="A4044" t="s">
        <v>37</v>
      </c>
      <c r="B4044" t="s">
        <v>66</v>
      </c>
      <c r="C4044" t="str">
        <f t="shared" si="126"/>
        <v>MarylandUCLA</v>
      </c>
      <c r="D4044" t="s">
        <v>37</v>
      </c>
      <c r="E4044">
        <v>65.599999999999994</v>
      </c>
      <c r="F4044">
        <v>-4.2226415094339602</v>
      </c>
      <c r="G4044">
        <v>-190.43029924058999</v>
      </c>
      <c r="H4044">
        <v>139.652090708082</v>
      </c>
      <c r="I4044" s="1">
        <f t="shared" si="127"/>
        <v>151.08987183326639</v>
      </c>
    </row>
    <row r="4045" spans="1:9" x14ac:dyDescent="0.45">
      <c r="A4045" t="s">
        <v>38</v>
      </c>
      <c r="B4045" t="s">
        <v>66</v>
      </c>
      <c r="C4045" t="str">
        <f t="shared" si="126"/>
        <v>McNeese St.UCLA</v>
      </c>
      <c r="D4045" t="s">
        <v>66</v>
      </c>
      <c r="E4045">
        <v>25.3</v>
      </c>
      <c r="F4045">
        <v>7.0867924528301902</v>
      </c>
      <c r="G4045">
        <v>294.722377315161</v>
      </c>
      <c r="H4045">
        <v>139.48750232228301</v>
      </c>
      <c r="I4045" s="1">
        <f t="shared" si="127"/>
        <v>148.77228869641601</v>
      </c>
    </row>
    <row r="4046" spans="1:9" x14ac:dyDescent="0.45">
      <c r="A4046" t="s">
        <v>39</v>
      </c>
      <c r="B4046" t="s">
        <v>66</v>
      </c>
      <c r="C4046" t="str">
        <f t="shared" si="126"/>
        <v>MemphisUCLA</v>
      </c>
      <c r="D4046" t="s">
        <v>66</v>
      </c>
      <c r="E4046">
        <v>49.4</v>
      </c>
      <c r="F4046">
        <v>0.162264150943396</v>
      </c>
      <c r="G4046">
        <v>102.525159706624</v>
      </c>
      <c r="H4046">
        <v>138.62972552110199</v>
      </c>
      <c r="I4046" s="1">
        <f t="shared" si="127"/>
        <v>136.69386019766137</v>
      </c>
    </row>
    <row r="4047" spans="1:9" x14ac:dyDescent="0.45">
      <c r="A4047" t="s">
        <v>40</v>
      </c>
      <c r="B4047" t="s">
        <v>66</v>
      </c>
      <c r="C4047" t="str">
        <f t="shared" si="126"/>
        <v>MichiganUCLA</v>
      </c>
      <c r="D4047" t="s">
        <v>66</v>
      </c>
      <c r="E4047">
        <v>34</v>
      </c>
      <c r="F4047">
        <v>4.3509433962264197</v>
      </c>
      <c r="G4047">
        <v>194.22247943948599</v>
      </c>
      <c r="H4047">
        <v>138.28664660578499</v>
      </c>
      <c r="I4047" s="1">
        <f t="shared" si="127"/>
        <v>131.862936649273</v>
      </c>
    </row>
    <row r="4048" spans="1:9" x14ac:dyDescent="0.45">
      <c r="A4048" t="s">
        <v>41</v>
      </c>
      <c r="B4048" t="s">
        <v>66</v>
      </c>
      <c r="C4048" t="str">
        <f t="shared" si="126"/>
        <v>Michigan St.UCLA</v>
      </c>
      <c r="D4048" t="s">
        <v>41</v>
      </c>
      <c r="E4048">
        <v>83.2</v>
      </c>
      <c r="F4048">
        <v>-10.4716981132075</v>
      </c>
      <c r="G4048">
        <v>-494.05391055139597</v>
      </c>
      <c r="H4048">
        <v>139.985538566614</v>
      </c>
      <c r="I4048" s="1">
        <f t="shared" si="127"/>
        <v>155.78517964736946</v>
      </c>
    </row>
    <row r="4049" spans="1:9" x14ac:dyDescent="0.45">
      <c r="A4049" t="s">
        <v>42</v>
      </c>
      <c r="B4049" t="s">
        <v>66</v>
      </c>
      <c r="C4049" t="str">
        <f t="shared" si="126"/>
        <v>MississippiUCLA</v>
      </c>
      <c r="D4049" t="s">
        <v>42</v>
      </c>
      <c r="E4049">
        <v>55.9</v>
      </c>
      <c r="F4049">
        <v>-1.5622641509434001</v>
      </c>
      <c r="G4049">
        <v>-126.89819679210299</v>
      </c>
      <c r="H4049">
        <v>139.11645967170901</v>
      </c>
      <c r="I4049" s="1">
        <f t="shared" si="127"/>
        <v>143.5476054002765</v>
      </c>
    </row>
    <row r="4050" spans="1:9" x14ac:dyDescent="0.45">
      <c r="A4050" t="s">
        <v>43</v>
      </c>
      <c r="B4050" t="s">
        <v>66</v>
      </c>
      <c r="C4050" t="str">
        <f t="shared" si="126"/>
        <v>Mississippi St.UCLA</v>
      </c>
      <c r="D4050" t="s">
        <v>66</v>
      </c>
      <c r="E4050">
        <v>48.9</v>
      </c>
      <c r="F4050">
        <v>0.286792452830189</v>
      </c>
      <c r="G4050">
        <v>104.480641657419</v>
      </c>
      <c r="H4050">
        <v>139.24083102549801</v>
      </c>
      <c r="I4050" s="1">
        <f t="shared" si="127"/>
        <v>145.29888906983422</v>
      </c>
    </row>
    <row r="4051" spans="1:9" x14ac:dyDescent="0.45">
      <c r="A4051" t="s">
        <v>44</v>
      </c>
      <c r="B4051" t="s">
        <v>66</v>
      </c>
      <c r="C4051" t="str">
        <f t="shared" si="126"/>
        <v>MissouriUCLA</v>
      </c>
      <c r="D4051" t="s">
        <v>66</v>
      </c>
      <c r="E4051">
        <v>29.5</v>
      </c>
      <c r="F4051">
        <v>5.7018867924528296</v>
      </c>
      <c r="G4051">
        <v>238.58040533622</v>
      </c>
      <c r="H4051">
        <v>138.50530296167199</v>
      </c>
      <c r="I4051" s="1">
        <f t="shared" si="127"/>
        <v>134.94185549709334</v>
      </c>
    </row>
    <row r="4052" spans="1:9" x14ac:dyDescent="0.45">
      <c r="A4052" t="s">
        <v>45</v>
      </c>
      <c r="B4052" t="s">
        <v>66</v>
      </c>
      <c r="C4052" t="str">
        <f t="shared" si="126"/>
        <v>MontanaUCLA</v>
      </c>
      <c r="D4052" t="s">
        <v>66</v>
      </c>
      <c r="E4052">
        <v>3.9</v>
      </c>
      <c r="F4052">
        <v>20.9584905660377</v>
      </c>
      <c r="G4052">
        <v>2445.8332463097399</v>
      </c>
      <c r="H4052">
        <v>137.81403768669099</v>
      </c>
      <c r="I4052" s="1">
        <f t="shared" si="127"/>
        <v>125.20809003965252</v>
      </c>
    </row>
    <row r="4053" spans="1:9" x14ac:dyDescent="0.45">
      <c r="A4053" t="s">
        <v>46</v>
      </c>
      <c r="B4053" t="s">
        <v>66</v>
      </c>
      <c r="C4053" t="str">
        <f t="shared" si="126"/>
        <v>Mount St. Mary'sUCLA</v>
      </c>
      <c r="D4053" t="s">
        <v>66</v>
      </c>
      <c r="E4053">
        <v>1.6</v>
      </c>
      <c r="F4053">
        <v>27.075471698113201</v>
      </c>
      <c r="G4053">
        <v>6217.6681624267303</v>
      </c>
      <c r="H4053">
        <v>139.16191190863799</v>
      </c>
      <c r="I4053" s="1">
        <f t="shared" si="127"/>
        <v>144.18762223577414</v>
      </c>
    </row>
    <row r="4054" spans="1:9" x14ac:dyDescent="0.45">
      <c r="A4054" t="s">
        <v>47</v>
      </c>
      <c r="B4054" t="s">
        <v>66</v>
      </c>
      <c r="C4054" t="str">
        <f t="shared" si="126"/>
        <v>Nebraska OmahaUCLA</v>
      </c>
      <c r="D4054" t="s">
        <v>66</v>
      </c>
      <c r="E4054">
        <v>2</v>
      </c>
      <c r="F4054">
        <v>25.358490566037698</v>
      </c>
      <c r="G4054">
        <v>4785.8289936370502</v>
      </c>
      <c r="H4054">
        <v>138.445913088537</v>
      </c>
      <c r="I4054" s="1">
        <f t="shared" si="127"/>
        <v>134.10558161416319</v>
      </c>
    </row>
    <row r="4055" spans="1:9" x14ac:dyDescent="0.45">
      <c r="A4055" t="s">
        <v>48</v>
      </c>
      <c r="B4055" t="s">
        <v>66</v>
      </c>
      <c r="C4055" t="str">
        <f t="shared" si="126"/>
        <v>New MexicoUCLA</v>
      </c>
      <c r="D4055" t="s">
        <v>66</v>
      </c>
      <c r="E4055">
        <v>34.799999999999997</v>
      </c>
      <c r="F4055">
        <v>4.1094339622641503</v>
      </c>
      <c r="G4055">
        <v>187.206812832868</v>
      </c>
      <c r="H4055">
        <v>139.323657435813</v>
      </c>
      <c r="I4055" s="1">
        <f t="shared" si="127"/>
        <v>146.4651748372049</v>
      </c>
    </row>
    <row r="4056" spans="1:9" x14ac:dyDescent="0.45">
      <c r="A4056" t="s">
        <v>49</v>
      </c>
      <c r="B4056" t="s">
        <v>66</v>
      </c>
      <c r="C4056" t="str">
        <f t="shared" si="126"/>
        <v>Norfolk St.UCLA</v>
      </c>
      <c r="D4056" t="s">
        <v>66</v>
      </c>
      <c r="E4056">
        <v>3</v>
      </c>
      <c r="F4056">
        <v>22.826415094339598</v>
      </c>
      <c r="G4056">
        <v>3252.17974635153</v>
      </c>
      <c r="H4056">
        <v>138.33602109801399</v>
      </c>
      <c r="I4056" s="1">
        <f t="shared" si="127"/>
        <v>132.55818309710079</v>
      </c>
    </row>
    <row r="4057" spans="1:9" x14ac:dyDescent="0.45">
      <c r="A4057" t="s">
        <v>50</v>
      </c>
      <c r="B4057" t="s">
        <v>66</v>
      </c>
      <c r="C4057" t="str">
        <f t="shared" si="126"/>
        <v>North CarolinaUCLA</v>
      </c>
      <c r="D4057" t="s">
        <v>50</v>
      </c>
      <c r="E4057">
        <v>64.599999999999994</v>
      </c>
      <c r="F4057">
        <v>-3.92830188679245</v>
      </c>
      <c r="G4057">
        <v>-182.12576268382301</v>
      </c>
      <c r="H4057">
        <v>140.40795252997</v>
      </c>
      <c r="I4057" s="1">
        <f t="shared" si="127"/>
        <v>161.7332267923218</v>
      </c>
    </row>
    <row r="4058" spans="1:9" x14ac:dyDescent="0.45">
      <c r="A4058" t="s">
        <v>51</v>
      </c>
      <c r="B4058" t="s">
        <v>66</v>
      </c>
      <c r="C4058" t="str">
        <f t="shared" si="126"/>
        <v>OklahomaUCLA</v>
      </c>
      <c r="D4058" t="s">
        <v>66</v>
      </c>
      <c r="E4058">
        <v>37.4</v>
      </c>
      <c r="F4058">
        <v>3.3773584905660399</v>
      </c>
      <c r="G4058">
        <v>167.354401309624</v>
      </c>
      <c r="H4058">
        <v>138.750555825475</v>
      </c>
      <c r="I4058" s="1">
        <f t="shared" si="127"/>
        <v>138.39528204754447</v>
      </c>
    </row>
    <row r="4059" spans="1:9" x14ac:dyDescent="0.45">
      <c r="A4059" t="s">
        <v>52</v>
      </c>
      <c r="B4059" t="s">
        <v>66</v>
      </c>
      <c r="C4059" t="str">
        <f t="shared" si="126"/>
        <v>OregonUCLA</v>
      </c>
      <c r="D4059" t="s">
        <v>52</v>
      </c>
      <c r="E4059">
        <v>66.3</v>
      </c>
      <c r="F4059">
        <v>-4.4490566037735899</v>
      </c>
      <c r="G4059">
        <v>-197.14568144772301</v>
      </c>
      <c r="H4059">
        <v>139.34493361361501</v>
      </c>
      <c r="I4059" s="1">
        <f t="shared" si="127"/>
        <v>146.76476651647917</v>
      </c>
    </row>
    <row r="4060" spans="1:9" x14ac:dyDescent="0.45">
      <c r="A4060" t="s">
        <v>53</v>
      </c>
      <c r="B4060" t="s">
        <v>66</v>
      </c>
      <c r="C4060" t="str">
        <f t="shared" si="126"/>
        <v>PurdueUCLA</v>
      </c>
      <c r="D4060" t="s">
        <v>53</v>
      </c>
      <c r="E4060">
        <v>91.2</v>
      </c>
      <c r="F4060">
        <v>-15.3584905660377</v>
      </c>
      <c r="G4060">
        <v>-1041.3457251181801</v>
      </c>
      <c r="H4060">
        <v>140.69292094240501</v>
      </c>
      <c r="I4060" s="1">
        <f t="shared" si="127"/>
        <v>165.74589137973058</v>
      </c>
    </row>
    <row r="4061" spans="1:9" x14ac:dyDescent="0.45">
      <c r="A4061" t="s">
        <v>54</v>
      </c>
      <c r="B4061" t="s">
        <v>66</v>
      </c>
      <c r="C4061" t="str">
        <f t="shared" si="126"/>
        <v>Robert MorrisUCLA</v>
      </c>
      <c r="D4061" t="s">
        <v>66</v>
      </c>
      <c r="E4061">
        <v>1.3</v>
      </c>
      <c r="F4061">
        <v>28.5811320754717</v>
      </c>
      <c r="G4061">
        <v>7826.83255916693</v>
      </c>
      <c r="H4061">
        <v>137.75155779116699</v>
      </c>
      <c r="I4061" s="1">
        <f t="shared" si="127"/>
        <v>124.32830528718856</v>
      </c>
    </row>
    <row r="4062" spans="1:9" x14ac:dyDescent="0.45">
      <c r="A4062" t="s">
        <v>55</v>
      </c>
      <c r="B4062" t="s">
        <v>66</v>
      </c>
      <c r="C4062" t="str">
        <f t="shared" si="126"/>
        <v>Saint FrancisUCLA</v>
      </c>
      <c r="D4062" t="s">
        <v>66</v>
      </c>
      <c r="E4062">
        <v>0.8</v>
      </c>
      <c r="F4062">
        <v>31.309433962264201</v>
      </c>
      <c r="G4062">
        <v>11863.1757229749</v>
      </c>
      <c r="H4062">
        <v>138.80441332437499</v>
      </c>
      <c r="I4062" s="1">
        <f t="shared" si="127"/>
        <v>139.1536540957155</v>
      </c>
    </row>
    <row r="4063" spans="1:9" x14ac:dyDescent="0.45">
      <c r="A4063" t="s">
        <v>56</v>
      </c>
      <c r="B4063" t="s">
        <v>66</v>
      </c>
      <c r="C4063" t="str">
        <f t="shared" si="126"/>
        <v>Saint Mary'sUCLA</v>
      </c>
      <c r="D4063" t="s">
        <v>56</v>
      </c>
      <c r="E4063">
        <v>62.7</v>
      </c>
      <c r="F4063">
        <v>-3.4075471698113202</v>
      </c>
      <c r="G4063">
        <v>-168.144517621023</v>
      </c>
      <c r="H4063">
        <v>140.05566852546499</v>
      </c>
      <c r="I4063" s="1">
        <f t="shared" si="127"/>
        <v>156.77268559581213</v>
      </c>
    </row>
    <row r="4064" spans="1:9" x14ac:dyDescent="0.45">
      <c r="A4064" t="s">
        <v>57</v>
      </c>
      <c r="B4064" t="s">
        <v>66</v>
      </c>
      <c r="C4064" t="str">
        <f t="shared" si="126"/>
        <v>San Diego St.UCLA</v>
      </c>
      <c r="D4064" t="s">
        <v>66</v>
      </c>
      <c r="E4064">
        <v>32.9</v>
      </c>
      <c r="F4064">
        <v>4.6867924528301899</v>
      </c>
      <c r="G4064">
        <v>204.38940264707301</v>
      </c>
      <c r="H4064">
        <v>139.20192340526299</v>
      </c>
      <c r="I4064" s="1">
        <f t="shared" si="127"/>
        <v>144.7510275417323</v>
      </c>
    </row>
    <row r="4065" spans="1:9" x14ac:dyDescent="0.45">
      <c r="A4065" t="s">
        <v>58</v>
      </c>
      <c r="B4065" t="s">
        <v>66</v>
      </c>
      <c r="C4065" t="str">
        <f t="shared" si="126"/>
        <v>SIU EdwardsvilleUCLA</v>
      </c>
      <c r="D4065" t="s">
        <v>66</v>
      </c>
      <c r="E4065">
        <v>2.4</v>
      </c>
      <c r="F4065">
        <v>24.2830188679245</v>
      </c>
      <c r="G4065">
        <v>4062.8926102370301</v>
      </c>
      <c r="H4065">
        <v>139.349611172111</v>
      </c>
      <c r="I4065" s="1">
        <f t="shared" si="127"/>
        <v>146.83063161770914</v>
      </c>
    </row>
    <row r="4066" spans="1:9" x14ac:dyDescent="0.45">
      <c r="A4066" t="s">
        <v>59</v>
      </c>
      <c r="B4066" t="s">
        <v>66</v>
      </c>
      <c r="C4066" t="str">
        <f t="shared" si="126"/>
        <v>St. John'sUCLA</v>
      </c>
      <c r="D4066" t="s">
        <v>59</v>
      </c>
      <c r="E4066">
        <v>84</v>
      </c>
      <c r="F4066">
        <v>-10.871698113207501</v>
      </c>
      <c r="G4066">
        <v>-525.25738152951203</v>
      </c>
      <c r="H4066">
        <v>140.32729394465599</v>
      </c>
      <c r="I4066" s="1">
        <f t="shared" si="127"/>
        <v>160.59746635419307</v>
      </c>
    </row>
    <row r="4067" spans="1:9" x14ac:dyDescent="0.45">
      <c r="A4067" t="s">
        <v>60</v>
      </c>
      <c r="B4067" t="s">
        <v>66</v>
      </c>
      <c r="C4067" t="str">
        <f t="shared" si="126"/>
        <v>TennesseeUCLA</v>
      </c>
      <c r="D4067" t="s">
        <v>60</v>
      </c>
      <c r="E4067">
        <v>91.3</v>
      </c>
      <c r="F4067">
        <v>-15.4188679245283</v>
      </c>
      <c r="G4067">
        <v>-1050.7795512611899</v>
      </c>
      <c r="H4067">
        <v>140.92127682134699</v>
      </c>
      <c r="I4067" s="1">
        <f t="shared" si="127"/>
        <v>168.96139004123955</v>
      </c>
    </row>
    <row r="4068" spans="1:9" x14ac:dyDescent="0.45">
      <c r="A4068" t="s">
        <v>61</v>
      </c>
      <c r="B4068" t="s">
        <v>66</v>
      </c>
      <c r="C4068" t="str">
        <f t="shared" si="126"/>
        <v>TexasUCLA</v>
      </c>
      <c r="D4068" t="s">
        <v>66</v>
      </c>
      <c r="E4068">
        <v>30.1</v>
      </c>
      <c r="F4068">
        <v>5.5358490566037704</v>
      </c>
      <c r="G4068">
        <v>232.62431232132801</v>
      </c>
      <c r="H4068">
        <v>138.67699135241901</v>
      </c>
      <c r="I4068" s="1">
        <f t="shared" si="127"/>
        <v>137.35941441084455</v>
      </c>
    </row>
    <row r="4069" spans="1:9" x14ac:dyDescent="0.45">
      <c r="A4069" t="s">
        <v>62</v>
      </c>
      <c r="B4069" t="s">
        <v>66</v>
      </c>
      <c r="C4069" t="str">
        <f t="shared" si="126"/>
        <v>Texas A&amp;MUCLA</v>
      </c>
      <c r="D4069" t="s">
        <v>62</v>
      </c>
      <c r="E4069">
        <v>71.3</v>
      </c>
      <c r="F4069">
        <v>-5.9622641509434002</v>
      </c>
      <c r="G4069">
        <v>-248.28230627506099</v>
      </c>
      <c r="H4069">
        <v>139.47479038001299</v>
      </c>
      <c r="I4069" s="1">
        <f t="shared" si="127"/>
        <v>148.59329075012357</v>
      </c>
    </row>
    <row r="4070" spans="1:9" x14ac:dyDescent="0.45">
      <c r="A4070" t="s">
        <v>63</v>
      </c>
      <c r="B4070" t="s">
        <v>66</v>
      </c>
      <c r="C4070" t="str">
        <f t="shared" si="126"/>
        <v>Texas TechUCLA</v>
      </c>
      <c r="D4070" t="s">
        <v>63</v>
      </c>
      <c r="E4070">
        <v>83</v>
      </c>
      <c r="F4070">
        <v>-10.411320754717</v>
      </c>
      <c r="G4070">
        <v>-489.62355609572398</v>
      </c>
      <c r="H4070">
        <v>140.51457449907599</v>
      </c>
      <c r="I4070" s="1">
        <f t="shared" si="127"/>
        <v>163.23457985814261</v>
      </c>
    </row>
    <row r="4071" spans="1:9" x14ac:dyDescent="0.45">
      <c r="A4071" t="s">
        <v>64</v>
      </c>
      <c r="B4071" t="s">
        <v>66</v>
      </c>
      <c r="C4071" t="str">
        <f t="shared" si="126"/>
        <v>TroyUCLA</v>
      </c>
      <c r="D4071" t="s">
        <v>66</v>
      </c>
      <c r="E4071">
        <v>6.4</v>
      </c>
      <c r="F4071">
        <v>17.5320754716981</v>
      </c>
      <c r="G4071">
        <v>1450.7701163095501</v>
      </c>
      <c r="H4071">
        <v>139.21813891880601</v>
      </c>
      <c r="I4071" s="1">
        <f t="shared" si="127"/>
        <v>144.97935957476264</v>
      </c>
    </row>
    <row r="4072" spans="1:9" x14ac:dyDescent="0.45">
      <c r="A4072" t="s">
        <v>65</v>
      </c>
      <c r="B4072" t="s">
        <v>66</v>
      </c>
      <c r="C4072" t="str">
        <f t="shared" si="126"/>
        <v>UC San DiegoUCLA</v>
      </c>
      <c r="D4072" t="s">
        <v>66</v>
      </c>
      <c r="E4072">
        <v>15</v>
      </c>
      <c r="F4072">
        <v>11.373584905660399</v>
      </c>
      <c r="G4072">
        <v>566.829470852996</v>
      </c>
      <c r="H4072">
        <v>139.30626066219699</v>
      </c>
      <c r="I4072" s="1">
        <f t="shared" si="127"/>
        <v>146.22020938005949</v>
      </c>
    </row>
    <row r="4073" spans="1:9" x14ac:dyDescent="0.45">
      <c r="A4073" t="s">
        <v>66</v>
      </c>
      <c r="B4073" t="s">
        <v>66</v>
      </c>
      <c r="C4073" t="str">
        <f t="shared" si="126"/>
        <v>UCLAUCLA</v>
      </c>
      <c r="D4073" t="s">
        <v>66</v>
      </c>
      <c r="E4073">
        <v>41.2</v>
      </c>
      <c r="F4073">
        <v>2.3283018867924499</v>
      </c>
      <c r="G4073">
        <v>142.64273539779199</v>
      </c>
      <c r="H4073">
        <v>138.77771517530499</v>
      </c>
      <c r="I4073" s="1">
        <f t="shared" si="127"/>
        <v>138.77771517530277</v>
      </c>
    </row>
    <row r="4074" spans="1:9" x14ac:dyDescent="0.45">
      <c r="A4074" t="s">
        <v>67</v>
      </c>
      <c r="B4074" t="s">
        <v>66</v>
      </c>
      <c r="C4074" t="str">
        <f t="shared" si="126"/>
        <v>UNC WilmingtonUCLA</v>
      </c>
      <c r="D4074" t="s">
        <v>66</v>
      </c>
      <c r="E4074">
        <v>9.6</v>
      </c>
      <c r="F4074">
        <v>14.732075471698099</v>
      </c>
      <c r="G4074">
        <v>946.43460648212999</v>
      </c>
      <c r="H4074">
        <v>139.89273084922499</v>
      </c>
      <c r="I4074" s="1">
        <f t="shared" si="127"/>
        <v>154.47834624143874</v>
      </c>
    </row>
    <row r="4075" spans="1:9" x14ac:dyDescent="0.45">
      <c r="A4075" t="s">
        <v>68</v>
      </c>
      <c r="B4075" t="s">
        <v>66</v>
      </c>
      <c r="C4075" t="str">
        <f t="shared" si="126"/>
        <v>Utah St.UCLA</v>
      </c>
      <c r="D4075" t="s">
        <v>66</v>
      </c>
      <c r="E4075">
        <v>34.9</v>
      </c>
      <c r="F4075">
        <v>4.0905660377358499</v>
      </c>
      <c r="G4075">
        <v>186.599985677044</v>
      </c>
      <c r="H4075">
        <v>139.26410125305199</v>
      </c>
      <c r="I4075" s="1">
        <f t="shared" si="127"/>
        <v>145.62655913420704</v>
      </c>
    </row>
    <row r="4076" spans="1:9" x14ac:dyDescent="0.45">
      <c r="A4076" t="s">
        <v>69</v>
      </c>
      <c r="B4076" t="s">
        <v>66</v>
      </c>
      <c r="C4076" t="str">
        <f t="shared" si="126"/>
        <v>VanderbiltUCLA</v>
      </c>
      <c r="D4076" t="s">
        <v>66</v>
      </c>
      <c r="E4076">
        <v>10.3</v>
      </c>
      <c r="F4076">
        <v>14.211320754717001</v>
      </c>
      <c r="G4076">
        <v>873.98020289435703</v>
      </c>
      <c r="H4076">
        <v>137.83867174164999</v>
      </c>
      <c r="I4076" s="1">
        <f t="shared" si="127"/>
        <v>125.55496427435664</v>
      </c>
    </row>
    <row r="4077" spans="1:9" x14ac:dyDescent="0.45">
      <c r="A4077" t="s">
        <v>70</v>
      </c>
      <c r="B4077" t="s">
        <v>66</v>
      </c>
      <c r="C4077" t="str">
        <f t="shared" si="126"/>
        <v>VCUUCLA</v>
      </c>
      <c r="D4077" t="s">
        <v>66</v>
      </c>
      <c r="E4077">
        <v>26</v>
      </c>
      <c r="F4077">
        <v>6.86415094339623</v>
      </c>
      <c r="G4077">
        <v>284.95188408454499</v>
      </c>
      <c r="H4077">
        <v>139.683582903526</v>
      </c>
      <c r="I4077" s="1">
        <f t="shared" si="127"/>
        <v>151.53331613068207</v>
      </c>
    </row>
    <row r="4078" spans="1:9" x14ac:dyDescent="0.45">
      <c r="A4078" t="s">
        <v>71</v>
      </c>
      <c r="B4078" t="s">
        <v>66</v>
      </c>
      <c r="C4078" t="str">
        <f t="shared" si="126"/>
        <v>WisconsinUCLA</v>
      </c>
      <c r="D4078" t="s">
        <v>71</v>
      </c>
      <c r="E4078">
        <v>81.2</v>
      </c>
      <c r="F4078">
        <v>-9.5962264150943408</v>
      </c>
      <c r="G4078">
        <v>-432.38368352548002</v>
      </c>
      <c r="H4078">
        <v>140.484261758793</v>
      </c>
      <c r="I4078" s="1">
        <f t="shared" si="127"/>
        <v>162.80774356972194</v>
      </c>
    </row>
    <row r="4079" spans="1:9" x14ac:dyDescent="0.45">
      <c r="A4079" t="s">
        <v>80</v>
      </c>
      <c r="B4079" t="s">
        <v>66</v>
      </c>
      <c r="C4079" t="str">
        <f t="shared" si="126"/>
        <v>WoffordUCLA</v>
      </c>
      <c r="D4079" t="s">
        <v>66</v>
      </c>
      <c r="E4079">
        <v>3.5</v>
      </c>
      <c r="F4079">
        <v>21.788679245282999</v>
      </c>
      <c r="G4079">
        <v>2775.9125822382198</v>
      </c>
      <c r="H4079">
        <v>138.513717497888</v>
      </c>
      <c r="I4079" s="1">
        <f t="shared" si="127"/>
        <v>135.06034130120383</v>
      </c>
    </row>
    <row r="4080" spans="1:9" x14ac:dyDescent="0.45">
      <c r="A4080" t="s">
        <v>72</v>
      </c>
      <c r="B4080" t="s">
        <v>66</v>
      </c>
      <c r="C4080" t="str">
        <f t="shared" si="126"/>
        <v>XavierUCLA</v>
      </c>
      <c r="D4080" t="s">
        <v>66</v>
      </c>
      <c r="E4080">
        <v>25.8</v>
      </c>
      <c r="F4080">
        <v>6.9396226415094304</v>
      </c>
      <c r="G4080">
        <v>288.28778503585801</v>
      </c>
      <c r="H4080">
        <v>139.08963106803901</v>
      </c>
      <c r="I4080" s="1">
        <f t="shared" si="127"/>
        <v>143.16982953748408</v>
      </c>
    </row>
    <row r="4081" spans="1:9" x14ac:dyDescent="0.45">
      <c r="A4081" t="s">
        <v>73</v>
      </c>
      <c r="B4081" t="s">
        <v>66</v>
      </c>
      <c r="C4081" t="str">
        <f t="shared" si="126"/>
        <v>YaleUCLA</v>
      </c>
      <c r="D4081" t="s">
        <v>66</v>
      </c>
      <c r="E4081">
        <v>16.2</v>
      </c>
      <c r="F4081">
        <v>10.7660377358491</v>
      </c>
      <c r="G4081">
        <v>516.58027785689501</v>
      </c>
      <c r="H4081">
        <v>139.88886570210201</v>
      </c>
      <c r="I4081" s="1">
        <f t="shared" si="127"/>
        <v>154.42392077423352</v>
      </c>
    </row>
    <row r="4082" spans="1:9" x14ac:dyDescent="0.45">
      <c r="A4082" t="s">
        <v>7</v>
      </c>
      <c r="B4082" t="s">
        <v>67</v>
      </c>
      <c r="C4082" t="str">
        <f t="shared" si="126"/>
        <v>AkronUNC Wilmington</v>
      </c>
      <c r="D4082" t="s">
        <v>67</v>
      </c>
      <c r="E4082">
        <v>39.6</v>
      </c>
      <c r="F4082">
        <v>2.7547169811320802</v>
      </c>
      <c r="G4082">
        <v>152.217524954997</v>
      </c>
      <c r="H4082">
        <v>137.556315483627</v>
      </c>
      <c r="I4082" s="1">
        <f t="shared" si="127"/>
        <v>121.57908165662791</v>
      </c>
    </row>
    <row r="4083" spans="1:9" x14ac:dyDescent="0.45">
      <c r="A4083" t="s">
        <v>8</v>
      </c>
      <c r="B4083" t="s">
        <v>67</v>
      </c>
      <c r="C4083" t="str">
        <f t="shared" si="126"/>
        <v>AlabamaUNC Wilmington</v>
      </c>
      <c r="D4083" t="s">
        <v>8</v>
      </c>
      <c r="E4083">
        <v>98</v>
      </c>
      <c r="F4083">
        <v>-25.4188679245283</v>
      </c>
      <c r="G4083">
        <v>-4831.2444998660103</v>
      </c>
      <c r="H4083">
        <v>139.304411495767</v>
      </c>
      <c r="I4083" s="1">
        <f t="shared" si="127"/>
        <v>146.1941711094089</v>
      </c>
    </row>
    <row r="4084" spans="1:9" x14ac:dyDescent="0.45">
      <c r="A4084" t="s">
        <v>9</v>
      </c>
      <c r="B4084" t="s">
        <v>67</v>
      </c>
      <c r="C4084" t="str">
        <f t="shared" si="126"/>
        <v>Alabama St.UNC Wilmington</v>
      </c>
      <c r="D4084" t="s">
        <v>67</v>
      </c>
      <c r="E4084">
        <v>9.3000000000000007</v>
      </c>
      <c r="F4084">
        <v>14.8943396226415</v>
      </c>
      <c r="G4084">
        <v>969.90318034961604</v>
      </c>
      <c r="H4084">
        <v>137.78315633944001</v>
      </c>
      <c r="I4084" s="1">
        <f t="shared" si="127"/>
        <v>124.77324714788551</v>
      </c>
    </row>
    <row r="4085" spans="1:9" x14ac:dyDescent="0.45">
      <c r="A4085" t="s">
        <v>10</v>
      </c>
      <c r="B4085" t="s">
        <v>67</v>
      </c>
      <c r="C4085" t="str">
        <f t="shared" si="126"/>
        <v>AmericanUNC Wilmington</v>
      </c>
      <c r="D4085" t="s">
        <v>67</v>
      </c>
      <c r="E4085">
        <v>11.1</v>
      </c>
      <c r="F4085">
        <v>13.6301886792453</v>
      </c>
      <c r="G4085">
        <v>799.89091362826002</v>
      </c>
      <c r="H4085">
        <v>137.874242221044</v>
      </c>
      <c r="I4085" s="1">
        <f t="shared" si="127"/>
        <v>126.05583523686745</v>
      </c>
    </row>
    <row r="4086" spans="1:9" x14ac:dyDescent="0.45">
      <c r="A4086" t="s">
        <v>11</v>
      </c>
      <c r="B4086" t="s">
        <v>67</v>
      </c>
      <c r="C4086" t="str">
        <f t="shared" si="126"/>
        <v>ArizonaUNC Wilmington</v>
      </c>
      <c r="D4086" t="s">
        <v>11</v>
      </c>
      <c r="E4086">
        <v>97.2</v>
      </c>
      <c r="F4086">
        <v>-23.177358490566</v>
      </c>
      <c r="G4086">
        <v>-3432.58110407616</v>
      </c>
      <c r="H4086">
        <v>139.06677031475701</v>
      </c>
      <c r="I4086" s="1">
        <f t="shared" si="127"/>
        <v>142.84792531535521</v>
      </c>
    </row>
    <row r="4087" spans="1:9" x14ac:dyDescent="0.45">
      <c r="A4087" t="s">
        <v>12</v>
      </c>
      <c r="B4087" t="s">
        <v>67</v>
      </c>
      <c r="C4087" t="str">
        <f t="shared" si="126"/>
        <v>ArkansasUNC Wilmington</v>
      </c>
      <c r="D4087" t="s">
        <v>12</v>
      </c>
      <c r="E4087">
        <v>67.5</v>
      </c>
      <c r="F4087">
        <v>-4.7886792452830198</v>
      </c>
      <c r="G4087">
        <v>-207.55474516361801</v>
      </c>
      <c r="H4087">
        <v>137.18437414861501</v>
      </c>
      <c r="I4087" s="1">
        <f t="shared" si="127"/>
        <v>116.341743908057</v>
      </c>
    </row>
    <row r="4088" spans="1:9" x14ac:dyDescent="0.45">
      <c r="A4088" t="s">
        <v>13</v>
      </c>
      <c r="B4088" t="s">
        <v>67</v>
      </c>
      <c r="C4088" t="str">
        <f t="shared" si="126"/>
        <v>AuburnUNC Wilmington</v>
      </c>
      <c r="D4088" t="s">
        <v>13</v>
      </c>
      <c r="E4088">
        <v>99</v>
      </c>
      <c r="F4088">
        <v>-29.8301886792453</v>
      </c>
      <c r="G4088">
        <v>-9468.0455299012192</v>
      </c>
      <c r="H4088">
        <v>140.32309355387599</v>
      </c>
      <c r="I4088" s="1">
        <f t="shared" si="127"/>
        <v>160.53832029238166</v>
      </c>
    </row>
    <row r="4089" spans="1:9" x14ac:dyDescent="0.45">
      <c r="A4089" t="s">
        <v>14</v>
      </c>
      <c r="B4089" t="s">
        <v>67</v>
      </c>
      <c r="C4089" t="str">
        <f t="shared" si="126"/>
        <v>BaylorUNC Wilmington</v>
      </c>
      <c r="D4089" t="s">
        <v>14</v>
      </c>
      <c r="E4089">
        <v>90.9</v>
      </c>
      <c r="F4089">
        <v>-15.0981132075472</v>
      </c>
      <c r="G4089">
        <v>-1000.62797136856</v>
      </c>
      <c r="H4089">
        <v>138.85809156660099</v>
      </c>
      <c r="I4089" s="1">
        <f t="shared" si="127"/>
        <v>139.9095020153292</v>
      </c>
    </row>
    <row r="4090" spans="1:9" x14ac:dyDescent="0.45">
      <c r="A4090" t="s">
        <v>15</v>
      </c>
      <c r="B4090" t="s">
        <v>67</v>
      </c>
      <c r="C4090" t="str">
        <f t="shared" si="126"/>
        <v>BryantUNC Wilmington</v>
      </c>
      <c r="D4090" t="s">
        <v>67</v>
      </c>
      <c r="E4090">
        <v>31.2</v>
      </c>
      <c r="F4090">
        <v>5.1886792452830202</v>
      </c>
      <c r="G4090">
        <v>220.63149405714501</v>
      </c>
      <c r="H4090">
        <v>138.40708931649499</v>
      </c>
      <c r="I4090" s="1">
        <f t="shared" si="127"/>
        <v>133.55890075963819</v>
      </c>
    </row>
    <row r="4091" spans="1:9" x14ac:dyDescent="0.45">
      <c r="A4091" t="s">
        <v>16</v>
      </c>
      <c r="B4091" t="s">
        <v>67</v>
      </c>
      <c r="C4091" t="str">
        <f t="shared" si="126"/>
        <v>BYUUNC Wilmington</v>
      </c>
      <c r="D4091" t="s">
        <v>16</v>
      </c>
      <c r="E4091">
        <v>92.4</v>
      </c>
      <c r="F4091">
        <v>-16.392452830188699</v>
      </c>
      <c r="G4091">
        <v>-1219.0154836996501</v>
      </c>
      <c r="H4091">
        <v>138.667609794719</v>
      </c>
      <c r="I4091" s="1">
        <f t="shared" si="127"/>
        <v>137.22731189451338</v>
      </c>
    </row>
    <row r="4092" spans="1:9" x14ac:dyDescent="0.45">
      <c r="A4092" t="s">
        <v>17</v>
      </c>
      <c r="B4092" t="s">
        <v>67</v>
      </c>
      <c r="C4092" t="str">
        <f t="shared" si="126"/>
        <v>ClemsonUNC Wilmington</v>
      </c>
      <c r="D4092" t="s">
        <v>17</v>
      </c>
      <c r="E4092">
        <v>94</v>
      </c>
      <c r="F4092">
        <v>-18.018867924528301</v>
      </c>
      <c r="G4092">
        <v>-1561.9270564922999</v>
      </c>
      <c r="H4092">
        <v>138.88952165101</v>
      </c>
      <c r="I4092" s="1">
        <f t="shared" si="127"/>
        <v>140.3520717219491</v>
      </c>
    </row>
    <row r="4093" spans="1:9" x14ac:dyDescent="0.45">
      <c r="A4093" t="s">
        <v>18</v>
      </c>
      <c r="B4093" t="s">
        <v>67</v>
      </c>
      <c r="C4093" t="str">
        <f t="shared" si="126"/>
        <v>Colorado St.UNC Wilmington</v>
      </c>
      <c r="D4093" t="s">
        <v>18</v>
      </c>
      <c r="E4093">
        <v>72</v>
      </c>
      <c r="F4093">
        <v>-6.1773584905660401</v>
      </c>
      <c r="G4093">
        <v>-256.63696936808498</v>
      </c>
      <c r="H4093">
        <v>138.19691349911599</v>
      </c>
      <c r="I4093" s="1">
        <f t="shared" si="127"/>
        <v>130.59939709984664</v>
      </c>
    </row>
    <row r="4094" spans="1:9" x14ac:dyDescent="0.45">
      <c r="A4094" t="s">
        <v>19</v>
      </c>
      <c r="B4094" t="s">
        <v>67</v>
      </c>
      <c r="C4094" t="str">
        <f t="shared" si="126"/>
        <v>ConnecticutUNC Wilmington</v>
      </c>
      <c r="D4094" t="s">
        <v>19</v>
      </c>
      <c r="E4094">
        <v>96.4</v>
      </c>
      <c r="F4094">
        <v>-21.479245283018901</v>
      </c>
      <c r="G4094">
        <v>-2649.2092271070501</v>
      </c>
      <c r="H4094">
        <v>138.832465401451</v>
      </c>
      <c r="I4094" s="1">
        <f t="shared" si="127"/>
        <v>139.54865779217553</v>
      </c>
    </row>
    <row r="4095" spans="1:9" x14ac:dyDescent="0.45">
      <c r="A4095" t="s">
        <v>20</v>
      </c>
      <c r="B4095" t="s">
        <v>67</v>
      </c>
      <c r="C4095" t="str">
        <f t="shared" si="126"/>
        <v>CreightonUNC Wilmington</v>
      </c>
      <c r="D4095" t="s">
        <v>20</v>
      </c>
      <c r="E4095">
        <v>89.1</v>
      </c>
      <c r="F4095">
        <v>-13.788679245282999</v>
      </c>
      <c r="G4095">
        <v>-819.47598669081106</v>
      </c>
      <c r="H4095">
        <v>138.30540776371501</v>
      </c>
      <c r="I4095" s="1">
        <f t="shared" si="127"/>
        <v>132.12711411863279</v>
      </c>
    </row>
    <row r="4096" spans="1:9" x14ac:dyDescent="0.45">
      <c r="A4096" t="s">
        <v>21</v>
      </c>
      <c r="B4096" t="s">
        <v>67</v>
      </c>
      <c r="C4096" t="str">
        <f t="shared" si="126"/>
        <v>DrakeUNC Wilmington</v>
      </c>
      <c r="D4096" t="s">
        <v>21</v>
      </c>
      <c r="E4096">
        <v>71.8</v>
      </c>
      <c r="F4096">
        <v>-6.1283018867924497</v>
      </c>
      <c r="G4096">
        <v>-254.66034347026499</v>
      </c>
      <c r="H4096">
        <v>138.358872867869</v>
      </c>
      <c r="I4096" s="1">
        <f t="shared" si="127"/>
        <v>132.87996082282584</v>
      </c>
    </row>
    <row r="4097" spans="1:9" x14ac:dyDescent="0.45">
      <c r="A4097" t="s">
        <v>22</v>
      </c>
      <c r="B4097" t="s">
        <v>67</v>
      </c>
      <c r="C4097" t="str">
        <f t="shared" si="126"/>
        <v>DukeUNC Wilmington</v>
      </c>
      <c r="D4097" t="s">
        <v>22</v>
      </c>
      <c r="E4097">
        <v>99.3</v>
      </c>
      <c r="F4097">
        <v>-32.339622641509401</v>
      </c>
      <c r="G4097">
        <v>-13882.566320411301</v>
      </c>
      <c r="H4097">
        <v>140.646193329325</v>
      </c>
      <c r="I4097" s="1">
        <f t="shared" si="127"/>
        <v>165.08791586357381</v>
      </c>
    </row>
    <row r="4098" spans="1:9" x14ac:dyDescent="0.45">
      <c r="A4098" t="s">
        <v>23</v>
      </c>
      <c r="B4098" t="s">
        <v>67</v>
      </c>
      <c r="C4098" t="str">
        <f t="shared" si="126"/>
        <v>FloridaUNC Wilmington</v>
      </c>
      <c r="D4098" t="s">
        <v>23</v>
      </c>
      <c r="E4098">
        <v>98.7</v>
      </c>
      <c r="F4098">
        <v>-28.437735849056601</v>
      </c>
      <c r="G4098">
        <v>-7658.13700000277</v>
      </c>
      <c r="H4098">
        <v>140.369949605268</v>
      </c>
      <c r="I4098" s="1">
        <f t="shared" si="127"/>
        <v>161.19810435939442</v>
      </c>
    </row>
    <row r="4099" spans="1:9" x14ac:dyDescent="0.45">
      <c r="A4099" t="s">
        <v>24</v>
      </c>
      <c r="B4099" t="s">
        <v>67</v>
      </c>
      <c r="C4099" t="str">
        <f t="shared" ref="C4099:C4162" si="128">A4099&amp;B4099</f>
        <v>GeorgiaUNC Wilmington</v>
      </c>
      <c r="D4099" t="s">
        <v>24</v>
      </c>
      <c r="E4099">
        <v>74.2</v>
      </c>
      <c r="F4099">
        <v>-6.9320754716981101</v>
      </c>
      <c r="G4099">
        <v>-287.93098258926801</v>
      </c>
      <c r="H4099">
        <v>137.51176312961201</v>
      </c>
      <c r="I4099" s="1">
        <f t="shared" ref="I4099:I4162" si="129">18*(H4099-AVERAGE($H$2:$H$4625))/_xlfn.STDEV.P($H$2:$H$4625)+AVERAGE($H$2:$H$4625)</f>
        <v>120.95173614940455</v>
      </c>
    </row>
    <row r="4100" spans="1:9" x14ac:dyDescent="0.45">
      <c r="A4100" t="s">
        <v>25</v>
      </c>
      <c r="B4100" t="s">
        <v>67</v>
      </c>
      <c r="C4100" t="str">
        <f t="shared" si="128"/>
        <v>GonzagaUNC Wilmington</v>
      </c>
      <c r="D4100" t="s">
        <v>25</v>
      </c>
      <c r="E4100">
        <v>94.2</v>
      </c>
      <c r="F4100">
        <v>-18.260377358490601</v>
      </c>
      <c r="G4100">
        <v>-1620.7262137975799</v>
      </c>
      <c r="H4100">
        <v>139.64940424914101</v>
      </c>
      <c r="I4100" s="1">
        <f t="shared" si="129"/>
        <v>151.05204357515908</v>
      </c>
    </row>
    <row r="4101" spans="1:9" x14ac:dyDescent="0.45">
      <c r="A4101" t="s">
        <v>26</v>
      </c>
      <c r="B4101" t="s">
        <v>67</v>
      </c>
      <c r="C4101" t="str">
        <f t="shared" si="128"/>
        <v>Grand CanyonUNC Wilmington</v>
      </c>
      <c r="D4101" t="s">
        <v>26</v>
      </c>
      <c r="E4101">
        <v>61.3</v>
      </c>
      <c r="F4101">
        <v>-3.01132075471698</v>
      </c>
      <c r="G4101">
        <v>-158.280371174723</v>
      </c>
      <c r="H4101">
        <v>138.30137249544501</v>
      </c>
      <c r="I4101" s="1">
        <f t="shared" si="129"/>
        <v>132.07029316100676</v>
      </c>
    </row>
    <row r="4102" spans="1:9" x14ac:dyDescent="0.45">
      <c r="A4102" t="s">
        <v>27</v>
      </c>
      <c r="B4102" t="s">
        <v>67</v>
      </c>
      <c r="C4102" t="str">
        <f t="shared" si="128"/>
        <v>High PointUNC Wilmington</v>
      </c>
      <c r="D4102" t="s">
        <v>27</v>
      </c>
      <c r="E4102">
        <v>50.9</v>
      </c>
      <c r="F4102">
        <v>-0.237735849056604</v>
      </c>
      <c r="G4102">
        <v>-103.693370518159</v>
      </c>
      <c r="H4102">
        <v>138.58226424310101</v>
      </c>
      <c r="I4102" s="1">
        <f t="shared" si="129"/>
        <v>136.02555388300576</v>
      </c>
    </row>
    <row r="4103" spans="1:9" x14ac:dyDescent="0.45">
      <c r="A4103" t="s">
        <v>28</v>
      </c>
      <c r="B4103" t="s">
        <v>67</v>
      </c>
      <c r="C4103" t="str">
        <f t="shared" si="128"/>
        <v>HoustonUNC Wilmington</v>
      </c>
      <c r="D4103" t="s">
        <v>28</v>
      </c>
      <c r="E4103">
        <v>99.6</v>
      </c>
      <c r="F4103">
        <v>-35.852830188679199</v>
      </c>
      <c r="G4103">
        <v>-23727.774320161199</v>
      </c>
      <c r="H4103">
        <v>140.789857678955</v>
      </c>
      <c r="I4103" s="1">
        <f t="shared" si="129"/>
        <v>167.11086585760131</v>
      </c>
    </row>
    <row r="4104" spans="1:9" x14ac:dyDescent="0.45">
      <c r="A4104" t="s">
        <v>29</v>
      </c>
      <c r="B4104" t="s">
        <v>67</v>
      </c>
      <c r="C4104" t="str">
        <f t="shared" si="128"/>
        <v>IllinoisUNC Wilmington</v>
      </c>
      <c r="D4104" t="s">
        <v>29</v>
      </c>
      <c r="E4104">
        <v>95.9</v>
      </c>
      <c r="F4104">
        <v>-20.743396226415101</v>
      </c>
      <c r="G4104">
        <v>-2366.7607307233702</v>
      </c>
      <c r="H4104">
        <v>138.840102832892</v>
      </c>
      <c r="I4104" s="1">
        <f t="shared" si="129"/>
        <v>139.65620111748723</v>
      </c>
    </row>
    <row r="4105" spans="1:9" x14ac:dyDescent="0.45">
      <c r="A4105" t="s">
        <v>30</v>
      </c>
      <c r="B4105" t="s">
        <v>67</v>
      </c>
      <c r="C4105" t="str">
        <f t="shared" si="128"/>
        <v>Iowa St.UNC Wilmington</v>
      </c>
      <c r="D4105" t="s">
        <v>30</v>
      </c>
      <c r="E4105">
        <v>98</v>
      </c>
      <c r="F4105">
        <v>-25.626415094339599</v>
      </c>
      <c r="G4105">
        <v>-4985.3394422732199</v>
      </c>
      <c r="H4105">
        <v>139.76637141124999</v>
      </c>
      <c r="I4105" s="1">
        <f t="shared" si="129"/>
        <v>152.69906818842719</v>
      </c>
    </row>
    <row r="4106" spans="1:9" x14ac:dyDescent="0.45">
      <c r="A4106" t="s">
        <v>31</v>
      </c>
      <c r="B4106" t="s">
        <v>67</v>
      </c>
      <c r="C4106" t="str">
        <f t="shared" si="128"/>
        <v>KansasUNC Wilmington</v>
      </c>
      <c r="D4106" t="s">
        <v>31</v>
      </c>
      <c r="E4106">
        <v>93.5</v>
      </c>
      <c r="F4106">
        <v>-17.5245283018868</v>
      </c>
      <c r="G4106">
        <v>-1448.38242809129</v>
      </c>
      <c r="H4106">
        <v>138.72176169556201</v>
      </c>
      <c r="I4106" s="1">
        <f t="shared" si="129"/>
        <v>137.98982944162285</v>
      </c>
    </row>
    <row r="4107" spans="1:9" x14ac:dyDescent="0.45">
      <c r="A4107" t="s">
        <v>32</v>
      </c>
      <c r="B4107" t="s">
        <v>67</v>
      </c>
      <c r="C4107" t="str">
        <f t="shared" si="128"/>
        <v>KentuckyUNC Wilmington</v>
      </c>
      <c r="D4107" t="s">
        <v>32</v>
      </c>
      <c r="E4107">
        <v>96.1</v>
      </c>
      <c r="F4107">
        <v>-20.9509433962264</v>
      </c>
      <c r="G4107">
        <v>-2443.38898273832</v>
      </c>
      <c r="H4107">
        <v>138.66879929595399</v>
      </c>
      <c r="I4107" s="1">
        <f t="shared" si="129"/>
        <v>137.2440613631353</v>
      </c>
    </row>
    <row r="4108" spans="1:9" x14ac:dyDescent="0.45">
      <c r="A4108" t="s">
        <v>33</v>
      </c>
      <c r="B4108" t="s">
        <v>67</v>
      </c>
      <c r="C4108" t="str">
        <f t="shared" si="128"/>
        <v>LibertyUNC Wilmington</v>
      </c>
      <c r="D4108" t="s">
        <v>67</v>
      </c>
      <c r="E4108">
        <v>40.4</v>
      </c>
      <c r="F4108">
        <v>2.5396226415094301</v>
      </c>
      <c r="G4108">
        <v>147.288034572844</v>
      </c>
      <c r="H4108">
        <v>137.87773554435299</v>
      </c>
      <c r="I4108" s="1">
        <f t="shared" si="129"/>
        <v>126.10502502114763</v>
      </c>
    </row>
    <row r="4109" spans="1:9" x14ac:dyDescent="0.45">
      <c r="A4109" t="s">
        <v>34</v>
      </c>
      <c r="B4109" t="s">
        <v>67</v>
      </c>
      <c r="C4109" t="str">
        <f t="shared" si="128"/>
        <v>LipscombUNC Wilmington</v>
      </c>
      <c r="D4109" t="s">
        <v>67</v>
      </c>
      <c r="E4109">
        <v>34.200000000000003</v>
      </c>
      <c r="F4109">
        <v>4.2792452830188701</v>
      </c>
      <c r="G4109">
        <v>192.13094385651399</v>
      </c>
      <c r="H4109">
        <v>138.30965577561</v>
      </c>
      <c r="I4109" s="1">
        <f t="shared" si="129"/>
        <v>132.18693073743714</v>
      </c>
    </row>
    <row r="4110" spans="1:9" x14ac:dyDescent="0.45">
      <c r="A4110" t="s">
        <v>35</v>
      </c>
      <c r="B4110" t="s">
        <v>67</v>
      </c>
      <c r="C4110" t="str">
        <f t="shared" si="128"/>
        <v>LouisvilleUNC Wilmington</v>
      </c>
      <c r="D4110" t="s">
        <v>35</v>
      </c>
      <c r="E4110">
        <v>56.9</v>
      </c>
      <c r="F4110">
        <v>-1.82641509433962</v>
      </c>
      <c r="G4110">
        <v>-132.134417720714</v>
      </c>
      <c r="H4110">
        <v>137.59537908757801</v>
      </c>
      <c r="I4110" s="1">
        <f t="shared" si="129"/>
        <v>122.12913960477512</v>
      </c>
    </row>
    <row r="4111" spans="1:9" x14ac:dyDescent="0.45">
      <c r="A4111" t="s">
        <v>36</v>
      </c>
      <c r="B4111" t="s">
        <v>67</v>
      </c>
      <c r="C4111" t="str">
        <f t="shared" si="128"/>
        <v>MarquetteUNC Wilmington</v>
      </c>
      <c r="D4111" t="s">
        <v>36</v>
      </c>
      <c r="E4111">
        <v>94.9</v>
      </c>
      <c r="F4111">
        <v>-19.1698113207547</v>
      </c>
      <c r="G4111">
        <v>-1862.60756016711</v>
      </c>
      <c r="H4111">
        <v>138.927135722484</v>
      </c>
      <c r="I4111" s="1">
        <f t="shared" si="129"/>
        <v>140.88171867931632</v>
      </c>
    </row>
    <row r="4112" spans="1:9" x14ac:dyDescent="0.45">
      <c r="A4112" t="s">
        <v>37</v>
      </c>
      <c r="B4112" t="s">
        <v>67</v>
      </c>
      <c r="C4112" t="str">
        <f t="shared" si="128"/>
        <v>MarylandUNC Wilmington</v>
      </c>
      <c r="D4112" t="s">
        <v>37</v>
      </c>
      <c r="E4112">
        <v>92.7</v>
      </c>
      <c r="F4112">
        <v>-16.626415094339599</v>
      </c>
      <c r="G4112">
        <v>-1263.5051117144601</v>
      </c>
      <c r="H4112">
        <v>138.537075034162</v>
      </c>
      <c r="I4112" s="1">
        <f t="shared" si="129"/>
        <v>135.38924076713039</v>
      </c>
    </row>
    <row r="4113" spans="1:9" x14ac:dyDescent="0.45">
      <c r="A4113" t="s">
        <v>38</v>
      </c>
      <c r="B4113" t="s">
        <v>67</v>
      </c>
      <c r="C4113" t="str">
        <f t="shared" si="128"/>
        <v>McNeese St.UNC Wilmington</v>
      </c>
      <c r="D4113" t="s">
        <v>38</v>
      </c>
      <c r="E4113">
        <v>69.2</v>
      </c>
      <c r="F4113">
        <v>-5.3207547169811296</v>
      </c>
      <c r="G4113">
        <v>-225.12713357120899</v>
      </c>
      <c r="H4113">
        <v>138.37248664836301</v>
      </c>
      <c r="I4113" s="1">
        <f t="shared" si="129"/>
        <v>133.07165763028004</v>
      </c>
    </row>
    <row r="4114" spans="1:9" x14ac:dyDescent="0.45">
      <c r="A4114" t="s">
        <v>39</v>
      </c>
      <c r="B4114" t="s">
        <v>67</v>
      </c>
      <c r="C4114" t="str">
        <f t="shared" si="128"/>
        <v>MemphisUNC Wilmington</v>
      </c>
      <c r="D4114" t="s">
        <v>39</v>
      </c>
      <c r="E4114">
        <v>86.6</v>
      </c>
      <c r="F4114">
        <v>-12.2415094339623</v>
      </c>
      <c r="G4114">
        <v>-647.15826041252103</v>
      </c>
      <c r="H4114">
        <v>137.51470984718199</v>
      </c>
      <c r="I4114" s="1">
        <f t="shared" si="129"/>
        <v>120.99322913152538</v>
      </c>
    </row>
    <row r="4115" spans="1:9" x14ac:dyDescent="0.45">
      <c r="A4115" t="s">
        <v>40</v>
      </c>
      <c r="B4115" t="s">
        <v>67</v>
      </c>
      <c r="C4115" t="str">
        <f t="shared" si="128"/>
        <v>MichiganUNC Wilmington</v>
      </c>
      <c r="D4115" t="s">
        <v>40</v>
      </c>
      <c r="E4115">
        <v>77.400000000000006</v>
      </c>
      <c r="F4115">
        <v>-8.0528301886792395</v>
      </c>
      <c r="G4115">
        <v>-341.61856133098701</v>
      </c>
      <c r="H4115">
        <v>137.171630931865</v>
      </c>
      <c r="I4115" s="1">
        <f t="shared" si="129"/>
        <v>116.16230558313703</v>
      </c>
    </row>
    <row r="4116" spans="1:9" x14ac:dyDescent="0.45">
      <c r="A4116" t="s">
        <v>41</v>
      </c>
      <c r="B4116" t="s">
        <v>67</v>
      </c>
      <c r="C4116" t="str">
        <f t="shared" si="128"/>
        <v>Michigan St.UNC Wilmington</v>
      </c>
      <c r="D4116" t="s">
        <v>41</v>
      </c>
      <c r="E4116">
        <v>97</v>
      </c>
      <c r="F4116">
        <v>-22.875471698113198</v>
      </c>
      <c r="G4116">
        <v>-3278.04789434028</v>
      </c>
      <c r="H4116">
        <v>138.870522892694</v>
      </c>
      <c r="I4116" s="1">
        <f t="shared" si="129"/>
        <v>140.08454858123349</v>
      </c>
    </row>
    <row r="4117" spans="1:9" x14ac:dyDescent="0.45">
      <c r="A4117" t="s">
        <v>42</v>
      </c>
      <c r="B4117" t="s">
        <v>67</v>
      </c>
      <c r="C4117" t="str">
        <f t="shared" si="128"/>
        <v>MississippiUNC Wilmington</v>
      </c>
      <c r="D4117" t="s">
        <v>42</v>
      </c>
      <c r="E4117">
        <v>89.4</v>
      </c>
      <c r="F4117">
        <v>-13.966037735849101</v>
      </c>
      <c r="G4117">
        <v>-841.96958652887201</v>
      </c>
      <c r="H4117">
        <v>138.00144399778901</v>
      </c>
      <c r="I4117" s="1">
        <f t="shared" si="129"/>
        <v>127.84697433414054</v>
      </c>
    </row>
    <row r="4118" spans="1:9" x14ac:dyDescent="0.45">
      <c r="A4118" t="s">
        <v>43</v>
      </c>
      <c r="B4118" t="s">
        <v>67</v>
      </c>
      <c r="C4118" t="str">
        <f t="shared" si="128"/>
        <v>Mississippi St.UNC Wilmington</v>
      </c>
      <c r="D4118" t="s">
        <v>43</v>
      </c>
      <c r="E4118">
        <v>86.4</v>
      </c>
      <c r="F4118">
        <v>-12.1169811320755</v>
      </c>
      <c r="G4118">
        <v>-635.04590852159004</v>
      </c>
      <c r="H4118">
        <v>138.12581535157801</v>
      </c>
      <c r="I4118" s="1">
        <f t="shared" si="129"/>
        <v>129.59825800369825</v>
      </c>
    </row>
    <row r="4119" spans="1:9" x14ac:dyDescent="0.45">
      <c r="A4119" t="s">
        <v>44</v>
      </c>
      <c r="B4119" t="s">
        <v>67</v>
      </c>
      <c r="C4119" t="str">
        <f t="shared" si="128"/>
        <v>MissouriUNC Wilmington</v>
      </c>
      <c r="D4119" t="s">
        <v>44</v>
      </c>
      <c r="E4119">
        <v>73.599999999999994</v>
      </c>
      <c r="F4119">
        <v>-6.7056603773584902</v>
      </c>
      <c r="G4119">
        <v>-278.10332500169301</v>
      </c>
      <c r="H4119">
        <v>137.39028728775199</v>
      </c>
      <c r="I4119" s="1">
        <f t="shared" si="129"/>
        <v>119.24122443095737</v>
      </c>
    </row>
    <row r="4120" spans="1:9" x14ac:dyDescent="0.45">
      <c r="A4120" t="s">
        <v>45</v>
      </c>
      <c r="B4120" t="s">
        <v>67</v>
      </c>
      <c r="C4120" t="str">
        <f t="shared" si="128"/>
        <v>MontanaUNC Wilmington</v>
      </c>
      <c r="D4120" t="s">
        <v>67</v>
      </c>
      <c r="E4120">
        <v>21.3</v>
      </c>
      <c r="F4120">
        <v>8.5509433962264207</v>
      </c>
      <c r="G4120">
        <v>368.62593801093101</v>
      </c>
      <c r="H4120">
        <v>136.699022012771</v>
      </c>
      <c r="I4120" s="1">
        <f t="shared" si="129"/>
        <v>109.50745897351655</v>
      </c>
    </row>
    <row r="4121" spans="1:9" x14ac:dyDescent="0.45">
      <c r="A4121" t="s">
        <v>46</v>
      </c>
      <c r="B4121" t="s">
        <v>67</v>
      </c>
      <c r="C4121" t="str">
        <f t="shared" si="128"/>
        <v>Mount St. Mary'sUNC Wilmington</v>
      </c>
      <c r="D4121" t="s">
        <v>67</v>
      </c>
      <c r="E4121">
        <v>9.6</v>
      </c>
      <c r="F4121">
        <v>14.667924528301899</v>
      </c>
      <c r="G4121">
        <v>937.10139972682396</v>
      </c>
      <c r="H4121">
        <v>138.04689623471799</v>
      </c>
      <c r="I4121" s="1">
        <f t="shared" si="129"/>
        <v>128.48699116963815</v>
      </c>
    </row>
    <row r="4122" spans="1:9" x14ac:dyDescent="0.45">
      <c r="A4122" t="s">
        <v>47</v>
      </c>
      <c r="B4122" t="s">
        <v>67</v>
      </c>
      <c r="C4122" t="str">
        <f t="shared" si="128"/>
        <v>Nebraska OmahaUNC Wilmington</v>
      </c>
      <c r="D4122" t="s">
        <v>67</v>
      </c>
      <c r="E4122">
        <v>12.2</v>
      </c>
      <c r="F4122">
        <v>12.9509433962264</v>
      </c>
      <c r="G4122">
        <v>721.30048301582201</v>
      </c>
      <c r="H4122">
        <v>137.330897414617</v>
      </c>
      <c r="I4122" s="1">
        <f t="shared" si="129"/>
        <v>118.4049505480272</v>
      </c>
    </row>
    <row r="4123" spans="1:9" x14ac:dyDescent="0.45">
      <c r="A4123" t="s">
        <v>48</v>
      </c>
      <c r="B4123" t="s">
        <v>67</v>
      </c>
      <c r="C4123" t="str">
        <f t="shared" si="128"/>
        <v>New MexicoUNC Wilmington</v>
      </c>
      <c r="D4123" t="s">
        <v>48</v>
      </c>
      <c r="E4123">
        <v>78</v>
      </c>
      <c r="F4123">
        <v>-8.2943396226415107</v>
      </c>
      <c r="G4123">
        <v>-354.42088351501297</v>
      </c>
      <c r="H4123">
        <v>138.20864176189301</v>
      </c>
      <c r="I4123" s="1">
        <f t="shared" si="129"/>
        <v>130.76454377106893</v>
      </c>
    </row>
    <row r="4124" spans="1:9" x14ac:dyDescent="0.45">
      <c r="A4124" t="s">
        <v>49</v>
      </c>
      <c r="B4124" t="s">
        <v>67</v>
      </c>
      <c r="C4124" t="str">
        <f t="shared" si="128"/>
        <v>Norfolk St.UNC Wilmington</v>
      </c>
      <c r="D4124" t="s">
        <v>67</v>
      </c>
      <c r="E4124">
        <v>16.899999999999999</v>
      </c>
      <c r="F4124">
        <v>10.4188679245283</v>
      </c>
      <c r="G4124">
        <v>490.15516956758501</v>
      </c>
      <c r="H4124">
        <v>137.22100542409501</v>
      </c>
      <c r="I4124" s="1">
        <f t="shared" si="129"/>
        <v>116.85755203097924</v>
      </c>
    </row>
    <row r="4125" spans="1:9" x14ac:dyDescent="0.45">
      <c r="A4125" t="s">
        <v>50</v>
      </c>
      <c r="B4125" t="s">
        <v>67</v>
      </c>
      <c r="C4125" t="str">
        <f t="shared" si="128"/>
        <v>North CarolinaUNC Wilmington</v>
      </c>
      <c r="D4125" t="s">
        <v>50</v>
      </c>
      <c r="E4125">
        <v>92.4</v>
      </c>
      <c r="F4125">
        <v>-16.335849056603799</v>
      </c>
      <c r="G4125">
        <v>-1208.4045083349599</v>
      </c>
      <c r="H4125">
        <v>139.292936856051</v>
      </c>
      <c r="I4125" s="1">
        <f t="shared" si="129"/>
        <v>146.03259572619982</v>
      </c>
    </row>
    <row r="4126" spans="1:9" x14ac:dyDescent="0.45">
      <c r="A4126" t="s">
        <v>51</v>
      </c>
      <c r="B4126" t="s">
        <v>67</v>
      </c>
      <c r="C4126" t="str">
        <f t="shared" si="128"/>
        <v>OklahomaUNC Wilmington</v>
      </c>
      <c r="D4126" t="s">
        <v>51</v>
      </c>
      <c r="E4126">
        <v>79.900000000000006</v>
      </c>
      <c r="F4126">
        <v>-9.0301886792452795</v>
      </c>
      <c r="G4126">
        <v>-396.46405164749598</v>
      </c>
      <c r="H4126">
        <v>137.63554015155501</v>
      </c>
      <c r="I4126" s="1">
        <f t="shared" si="129"/>
        <v>122.6946509814085</v>
      </c>
    </row>
    <row r="4127" spans="1:9" x14ac:dyDescent="0.45">
      <c r="A4127" t="s">
        <v>52</v>
      </c>
      <c r="B4127" t="s">
        <v>67</v>
      </c>
      <c r="C4127" t="str">
        <f t="shared" si="128"/>
        <v>OregonUNC Wilmington</v>
      </c>
      <c r="D4127" t="s">
        <v>52</v>
      </c>
      <c r="E4127">
        <v>92.9</v>
      </c>
      <c r="F4127">
        <v>-16.856603773584901</v>
      </c>
      <c r="G4127">
        <v>-1308.06167534779</v>
      </c>
      <c r="H4127">
        <v>138.22991793969601</v>
      </c>
      <c r="I4127" s="1">
        <f t="shared" si="129"/>
        <v>131.06413545035721</v>
      </c>
    </row>
    <row r="4128" spans="1:9" x14ac:dyDescent="0.45">
      <c r="A4128" t="s">
        <v>53</v>
      </c>
      <c r="B4128" t="s">
        <v>67</v>
      </c>
      <c r="C4128" t="str">
        <f t="shared" si="128"/>
        <v>PurdueUNC Wilmington</v>
      </c>
      <c r="D4128" t="s">
        <v>53</v>
      </c>
      <c r="E4128">
        <v>98.6</v>
      </c>
      <c r="F4128">
        <v>-27.7660377358491</v>
      </c>
      <c r="G4128">
        <v>-6909.3293031404601</v>
      </c>
      <c r="H4128">
        <v>139.57790526848501</v>
      </c>
      <c r="I4128" s="1">
        <f t="shared" si="129"/>
        <v>150.04526031359458</v>
      </c>
    </row>
    <row r="4129" spans="1:9" x14ac:dyDescent="0.45">
      <c r="A4129" t="s">
        <v>54</v>
      </c>
      <c r="B4129" t="s">
        <v>67</v>
      </c>
      <c r="C4129" t="str">
        <f t="shared" si="128"/>
        <v>Robert MorrisUNC Wilmington</v>
      </c>
      <c r="D4129" t="s">
        <v>67</v>
      </c>
      <c r="E4129">
        <v>7.8</v>
      </c>
      <c r="F4129">
        <v>16.177358490566</v>
      </c>
      <c r="G4129">
        <v>1179.6280462417201</v>
      </c>
      <c r="H4129">
        <v>136.63654211724801</v>
      </c>
      <c r="I4129" s="1">
        <f t="shared" si="129"/>
        <v>108.627674221067</v>
      </c>
    </row>
    <row r="4130" spans="1:9" x14ac:dyDescent="0.45">
      <c r="A4130" t="s">
        <v>55</v>
      </c>
      <c r="B4130" t="s">
        <v>67</v>
      </c>
      <c r="C4130" t="str">
        <f t="shared" si="128"/>
        <v>Saint FrancisUNC Wilmington</v>
      </c>
      <c r="D4130" t="s">
        <v>67</v>
      </c>
      <c r="E4130">
        <v>5.3</v>
      </c>
      <c r="F4130">
        <v>18.9018867924528</v>
      </c>
      <c r="G4130">
        <v>1787.96910429941</v>
      </c>
      <c r="H4130">
        <v>137.68939765045499</v>
      </c>
      <c r="I4130" s="1">
        <f t="shared" si="129"/>
        <v>123.45302302957954</v>
      </c>
    </row>
    <row r="4131" spans="1:9" x14ac:dyDescent="0.45">
      <c r="A4131" t="s">
        <v>56</v>
      </c>
      <c r="B4131" t="s">
        <v>67</v>
      </c>
      <c r="C4131" t="str">
        <f t="shared" si="128"/>
        <v>Saint Mary'sUNC Wilmington</v>
      </c>
      <c r="D4131" t="s">
        <v>56</v>
      </c>
      <c r="E4131">
        <v>91.8</v>
      </c>
      <c r="F4131">
        <v>-15.811320754717</v>
      </c>
      <c r="G4131">
        <v>-1115.6389417448299</v>
      </c>
      <c r="H4131">
        <v>138.940652851545</v>
      </c>
      <c r="I4131" s="1">
        <f t="shared" si="129"/>
        <v>141.07205452967617</v>
      </c>
    </row>
    <row r="4132" spans="1:9" x14ac:dyDescent="0.45">
      <c r="A4132" t="s">
        <v>57</v>
      </c>
      <c r="B4132" t="s">
        <v>67</v>
      </c>
      <c r="C4132" t="str">
        <f t="shared" si="128"/>
        <v>San Diego St.UNC Wilmington</v>
      </c>
      <c r="D4132" t="s">
        <v>57</v>
      </c>
      <c r="E4132">
        <v>76.400000000000006</v>
      </c>
      <c r="F4132">
        <v>-7.7207547169811299</v>
      </c>
      <c r="G4132">
        <v>-324.62546073792203</v>
      </c>
      <c r="H4132">
        <v>138.08690773134299</v>
      </c>
      <c r="I4132" s="1">
        <f t="shared" si="129"/>
        <v>129.05039647559633</v>
      </c>
    </row>
    <row r="4133" spans="1:9" x14ac:dyDescent="0.45">
      <c r="A4133" t="s">
        <v>58</v>
      </c>
      <c r="B4133" t="s">
        <v>67</v>
      </c>
      <c r="C4133" t="str">
        <f t="shared" si="128"/>
        <v>SIU EdwardsvilleUNC Wilmington</v>
      </c>
      <c r="D4133" t="s">
        <v>67</v>
      </c>
      <c r="E4133">
        <v>14</v>
      </c>
      <c r="F4133">
        <v>11.8792452830189</v>
      </c>
      <c r="G4133">
        <v>612.34248154325905</v>
      </c>
      <c r="H4133">
        <v>138.234595498191</v>
      </c>
      <c r="I4133" s="1">
        <f t="shared" si="129"/>
        <v>131.13000055157318</v>
      </c>
    </row>
    <row r="4134" spans="1:9" x14ac:dyDescent="0.45">
      <c r="A4134" t="s">
        <v>59</v>
      </c>
      <c r="B4134" t="s">
        <v>67</v>
      </c>
      <c r="C4134" t="str">
        <f t="shared" si="128"/>
        <v>St. John'sUNC Wilmington</v>
      </c>
      <c r="D4134" t="s">
        <v>59</v>
      </c>
      <c r="E4134">
        <v>97.2</v>
      </c>
      <c r="F4134">
        <v>-23.279245283018899</v>
      </c>
      <c r="G4134">
        <v>-3485.0829367747301</v>
      </c>
      <c r="H4134">
        <v>139.21227827073599</v>
      </c>
      <c r="I4134" s="1">
        <f t="shared" si="129"/>
        <v>144.8968352880571</v>
      </c>
    </row>
    <row r="4135" spans="1:9" x14ac:dyDescent="0.45">
      <c r="A4135" t="s">
        <v>60</v>
      </c>
      <c r="B4135" t="s">
        <v>67</v>
      </c>
      <c r="C4135" t="str">
        <f t="shared" si="128"/>
        <v>TennesseeUNC Wilmington</v>
      </c>
      <c r="D4135" t="s">
        <v>60</v>
      </c>
      <c r="E4135">
        <v>98.6</v>
      </c>
      <c r="F4135">
        <v>-27.822641509434</v>
      </c>
      <c r="G4135">
        <v>-6971.9227433769101</v>
      </c>
      <c r="H4135">
        <v>139.80626114742699</v>
      </c>
      <c r="I4135" s="1">
        <f t="shared" si="129"/>
        <v>153.26075897510356</v>
      </c>
    </row>
    <row r="4136" spans="1:9" x14ac:dyDescent="0.45">
      <c r="A4136" t="s">
        <v>61</v>
      </c>
      <c r="B4136" t="s">
        <v>67</v>
      </c>
      <c r="C4136" t="str">
        <f t="shared" si="128"/>
        <v>TexasUNC Wilmington</v>
      </c>
      <c r="D4136" t="s">
        <v>61</v>
      </c>
      <c r="E4136">
        <v>74</v>
      </c>
      <c r="F4136">
        <v>-6.8716981132075503</v>
      </c>
      <c r="G4136">
        <v>-285.22385877106501</v>
      </c>
      <c r="H4136">
        <v>137.56197567849901</v>
      </c>
      <c r="I4136" s="1">
        <f t="shared" si="129"/>
        <v>121.65878334470857</v>
      </c>
    </row>
    <row r="4137" spans="1:9" x14ac:dyDescent="0.45">
      <c r="A4137" t="s">
        <v>62</v>
      </c>
      <c r="B4137" t="s">
        <v>67</v>
      </c>
      <c r="C4137" t="str">
        <f t="shared" si="128"/>
        <v>Texas A&amp;MUNC Wilmington</v>
      </c>
      <c r="D4137" t="s">
        <v>62</v>
      </c>
      <c r="E4137">
        <v>94.3</v>
      </c>
      <c r="F4137">
        <v>-18.366037735849101</v>
      </c>
      <c r="G4137">
        <v>-1647.35320155358</v>
      </c>
      <c r="H4137">
        <v>138.35977470609299</v>
      </c>
      <c r="I4137" s="1">
        <f t="shared" si="129"/>
        <v>132.8926596839876</v>
      </c>
    </row>
    <row r="4138" spans="1:9" x14ac:dyDescent="0.45">
      <c r="A4138" t="s">
        <v>63</v>
      </c>
      <c r="B4138" t="s">
        <v>67</v>
      </c>
      <c r="C4138" t="str">
        <f t="shared" si="128"/>
        <v>Texas TechUNC Wilmington</v>
      </c>
      <c r="D4138" t="s">
        <v>63</v>
      </c>
      <c r="E4138">
        <v>97</v>
      </c>
      <c r="F4138">
        <v>-22.818867924528298</v>
      </c>
      <c r="G4138">
        <v>-3248.6524907528601</v>
      </c>
      <c r="H4138">
        <v>139.39955882515699</v>
      </c>
      <c r="I4138" s="1">
        <f t="shared" si="129"/>
        <v>147.53394879202065</v>
      </c>
    </row>
    <row r="4139" spans="1:9" x14ac:dyDescent="0.45">
      <c r="A4139" t="s">
        <v>64</v>
      </c>
      <c r="B4139" t="s">
        <v>67</v>
      </c>
      <c r="C4139" t="str">
        <f t="shared" si="128"/>
        <v>TroyUNC Wilmington</v>
      </c>
      <c r="D4139" t="s">
        <v>67</v>
      </c>
      <c r="E4139">
        <v>31.4</v>
      </c>
      <c r="F4139">
        <v>5.1283018867924497</v>
      </c>
      <c r="G4139">
        <v>218.654111342107</v>
      </c>
      <c r="H4139">
        <v>138.10312324488601</v>
      </c>
      <c r="I4139" s="1">
        <f t="shared" si="129"/>
        <v>129.27872850862664</v>
      </c>
    </row>
    <row r="4140" spans="1:9" x14ac:dyDescent="0.45">
      <c r="A4140" t="s">
        <v>65</v>
      </c>
      <c r="B4140" t="s">
        <v>67</v>
      </c>
      <c r="C4140" t="str">
        <f t="shared" si="128"/>
        <v>UC San DiegoUNC Wilmington</v>
      </c>
      <c r="D4140" t="s">
        <v>65</v>
      </c>
      <c r="E4140">
        <v>53.9</v>
      </c>
      <c r="F4140">
        <v>-1.0339622641509401</v>
      </c>
      <c r="G4140">
        <v>-117.05461239410801</v>
      </c>
      <c r="H4140">
        <v>138.19124498827699</v>
      </c>
      <c r="I4140" s="1">
        <f t="shared" si="129"/>
        <v>130.51957831392352</v>
      </c>
    </row>
    <row r="4141" spans="1:9" x14ac:dyDescent="0.45">
      <c r="A4141" t="s">
        <v>66</v>
      </c>
      <c r="B4141" t="s">
        <v>67</v>
      </c>
      <c r="C4141" t="str">
        <f t="shared" si="128"/>
        <v>UCLAUNC Wilmington</v>
      </c>
      <c r="D4141" t="s">
        <v>66</v>
      </c>
      <c r="E4141">
        <v>82.3</v>
      </c>
      <c r="F4141">
        <v>-10.0754716981132</v>
      </c>
      <c r="G4141">
        <v>-465.14814665620599</v>
      </c>
      <c r="H4141">
        <v>137.66269950138599</v>
      </c>
      <c r="I4141" s="1">
        <f t="shared" si="129"/>
        <v>123.07708410918079</v>
      </c>
    </row>
    <row r="4142" spans="1:9" x14ac:dyDescent="0.45">
      <c r="A4142" t="s">
        <v>67</v>
      </c>
      <c r="B4142" t="s">
        <v>67</v>
      </c>
      <c r="C4142" t="str">
        <f t="shared" si="128"/>
        <v>UNC WilmingtonUNC Wilmington</v>
      </c>
      <c r="D4142" t="s">
        <v>67</v>
      </c>
      <c r="E4142">
        <v>41.2</v>
      </c>
      <c r="F4142">
        <v>2.3283018867924499</v>
      </c>
      <c r="G4142">
        <v>142.64273539779199</v>
      </c>
      <c r="H4142">
        <v>138.77771517530499</v>
      </c>
      <c r="I4142" s="1">
        <f t="shared" si="129"/>
        <v>138.77771517530277</v>
      </c>
    </row>
    <row r="4143" spans="1:9" x14ac:dyDescent="0.45">
      <c r="A4143" t="s">
        <v>68</v>
      </c>
      <c r="B4143" t="s">
        <v>67</v>
      </c>
      <c r="C4143" t="str">
        <f t="shared" si="128"/>
        <v>Utah St.UNC Wilmington</v>
      </c>
      <c r="D4143" t="s">
        <v>68</v>
      </c>
      <c r="E4143">
        <v>78</v>
      </c>
      <c r="F4143">
        <v>-8.3169811320754707</v>
      </c>
      <c r="G4143">
        <v>-355.57346783021302</v>
      </c>
      <c r="H4143">
        <v>138.14908557913199</v>
      </c>
      <c r="I4143" s="1">
        <f t="shared" si="129"/>
        <v>129.92592806807107</v>
      </c>
    </row>
    <row r="4144" spans="1:9" x14ac:dyDescent="0.45">
      <c r="A4144" t="s">
        <v>69</v>
      </c>
      <c r="B4144" t="s">
        <v>67</v>
      </c>
      <c r="C4144" t="str">
        <f t="shared" si="128"/>
        <v>VanderbiltUNC Wilmington</v>
      </c>
      <c r="D4144" t="s">
        <v>67</v>
      </c>
      <c r="E4144">
        <v>43.2</v>
      </c>
      <c r="F4144">
        <v>1.8075471698113199</v>
      </c>
      <c r="G4144">
        <v>131.72270537290601</v>
      </c>
      <c r="H4144">
        <v>136.72365606773101</v>
      </c>
      <c r="I4144" s="1">
        <f t="shared" si="129"/>
        <v>109.85433320823506</v>
      </c>
    </row>
    <row r="4145" spans="1:9" x14ac:dyDescent="0.45">
      <c r="A4145" t="s">
        <v>70</v>
      </c>
      <c r="B4145" t="s">
        <v>67</v>
      </c>
      <c r="C4145" t="str">
        <f t="shared" si="128"/>
        <v>VCUUNC Wilmington</v>
      </c>
      <c r="D4145" t="s">
        <v>70</v>
      </c>
      <c r="E4145">
        <v>70</v>
      </c>
      <c r="F4145">
        <v>-5.5396226415094301</v>
      </c>
      <c r="G4145">
        <v>-232.846342523457</v>
      </c>
      <c r="H4145">
        <v>138.568567229606</v>
      </c>
      <c r="I4145" s="1">
        <f t="shared" si="129"/>
        <v>135.8326850645461</v>
      </c>
    </row>
    <row r="4146" spans="1:9" x14ac:dyDescent="0.45">
      <c r="A4146" t="s">
        <v>71</v>
      </c>
      <c r="B4146" t="s">
        <v>67</v>
      </c>
      <c r="C4146" t="str">
        <f t="shared" si="128"/>
        <v>WisconsinUNC Wilmington</v>
      </c>
      <c r="D4146" t="s">
        <v>71</v>
      </c>
      <c r="E4146">
        <v>96.6</v>
      </c>
      <c r="F4146">
        <v>-22.003773584905701</v>
      </c>
      <c r="G4146">
        <v>-2868.8659133289998</v>
      </c>
      <c r="H4146">
        <v>139.369246084873</v>
      </c>
      <c r="I4146" s="1">
        <f t="shared" si="129"/>
        <v>147.10711250358597</v>
      </c>
    </row>
    <row r="4147" spans="1:9" x14ac:dyDescent="0.45">
      <c r="A4147" t="s">
        <v>80</v>
      </c>
      <c r="B4147" t="s">
        <v>67</v>
      </c>
      <c r="C4147" t="str">
        <f t="shared" si="128"/>
        <v>WoffordUNC Wilmington</v>
      </c>
      <c r="D4147" t="s">
        <v>67</v>
      </c>
      <c r="E4147">
        <v>19.3</v>
      </c>
      <c r="F4147">
        <v>9.3811320754716991</v>
      </c>
      <c r="G4147">
        <v>418.37413936858502</v>
      </c>
      <c r="H4147">
        <v>137.398701823968</v>
      </c>
      <c r="I4147" s="1">
        <f t="shared" si="129"/>
        <v>119.35971023506785</v>
      </c>
    </row>
    <row r="4148" spans="1:9" x14ac:dyDescent="0.45">
      <c r="A4148" t="s">
        <v>72</v>
      </c>
      <c r="B4148" t="s">
        <v>67</v>
      </c>
      <c r="C4148" t="str">
        <f t="shared" si="128"/>
        <v>XavierUNC Wilmington</v>
      </c>
      <c r="D4148" t="s">
        <v>72</v>
      </c>
      <c r="E4148">
        <v>69.7</v>
      </c>
      <c r="F4148">
        <v>-5.4641509433962296</v>
      </c>
      <c r="G4148">
        <v>-230.15197815613899</v>
      </c>
      <c r="H4148">
        <v>137.97461539411901</v>
      </c>
      <c r="I4148" s="1">
        <f t="shared" si="129"/>
        <v>127.46919847134811</v>
      </c>
    </row>
    <row r="4149" spans="1:9" x14ac:dyDescent="0.45">
      <c r="A4149" t="s">
        <v>73</v>
      </c>
      <c r="B4149" t="s">
        <v>67</v>
      </c>
      <c r="C4149" t="str">
        <f t="shared" si="128"/>
        <v>YaleUNC Wilmington</v>
      </c>
      <c r="D4149" t="s">
        <v>73</v>
      </c>
      <c r="E4149">
        <v>56.2</v>
      </c>
      <c r="F4149">
        <v>-1.64150943396226</v>
      </c>
      <c r="G4149">
        <v>-128.44083842983099</v>
      </c>
      <c r="H4149">
        <v>138.77385002818201</v>
      </c>
      <c r="I4149" s="1">
        <f t="shared" si="129"/>
        <v>138.72328970809752</v>
      </c>
    </row>
    <row r="4150" spans="1:9" x14ac:dyDescent="0.45">
      <c r="A4150" t="s">
        <v>7</v>
      </c>
      <c r="B4150" t="s">
        <v>68</v>
      </c>
      <c r="C4150" t="str">
        <f t="shared" si="128"/>
        <v>AkronUtah St.</v>
      </c>
      <c r="D4150" t="s">
        <v>68</v>
      </c>
      <c r="E4150">
        <v>11.5</v>
      </c>
      <c r="F4150">
        <v>13.4</v>
      </c>
      <c r="G4150">
        <v>772.04686167449199</v>
      </c>
      <c r="H4150">
        <v>138.1849450798</v>
      </c>
      <c r="I4150" s="1">
        <f t="shared" si="129"/>
        <v>130.43086876385959</v>
      </c>
    </row>
    <row r="4151" spans="1:9" x14ac:dyDescent="0.45">
      <c r="A4151" t="s">
        <v>8</v>
      </c>
      <c r="B4151" t="s">
        <v>68</v>
      </c>
      <c r="C4151" t="str">
        <f t="shared" si="128"/>
        <v>AlabamaUtah St.</v>
      </c>
      <c r="D4151" t="s">
        <v>8</v>
      </c>
      <c r="E4151">
        <v>90.5</v>
      </c>
      <c r="F4151">
        <v>-14.777358490566</v>
      </c>
      <c r="G4151">
        <v>-952.53295716666003</v>
      </c>
      <c r="H4151">
        <v>139.93304109194</v>
      </c>
      <c r="I4151" s="1">
        <f t="shared" si="129"/>
        <v>155.04595821664057</v>
      </c>
    </row>
    <row r="4152" spans="1:9" x14ac:dyDescent="0.45">
      <c r="A4152" t="s">
        <v>9</v>
      </c>
      <c r="B4152" t="s">
        <v>68</v>
      </c>
      <c r="C4152" t="str">
        <f t="shared" si="128"/>
        <v>Alabama St.Utah St.</v>
      </c>
      <c r="D4152" t="s">
        <v>68</v>
      </c>
      <c r="E4152">
        <v>2</v>
      </c>
      <c r="F4152">
        <v>25.5396226415094</v>
      </c>
      <c r="G4152">
        <v>4919.3462233630098</v>
      </c>
      <c r="H4152">
        <v>138.41178593561401</v>
      </c>
      <c r="I4152" s="1">
        <f t="shared" si="129"/>
        <v>133.62503425513123</v>
      </c>
    </row>
    <row r="4153" spans="1:9" x14ac:dyDescent="0.45">
      <c r="A4153" t="s">
        <v>10</v>
      </c>
      <c r="B4153" t="s">
        <v>68</v>
      </c>
      <c r="C4153" t="str">
        <f t="shared" si="128"/>
        <v>AmericanUtah St.</v>
      </c>
      <c r="D4153" t="s">
        <v>68</v>
      </c>
      <c r="E4153">
        <v>2.4</v>
      </c>
      <c r="F4153">
        <v>24.275471698113201</v>
      </c>
      <c r="G4153">
        <v>4057.0444811214602</v>
      </c>
      <c r="H4153">
        <v>138.50287181721799</v>
      </c>
      <c r="I4153" s="1">
        <f t="shared" si="129"/>
        <v>134.90762234411315</v>
      </c>
    </row>
    <row r="4154" spans="1:9" x14ac:dyDescent="0.45">
      <c r="A4154" t="s">
        <v>11</v>
      </c>
      <c r="B4154" t="s">
        <v>68</v>
      </c>
      <c r="C4154" t="str">
        <f t="shared" si="128"/>
        <v>ArizonaUtah St.</v>
      </c>
      <c r="D4154" t="s">
        <v>11</v>
      </c>
      <c r="E4154">
        <v>87.1</v>
      </c>
      <c r="F4154">
        <v>-12.5358490566038</v>
      </c>
      <c r="G4154">
        <v>-676.77109487436701</v>
      </c>
      <c r="H4154">
        <v>139.69539991093001</v>
      </c>
      <c r="I4154" s="1">
        <f t="shared" si="129"/>
        <v>151.69971242258691</v>
      </c>
    </row>
    <row r="4155" spans="1:9" x14ac:dyDescent="0.45">
      <c r="A4155" t="s">
        <v>12</v>
      </c>
      <c r="B4155" t="s">
        <v>68</v>
      </c>
      <c r="C4155" t="str">
        <f t="shared" si="128"/>
        <v>ArkansasUtah St.</v>
      </c>
      <c r="D4155" t="s">
        <v>68</v>
      </c>
      <c r="E4155">
        <v>29</v>
      </c>
      <c r="F4155">
        <v>5.8566037735849097</v>
      </c>
      <c r="G4155">
        <v>244.36912799173601</v>
      </c>
      <c r="H4155">
        <v>137.81300374478801</v>
      </c>
      <c r="I4155" s="1">
        <f t="shared" si="129"/>
        <v>125.1935310152887</v>
      </c>
    </row>
    <row r="4156" spans="1:9" x14ac:dyDescent="0.45">
      <c r="A4156" t="s">
        <v>13</v>
      </c>
      <c r="B4156" t="s">
        <v>68</v>
      </c>
      <c r="C4156" t="str">
        <f t="shared" si="128"/>
        <v>AuburnUtah St.</v>
      </c>
      <c r="D4156" t="s">
        <v>13</v>
      </c>
      <c r="E4156">
        <v>94.9</v>
      </c>
      <c r="F4156">
        <v>-19.1849056603774</v>
      </c>
      <c r="G4156">
        <v>-1866.7292469746901</v>
      </c>
      <c r="H4156">
        <v>140.95172315004899</v>
      </c>
      <c r="I4156" s="1">
        <f t="shared" si="129"/>
        <v>169.39010739961336</v>
      </c>
    </row>
    <row r="4157" spans="1:9" x14ac:dyDescent="0.45">
      <c r="A4157" t="s">
        <v>14</v>
      </c>
      <c r="B4157" t="s">
        <v>68</v>
      </c>
      <c r="C4157" t="str">
        <f t="shared" si="128"/>
        <v>BaylorUtah St.</v>
      </c>
      <c r="D4157" t="s">
        <v>14</v>
      </c>
      <c r="E4157">
        <v>66.400000000000006</v>
      </c>
      <c r="F4157">
        <v>-4.4528301886792496</v>
      </c>
      <c r="G4157">
        <v>-197.284803246412</v>
      </c>
      <c r="H4157">
        <v>139.48672116277399</v>
      </c>
      <c r="I4157" s="1">
        <f t="shared" si="129"/>
        <v>148.7612891225609</v>
      </c>
    </row>
    <row r="4158" spans="1:9" x14ac:dyDescent="0.45">
      <c r="A4158" t="s">
        <v>15</v>
      </c>
      <c r="B4158" t="s">
        <v>68</v>
      </c>
      <c r="C4158" t="str">
        <f t="shared" si="128"/>
        <v>BryantUtah St.</v>
      </c>
      <c r="D4158" t="s">
        <v>68</v>
      </c>
      <c r="E4158">
        <v>8.1999999999999993</v>
      </c>
      <c r="F4158">
        <v>15.8301886792453</v>
      </c>
      <c r="G4158">
        <v>1119.0423219910699</v>
      </c>
      <c r="H4158">
        <v>139.03571891266799</v>
      </c>
      <c r="I4158" s="1">
        <f t="shared" si="129"/>
        <v>142.41068786686989</v>
      </c>
    </row>
    <row r="4159" spans="1:9" x14ac:dyDescent="0.45">
      <c r="A4159" t="s">
        <v>16</v>
      </c>
      <c r="B4159" t="s">
        <v>68</v>
      </c>
      <c r="C4159" t="str">
        <f t="shared" si="128"/>
        <v>BYUUtah St.</v>
      </c>
      <c r="D4159" t="s">
        <v>16</v>
      </c>
      <c r="E4159">
        <v>70.599999999999994</v>
      </c>
      <c r="F4159">
        <v>-5.7471698113207497</v>
      </c>
      <c r="G4159">
        <v>-240.34230177184901</v>
      </c>
      <c r="H4159">
        <v>139.296239390892</v>
      </c>
      <c r="I4159" s="1">
        <f t="shared" si="129"/>
        <v>146.07909900174508</v>
      </c>
    </row>
    <row r="4160" spans="1:9" x14ac:dyDescent="0.45">
      <c r="A4160" t="s">
        <v>17</v>
      </c>
      <c r="B4160" t="s">
        <v>68</v>
      </c>
      <c r="C4160" t="str">
        <f t="shared" si="128"/>
        <v>ClemsonUtah St.</v>
      </c>
      <c r="D4160" t="s">
        <v>17</v>
      </c>
      <c r="E4160">
        <v>75.5</v>
      </c>
      <c r="F4160">
        <v>-7.3735849056603797</v>
      </c>
      <c r="G4160">
        <v>-307.951087559428</v>
      </c>
      <c r="H4160">
        <v>139.518151247183</v>
      </c>
      <c r="I4160" s="1">
        <f t="shared" si="129"/>
        <v>149.2038588291808</v>
      </c>
    </row>
    <row r="4161" spans="1:9" x14ac:dyDescent="0.45">
      <c r="A4161" t="s">
        <v>18</v>
      </c>
      <c r="B4161" t="s">
        <v>68</v>
      </c>
      <c r="C4161" t="str">
        <f t="shared" si="128"/>
        <v>Colorado St.Utah St.</v>
      </c>
      <c r="D4161" t="s">
        <v>68</v>
      </c>
      <c r="E4161">
        <v>33.6</v>
      </c>
      <c r="F4161">
        <v>4.4641509433962296</v>
      </c>
      <c r="G4161">
        <v>197.63314775368301</v>
      </c>
      <c r="H4161">
        <v>138.82554309528899</v>
      </c>
      <c r="I4161" s="1">
        <f t="shared" si="129"/>
        <v>139.45118420707831</v>
      </c>
    </row>
    <row r="4162" spans="1:9" x14ac:dyDescent="0.45">
      <c r="A4162" t="s">
        <v>19</v>
      </c>
      <c r="B4162" t="s">
        <v>68</v>
      </c>
      <c r="C4162" t="str">
        <f t="shared" si="128"/>
        <v>ConnecticutUtah St.</v>
      </c>
      <c r="D4162" t="s">
        <v>19</v>
      </c>
      <c r="E4162">
        <v>83.9</v>
      </c>
      <c r="F4162">
        <v>-10.8377358490566</v>
      </c>
      <c r="G4162">
        <v>-522.32071867186096</v>
      </c>
      <c r="H4162">
        <v>139.461094997625</v>
      </c>
      <c r="I4162" s="1">
        <f t="shared" si="129"/>
        <v>148.40044489942125</v>
      </c>
    </row>
    <row r="4163" spans="1:9" x14ac:dyDescent="0.45">
      <c r="A4163" t="s">
        <v>20</v>
      </c>
      <c r="B4163" t="s">
        <v>68</v>
      </c>
      <c r="C4163" t="str">
        <f t="shared" ref="C4163:C4226" si="130">A4163&amp;B4163</f>
        <v>CreightonUtah St.</v>
      </c>
      <c r="D4163" t="s">
        <v>20</v>
      </c>
      <c r="E4163">
        <v>61.8</v>
      </c>
      <c r="F4163">
        <v>-3.1433962264150899</v>
      </c>
      <c r="G4163">
        <v>-161.56869828287901</v>
      </c>
      <c r="H4163">
        <v>138.93403735988801</v>
      </c>
      <c r="I4163" s="1">
        <f t="shared" ref="I4163:I4226" si="131">18*(H4163-AVERAGE($H$2:$H$4625))/_xlfn.STDEV.P($H$2:$H$4625)+AVERAGE($H$2:$H$4625)</f>
        <v>140.97890122586449</v>
      </c>
    </row>
    <row r="4164" spans="1:9" x14ac:dyDescent="0.45">
      <c r="A4164" t="s">
        <v>21</v>
      </c>
      <c r="B4164" t="s">
        <v>68</v>
      </c>
      <c r="C4164" t="str">
        <f t="shared" si="130"/>
        <v>DrakeUtah St.</v>
      </c>
      <c r="D4164" t="s">
        <v>68</v>
      </c>
      <c r="E4164">
        <v>33.4</v>
      </c>
      <c r="F4164">
        <v>4.51698113207547</v>
      </c>
      <c r="G4164">
        <v>199.16713923737601</v>
      </c>
      <c r="H4164">
        <v>138.987502464042</v>
      </c>
      <c r="I4164" s="1">
        <f t="shared" si="131"/>
        <v>141.73174793005754</v>
      </c>
    </row>
    <row r="4165" spans="1:9" x14ac:dyDescent="0.45">
      <c r="A4165" t="s">
        <v>22</v>
      </c>
      <c r="B4165" t="s">
        <v>68</v>
      </c>
      <c r="C4165" t="str">
        <f t="shared" si="130"/>
        <v>DukeUtah St.</v>
      </c>
      <c r="D4165" t="s">
        <v>22</v>
      </c>
      <c r="E4165">
        <v>96.5</v>
      </c>
      <c r="F4165">
        <v>-21.6943396226415</v>
      </c>
      <c r="G4165">
        <v>-2737.1005443028798</v>
      </c>
      <c r="H4165">
        <v>141.274822925499</v>
      </c>
      <c r="I4165" s="1">
        <f t="shared" si="131"/>
        <v>173.93970297081952</v>
      </c>
    </row>
    <row r="4166" spans="1:9" x14ac:dyDescent="0.45">
      <c r="A4166" t="s">
        <v>23</v>
      </c>
      <c r="B4166" t="s">
        <v>68</v>
      </c>
      <c r="C4166" t="str">
        <f t="shared" si="130"/>
        <v>FloridaUtah St.</v>
      </c>
      <c r="D4166" t="s">
        <v>23</v>
      </c>
      <c r="E4166">
        <v>93.8</v>
      </c>
      <c r="F4166">
        <v>-17.796226415094299</v>
      </c>
      <c r="G4166">
        <v>-1509.8858861733099</v>
      </c>
      <c r="H4166">
        <v>140.998579201441</v>
      </c>
      <c r="I4166" s="1">
        <f t="shared" si="131"/>
        <v>170.04989146662609</v>
      </c>
    </row>
    <row r="4167" spans="1:9" x14ac:dyDescent="0.45">
      <c r="A4167" t="s">
        <v>24</v>
      </c>
      <c r="B4167" t="s">
        <v>68</v>
      </c>
      <c r="C4167" t="str">
        <f t="shared" si="130"/>
        <v>GeorgiaUtah St.</v>
      </c>
      <c r="D4167" t="s">
        <v>68</v>
      </c>
      <c r="E4167">
        <v>36.200000000000003</v>
      </c>
      <c r="F4167">
        <v>3.7132075471698101</v>
      </c>
      <c r="G4167">
        <v>176.15322821487501</v>
      </c>
      <c r="H4167">
        <v>138.140392725786</v>
      </c>
      <c r="I4167" s="1">
        <f t="shared" si="131"/>
        <v>129.80352325665024</v>
      </c>
    </row>
    <row r="4168" spans="1:9" x14ac:dyDescent="0.45">
      <c r="A4168" t="s">
        <v>25</v>
      </c>
      <c r="B4168" t="s">
        <v>68</v>
      </c>
      <c r="C4168" t="str">
        <f t="shared" si="130"/>
        <v>GonzagaUtah St.</v>
      </c>
      <c r="D4168" t="s">
        <v>25</v>
      </c>
      <c r="E4168">
        <v>76.2</v>
      </c>
      <c r="F4168">
        <v>-7.6150943396226403</v>
      </c>
      <c r="G4168">
        <v>-319.54398773006801</v>
      </c>
      <c r="H4168">
        <v>140.27803384531401</v>
      </c>
      <c r="I4168" s="1">
        <f t="shared" si="131"/>
        <v>159.90383068239078</v>
      </c>
    </row>
    <row r="4169" spans="1:9" x14ac:dyDescent="0.45">
      <c r="A4169" t="s">
        <v>26</v>
      </c>
      <c r="B4169" t="s">
        <v>68</v>
      </c>
      <c r="C4169" t="str">
        <f t="shared" si="130"/>
        <v>Grand CanyonUtah St.</v>
      </c>
      <c r="D4169" t="s">
        <v>68</v>
      </c>
      <c r="E4169">
        <v>23.8</v>
      </c>
      <c r="F4169">
        <v>7.6339622641509397</v>
      </c>
      <c r="G4169">
        <v>320.44385358555598</v>
      </c>
      <c r="H4169">
        <v>138.93000209161801</v>
      </c>
      <c r="I4169" s="1">
        <f t="shared" si="131"/>
        <v>140.92208026823843</v>
      </c>
    </row>
    <row r="4170" spans="1:9" x14ac:dyDescent="0.45">
      <c r="A4170" t="s">
        <v>27</v>
      </c>
      <c r="B4170" t="s">
        <v>68</v>
      </c>
      <c r="C4170" t="str">
        <f t="shared" si="130"/>
        <v>High PointUtah St.</v>
      </c>
      <c r="D4170" t="s">
        <v>68</v>
      </c>
      <c r="E4170">
        <v>17</v>
      </c>
      <c r="F4170">
        <v>10.4075471698113</v>
      </c>
      <c r="G4170">
        <v>489.134183147209</v>
      </c>
      <c r="H4170">
        <v>139.21089383927401</v>
      </c>
      <c r="I4170" s="1">
        <f t="shared" si="131"/>
        <v>144.87734099023746</v>
      </c>
    </row>
    <row r="4171" spans="1:9" x14ac:dyDescent="0.45">
      <c r="A4171" t="s">
        <v>28</v>
      </c>
      <c r="B4171" t="s">
        <v>68</v>
      </c>
      <c r="C4171" t="str">
        <f t="shared" si="130"/>
        <v>HoustonUtah St.</v>
      </c>
      <c r="D4171" t="s">
        <v>28</v>
      </c>
      <c r="E4171">
        <v>97.9</v>
      </c>
      <c r="F4171">
        <v>-25.207547169811299</v>
      </c>
      <c r="G4171">
        <v>-4678.1915178983199</v>
      </c>
      <c r="H4171">
        <v>141.418487275128</v>
      </c>
      <c r="I4171" s="1">
        <f t="shared" si="131"/>
        <v>175.96265296483301</v>
      </c>
    </row>
    <row r="4172" spans="1:9" x14ac:dyDescent="0.45">
      <c r="A4172" t="s">
        <v>29</v>
      </c>
      <c r="B4172" t="s">
        <v>68</v>
      </c>
      <c r="C4172" t="str">
        <f t="shared" si="130"/>
        <v>IllinoisUtah St.</v>
      </c>
      <c r="D4172" t="s">
        <v>29</v>
      </c>
      <c r="E4172">
        <v>82.4</v>
      </c>
      <c r="F4172">
        <v>-10.0981132075472</v>
      </c>
      <c r="G4172">
        <v>-466.63289299566497</v>
      </c>
      <c r="H4172">
        <v>139.468732429065</v>
      </c>
      <c r="I4172" s="1">
        <f t="shared" si="131"/>
        <v>148.50798822471893</v>
      </c>
    </row>
    <row r="4173" spans="1:9" x14ac:dyDescent="0.45">
      <c r="A4173" t="s">
        <v>30</v>
      </c>
      <c r="B4173" t="s">
        <v>68</v>
      </c>
      <c r="C4173" t="str">
        <f t="shared" si="130"/>
        <v>Iowa St.Utah St.</v>
      </c>
      <c r="D4173" t="s">
        <v>30</v>
      </c>
      <c r="E4173">
        <v>90.8</v>
      </c>
      <c r="F4173">
        <v>-14.981132075471701</v>
      </c>
      <c r="G4173">
        <v>-982.91446884127402</v>
      </c>
      <c r="H4173">
        <v>140.39500100742299</v>
      </c>
      <c r="I4173" s="1">
        <f t="shared" si="131"/>
        <v>161.55085529565889</v>
      </c>
    </row>
    <row r="4174" spans="1:9" x14ac:dyDescent="0.45">
      <c r="A4174" t="s">
        <v>31</v>
      </c>
      <c r="B4174" t="s">
        <v>68</v>
      </c>
      <c r="C4174" t="str">
        <f t="shared" si="130"/>
        <v>KansasUtah St.</v>
      </c>
      <c r="D4174" t="s">
        <v>31</v>
      </c>
      <c r="E4174">
        <v>74.099999999999994</v>
      </c>
      <c r="F4174">
        <v>-6.8792452830188697</v>
      </c>
      <c r="G4174">
        <v>-285.56451601161803</v>
      </c>
      <c r="H4174">
        <v>139.35039129173501</v>
      </c>
      <c r="I4174" s="1">
        <f t="shared" si="131"/>
        <v>146.84161654885452</v>
      </c>
    </row>
    <row r="4175" spans="1:9" x14ac:dyDescent="0.45">
      <c r="A4175" t="s">
        <v>32</v>
      </c>
      <c r="B4175" t="s">
        <v>68</v>
      </c>
      <c r="C4175" t="str">
        <f t="shared" si="130"/>
        <v>KentuckyUtah St.</v>
      </c>
      <c r="D4175" t="s">
        <v>32</v>
      </c>
      <c r="E4175">
        <v>82.8</v>
      </c>
      <c r="F4175">
        <v>-10.3056603773585</v>
      </c>
      <c r="G4175">
        <v>-481.74099516195702</v>
      </c>
      <c r="H4175">
        <v>139.29742889212699</v>
      </c>
      <c r="I4175" s="1">
        <f t="shared" si="131"/>
        <v>146.095848470367</v>
      </c>
    </row>
    <row r="4176" spans="1:9" x14ac:dyDescent="0.45">
      <c r="A4176" t="s">
        <v>33</v>
      </c>
      <c r="B4176" t="s">
        <v>68</v>
      </c>
      <c r="C4176" t="str">
        <f t="shared" si="130"/>
        <v>LibertyUtah St.</v>
      </c>
      <c r="D4176" t="s">
        <v>68</v>
      </c>
      <c r="E4176">
        <v>11.8</v>
      </c>
      <c r="F4176">
        <v>13.1811320754717</v>
      </c>
      <c r="G4176">
        <v>747.04450021629998</v>
      </c>
      <c r="H4176">
        <v>138.50636514052599</v>
      </c>
      <c r="I4176" s="1">
        <f t="shared" si="131"/>
        <v>134.95681212837931</v>
      </c>
    </row>
    <row r="4177" spans="1:9" x14ac:dyDescent="0.45">
      <c r="A4177" t="s">
        <v>34</v>
      </c>
      <c r="B4177" t="s">
        <v>68</v>
      </c>
      <c r="C4177" t="str">
        <f t="shared" si="130"/>
        <v>LipscombUtah St.</v>
      </c>
      <c r="D4177" t="s">
        <v>68</v>
      </c>
      <c r="E4177">
        <v>9.3000000000000007</v>
      </c>
      <c r="F4177">
        <v>14.9245283018868</v>
      </c>
      <c r="G4177">
        <v>974.48761092938503</v>
      </c>
      <c r="H4177">
        <v>138.93828537178399</v>
      </c>
      <c r="I4177" s="1">
        <f t="shared" si="131"/>
        <v>141.03871784468285</v>
      </c>
    </row>
    <row r="4178" spans="1:9" x14ac:dyDescent="0.45">
      <c r="A4178" t="s">
        <v>35</v>
      </c>
      <c r="B4178" t="s">
        <v>68</v>
      </c>
      <c r="C4178" t="str">
        <f t="shared" si="130"/>
        <v>LouisvilleUtah St.</v>
      </c>
      <c r="D4178" t="s">
        <v>68</v>
      </c>
      <c r="E4178">
        <v>20.7</v>
      </c>
      <c r="F4178">
        <v>8.8188679245283002</v>
      </c>
      <c r="G4178">
        <v>383.85133079698301</v>
      </c>
      <c r="H4178">
        <v>138.22400868375101</v>
      </c>
      <c r="I4178" s="1">
        <f t="shared" si="131"/>
        <v>130.98092671200681</v>
      </c>
    </row>
    <row r="4179" spans="1:9" x14ac:dyDescent="0.45">
      <c r="A4179" t="s">
        <v>36</v>
      </c>
      <c r="B4179" t="s">
        <v>68</v>
      </c>
      <c r="C4179" t="str">
        <f t="shared" si="130"/>
        <v>MarquetteUtah St.</v>
      </c>
      <c r="D4179" t="s">
        <v>36</v>
      </c>
      <c r="E4179">
        <v>78.599999999999994</v>
      </c>
      <c r="F4179">
        <v>-8.52830188679245</v>
      </c>
      <c r="G4179">
        <v>-367.23355387544098</v>
      </c>
      <c r="H4179">
        <v>139.555765318657</v>
      </c>
      <c r="I4179" s="1">
        <f t="shared" si="131"/>
        <v>149.73350578654802</v>
      </c>
    </row>
    <row r="4180" spans="1:9" x14ac:dyDescent="0.45">
      <c r="A4180" t="s">
        <v>37</v>
      </c>
      <c r="B4180" t="s">
        <v>68</v>
      </c>
      <c r="C4180" t="str">
        <f t="shared" si="130"/>
        <v>MarylandUtah St.</v>
      </c>
      <c r="D4180" t="s">
        <v>37</v>
      </c>
      <c r="E4180">
        <v>71.400000000000006</v>
      </c>
      <c r="F4180">
        <v>-5.9849056603773603</v>
      </c>
      <c r="G4180">
        <v>-249.113920955552</v>
      </c>
      <c r="H4180">
        <v>139.165704630335</v>
      </c>
      <c r="I4180" s="1">
        <f t="shared" si="131"/>
        <v>144.24102787436209</v>
      </c>
    </row>
    <row r="4181" spans="1:9" x14ac:dyDescent="0.45">
      <c r="A4181" t="s">
        <v>38</v>
      </c>
      <c r="B4181" t="s">
        <v>68</v>
      </c>
      <c r="C4181" t="str">
        <f t="shared" si="130"/>
        <v>McNeese St.Utah St.</v>
      </c>
      <c r="D4181" t="s">
        <v>68</v>
      </c>
      <c r="E4181">
        <v>30.7</v>
      </c>
      <c r="F4181">
        <v>5.3245283018867902</v>
      </c>
      <c r="G4181">
        <v>225.29479801748201</v>
      </c>
      <c r="H4181">
        <v>139.00111624453601</v>
      </c>
      <c r="I4181" s="1">
        <f t="shared" si="131"/>
        <v>141.92344473751172</v>
      </c>
    </row>
    <row r="4182" spans="1:9" x14ac:dyDescent="0.45">
      <c r="A4182" t="s">
        <v>39</v>
      </c>
      <c r="B4182" t="s">
        <v>68</v>
      </c>
      <c r="C4182" t="str">
        <f t="shared" si="130"/>
        <v>MemphisUtah St.</v>
      </c>
      <c r="D4182" t="s">
        <v>39</v>
      </c>
      <c r="E4182">
        <v>56.1</v>
      </c>
      <c r="F4182">
        <v>-1.5962264150943399</v>
      </c>
      <c r="G4182">
        <v>-127.59436446709999</v>
      </c>
      <c r="H4182">
        <v>138.14333944335499</v>
      </c>
      <c r="I4182" s="1">
        <f t="shared" si="131"/>
        <v>129.84501623875707</v>
      </c>
    </row>
    <row r="4183" spans="1:9" x14ac:dyDescent="0.45">
      <c r="A4183" t="s">
        <v>40</v>
      </c>
      <c r="B4183" t="s">
        <v>68</v>
      </c>
      <c r="C4183" t="str">
        <f t="shared" si="130"/>
        <v>MichiganUtah St.</v>
      </c>
      <c r="D4183" t="s">
        <v>68</v>
      </c>
      <c r="E4183">
        <v>40.200000000000003</v>
      </c>
      <c r="F4183">
        <v>2.5924528301886798</v>
      </c>
      <c r="G4183">
        <v>148.46960273051101</v>
      </c>
      <c r="H4183">
        <v>137.800260528038</v>
      </c>
      <c r="I4183" s="1">
        <f t="shared" si="131"/>
        <v>125.01409269036873</v>
      </c>
    </row>
    <row r="4184" spans="1:9" x14ac:dyDescent="0.45">
      <c r="A4184" t="s">
        <v>41</v>
      </c>
      <c r="B4184" t="s">
        <v>68</v>
      </c>
      <c r="C4184" t="str">
        <f t="shared" si="130"/>
        <v>Michigan St.Utah St.</v>
      </c>
      <c r="D4184" t="s">
        <v>41</v>
      </c>
      <c r="E4184">
        <v>86.6</v>
      </c>
      <c r="F4184">
        <v>-12.2339622641509</v>
      </c>
      <c r="G4184">
        <v>-646.30317397856902</v>
      </c>
      <c r="H4184">
        <v>139.499152488867</v>
      </c>
      <c r="I4184" s="1">
        <f t="shared" si="131"/>
        <v>148.93633568846519</v>
      </c>
    </row>
    <row r="4185" spans="1:9" x14ac:dyDescent="0.45">
      <c r="A4185" t="s">
        <v>42</v>
      </c>
      <c r="B4185" t="s">
        <v>68</v>
      </c>
      <c r="C4185" t="str">
        <f t="shared" si="130"/>
        <v>MississippiUtah St.</v>
      </c>
      <c r="D4185" t="s">
        <v>42</v>
      </c>
      <c r="E4185">
        <v>62.4</v>
      </c>
      <c r="F4185">
        <v>-3.32075471698113</v>
      </c>
      <c r="G4185">
        <v>-166.00355873584601</v>
      </c>
      <c r="H4185">
        <v>138.63007359396201</v>
      </c>
      <c r="I4185" s="1">
        <f t="shared" si="131"/>
        <v>136.69876144137223</v>
      </c>
    </row>
    <row r="4186" spans="1:9" x14ac:dyDescent="0.45">
      <c r="A4186" t="s">
        <v>43</v>
      </c>
      <c r="B4186" t="s">
        <v>68</v>
      </c>
      <c r="C4186" t="str">
        <f t="shared" si="130"/>
        <v>Mississippi St.Utah St.</v>
      </c>
      <c r="D4186" t="s">
        <v>43</v>
      </c>
      <c r="E4186">
        <v>55.6</v>
      </c>
      <c r="F4186">
        <v>-1.4754716981132101</v>
      </c>
      <c r="G4186">
        <v>-125.20628115539201</v>
      </c>
      <c r="H4186">
        <v>138.75444494775101</v>
      </c>
      <c r="I4186" s="1">
        <f t="shared" si="131"/>
        <v>138.45004511092995</v>
      </c>
    </row>
    <row r="4187" spans="1:9" x14ac:dyDescent="0.45">
      <c r="A4187" t="s">
        <v>44</v>
      </c>
      <c r="B4187" t="s">
        <v>68</v>
      </c>
      <c r="C4187" t="str">
        <f t="shared" si="130"/>
        <v>MissouriUtah St.</v>
      </c>
      <c r="D4187" t="s">
        <v>68</v>
      </c>
      <c r="E4187">
        <v>35.4</v>
      </c>
      <c r="F4187">
        <v>3.93962264150943</v>
      </c>
      <c r="G4187">
        <v>182.37815777956499</v>
      </c>
      <c r="H4187">
        <v>138.01891688392499</v>
      </c>
      <c r="I4187" s="1">
        <f t="shared" si="131"/>
        <v>128.09301153818907</v>
      </c>
    </row>
    <row r="4188" spans="1:9" x14ac:dyDescent="0.45">
      <c r="A4188" t="s">
        <v>45</v>
      </c>
      <c r="B4188" t="s">
        <v>68</v>
      </c>
      <c r="C4188" t="str">
        <f t="shared" si="130"/>
        <v>MontanaUtah St.</v>
      </c>
      <c r="D4188" t="s">
        <v>68</v>
      </c>
      <c r="E4188">
        <v>5.0999999999999996</v>
      </c>
      <c r="F4188">
        <v>19.196226415094301</v>
      </c>
      <c r="G4188">
        <v>1869.66972861565</v>
      </c>
      <c r="H4188">
        <v>137.327651608944</v>
      </c>
      <c r="I4188" s="1">
        <f t="shared" si="131"/>
        <v>118.35924608074825</v>
      </c>
    </row>
    <row r="4189" spans="1:9" x14ac:dyDescent="0.45">
      <c r="A4189" t="s">
        <v>46</v>
      </c>
      <c r="B4189" t="s">
        <v>68</v>
      </c>
      <c r="C4189" t="str">
        <f t="shared" si="130"/>
        <v>Mount St. Mary'sUtah St.</v>
      </c>
      <c r="D4189" t="s">
        <v>68</v>
      </c>
      <c r="E4189">
        <v>2.1</v>
      </c>
      <c r="F4189">
        <v>25.313207547169799</v>
      </c>
      <c r="G4189">
        <v>4752.9756836064998</v>
      </c>
      <c r="H4189">
        <v>138.67552583089099</v>
      </c>
      <c r="I4189" s="1">
        <f t="shared" si="131"/>
        <v>137.33877827686985</v>
      </c>
    </row>
    <row r="4190" spans="1:9" x14ac:dyDescent="0.45">
      <c r="A4190" t="s">
        <v>47</v>
      </c>
      <c r="B4190" t="s">
        <v>68</v>
      </c>
      <c r="C4190" t="str">
        <f t="shared" si="130"/>
        <v>Nebraska OmahaUtah St.</v>
      </c>
      <c r="D4190" t="s">
        <v>68</v>
      </c>
      <c r="E4190">
        <v>2.7</v>
      </c>
      <c r="F4190">
        <v>23.5962264150943</v>
      </c>
      <c r="G4190">
        <v>3658.4340364310901</v>
      </c>
      <c r="H4190">
        <v>137.95952701079099</v>
      </c>
      <c r="I4190" s="1">
        <f t="shared" si="131"/>
        <v>127.2567376552729</v>
      </c>
    </row>
    <row r="4191" spans="1:9" x14ac:dyDescent="0.45">
      <c r="A4191" t="s">
        <v>48</v>
      </c>
      <c r="B4191" t="s">
        <v>68</v>
      </c>
      <c r="C4191" t="str">
        <f t="shared" si="130"/>
        <v>New MexicoUtah St.</v>
      </c>
      <c r="D4191" t="s">
        <v>68</v>
      </c>
      <c r="E4191">
        <v>41.1</v>
      </c>
      <c r="F4191">
        <v>2.3509433962264099</v>
      </c>
      <c r="G4191">
        <v>143.106612632864</v>
      </c>
      <c r="H4191">
        <v>138.837271358066</v>
      </c>
      <c r="I4191" s="1">
        <f t="shared" si="131"/>
        <v>139.61633087830063</v>
      </c>
    </row>
    <row r="4192" spans="1:9" x14ac:dyDescent="0.45">
      <c r="A4192" t="s">
        <v>49</v>
      </c>
      <c r="B4192" t="s">
        <v>68</v>
      </c>
      <c r="C4192" t="str">
        <f t="shared" si="130"/>
        <v>Norfolk St.Utah St.</v>
      </c>
      <c r="D4192" t="s">
        <v>68</v>
      </c>
      <c r="E4192">
        <v>3.9</v>
      </c>
      <c r="F4192">
        <v>21.0641509433962</v>
      </c>
      <c r="G4192">
        <v>2486.0656518364899</v>
      </c>
      <c r="H4192">
        <v>137.84963502026801</v>
      </c>
      <c r="I4192" s="1">
        <f t="shared" si="131"/>
        <v>125.70933913821094</v>
      </c>
    </row>
    <row r="4193" spans="1:9" x14ac:dyDescent="0.45">
      <c r="A4193" t="s">
        <v>50</v>
      </c>
      <c r="B4193" t="s">
        <v>68</v>
      </c>
      <c r="C4193" t="str">
        <f t="shared" si="130"/>
        <v>North CarolinaUtah St.</v>
      </c>
      <c r="D4193" t="s">
        <v>50</v>
      </c>
      <c r="E4193">
        <v>70.400000000000006</v>
      </c>
      <c r="F4193">
        <v>-5.6905660377358496</v>
      </c>
      <c r="G4193">
        <v>-238.25023134510101</v>
      </c>
      <c r="H4193">
        <v>139.921566452224</v>
      </c>
      <c r="I4193" s="1">
        <f t="shared" si="131"/>
        <v>154.88438283343152</v>
      </c>
    </row>
    <row r="4194" spans="1:9" x14ac:dyDescent="0.45">
      <c r="A4194" t="s">
        <v>51</v>
      </c>
      <c r="B4194" t="s">
        <v>68</v>
      </c>
      <c r="C4194" t="str">
        <f t="shared" si="130"/>
        <v>OklahomaUtah St.</v>
      </c>
      <c r="D4194" t="s">
        <v>68</v>
      </c>
      <c r="E4194">
        <v>43.9</v>
      </c>
      <c r="F4194">
        <v>1.61509433962264</v>
      </c>
      <c r="G4194">
        <v>127.930822165124</v>
      </c>
      <c r="H4194">
        <v>138.264169747728</v>
      </c>
      <c r="I4194" s="1">
        <f t="shared" si="131"/>
        <v>131.5464380886402</v>
      </c>
    </row>
    <row r="4195" spans="1:9" x14ac:dyDescent="0.45">
      <c r="A4195" t="s">
        <v>52</v>
      </c>
      <c r="B4195" t="s">
        <v>68</v>
      </c>
      <c r="C4195" t="str">
        <f t="shared" si="130"/>
        <v>OregonUtah St.</v>
      </c>
      <c r="D4195" t="s">
        <v>52</v>
      </c>
      <c r="E4195">
        <v>72.099999999999994</v>
      </c>
      <c r="F4195">
        <v>-6.2113207547169802</v>
      </c>
      <c r="G4195">
        <v>-257.89873723219199</v>
      </c>
      <c r="H4195">
        <v>138.85854753586901</v>
      </c>
      <c r="I4195" s="1">
        <f t="shared" si="131"/>
        <v>139.91592255758891</v>
      </c>
    </row>
    <row r="4196" spans="1:9" x14ac:dyDescent="0.45">
      <c r="A4196" t="s">
        <v>53</v>
      </c>
      <c r="B4196" t="s">
        <v>68</v>
      </c>
      <c r="C4196" t="str">
        <f t="shared" si="130"/>
        <v>PurdueUtah St.</v>
      </c>
      <c r="D4196" t="s">
        <v>53</v>
      </c>
      <c r="E4196">
        <v>93.2</v>
      </c>
      <c r="F4196">
        <v>-17.1207547169811</v>
      </c>
      <c r="G4196">
        <v>-1362.2502180010199</v>
      </c>
      <c r="H4196">
        <v>140.20653486465801</v>
      </c>
      <c r="I4196" s="1">
        <f t="shared" si="131"/>
        <v>158.89704742082628</v>
      </c>
    </row>
    <row r="4197" spans="1:9" x14ac:dyDescent="0.45">
      <c r="A4197" t="s">
        <v>54</v>
      </c>
      <c r="B4197" t="s">
        <v>68</v>
      </c>
      <c r="C4197" t="str">
        <f t="shared" si="130"/>
        <v>Robert MorrisUtah St.</v>
      </c>
      <c r="D4197" t="s">
        <v>68</v>
      </c>
      <c r="E4197">
        <v>1.6</v>
      </c>
      <c r="F4197">
        <v>26.822641509434</v>
      </c>
      <c r="G4197">
        <v>5983.0701577455602</v>
      </c>
      <c r="H4197">
        <v>137.26517171342101</v>
      </c>
      <c r="I4197" s="1">
        <f t="shared" si="131"/>
        <v>117.47946132829868</v>
      </c>
    </row>
    <row r="4198" spans="1:9" x14ac:dyDescent="0.45">
      <c r="A4198" t="s">
        <v>55</v>
      </c>
      <c r="B4198" t="s">
        <v>68</v>
      </c>
      <c r="C4198" t="str">
        <f t="shared" si="130"/>
        <v>Saint FrancisUtah St.</v>
      </c>
      <c r="D4198" t="s">
        <v>68</v>
      </c>
      <c r="E4198">
        <v>1.1000000000000001</v>
      </c>
      <c r="F4198">
        <v>29.547169811320799</v>
      </c>
      <c r="G4198">
        <v>9068.5743061018802</v>
      </c>
      <c r="H4198">
        <v>138.31802724662799</v>
      </c>
      <c r="I4198" s="1">
        <f t="shared" si="131"/>
        <v>132.30481013681123</v>
      </c>
    </row>
    <row r="4199" spans="1:9" x14ac:dyDescent="0.45">
      <c r="A4199" t="s">
        <v>56</v>
      </c>
      <c r="B4199" t="s">
        <v>68</v>
      </c>
      <c r="C4199" t="str">
        <f t="shared" si="130"/>
        <v>Saint Mary'sUtah St.</v>
      </c>
      <c r="D4199" t="s">
        <v>56</v>
      </c>
      <c r="E4199">
        <v>68.7</v>
      </c>
      <c r="F4199">
        <v>-5.1660377358490601</v>
      </c>
      <c r="G4199">
        <v>-219.96048023236401</v>
      </c>
      <c r="H4199">
        <v>139.569282447718</v>
      </c>
      <c r="I4199" s="1">
        <f t="shared" si="131"/>
        <v>149.92384163690787</v>
      </c>
    </row>
    <row r="4200" spans="1:9" x14ac:dyDescent="0.45">
      <c r="A4200" t="s">
        <v>57</v>
      </c>
      <c r="B4200" t="s">
        <v>68</v>
      </c>
      <c r="C4200" t="str">
        <f t="shared" si="130"/>
        <v>San Diego St.Utah St.</v>
      </c>
      <c r="D4200" t="s">
        <v>68</v>
      </c>
      <c r="E4200">
        <v>39</v>
      </c>
      <c r="F4200">
        <v>2.9245283018867898</v>
      </c>
      <c r="G4200">
        <v>156.24150974136899</v>
      </c>
      <c r="H4200">
        <v>138.71553732751599</v>
      </c>
      <c r="I4200" s="1">
        <f t="shared" si="131"/>
        <v>137.90218358282803</v>
      </c>
    </row>
    <row r="4201" spans="1:9" x14ac:dyDescent="0.45">
      <c r="A4201" t="s">
        <v>58</v>
      </c>
      <c r="B4201" t="s">
        <v>68</v>
      </c>
      <c r="C4201" t="str">
        <f t="shared" si="130"/>
        <v>SIU EdwardsvilleUtah St.</v>
      </c>
      <c r="D4201" t="s">
        <v>68</v>
      </c>
      <c r="E4201">
        <v>3.1</v>
      </c>
      <c r="F4201">
        <v>22.5245283018868</v>
      </c>
      <c r="G4201">
        <v>3105.79935710565</v>
      </c>
      <c r="H4201">
        <v>138.863225094364</v>
      </c>
      <c r="I4201" s="1">
        <f t="shared" si="131"/>
        <v>139.98178765880485</v>
      </c>
    </row>
    <row r="4202" spans="1:9" x14ac:dyDescent="0.45">
      <c r="A4202" t="s">
        <v>59</v>
      </c>
      <c r="B4202" t="s">
        <v>68</v>
      </c>
      <c r="C4202" t="str">
        <f t="shared" si="130"/>
        <v>St. John'sUtah St.</v>
      </c>
      <c r="D4202" t="s">
        <v>59</v>
      </c>
      <c r="E4202">
        <v>87.3</v>
      </c>
      <c r="F4202">
        <v>-12.633962264150901</v>
      </c>
      <c r="G4202">
        <v>-687.12240827993605</v>
      </c>
      <c r="H4202">
        <v>139.84090786690899</v>
      </c>
      <c r="I4202" s="1">
        <f t="shared" si="131"/>
        <v>153.74862239528881</v>
      </c>
    </row>
    <row r="4203" spans="1:9" x14ac:dyDescent="0.45">
      <c r="A4203" t="s">
        <v>60</v>
      </c>
      <c r="B4203" t="s">
        <v>68</v>
      </c>
      <c r="C4203" t="str">
        <f t="shared" si="130"/>
        <v>TennesseeUtah St.</v>
      </c>
      <c r="D4203" t="s">
        <v>60</v>
      </c>
      <c r="E4203">
        <v>93.2</v>
      </c>
      <c r="F4203">
        <v>-17.181132075471702</v>
      </c>
      <c r="G4203">
        <v>-1374.59120275748</v>
      </c>
      <c r="H4203">
        <v>140.43489074359999</v>
      </c>
      <c r="I4203" s="1">
        <f t="shared" si="131"/>
        <v>162.11254608233526</v>
      </c>
    </row>
    <row r="4204" spans="1:9" x14ac:dyDescent="0.45">
      <c r="A4204" t="s">
        <v>61</v>
      </c>
      <c r="B4204" t="s">
        <v>68</v>
      </c>
      <c r="C4204" t="str">
        <f t="shared" si="130"/>
        <v>TexasUtah St.</v>
      </c>
      <c r="D4204" t="s">
        <v>68</v>
      </c>
      <c r="E4204">
        <v>36</v>
      </c>
      <c r="F4204">
        <v>3.7735849056603801</v>
      </c>
      <c r="G4204">
        <v>177.82513813786801</v>
      </c>
      <c r="H4204">
        <v>138.19060527467201</v>
      </c>
      <c r="I4204" s="1">
        <f t="shared" si="131"/>
        <v>130.51057045194025</v>
      </c>
    </row>
    <row r="4205" spans="1:9" x14ac:dyDescent="0.45">
      <c r="A4205" t="s">
        <v>62</v>
      </c>
      <c r="B4205" t="s">
        <v>68</v>
      </c>
      <c r="C4205" t="str">
        <f t="shared" si="130"/>
        <v>Texas A&amp;MUtah St.</v>
      </c>
      <c r="D4205" t="s">
        <v>62</v>
      </c>
      <c r="E4205">
        <v>76.5</v>
      </c>
      <c r="F4205">
        <v>-7.7207547169811299</v>
      </c>
      <c r="G4205">
        <v>-324.79379104438402</v>
      </c>
      <c r="H4205">
        <v>138.98840430226599</v>
      </c>
      <c r="I4205" s="1">
        <f t="shared" si="131"/>
        <v>141.7444467912193</v>
      </c>
    </row>
    <row r="4206" spans="1:9" x14ac:dyDescent="0.45">
      <c r="A4206" t="s">
        <v>63</v>
      </c>
      <c r="B4206" t="s">
        <v>68</v>
      </c>
      <c r="C4206" t="str">
        <f t="shared" si="130"/>
        <v>Texas TechUtah St.</v>
      </c>
      <c r="D4206" t="s">
        <v>63</v>
      </c>
      <c r="E4206">
        <v>86.5</v>
      </c>
      <c r="F4206">
        <v>-12.1735849056604</v>
      </c>
      <c r="G4206">
        <v>-640.50754705324903</v>
      </c>
      <c r="H4206">
        <v>140.02818842132999</v>
      </c>
      <c r="I4206" s="1">
        <f t="shared" si="131"/>
        <v>156.38573589925232</v>
      </c>
    </row>
    <row r="4207" spans="1:9" x14ac:dyDescent="0.45">
      <c r="A4207" t="s">
        <v>64</v>
      </c>
      <c r="B4207" t="s">
        <v>68</v>
      </c>
      <c r="C4207" t="str">
        <f t="shared" si="130"/>
        <v>TroyUtah St.</v>
      </c>
      <c r="D4207" t="s">
        <v>68</v>
      </c>
      <c r="E4207">
        <v>8.3000000000000007</v>
      </c>
      <c r="F4207">
        <v>15.7735849056604</v>
      </c>
      <c r="G4207">
        <v>1109.0130423800199</v>
      </c>
      <c r="H4207">
        <v>138.73175284105901</v>
      </c>
      <c r="I4207" s="1">
        <f t="shared" si="131"/>
        <v>138.13051561585834</v>
      </c>
    </row>
    <row r="4208" spans="1:9" x14ac:dyDescent="0.45">
      <c r="A4208" t="s">
        <v>65</v>
      </c>
      <c r="B4208" t="s">
        <v>68</v>
      </c>
      <c r="C4208" t="str">
        <f t="shared" si="130"/>
        <v>UC San DiegoUtah St.</v>
      </c>
      <c r="D4208" t="s">
        <v>68</v>
      </c>
      <c r="E4208">
        <v>18.8</v>
      </c>
      <c r="F4208">
        <v>9.6113207547169797</v>
      </c>
      <c r="G4208">
        <v>433.301781525813</v>
      </c>
      <c r="H4208">
        <v>138.81987458444999</v>
      </c>
      <c r="I4208" s="1">
        <f t="shared" si="131"/>
        <v>139.37136542115519</v>
      </c>
    </row>
    <row r="4209" spans="1:9" x14ac:dyDescent="0.45">
      <c r="A4209" t="s">
        <v>66</v>
      </c>
      <c r="B4209" t="s">
        <v>68</v>
      </c>
      <c r="C4209" t="str">
        <f t="shared" si="130"/>
        <v>UCLAUtah St.</v>
      </c>
      <c r="D4209" t="s">
        <v>68</v>
      </c>
      <c r="E4209">
        <v>47.8</v>
      </c>
      <c r="F4209">
        <v>0.56603773584905703</v>
      </c>
      <c r="G4209">
        <v>109.040469043657</v>
      </c>
      <c r="H4209">
        <v>138.29132909755899</v>
      </c>
      <c r="I4209" s="1">
        <f t="shared" si="131"/>
        <v>131.92887121641249</v>
      </c>
    </row>
    <row r="4210" spans="1:9" x14ac:dyDescent="0.45">
      <c r="A4210" t="s">
        <v>67</v>
      </c>
      <c r="B4210" t="s">
        <v>68</v>
      </c>
      <c r="C4210" t="str">
        <f t="shared" si="130"/>
        <v>UNC WilmingtonUtah St.</v>
      </c>
      <c r="D4210" t="s">
        <v>68</v>
      </c>
      <c r="E4210">
        <v>12.1</v>
      </c>
      <c r="F4210">
        <v>12.973584905660401</v>
      </c>
      <c r="G4210">
        <v>723.483555767241</v>
      </c>
      <c r="H4210">
        <v>139.40634477147901</v>
      </c>
      <c r="I4210" s="1">
        <f t="shared" si="131"/>
        <v>147.62950228254886</v>
      </c>
    </row>
    <row r="4211" spans="1:9" x14ac:dyDescent="0.45">
      <c r="A4211" t="s">
        <v>68</v>
      </c>
      <c r="B4211" t="s">
        <v>68</v>
      </c>
      <c r="C4211" t="str">
        <f t="shared" si="130"/>
        <v>Utah St.Utah St.</v>
      </c>
      <c r="D4211" t="s">
        <v>68</v>
      </c>
      <c r="E4211">
        <v>41.2</v>
      </c>
      <c r="F4211">
        <v>2.3283018867924499</v>
      </c>
      <c r="G4211">
        <v>142.64273539779199</v>
      </c>
      <c r="H4211">
        <v>138.77771517530499</v>
      </c>
      <c r="I4211" s="1">
        <f t="shared" si="131"/>
        <v>138.77771517530277</v>
      </c>
    </row>
    <row r="4212" spans="1:9" x14ac:dyDescent="0.45">
      <c r="A4212" t="s">
        <v>69</v>
      </c>
      <c r="B4212" t="s">
        <v>68</v>
      </c>
      <c r="C4212" t="str">
        <f t="shared" si="130"/>
        <v>VanderbiltUtah St.</v>
      </c>
      <c r="D4212" t="s">
        <v>68</v>
      </c>
      <c r="E4212">
        <v>13</v>
      </c>
      <c r="F4212">
        <v>12.449056603773601</v>
      </c>
      <c r="G4212">
        <v>668.09719396299602</v>
      </c>
      <c r="H4212">
        <v>137.35228566390401</v>
      </c>
      <c r="I4212" s="1">
        <f t="shared" si="131"/>
        <v>118.70612031546676</v>
      </c>
    </row>
    <row r="4213" spans="1:9" x14ac:dyDescent="0.45">
      <c r="A4213" t="s">
        <v>70</v>
      </c>
      <c r="B4213" t="s">
        <v>68</v>
      </c>
      <c r="C4213" t="str">
        <f t="shared" si="130"/>
        <v>VCUUtah St.</v>
      </c>
      <c r="D4213" t="s">
        <v>68</v>
      </c>
      <c r="E4213">
        <v>31.5</v>
      </c>
      <c r="F4213">
        <v>5.1018867924528299</v>
      </c>
      <c r="G4213">
        <v>217.825934204102</v>
      </c>
      <c r="H4213">
        <v>139.197196825779</v>
      </c>
      <c r="I4213" s="1">
        <f t="shared" si="131"/>
        <v>144.68447217177777</v>
      </c>
    </row>
    <row r="4214" spans="1:9" x14ac:dyDescent="0.45">
      <c r="A4214" t="s">
        <v>71</v>
      </c>
      <c r="B4214" t="s">
        <v>68</v>
      </c>
      <c r="C4214" t="str">
        <f t="shared" si="130"/>
        <v>WisconsinUtah St.</v>
      </c>
      <c r="D4214" t="s">
        <v>71</v>
      </c>
      <c r="E4214">
        <v>85</v>
      </c>
      <c r="F4214">
        <v>-11.3584905660377</v>
      </c>
      <c r="G4214">
        <v>-565.62844878037197</v>
      </c>
      <c r="H4214">
        <v>139.997875681046</v>
      </c>
      <c r="I4214" s="1">
        <f t="shared" si="131"/>
        <v>155.95889961081764</v>
      </c>
    </row>
    <row r="4215" spans="1:9" x14ac:dyDescent="0.45">
      <c r="A4215" t="s">
        <v>80</v>
      </c>
      <c r="B4215" t="s">
        <v>68</v>
      </c>
      <c r="C4215" t="str">
        <f t="shared" si="130"/>
        <v>WoffordUtah St.</v>
      </c>
      <c r="D4215" t="s">
        <v>68</v>
      </c>
      <c r="E4215">
        <v>4.5</v>
      </c>
      <c r="F4215">
        <v>20.026415094339601</v>
      </c>
      <c r="G4215">
        <v>2121.9924670354399</v>
      </c>
      <c r="H4215">
        <v>138.027331420141</v>
      </c>
      <c r="I4215" s="1">
        <f t="shared" si="131"/>
        <v>128.21149734229954</v>
      </c>
    </row>
    <row r="4216" spans="1:9" x14ac:dyDescent="0.45">
      <c r="A4216" t="s">
        <v>72</v>
      </c>
      <c r="B4216" t="s">
        <v>68</v>
      </c>
      <c r="C4216" t="str">
        <f t="shared" si="130"/>
        <v>XavierUtah St.</v>
      </c>
      <c r="D4216" t="s">
        <v>68</v>
      </c>
      <c r="E4216">
        <v>31.2</v>
      </c>
      <c r="F4216">
        <v>5.1811320754716998</v>
      </c>
      <c r="G4216">
        <v>220.375998905258</v>
      </c>
      <c r="H4216">
        <v>138.60324499029201</v>
      </c>
      <c r="I4216" s="1">
        <f t="shared" si="131"/>
        <v>136.32098557857981</v>
      </c>
    </row>
    <row r="4217" spans="1:9" x14ac:dyDescent="0.45">
      <c r="A4217" t="s">
        <v>73</v>
      </c>
      <c r="B4217" t="s">
        <v>68</v>
      </c>
      <c r="C4217" t="str">
        <f t="shared" si="130"/>
        <v>YaleUtah St.</v>
      </c>
      <c r="D4217" t="s">
        <v>68</v>
      </c>
      <c r="E4217">
        <v>20.2</v>
      </c>
      <c r="F4217">
        <v>9.0037735849056606</v>
      </c>
      <c r="G4217">
        <v>394.889761747308</v>
      </c>
      <c r="H4217">
        <v>139.40247962435501</v>
      </c>
      <c r="I4217" s="1">
        <f t="shared" si="131"/>
        <v>147.57507681532923</v>
      </c>
    </row>
    <row r="4218" spans="1:9" x14ac:dyDescent="0.45">
      <c r="A4218" t="s">
        <v>7</v>
      </c>
      <c r="B4218" t="s">
        <v>69</v>
      </c>
      <c r="C4218" t="str">
        <f t="shared" si="130"/>
        <v>AkronVanderbilt</v>
      </c>
      <c r="D4218" t="s">
        <v>69</v>
      </c>
      <c r="E4218">
        <v>37.799999999999997</v>
      </c>
      <c r="F4218">
        <v>3.2754716981132099</v>
      </c>
      <c r="G4218">
        <v>164.83660940301701</v>
      </c>
      <c r="H4218">
        <v>139.610374591202</v>
      </c>
      <c r="I4218" s="1">
        <f t="shared" si="131"/>
        <v>150.50246362371001</v>
      </c>
    </row>
    <row r="4219" spans="1:9" x14ac:dyDescent="0.45">
      <c r="A4219" t="s">
        <v>8</v>
      </c>
      <c r="B4219" t="s">
        <v>69</v>
      </c>
      <c r="C4219" t="str">
        <f t="shared" si="130"/>
        <v>AlabamaVanderbilt</v>
      </c>
      <c r="D4219" t="s">
        <v>8</v>
      </c>
      <c r="E4219">
        <v>97.8</v>
      </c>
      <c r="F4219">
        <v>-24.898113207547201</v>
      </c>
      <c r="G4219">
        <v>-4461.3880550286704</v>
      </c>
      <c r="H4219">
        <v>141.358470603342</v>
      </c>
      <c r="I4219" s="1">
        <f t="shared" si="131"/>
        <v>175.11755307649099</v>
      </c>
    </row>
    <row r="4220" spans="1:9" x14ac:dyDescent="0.45">
      <c r="A4220" t="s">
        <v>9</v>
      </c>
      <c r="B4220" t="s">
        <v>69</v>
      </c>
      <c r="C4220" t="str">
        <f t="shared" si="130"/>
        <v>Alabama St.Vanderbilt</v>
      </c>
      <c r="D4220" t="s">
        <v>69</v>
      </c>
      <c r="E4220">
        <v>8.6999999999999993</v>
      </c>
      <c r="F4220">
        <v>15.4150943396226</v>
      </c>
      <c r="G4220">
        <v>1050.3097573377399</v>
      </c>
      <c r="H4220">
        <v>139.83721544701501</v>
      </c>
      <c r="I4220" s="1">
        <f t="shared" si="131"/>
        <v>153.69662911496761</v>
      </c>
    </row>
    <row r="4221" spans="1:9" x14ac:dyDescent="0.45">
      <c r="A4221" t="s">
        <v>10</v>
      </c>
      <c r="B4221" t="s">
        <v>69</v>
      </c>
      <c r="C4221" t="str">
        <f t="shared" si="130"/>
        <v>AmericanVanderbilt</v>
      </c>
      <c r="D4221" t="s">
        <v>69</v>
      </c>
      <c r="E4221">
        <v>10.3</v>
      </c>
      <c r="F4221">
        <v>14.150943396226401</v>
      </c>
      <c r="G4221">
        <v>866.20319265961905</v>
      </c>
      <c r="H4221">
        <v>139.928301328619</v>
      </c>
      <c r="I4221" s="1">
        <f t="shared" si="131"/>
        <v>154.97921720394953</v>
      </c>
    </row>
    <row r="4222" spans="1:9" x14ac:dyDescent="0.45">
      <c r="A4222" t="s">
        <v>11</v>
      </c>
      <c r="B4222" t="s">
        <v>69</v>
      </c>
      <c r="C4222" t="str">
        <f t="shared" si="130"/>
        <v>ArizonaVanderbilt</v>
      </c>
      <c r="D4222" t="s">
        <v>11</v>
      </c>
      <c r="E4222">
        <v>96.9</v>
      </c>
      <c r="F4222">
        <v>-22.656603773584902</v>
      </c>
      <c r="G4222">
        <v>-3169.7994866679401</v>
      </c>
      <c r="H4222">
        <v>141.12082942233201</v>
      </c>
      <c r="I4222" s="1">
        <f t="shared" si="131"/>
        <v>171.77130728243731</v>
      </c>
    </row>
    <row r="4223" spans="1:9" x14ac:dyDescent="0.45">
      <c r="A4223" t="s">
        <v>12</v>
      </c>
      <c r="B4223" t="s">
        <v>69</v>
      </c>
      <c r="C4223" t="str">
        <f t="shared" si="130"/>
        <v>ArkansasVanderbilt</v>
      </c>
      <c r="D4223" t="s">
        <v>12</v>
      </c>
      <c r="E4223">
        <v>65.7</v>
      </c>
      <c r="F4223">
        <v>-4.2641509433962304</v>
      </c>
      <c r="G4223">
        <v>-191.66536921556499</v>
      </c>
      <c r="H4223">
        <v>139.23843325619001</v>
      </c>
      <c r="I4223" s="1">
        <f t="shared" si="131"/>
        <v>145.26512587513909</v>
      </c>
    </row>
    <row r="4224" spans="1:9" x14ac:dyDescent="0.45">
      <c r="A4224" t="s">
        <v>13</v>
      </c>
      <c r="B4224" t="s">
        <v>69</v>
      </c>
      <c r="C4224" t="str">
        <f t="shared" si="130"/>
        <v>AuburnVanderbilt</v>
      </c>
      <c r="D4224" t="s">
        <v>13</v>
      </c>
      <c r="E4224">
        <v>98.9</v>
      </c>
      <c r="F4224">
        <v>-29.309433962264201</v>
      </c>
      <c r="G4224">
        <v>-8743.2182810744798</v>
      </c>
      <c r="H4224">
        <v>142.37715266145099</v>
      </c>
      <c r="I4224" s="1">
        <f t="shared" si="131"/>
        <v>189.46170225946378</v>
      </c>
    </row>
    <row r="4225" spans="1:9" x14ac:dyDescent="0.45">
      <c r="A4225" t="s">
        <v>14</v>
      </c>
      <c r="B4225" t="s">
        <v>69</v>
      </c>
      <c r="C4225" t="str">
        <f t="shared" si="130"/>
        <v>BaylorVanderbilt</v>
      </c>
      <c r="D4225" t="s">
        <v>14</v>
      </c>
      <c r="E4225">
        <v>90.2</v>
      </c>
      <c r="F4225">
        <v>-14.577358490566001</v>
      </c>
      <c r="G4225">
        <v>-924.02478887480697</v>
      </c>
      <c r="H4225">
        <v>140.91215067417599</v>
      </c>
      <c r="I4225" s="1">
        <f t="shared" si="131"/>
        <v>168.83288398241129</v>
      </c>
    </row>
    <row r="4226" spans="1:9" x14ac:dyDescent="0.45">
      <c r="A4226" t="s">
        <v>15</v>
      </c>
      <c r="B4226" t="s">
        <v>69</v>
      </c>
      <c r="C4226" t="str">
        <f t="shared" si="130"/>
        <v>BryantVanderbilt</v>
      </c>
      <c r="D4226" t="s">
        <v>69</v>
      </c>
      <c r="E4226">
        <v>29.5</v>
      </c>
      <c r="F4226">
        <v>5.7094339622641499</v>
      </c>
      <c r="G4226">
        <v>238.922209638173</v>
      </c>
      <c r="H4226">
        <v>140.46114842406999</v>
      </c>
      <c r="I4226" s="1">
        <f t="shared" si="131"/>
        <v>162.48228272672029</v>
      </c>
    </row>
    <row r="4227" spans="1:9" x14ac:dyDescent="0.45">
      <c r="A4227" t="s">
        <v>16</v>
      </c>
      <c r="B4227" t="s">
        <v>69</v>
      </c>
      <c r="C4227" t="str">
        <f t="shared" ref="C4227:C4290" si="132">A4227&amp;B4227</f>
        <v>BYUVanderbilt</v>
      </c>
      <c r="D4227" t="s">
        <v>16</v>
      </c>
      <c r="E4227">
        <v>91.8</v>
      </c>
      <c r="F4227">
        <v>-15.871698113207501</v>
      </c>
      <c r="G4227">
        <v>-1125.69362159656</v>
      </c>
      <c r="H4227">
        <v>140.721668902294</v>
      </c>
      <c r="I4227" s="1">
        <f t="shared" ref="I4227:I4290" si="133">18*(H4227-AVERAGE($H$2:$H$4625))/_xlfn.STDEV.P($H$2:$H$4625)+AVERAGE($H$2:$H$4625)</f>
        <v>166.15069386159547</v>
      </c>
    </row>
    <row r="4228" spans="1:9" x14ac:dyDescent="0.45">
      <c r="A4228" t="s">
        <v>17</v>
      </c>
      <c r="B4228" t="s">
        <v>69</v>
      </c>
      <c r="C4228" t="str">
        <f t="shared" si="132"/>
        <v>ClemsonVanderbilt</v>
      </c>
      <c r="D4228" t="s">
        <v>17</v>
      </c>
      <c r="E4228">
        <v>93.5</v>
      </c>
      <c r="F4228">
        <v>-17.494339622641501</v>
      </c>
      <c r="G4228">
        <v>-1442.35356187296</v>
      </c>
      <c r="H4228">
        <v>140.943580758585</v>
      </c>
      <c r="I4228" s="1">
        <f t="shared" si="133"/>
        <v>169.27545368903122</v>
      </c>
    </row>
    <row r="4229" spans="1:9" x14ac:dyDescent="0.45">
      <c r="A4229" t="s">
        <v>18</v>
      </c>
      <c r="B4229" t="s">
        <v>69</v>
      </c>
      <c r="C4229" t="str">
        <f t="shared" si="132"/>
        <v>Colorado St.Vanderbilt</v>
      </c>
      <c r="D4229" t="s">
        <v>18</v>
      </c>
      <c r="E4229">
        <v>70.3</v>
      </c>
      <c r="F4229">
        <v>-5.6566037735849104</v>
      </c>
      <c r="G4229">
        <v>-236.99009844136199</v>
      </c>
      <c r="H4229">
        <v>140.25097260669099</v>
      </c>
      <c r="I4229" s="1">
        <f t="shared" si="133"/>
        <v>159.52277906692873</v>
      </c>
    </row>
    <row r="4230" spans="1:9" x14ac:dyDescent="0.45">
      <c r="A4230" t="s">
        <v>19</v>
      </c>
      <c r="B4230" t="s">
        <v>69</v>
      </c>
      <c r="C4230" t="str">
        <f t="shared" si="132"/>
        <v>ConnecticutVanderbilt</v>
      </c>
      <c r="D4230" t="s">
        <v>19</v>
      </c>
      <c r="E4230">
        <v>96.1</v>
      </c>
      <c r="F4230">
        <v>-20.9584905660377</v>
      </c>
      <c r="G4230">
        <v>-2446.39872840526</v>
      </c>
      <c r="H4230">
        <v>140.886524509026</v>
      </c>
      <c r="I4230" s="1">
        <f t="shared" si="133"/>
        <v>168.47203975925765</v>
      </c>
    </row>
    <row r="4231" spans="1:9" x14ac:dyDescent="0.45">
      <c r="A4231" t="s">
        <v>20</v>
      </c>
      <c r="B4231" t="s">
        <v>69</v>
      </c>
      <c r="C4231" t="str">
        <f t="shared" si="132"/>
        <v>CreightonVanderbilt</v>
      </c>
      <c r="D4231" t="s">
        <v>20</v>
      </c>
      <c r="E4231">
        <v>88.3</v>
      </c>
      <c r="F4231">
        <v>-13.267924528301901</v>
      </c>
      <c r="G4231">
        <v>-756.74091396256495</v>
      </c>
      <c r="H4231">
        <v>140.35946687129001</v>
      </c>
      <c r="I4231" s="1">
        <f t="shared" si="133"/>
        <v>161.05049608571488</v>
      </c>
    </row>
    <row r="4232" spans="1:9" x14ac:dyDescent="0.45">
      <c r="A4232" t="s">
        <v>21</v>
      </c>
      <c r="B4232" t="s">
        <v>69</v>
      </c>
      <c r="C4232" t="str">
        <f t="shared" si="132"/>
        <v>DrakeVanderbilt</v>
      </c>
      <c r="D4232" t="s">
        <v>21</v>
      </c>
      <c r="E4232">
        <v>70.2</v>
      </c>
      <c r="F4232">
        <v>-5.6037735849056602</v>
      </c>
      <c r="G4232">
        <v>-235.16479335277899</v>
      </c>
      <c r="H4232">
        <v>140.412931975444</v>
      </c>
      <c r="I4232" s="1">
        <f t="shared" si="133"/>
        <v>161.80334278990796</v>
      </c>
    </row>
    <row r="4233" spans="1:9" x14ac:dyDescent="0.45">
      <c r="A4233" t="s">
        <v>22</v>
      </c>
      <c r="B4233" t="s">
        <v>69</v>
      </c>
      <c r="C4233" t="str">
        <f t="shared" si="132"/>
        <v>DukeVanderbilt</v>
      </c>
      <c r="D4233" t="s">
        <v>22</v>
      </c>
      <c r="E4233">
        <v>99.2</v>
      </c>
      <c r="F4233">
        <v>-31.818867924528298</v>
      </c>
      <c r="G4233">
        <v>-12819.784955355201</v>
      </c>
      <c r="H4233">
        <v>142.7002524369</v>
      </c>
      <c r="I4233" s="1">
        <f t="shared" si="133"/>
        <v>194.01129783065593</v>
      </c>
    </row>
    <row r="4234" spans="1:9" x14ac:dyDescent="0.45">
      <c r="A4234" t="s">
        <v>23</v>
      </c>
      <c r="B4234" t="s">
        <v>69</v>
      </c>
      <c r="C4234" t="str">
        <f t="shared" si="132"/>
        <v>FloridaVanderbilt</v>
      </c>
      <c r="D4234" t="s">
        <v>23</v>
      </c>
      <c r="E4234">
        <v>98.6</v>
      </c>
      <c r="F4234">
        <v>-27.916981132075499</v>
      </c>
      <c r="G4234">
        <v>-7071.8674942932303</v>
      </c>
      <c r="H4234">
        <v>142.424008712843</v>
      </c>
      <c r="I4234" s="1">
        <f t="shared" si="133"/>
        <v>190.12148632647651</v>
      </c>
    </row>
    <row r="4235" spans="1:9" x14ac:dyDescent="0.45">
      <c r="A4235" t="s">
        <v>24</v>
      </c>
      <c r="B4235" t="s">
        <v>69</v>
      </c>
      <c r="C4235" t="str">
        <f t="shared" si="132"/>
        <v>GeorgiaVanderbilt</v>
      </c>
      <c r="D4235" t="s">
        <v>24</v>
      </c>
      <c r="E4235">
        <v>72.7</v>
      </c>
      <c r="F4235">
        <v>-6.4113207547169804</v>
      </c>
      <c r="G4235">
        <v>-265.88839509821003</v>
      </c>
      <c r="H4235">
        <v>139.56582223718701</v>
      </c>
      <c r="I4235" s="1">
        <f t="shared" si="133"/>
        <v>149.87511811648665</v>
      </c>
    </row>
    <row r="4236" spans="1:9" x14ac:dyDescent="0.45">
      <c r="A4236" t="s">
        <v>25</v>
      </c>
      <c r="B4236" t="s">
        <v>69</v>
      </c>
      <c r="C4236" t="str">
        <f t="shared" si="132"/>
        <v>GonzagaVanderbilt</v>
      </c>
      <c r="D4236" t="s">
        <v>25</v>
      </c>
      <c r="E4236">
        <v>93.7</v>
      </c>
      <c r="F4236">
        <v>-17.735849056603801</v>
      </c>
      <c r="G4236">
        <v>-1496.65134333584</v>
      </c>
      <c r="H4236">
        <v>141.70346335671599</v>
      </c>
      <c r="I4236" s="1">
        <f t="shared" si="133"/>
        <v>179.97542554224077</v>
      </c>
    </row>
    <row r="4237" spans="1:9" x14ac:dyDescent="0.45">
      <c r="A4237" t="s">
        <v>26</v>
      </c>
      <c r="B4237" t="s">
        <v>69</v>
      </c>
      <c r="C4237" t="str">
        <f t="shared" si="132"/>
        <v>Grand CanyonVanderbilt</v>
      </c>
      <c r="D4237" t="s">
        <v>26</v>
      </c>
      <c r="E4237">
        <v>59.4</v>
      </c>
      <c r="F4237">
        <v>-2.4867924528301901</v>
      </c>
      <c r="G4237">
        <v>-146.16320025285401</v>
      </c>
      <c r="H4237">
        <v>140.35543160302001</v>
      </c>
      <c r="I4237" s="1">
        <f t="shared" si="133"/>
        <v>160.99367512808885</v>
      </c>
    </row>
    <row r="4238" spans="1:9" x14ac:dyDescent="0.45">
      <c r="A4238" t="s">
        <v>27</v>
      </c>
      <c r="B4238" t="s">
        <v>69</v>
      </c>
      <c r="C4238" t="str">
        <f t="shared" si="132"/>
        <v>High PointVanderbilt</v>
      </c>
      <c r="D4238" t="s">
        <v>69</v>
      </c>
      <c r="E4238">
        <v>48.9</v>
      </c>
      <c r="F4238">
        <v>0.28301886792452802</v>
      </c>
      <c r="G4238">
        <v>104.43306526527201</v>
      </c>
      <c r="H4238">
        <v>140.63632335067601</v>
      </c>
      <c r="I4238" s="1">
        <f t="shared" si="133"/>
        <v>164.94893585008785</v>
      </c>
    </row>
    <row r="4239" spans="1:9" x14ac:dyDescent="0.45">
      <c r="A4239" t="s">
        <v>28</v>
      </c>
      <c r="B4239" t="s">
        <v>69</v>
      </c>
      <c r="C4239" t="str">
        <f t="shared" si="132"/>
        <v>HoustonVanderbilt</v>
      </c>
      <c r="D4239" t="s">
        <v>28</v>
      </c>
      <c r="E4239">
        <v>99.5</v>
      </c>
      <c r="F4239">
        <v>-35.332075471698097</v>
      </c>
      <c r="G4239">
        <v>-21911.291992636001</v>
      </c>
      <c r="H4239">
        <v>142.84391678653</v>
      </c>
      <c r="I4239" s="1">
        <f t="shared" si="133"/>
        <v>196.0342478246834</v>
      </c>
    </row>
    <row r="4240" spans="1:9" x14ac:dyDescent="0.45">
      <c r="A4240" t="s">
        <v>29</v>
      </c>
      <c r="B4240" t="s">
        <v>69</v>
      </c>
      <c r="C4240" t="str">
        <f t="shared" si="132"/>
        <v>IllinoisVanderbilt</v>
      </c>
      <c r="D4240" t="s">
        <v>29</v>
      </c>
      <c r="E4240">
        <v>95.6</v>
      </c>
      <c r="F4240">
        <v>-20.218867924528301</v>
      </c>
      <c r="G4240">
        <v>-2185.5731071886398</v>
      </c>
      <c r="H4240">
        <v>140.894161940467</v>
      </c>
      <c r="I4240" s="1">
        <f t="shared" si="133"/>
        <v>168.57958308456932</v>
      </c>
    </row>
    <row r="4241" spans="1:9" x14ac:dyDescent="0.45">
      <c r="A4241" t="s">
        <v>30</v>
      </c>
      <c r="B4241" t="s">
        <v>69</v>
      </c>
      <c r="C4241" t="str">
        <f t="shared" si="132"/>
        <v>Iowa St.Vanderbilt</v>
      </c>
      <c r="D4241" t="s">
        <v>30</v>
      </c>
      <c r="E4241">
        <v>97.9</v>
      </c>
      <c r="F4241">
        <v>-25.101886792452799</v>
      </c>
      <c r="G4241">
        <v>-4603.6862424656701</v>
      </c>
      <c r="H4241">
        <v>141.82043051882499</v>
      </c>
      <c r="I4241" s="1">
        <f t="shared" si="133"/>
        <v>181.62245015550928</v>
      </c>
    </row>
    <row r="4242" spans="1:9" x14ac:dyDescent="0.45">
      <c r="A4242" t="s">
        <v>31</v>
      </c>
      <c r="B4242" t="s">
        <v>69</v>
      </c>
      <c r="C4242" t="str">
        <f t="shared" si="132"/>
        <v>KansasVanderbilt</v>
      </c>
      <c r="D4242" t="s">
        <v>31</v>
      </c>
      <c r="E4242">
        <v>93</v>
      </c>
      <c r="F4242">
        <v>-17</v>
      </c>
      <c r="G4242">
        <v>-1337.5013547708299</v>
      </c>
      <c r="H4242">
        <v>140.77582080313701</v>
      </c>
      <c r="I4242" s="1">
        <f t="shared" si="133"/>
        <v>166.91321140870494</v>
      </c>
    </row>
    <row r="4243" spans="1:9" x14ac:dyDescent="0.45">
      <c r="A4243" t="s">
        <v>32</v>
      </c>
      <c r="B4243" t="s">
        <v>69</v>
      </c>
      <c r="C4243" t="str">
        <f t="shared" si="132"/>
        <v>KentuckyVanderbilt</v>
      </c>
      <c r="D4243" t="s">
        <v>32</v>
      </c>
      <c r="E4243">
        <v>95.8</v>
      </c>
      <c r="F4243">
        <v>-20.430188679245301</v>
      </c>
      <c r="G4243">
        <v>-2256.3350750887698</v>
      </c>
      <c r="H4243">
        <v>140.72285840352899</v>
      </c>
      <c r="I4243" s="1">
        <f t="shared" si="133"/>
        <v>166.1674433302174</v>
      </c>
    </row>
    <row r="4244" spans="1:9" x14ac:dyDescent="0.45">
      <c r="A4244" t="s">
        <v>33</v>
      </c>
      <c r="B4244" t="s">
        <v>69</v>
      </c>
      <c r="C4244" t="str">
        <f t="shared" si="132"/>
        <v>LibertyVanderbilt</v>
      </c>
      <c r="D4244" t="s">
        <v>69</v>
      </c>
      <c r="E4244">
        <v>38.5</v>
      </c>
      <c r="F4244">
        <v>3.06037735849057</v>
      </c>
      <c r="G4244">
        <v>159.498456119292</v>
      </c>
      <c r="H4244">
        <v>139.93179465192799</v>
      </c>
      <c r="I4244" s="1">
        <f t="shared" si="133"/>
        <v>155.02840698822973</v>
      </c>
    </row>
    <row r="4245" spans="1:9" x14ac:dyDescent="0.45">
      <c r="A4245" t="s">
        <v>34</v>
      </c>
      <c r="B4245" t="s">
        <v>69</v>
      </c>
      <c r="C4245" t="str">
        <f t="shared" si="132"/>
        <v>LipscombVanderbilt</v>
      </c>
      <c r="D4245" t="s">
        <v>69</v>
      </c>
      <c r="E4245">
        <v>32.5</v>
      </c>
      <c r="F4245">
        <v>4.8037735849056604</v>
      </c>
      <c r="G4245">
        <v>208.058916711938</v>
      </c>
      <c r="H4245">
        <v>140.363714883185</v>
      </c>
      <c r="I4245" s="1">
        <f t="shared" si="133"/>
        <v>161.11031270451923</v>
      </c>
    </row>
    <row r="4246" spans="1:9" x14ac:dyDescent="0.45">
      <c r="A4246" t="s">
        <v>35</v>
      </c>
      <c r="B4246" t="s">
        <v>69</v>
      </c>
      <c r="C4246" t="str">
        <f t="shared" si="132"/>
        <v>LouisvilleVanderbilt</v>
      </c>
      <c r="D4246" t="s">
        <v>35</v>
      </c>
      <c r="E4246">
        <v>55</v>
      </c>
      <c r="F4246">
        <v>-1.3056603773584901</v>
      </c>
      <c r="G4246">
        <v>-122.018853091312</v>
      </c>
      <c r="H4246">
        <v>139.64943819515301</v>
      </c>
      <c r="I4246" s="1">
        <f t="shared" si="133"/>
        <v>151.05252157185723</v>
      </c>
    </row>
    <row r="4247" spans="1:9" x14ac:dyDescent="0.45">
      <c r="A4247" t="s">
        <v>36</v>
      </c>
      <c r="B4247" t="s">
        <v>69</v>
      </c>
      <c r="C4247" t="str">
        <f t="shared" si="132"/>
        <v>MarquetteVanderbilt</v>
      </c>
      <c r="D4247" t="s">
        <v>36</v>
      </c>
      <c r="E4247">
        <v>94.5</v>
      </c>
      <c r="F4247">
        <v>-18.649056603773602</v>
      </c>
      <c r="G4247">
        <v>-1720.01543709207</v>
      </c>
      <c r="H4247">
        <v>140.981194830058</v>
      </c>
      <c r="I4247" s="1">
        <f t="shared" si="133"/>
        <v>169.8051006463844</v>
      </c>
    </row>
    <row r="4248" spans="1:9" x14ac:dyDescent="0.45">
      <c r="A4248" t="s">
        <v>37</v>
      </c>
      <c r="B4248" t="s">
        <v>69</v>
      </c>
      <c r="C4248" t="str">
        <f t="shared" si="132"/>
        <v>MarylandVanderbilt</v>
      </c>
      <c r="D4248" t="s">
        <v>37</v>
      </c>
      <c r="E4248">
        <v>92.1</v>
      </c>
      <c r="F4248">
        <v>-16.1056603773585</v>
      </c>
      <c r="G4248">
        <v>-1166.7773413303501</v>
      </c>
      <c r="H4248">
        <v>140.591134141737</v>
      </c>
      <c r="I4248" s="1">
        <f t="shared" si="133"/>
        <v>164.31262273421251</v>
      </c>
    </row>
    <row r="4249" spans="1:9" x14ac:dyDescent="0.45">
      <c r="A4249" t="s">
        <v>38</v>
      </c>
      <c r="B4249" t="s">
        <v>69</v>
      </c>
      <c r="C4249" t="str">
        <f t="shared" si="132"/>
        <v>McNeese St.Vanderbilt</v>
      </c>
      <c r="D4249" t="s">
        <v>38</v>
      </c>
      <c r="E4249">
        <v>67.5</v>
      </c>
      <c r="F4249">
        <v>-4.7962264150943401</v>
      </c>
      <c r="G4249">
        <v>-207.89250152942901</v>
      </c>
      <c r="H4249">
        <v>140.42654575593801</v>
      </c>
      <c r="I4249" s="1">
        <f t="shared" si="133"/>
        <v>161.99503959736214</v>
      </c>
    </row>
    <row r="4250" spans="1:9" x14ac:dyDescent="0.45">
      <c r="A4250" t="s">
        <v>39</v>
      </c>
      <c r="B4250" t="s">
        <v>69</v>
      </c>
      <c r="C4250" t="str">
        <f t="shared" si="132"/>
        <v>MemphisVanderbilt</v>
      </c>
      <c r="D4250" t="s">
        <v>39</v>
      </c>
      <c r="E4250">
        <v>85.7</v>
      </c>
      <c r="F4250">
        <v>-11.7207547169811</v>
      </c>
      <c r="G4250">
        <v>-597.61498984322304</v>
      </c>
      <c r="H4250">
        <v>139.56876895475699</v>
      </c>
      <c r="I4250" s="1">
        <f t="shared" si="133"/>
        <v>149.91661109860749</v>
      </c>
    </row>
    <row r="4251" spans="1:9" x14ac:dyDescent="0.45">
      <c r="A4251" t="s">
        <v>40</v>
      </c>
      <c r="B4251" t="s">
        <v>69</v>
      </c>
      <c r="C4251" t="str">
        <f t="shared" si="132"/>
        <v>MichiganVanderbilt</v>
      </c>
      <c r="D4251" t="s">
        <v>40</v>
      </c>
      <c r="E4251">
        <v>75.900000000000006</v>
      </c>
      <c r="F4251">
        <v>-7.5320754716981098</v>
      </c>
      <c r="G4251">
        <v>-315.46591544692399</v>
      </c>
      <c r="H4251">
        <v>139.22569003944</v>
      </c>
      <c r="I4251" s="1">
        <f t="shared" si="133"/>
        <v>145.08568755021912</v>
      </c>
    </row>
    <row r="4252" spans="1:9" x14ac:dyDescent="0.45">
      <c r="A4252" t="s">
        <v>41</v>
      </c>
      <c r="B4252" t="s">
        <v>69</v>
      </c>
      <c r="C4252" t="str">
        <f t="shared" si="132"/>
        <v>Michigan St.Vanderbilt</v>
      </c>
      <c r="D4252" t="s">
        <v>41</v>
      </c>
      <c r="E4252">
        <v>96.8</v>
      </c>
      <c r="F4252">
        <v>-22.3547169811321</v>
      </c>
      <c r="G4252">
        <v>-3027.0965835049801</v>
      </c>
      <c r="H4252">
        <v>140.924582000269</v>
      </c>
      <c r="I4252" s="1">
        <f t="shared" si="133"/>
        <v>169.00793054831558</v>
      </c>
    </row>
    <row r="4253" spans="1:9" x14ac:dyDescent="0.45">
      <c r="A4253" t="s">
        <v>42</v>
      </c>
      <c r="B4253" t="s">
        <v>69</v>
      </c>
      <c r="C4253" t="str">
        <f t="shared" si="132"/>
        <v>MississippiVanderbilt</v>
      </c>
      <c r="D4253" t="s">
        <v>42</v>
      </c>
      <c r="E4253">
        <v>88.6</v>
      </c>
      <c r="F4253">
        <v>-13.445283018867899</v>
      </c>
      <c r="G4253">
        <v>-777.51251383396595</v>
      </c>
      <c r="H4253">
        <v>140.05550310536401</v>
      </c>
      <c r="I4253" s="1">
        <f t="shared" si="133"/>
        <v>156.77035630122265</v>
      </c>
    </row>
    <row r="4254" spans="1:9" x14ac:dyDescent="0.45">
      <c r="A4254" t="s">
        <v>43</v>
      </c>
      <c r="B4254" t="s">
        <v>69</v>
      </c>
      <c r="C4254" t="str">
        <f t="shared" si="132"/>
        <v>Mississippi St.Vanderbilt</v>
      </c>
      <c r="D4254" t="s">
        <v>43</v>
      </c>
      <c r="E4254">
        <v>85.4</v>
      </c>
      <c r="F4254">
        <v>-11.5962264150943</v>
      </c>
      <c r="G4254">
        <v>-586.42990036037895</v>
      </c>
      <c r="H4254">
        <v>140.17987445915301</v>
      </c>
      <c r="I4254" s="1">
        <f t="shared" si="133"/>
        <v>158.52163997078034</v>
      </c>
    </row>
    <row r="4255" spans="1:9" x14ac:dyDescent="0.45">
      <c r="A4255" t="s">
        <v>44</v>
      </c>
      <c r="B4255" t="s">
        <v>69</v>
      </c>
      <c r="C4255" t="str">
        <f t="shared" si="132"/>
        <v>MissouriVanderbilt</v>
      </c>
      <c r="D4255" t="s">
        <v>44</v>
      </c>
      <c r="E4255">
        <v>72</v>
      </c>
      <c r="F4255">
        <v>-6.1811320754716998</v>
      </c>
      <c r="G4255">
        <v>-256.81309489940298</v>
      </c>
      <c r="H4255">
        <v>139.44434639532699</v>
      </c>
      <c r="I4255" s="1">
        <f t="shared" si="133"/>
        <v>148.16460639803947</v>
      </c>
    </row>
    <row r="4256" spans="1:9" x14ac:dyDescent="0.45">
      <c r="A4256" t="s">
        <v>45</v>
      </c>
      <c r="B4256" t="s">
        <v>69</v>
      </c>
      <c r="C4256" t="str">
        <f t="shared" si="132"/>
        <v>MontanaVanderbilt</v>
      </c>
      <c r="D4256" t="s">
        <v>69</v>
      </c>
      <c r="E4256">
        <v>20</v>
      </c>
      <c r="F4256">
        <v>9.0754716981132102</v>
      </c>
      <c r="G4256">
        <v>399.18563764384601</v>
      </c>
      <c r="H4256">
        <v>138.753081120346</v>
      </c>
      <c r="I4256" s="1">
        <f t="shared" si="133"/>
        <v>138.43084094059864</v>
      </c>
    </row>
    <row r="4257" spans="1:9" x14ac:dyDescent="0.45">
      <c r="A4257" t="s">
        <v>46</v>
      </c>
      <c r="B4257" t="s">
        <v>69</v>
      </c>
      <c r="C4257" t="str">
        <f t="shared" si="132"/>
        <v>Mount St. Mary'sVanderbilt</v>
      </c>
      <c r="D4257" t="s">
        <v>69</v>
      </c>
      <c r="E4257">
        <v>9</v>
      </c>
      <c r="F4257">
        <v>15.192452830188699</v>
      </c>
      <c r="G4257">
        <v>1014.78865487702</v>
      </c>
      <c r="H4257">
        <v>140.10095534229299</v>
      </c>
      <c r="I4257" s="1">
        <f t="shared" si="133"/>
        <v>157.41037313672024</v>
      </c>
    </row>
    <row r="4258" spans="1:9" x14ac:dyDescent="0.45">
      <c r="A4258" t="s">
        <v>47</v>
      </c>
      <c r="B4258" t="s">
        <v>69</v>
      </c>
      <c r="C4258" t="str">
        <f t="shared" si="132"/>
        <v>Nebraska OmahaVanderbilt</v>
      </c>
      <c r="D4258" t="s">
        <v>69</v>
      </c>
      <c r="E4258">
        <v>11.3</v>
      </c>
      <c r="F4258">
        <v>13.4754716981132</v>
      </c>
      <c r="G4258">
        <v>781.09748543236503</v>
      </c>
      <c r="H4258">
        <v>139.384956522192</v>
      </c>
      <c r="I4258" s="1">
        <f t="shared" si="133"/>
        <v>147.32833251510931</v>
      </c>
    </row>
    <row r="4259" spans="1:9" x14ac:dyDescent="0.45">
      <c r="A4259" t="s">
        <v>48</v>
      </c>
      <c r="B4259" t="s">
        <v>69</v>
      </c>
      <c r="C4259" t="str">
        <f t="shared" si="132"/>
        <v>New MexicoVanderbilt</v>
      </c>
      <c r="D4259" t="s">
        <v>48</v>
      </c>
      <c r="E4259">
        <v>76.599999999999994</v>
      </c>
      <c r="F4259">
        <v>-7.7735849056603801</v>
      </c>
      <c r="G4259">
        <v>-327.28815447250503</v>
      </c>
      <c r="H4259">
        <v>140.26270086946801</v>
      </c>
      <c r="I4259" s="1">
        <f t="shared" si="133"/>
        <v>159.68792573815102</v>
      </c>
    </row>
    <row r="4260" spans="1:9" x14ac:dyDescent="0.45">
      <c r="A4260" t="s">
        <v>49</v>
      </c>
      <c r="B4260" t="s">
        <v>69</v>
      </c>
      <c r="C4260" t="str">
        <f t="shared" si="132"/>
        <v>Norfolk St.Vanderbilt</v>
      </c>
      <c r="D4260" t="s">
        <v>69</v>
      </c>
      <c r="E4260">
        <v>15.9</v>
      </c>
      <c r="F4260">
        <v>10.9433962264151</v>
      </c>
      <c r="G4260">
        <v>530.78984339528995</v>
      </c>
      <c r="H4260">
        <v>139.27506453167001</v>
      </c>
      <c r="I4260" s="1">
        <f t="shared" si="133"/>
        <v>145.78093399806133</v>
      </c>
    </row>
    <row r="4261" spans="1:9" x14ac:dyDescent="0.45">
      <c r="A4261" t="s">
        <v>50</v>
      </c>
      <c r="B4261" t="s">
        <v>69</v>
      </c>
      <c r="C4261" t="str">
        <f t="shared" si="132"/>
        <v>North CarolinaVanderbilt</v>
      </c>
      <c r="D4261" t="s">
        <v>50</v>
      </c>
      <c r="E4261">
        <v>91.8</v>
      </c>
      <c r="F4261">
        <v>-15.811320754717</v>
      </c>
      <c r="G4261">
        <v>-1115.89497059772</v>
      </c>
      <c r="H4261">
        <v>141.34699596362501</v>
      </c>
      <c r="I4261" s="1">
        <f t="shared" si="133"/>
        <v>174.95597769326793</v>
      </c>
    </row>
    <row r="4262" spans="1:9" x14ac:dyDescent="0.45">
      <c r="A4262" t="s">
        <v>51</v>
      </c>
      <c r="B4262" t="s">
        <v>69</v>
      </c>
      <c r="C4262" t="str">
        <f t="shared" si="132"/>
        <v>OklahomaVanderbilt</v>
      </c>
      <c r="D4262" t="s">
        <v>51</v>
      </c>
      <c r="E4262">
        <v>78.5</v>
      </c>
      <c r="F4262">
        <v>-8.50566037735849</v>
      </c>
      <c r="G4262">
        <v>-366.11270332467399</v>
      </c>
      <c r="H4262">
        <v>139.68959925913001</v>
      </c>
      <c r="I4262" s="1">
        <f t="shared" si="133"/>
        <v>151.61803294849059</v>
      </c>
    </row>
    <row r="4263" spans="1:9" x14ac:dyDescent="0.45">
      <c r="A4263" t="s">
        <v>52</v>
      </c>
      <c r="B4263" t="s">
        <v>69</v>
      </c>
      <c r="C4263" t="str">
        <f t="shared" si="132"/>
        <v>OregonVanderbilt</v>
      </c>
      <c r="D4263" t="s">
        <v>52</v>
      </c>
      <c r="E4263">
        <v>92.4</v>
      </c>
      <c r="F4263">
        <v>-16.332075471698101</v>
      </c>
      <c r="G4263">
        <v>-1207.9228724191601</v>
      </c>
      <c r="H4263">
        <v>140.28397704727101</v>
      </c>
      <c r="I4263" s="1">
        <f t="shared" si="133"/>
        <v>159.98751741743931</v>
      </c>
    </row>
    <row r="4264" spans="1:9" x14ac:dyDescent="0.45">
      <c r="A4264" t="s">
        <v>53</v>
      </c>
      <c r="B4264" t="s">
        <v>69</v>
      </c>
      <c r="C4264" t="str">
        <f t="shared" si="132"/>
        <v>PurdueVanderbilt</v>
      </c>
      <c r="D4264" t="s">
        <v>53</v>
      </c>
      <c r="E4264">
        <v>98.5</v>
      </c>
      <c r="F4264">
        <v>-27.2415094339623</v>
      </c>
      <c r="G4264">
        <v>-6380.3848515936897</v>
      </c>
      <c r="H4264">
        <v>141.63196437606001</v>
      </c>
      <c r="I4264" s="1">
        <f t="shared" si="133"/>
        <v>178.9686422806767</v>
      </c>
    </row>
    <row r="4265" spans="1:9" x14ac:dyDescent="0.45">
      <c r="A4265" t="s">
        <v>54</v>
      </c>
      <c r="B4265" t="s">
        <v>69</v>
      </c>
      <c r="C4265" t="str">
        <f t="shared" si="132"/>
        <v>Robert MorrisVanderbilt</v>
      </c>
      <c r="D4265" t="s">
        <v>69</v>
      </c>
      <c r="E4265">
        <v>7.3</v>
      </c>
      <c r="F4265">
        <v>16.698113207547198</v>
      </c>
      <c r="G4265">
        <v>1277.4211613063501</v>
      </c>
      <c r="H4265">
        <v>138.69060122482199</v>
      </c>
      <c r="I4265" s="1">
        <f t="shared" si="133"/>
        <v>137.55105618813468</v>
      </c>
    </row>
    <row r="4266" spans="1:9" x14ac:dyDescent="0.45">
      <c r="A4266" t="s">
        <v>55</v>
      </c>
      <c r="B4266" t="s">
        <v>69</v>
      </c>
      <c r="C4266" t="str">
        <f t="shared" si="132"/>
        <v>Saint FrancisVanderbilt</v>
      </c>
      <c r="D4266" t="s">
        <v>69</v>
      </c>
      <c r="E4266">
        <v>4.9000000000000004</v>
      </c>
      <c r="F4266">
        <v>19.4264150943396</v>
      </c>
      <c r="G4266">
        <v>1936.1946987194699</v>
      </c>
      <c r="H4266">
        <v>139.74345675802999</v>
      </c>
      <c r="I4266" s="1">
        <f t="shared" si="133"/>
        <v>152.37640499666162</v>
      </c>
    </row>
    <row r="4267" spans="1:9" x14ac:dyDescent="0.45">
      <c r="A4267" t="s">
        <v>56</v>
      </c>
      <c r="B4267" t="s">
        <v>69</v>
      </c>
      <c r="C4267" t="str">
        <f t="shared" si="132"/>
        <v>Saint Mary'sVanderbilt</v>
      </c>
      <c r="D4267" t="s">
        <v>56</v>
      </c>
      <c r="E4267">
        <v>91.2</v>
      </c>
      <c r="F4267">
        <v>-15.2905660377358</v>
      </c>
      <c r="G4267">
        <v>-1030.2310819838001</v>
      </c>
      <c r="H4267">
        <v>140.99471195912</v>
      </c>
      <c r="I4267" s="1">
        <f t="shared" si="133"/>
        <v>169.99543649675826</v>
      </c>
    </row>
    <row r="4268" spans="1:9" x14ac:dyDescent="0.45">
      <c r="A4268" t="s">
        <v>57</v>
      </c>
      <c r="B4268" t="s">
        <v>69</v>
      </c>
      <c r="C4268" t="str">
        <f t="shared" si="132"/>
        <v>San Diego St.Vanderbilt</v>
      </c>
      <c r="D4268" t="s">
        <v>57</v>
      </c>
      <c r="E4268">
        <v>75</v>
      </c>
      <c r="F4268">
        <v>-7.1962264150943396</v>
      </c>
      <c r="G4268">
        <v>-299.77372350633698</v>
      </c>
      <c r="H4268">
        <v>140.14096683891799</v>
      </c>
      <c r="I4268" s="1">
        <f t="shared" si="133"/>
        <v>157.97377844267842</v>
      </c>
    </row>
    <row r="4269" spans="1:9" x14ac:dyDescent="0.45">
      <c r="A4269" t="s">
        <v>58</v>
      </c>
      <c r="B4269" t="s">
        <v>69</v>
      </c>
      <c r="C4269" t="str">
        <f t="shared" si="132"/>
        <v>SIU EdwardsvilleVanderbilt</v>
      </c>
      <c r="D4269" t="s">
        <v>69</v>
      </c>
      <c r="E4269">
        <v>13.1</v>
      </c>
      <c r="F4269">
        <v>12.4</v>
      </c>
      <c r="G4269">
        <v>663.106685520356</v>
      </c>
      <c r="H4269">
        <v>140.288654605766</v>
      </c>
      <c r="I4269" s="1">
        <f t="shared" si="133"/>
        <v>160.05338251865527</v>
      </c>
    </row>
    <row r="4270" spans="1:9" x14ac:dyDescent="0.45">
      <c r="A4270" t="s">
        <v>59</v>
      </c>
      <c r="B4270" t="s">
        <v>69</v>
      </c>
      <c r="C4270" t="str">
        <f t="shared" si="132"/>
        <v>St. John'sVanderbilt</v>
      </c>
      <c r="D4270" t="s">
        <v>59</v>
      </c>
      <c r="E4270">
        <v>97</v>
      </c>
      <c r="F4270">
        <v>-22.754716981132098</v>
      </c>
      <c r="G4270">
        <v>-3218.2820358899899</v>
      </c>
      <c r="H4270">
        <v>141.26633737831099</v>
      </c>
      <c r="I4270" s="1">
        <f t="shared" si="133"/>
        <v>173.8202172551392</v>
      </c>
    </row>
    <row r="4271" spans="1:9" x14ac:dyDescent="0.45">
      <c r="A4271" t="s">
        <v>60</v>
      </c>
      <c r="B4271" t="s">
        <v>69</v>
      </c>
      <c r="C4271" t="str">
        <f t="shared" si="132"/>
        <v>TennesseeVanderbilt</v>
      </c>
      <c r="D4271" t="s">
        <v>60</v>
      </c>
      <c r="E4271">
        <v>98.5</v>
      </c>
      <c r="F4271">
        <v>-27.301886792452802</v>
      </c>
      <c r="G4271">
        <v>-6438.18644424785</v>
      </c>
      <c r="H4271">
        <v>141.86032025500199</v>
      </c>
      <c r="I4271" s="1">
        <f t="shared" si="133"/>
        <v>182.18414094218565</v>
      </c>
    </row>
    <row r="4272" spans="1:9" x14ac:dyDescent="0.45">
      <c r="A4272" t="s">
        <v>61</v>
      </c>
      <c r="B4272" t="s">
        <v>69</v>
      </c>
      <c r="C4272" t="str">
        <f t="shared" si="132"/>
        <v>TexasVanderbilt</v>
      </c>
      <c r="D4272" t="s">
        <v>61</v>
      </c>
      <c r="E4272">
        <v>72.5</v>
      </c>
      <c r="F4272">
        <v>-6.3471698113207502</v>
      </c>
      <c r="G4272">
        <v>-263.38851543649002</v>
      </c>
      <c r="H4272">
        <v>139.61603478607401</v>
      </c>
      <c r="I4272" s="1">
        <f t="shared" si="133"/>
        <v>150.58216531179067</v>
      </c>
    </row>
    <row r="4273" spans="1:9" x14ac:dyDescent="0.45">
      <c r="A4273" t="s">
        <v>62</v>
      </c>
      <c r="B4273" t="s">
        <v>69</v>
      </c>
      <c r="C4273" t="str">
        <f t="shared" si="132"/>
        <v>Texas A&amp;MVanderbilt</v>
      </c>
      <c r="D4273" t="s">
        <v>62</v>
      </c>
      <c r="E4273">
        <v>93.8</v>
      </c>
      <c r="F4273">
        <v>-17.845283018867899</v>
      </c>
      <c r="G4273">
        <v>-1521.2398991663999</v>
      </c>
      <c r="H4273">
        <v>140.41383381366799</v>
      </c>
      <c r="I4273" s="1">
        <f t="shared" si="133"/>
        <v>161.8160416510697</v>
      </c>
    </row>
    <row r="4274" spans="1:9" x14ac:dyDescent="0.45">
      <c r="A4274" t="s">
        <v>63</v>
      </c>
      <c r="B4274" t="s">
        <v>69</v>
      </c>
      <c r="C4274" t="str">
        <f t="shared" si="132"/>
        <v>Texas TechVanderbilt</v>
      </c>
      <c r="D4274" t="s">
        <v>63</v>
      </c>
      <c r="E4274">
        <v>96.8</v>
      </c>
      <c r="F4274">
        <v>-22.294339622641498</v>
      </c>
      <c r="G4274">
        <v>-2999.9515482161801</v>
      </c>
      <c r="H4274">
        <v>141.45361793273199</v>
      </c>
      <c r="I4274" s="1">
        <f t="shared" si="133"/>
        <v>176.45733075910275</v>
      </c>
    </row>
    <row r="4275" spans="1:9" x14ac:dyDescent="0.45">
      <c r="A4275" t="s">
        <v>64</v>
      </c>
      <c r="B4275" t="s">
        <v>69</v>
      </c>
      <c r="C4275" t="str">
        <f t="shared" si="132"/>
        <v>TroyVanderbilt</v>
      </c>
      <c r="D4275" t="s">
        <v>69</v>
      </c>
      <c r="E4275">
        <v>29.7</v>
      </c>
      <c r="F4275">
        <v>5.6490566037735803</v>
      </c>
      <c r="G4275">
        <v>236.78089862726699</v>
      </c>
      <c r="H4275">
        <v>140.15718235246101</v>
      </c>
      <c r="I4275" s="1">
        <f t="shared" si="133"/>
        <v>158.20211047570876</v>
      </c>
    </row>
    <row r="4276" spans="1:9" x14ac:dyDescent="0.45">
      <c r="A4276" t="s">
        <v>65</v>
      </c>
      <c r="B4276" t="s">
        <v>69</v>
      </c>
      <c r="C4276" t="str">
        <f t="shared" si="132"/>
        <v>UC San DiegoVanderbilt</v>
      </c>
      <c r="D4276" t="s">
        <v>65</v>
      </c>
      <c r="E4276">
        <v>51.9</v>
      </c>
      <c r="F4276">
        <v>-0.50943396226415105</v>
      </c>
      <c r="G4276">
        <v>-108.09348389127599</v>
      </c>
      <c r="H4276">
        <v>140.24530409585199</v>
      </c>
      <c r="I4276" s="1">
        <f t="shared" si="133"/>
        <v>159.44296028100561</v>
      </c>
    </row>
    <row r="4277" spans="1:9" x14ac:dyDescent="0.45">
      <c r="A4277" t="s">
        <v>66</v>
      </c>
      <c r="B4277" t="s">
        <v>69</v>
      </c>
      <c r="C4277" t="str">
        <f t="shared" si="132"/>
        <v>UCLAVanderbilt</v>
      </c>
      <c r="D4277" t="s">
        <v>66</v>
      </c>
      <c r="E4277">
        <v>81.099999999999994</v>
      </c>
      <c r="F4277">
        <v>-9.5547169811320707</v>
      </c>
      <c r="G4277">
        <v>-429.53868001677</v>
      </c>
      <c r="H4277">
        <v>139.71675860896099</v>
      </c>
      <c r="I4277" s="1">
        <f t="shared" si="133"/>
        <v>152.00046607626288</v>
      </c>
    </row>
    <row r="4278" spans="1:9" x14ac:dyDescent="0.45">
      <c r="A4278" t="s">
        <v>67</v>
      </c>
      <c r="B4278" t="s">
        <v>69</v>
      </c>
      <c r="C4278" t="str">
        <f t="shared" si="132"/>
        <v>UNC WilmingtonVanderbilt</v>
      </c>
      <c r="D4278" t="s">
        <v>69</v>
      </c>
      <c r="E4278">
        <v>39.299999999999997</v>
      </c>
      <c r="F4278">
        <v>2.8490566037735801</v>
      </c>
      <c r="G4278">
        <v>154.46805396353199</v>
      </c>
      <c r="H4278">
        <v>140.83177428287999</v>
      </c>
      <c r="I4278" s="1">
        <f t="shared" si="133"/>
        <v>167.70109714238487</v>
      </c>
    </row>
    <row r="4279" spans="1:9" x14ac:dyDescent="0.45">
      <c r="A4279" t="s">
        <v>68</v>
      </c>
      <c r="B4279" t="s">
        <v>69</v>
      </c>
      <c r="C4279" t="str">
        <f t="shared" si="132"/>
        <v>Utah St.Vanderbilt</v>
      </c>
      <c r="D4279" t="s">
        <v>68</v>
      </c>
      <c r="E4279">
        <v>76.7</v>
      </c>
      <c r="F4279">
        <v>-7.7924528301886804</v>
      </c>
      <c r="G4279">
        <v>-328.352502570887</v>
      </c>
      <c r="H4279">
        <v>140.20314468670699</v>
      </c>
      <c r="I4279" s="1">
        <f t="shared" si="133"/>
        <v>158.84931003515317</v>
      </c>
    </row>
    <row r="4280" spans="1:9" x14ac:dyDescent="0.45">
      <c r="A4280" t="s">
        <v>69</v>
      </c>
      <c r="B4280" t="s">
        <v>69</v>
      </c>
      <c r="C4280" t="str">
        <f t="shared" si="132"/>
        <v>VanderbiltVanderbilt</v>
      </c>
      <c r="D4280" t="s">
        <v>69</v>
      </c>
      <c r="E4280">
        <v>41.2</v>
      </c>
      <c r="F4280">
        <v>2.3283018867924499</v>
      </c>
      <c r="G4280">
        <v>142.64273539779199</v>
      </c>
      <c r="H4280">
        <v>138.77771517530499</v>
      </c>
      <c r="I4280" s="1">
        <f t="shared" si="133"/>
        <v>138.77771517530277</v>
      </c>
    </row>
    <row r="4281" spans="1:9" x14ac:dyDescent="0.45">
      <c r="A4281" t="s">
        <v>70</v>
      </c>
      <c r="B4281" t="s">
        <v>69</v>
      </c>
      <c r="C4281" t="str">
        <f t="shared" si="132"/>
        <v>VCUVanderbilt</v>
      </c>
      <c r="D4281" t="s">
        <v>70</v>
      </c>
      <c r="E4281">
        <v>68.3</v>
      </c>
      <c r="F4281">
        <v>-5.0188679245283003</v>
      </c>
      <c r="G4281">
        <v>-215.02076560606201</v>
      </c>
      <c r="H4281">
        <v>140.622626337181</v>
      </c>
      <c r="I4281" s="1">
        <f t="shared" si="133"/>
        <v>164.75606703162819</v>
      </c>
    </row>
    <row r="4282" spans="1:9" x14ac:dyDescent="0.45">
      <c r="A4282" t="s">
        <v>71</v>
      </c>
      <c r="B4282" t="s">
        <v>69</v>
      </c>
      <c r="C4282" t="str">
        <f t="shared" si="132"/>
        <v>WisconsinVanderbilt</v>
      </c>
      <c r="D4282" t="s">
        <v>71</v>
      </c>
      <c r="E4282">
        <v>96.4</v>
      </c>
      <c r="F4282">
        <v>-21.479245283018901</v>
      </c>
      <c r="G4282">
        <v>-2649.2395732734799</v>
      </c>
      <c r="H4282">
        <v>141.423305192448</v>
      </c>
      <c r="I4282" s="1">
        <f t="shared" si="133"/>
        <v>176.03049447066806</v>
      </c>
    </row>
    <row r="4283" spans="1:9" x14ac:dyDescent="0.45">
      <c r="A4283" t="s">
        <v>80</v>
      </c>
      <c r="B4283" t="s">
        <v>69</v>
      </c>
      <c r="C4283" t="str">
        <f t="shared" si="132"/>
        <v>WoffordVanderbilt</v>
      </c>
      <c r="D4283" t="s">
        <v>69</v>
      </c>
      <c r="E4283">
        <v>18.100000000000001</v>
      </c>
      <c r="F4283">
        <v>9.9056603773584904</v>
      </c>
      <c r="G4283">
        <v>453.05804713229799</v>
      </c>
      <c r="H4283">
        <v>139.452760931543</v>
      </c>
      <c r="I4283" s="1">
        <f t="shared" si="133"/>
        <v>148.28309220214996</v>
      </c>
    </row>
    <row r="4284" spans="1:9" x14ac:dyDescent="0.45">
      <c r="A4284" t="s">
        <v>72</v>
      </c>
      <c r="B4284" t="s">
        <v>69</v>
      </c>
      <c r="C4284" t="str">
        <f t="shared" si="132"/>
        <v>XavierVanderbilt</v>
      </c>
      <c r="D4284" t="s">
        <v>72</v>
      </c>
      <c r="E4284">
        <v>68</v>
      </c>
      <c r="F4284">
        <v>-4.9433962264150901</v>
      </c>
      <c r="G4284">
        <v>-212.53266859408501</v>
      </c>
      <c r="H4284">
        <v>140.02867450169401</v>
      </c>
      <c r="I4284" s="1">
        <f t="shared" si="133"/>
        <v>156.3925804384302</v>
      </c>
    </row>
    <row r="4285" spans="1:9" x14ac:dyDescent="0.45">
      <c r="A4285" t="s">
        <v>73</v>
      </c>
      <c r="B4285" t="s">
        <v>69</v>
      </c>
      <c r="C4285" t="str">
        <f t="shared" si="132"/>
        <v>YaleVanderbilt</v>
      </c>
      <c r="D4285" t="s">
        <v>73</v>
      </c>
      <c r="E4285">
        <v>54.3</v>
      </c>
      <c r="F4285">
        <v>-1.1169811320754699</v>
      </c>
      <c r="G4285">
        <v>-118.608036162237</v>
      </c>
      <c r="H4285">
        <v>140.82790913575701</v>
      </c>
      <c r="I4285" s="1">
        <f t="shared" si="133"/>
        <v>167.64667167517965</v>
      </c>
    </row>
    <row r="4286" spans="1:9" x14ac:dyDescent="0.45">
      <c r="A4286" t="s">
        <v>7</v>
      </c>
      <c r="B4286" t="s">
        <v>70</v>
      </c>
      <c r="C4286" t="str">
        <f t="shared" si="132"/>
        <v>AkronVCU</v>
      </c>
      <c r="D4286" t="s">
        <v>70</v>
      </c>
      <c r="E4286">
        <v>16.5</v>
      </c>
      <c r="F4286">
        <v>10.622641509434001</v>
      </c>
      <c r="G4286">
        <v>505.57284010700897</v>
      </c>
      <c r="H4286">
        <v>137.76546342932599</v>
      </c>
      <c r="I4286" s="1">
        <f t="shared" si="133"/>
        <v>124.52411176738458</v>
      </c>
    </row>
    <row r="4287" spans="1:9" x14ac:dyDescent="0.45">
      <c r="A4287" t="s">
        <v>8</v>
      </c>
      <c r="B4287" t="s">
        <v>70</v>
      </c>
      <c r="C4287" t="str">
        <f t="shared" si="132"/>
        <v>AlabamaVCU</v>
      </c>
      <c r="D4287" t="s">
        <v>8</v>
      </c>
      <c r="E4287">
        <v>93.6</v>
      </c>
      <c r="F4287">
        <v>-17.550943396226401</v>
      </c>
      <c r="G4287">
        <v>-1454.5877900925</v>
      </c>
      <c r="H4287">
        <v>139.51355944146599</v>
      </c>
      <c r="I4287" s="1">
        <f t="shared" si="133"/>
        <v>149.13920122016555</v>
      </c>
    </row>
    <row r="4288" spans="1:9" x14ac:dyDescent="0.45">
      <c r="A4288" t="s">
        <v>9</v>
      </c>
      <c r="B4288" t="s">
        <v>70</v>
      </c>
      <c r="C4288" t="str">
        <f t="shared" si="132"/>
        <v>Alabama St.VCU</v>
      </c>
      <c r="D4288" t="s">
        <v>70</v>
      </c>
      <c r="E4288">
        <v>3</v>
      </c>
      <c r="F4288">
        <v>22.762264150943398</v>
      </c>
      <c r="G4288">
        <v>3221.4208295867902</v>
      </c>
      <c r="H4288">
        <v>137.992304285139</v>
      </c>
      <c r="I4288" s="1">
        <f t="shared" si="133"/>
        <v>127.71827725864219</v>
      </c>
    </row>
    <row r="4289" spans="1:9" x14ac:dyDescent="0.45">
      <c r="A4289" t="s">
        <v>10</v>
      </c>
      <c r="B4289" t="s">
        <v>70</v>
      </c>
      <c r="C4289" t="str">
        <f t="shared" si="132"/>
        <v>AmericanVCU</v>
      </c>
      <c r="D4289" t="s">
        <v>70</v>
      </c>
      <c r="E4289">
        <v>3.6</v>
      </c>
      <c r="F4289">
        <v>21.498113207547199</v>
      </c>
      <c r="G4289">
        <v>2656.7448202721098</v>
      </c>
      <c r="H4289">
        <v>138.08339016674401</v>
      </c>
      <c r="I4289" s="1">
        <f t="shared" si="133"/>
        <v>129.00086534763852</v>
      </c>
    </row>
    <row r="4290" spans="1:9" x14ac:dyDescent="0.45">
      <c r="A4290" t="s">
        <v>11</v>
      </c>
      <c r="B4290" t="s">
        <v>70</v>
      </c>
      <c r="C4290" t="str">
        <f t="shared" si="132"/>
        <v>ArizonaVCU</v>
      </c>
      <c r="D4290" t="s">
        <v>11</v>
      </c>
      <c r="E4290">
        <v>91.2</v>
      </c>
      <c r="F4290">
        <v>-15.309433962264199</v>
      </c>
      <c r="G4290">
        <v>-1033.4791713873999</v>
      </c>
      <c r="H4290">
        <v>139.275918260456</v>
      </c>
      <c r="I4290" s="1">
        <f t="shared" si="133"/>
        <v>145.79295542611189</v>
      </c>
    </row>
    <row r="4291" spans="1:9" x14ac:dyDescent="0.45">
      <c r="A4291" t="s">
        <v>12</v>
      </c>
      <c r="B4291" t="s">
        <v>70</v>
      </c>
      <c r="C4291" t="str">
        <f t="shared" ref="C4291:C4354" si="134">A4291&amp;B4291</f>
        <v>ArkansasVCU</v>
      </c>
      <c r="D4291" t="s">
        <v>70</v>
      </c>
      <c r="E4291">
        <v>38.5</v>
      </c>
      <c r="F4291">
        <v>3.0830188679245301</v>
      </c>
      <c r="G4291">
        <v>160.02447546421701</v>
      </c>
      <c r="H4291">
        <v>137.39352209431399</v>
      </c>
      <c r="I4291" s="1">
        <f t="shared" ref="I4291:I4354" si="135">18*(H4291-AVERAGE($H$2:$H$4625))/_xlfn.STDEV.P($H$2:$H$4625)+AVERAGE($H$2:$H$4625)</f>
        <v>119.28677401881367</v>
      </c>
    </row>
    <row r="4292" spans="1:9" x14ac:dyDescent="0.45">
      <c r="A4292" t="s">
        <v>13</v>
      </c>
      <c r="B4292" t="s">
        <v>70</v>
      </c>
      <c r="C4292" t="str">
        <f t="shared" si="134"/>
        <v>AuburnVCU</v>
      </c>
      <c r="D4292" t="s">
        <v>13</v>
      </c>
      <c r="E4292">
        <v>96.6</v>
      </c>
      <c r="F4292">
        <v>-21.962264150943401</v>
      </c>
      <c r="G4292">
        <v>-2850.6326732617699</v>
      </c>
      <c r="H4292">
        <v>140.53224149957501</v>
      </c>
      <c r="I4292" s="1">
        <f t="shared" si="135"/>
        <v>163.48335040313873</v>
      </c>
    </row>
    <row r="4293" spans="1:9" x14ac:dyDescent="0.45">
      <c r="A4293" t="s">
        <v>14</v>
      </c>
      <c r="B4293" t="s">
        <v>70</v>
      </c>
      <c r="C4293" t="str">
        <f t="shared" si="134"/>
        <v>BaylorVCU</v>
      </c>
      <c r="D4293" t="s">
        <v>14</v>
      </c>
      <c r="E4293">
        <v>75.099999999999994</v>
      </c>
      <c r="F4293">
        <v>-7.2301886792452796</v>
      </c>
      <c r="G4293">
        <v>-301.268385323514</v>
      </c>
      <c r="H4293">
        <v>139.06723951230001</v>
      </c>
      <c r="I4293" s="1">
        <f t="shared" si="135"/>
        <v>142.85453212608627</v>
      </c>
    </row>
    <row r="4294" spans="1:9" x14ac:dyDescent="0.45">
      <c r="A4294" t="s">
        <v>15</v>
      </c>
      <c r="B4294" t="s">
        <v>70</v>
      </c>
      <c r="C4294" t="str">
        <f t="shared" si="134"/>
        <v>BryantVCU</v>
      </c>
      <c r="D4294" t="s">
        <v>70</v>
      </c>
      <c r="E4294">
        <v>12</v>
      </c>
      <c r="F4294">
        <v>13.0566037735849</v>
      </c>
      <c r="G4294">
        <v>732.80189715672702</v>
      </c>
      <c r="H4294">
        <v>138.61623726219401</v>
      </c>
      <c r="I4294" s="1">
        <f t="shared" si="135"/>
        <v>136.50393087039527</v>
      </c>
    </row>
    <row r="4295" spans="1:9" x14ac:dyDescent="0.45">
      <c r="A4295" t="s">
        <v>16</v>
      </c>
      <c r="B4295" t="s">
        <v>70</v>
      </c>
      <c r="C4295" t="str">
        <f t="shared" si="134"/>
        <v>BYUVCU</v>
      </c>
      <c r="D4295" t="s">
        <v>16</v>
      </c>
      <c r="E4295">
        <v>78.599999999999994</v>
      </c>
      <c r="F4295">
        <v>-8.5245283018867894</v>
      </c>
      <c r="G4295">
        <v>-367.02034818821699</v>
      </c>
      <c r="H4295">
        <v>138.87675774041799</v>
      </c>
      <c r="I4295" s="1">
        <f t="shared" si="135"/>
        <v>140.17234200527005</v>
      </c>
    </row>
    <row r="4296" spans="1:9" x14ac:dyDescent="0.45">
      <c r="A4296" t="s">
        <v>17</v>
      </c>
      <c r="B4296" t="s">
        <v>70</v>
      </c>
      <c r="C4296" t="str">
        <f t="shared" si="134"/>
        <v>ClemsonVCU</v>
      </c>
      <c r="D4296" t="s">
        <v>17</v>
      </c>
      <c r="E4296">
        <v>82.5</v>
      </c>
      <c r="F4296">
        <v>-10.147169811320801</v>
      </c>
      <c r="G4296">
        <v>-470.263930018829</v>
      </c>
      <c r="H4296">
        <v>139.09866959670899</v>
      </c>
      <c r="I4296" s="1">
        <f t="shared" si="135"/>
        <v>143.29710183270578</v>
      </c>
    </row>
    <row r="4297" spans="1:9" x14ac:dyDescent="0.45">
      <c r="A4297" t="s">
        <v>18</v>
      </c>
      <c r="B4297" t="s">
        <v>70</v>
      </c>
      <c r="C4297" t="str">
        <f t="shared" si="134"/>
        <v>Colorado St.VCU</v>
      </c>
      <c r="D4297" t="s">
        <v>70</v>
      </c>
      <c r="E4297">
        <v>43.6</v>
      </c>
      <c r="F4297">
        <v>1.69056603773585</v>
      </c>
      <c r="G4297">
        <v>129.419542736572</v>
      </c>
      <c r="H4297">
        <v>138.40606144481501</v>
      </c>
      <c r="I4297" s="1">
        <f t="shared" si="135"/>
        <v>133.54442721060371</v>
      </c>
    </row>
    <row r="4298" spans="1:9" x14ac:dyDescent="0.45">
      <c r="A4298" t="s">
        <v>19</v>
      </c>
      <c r="B4298" t="s">
        <v>70</v>
      </c>
      <c r="C4298" t="str">
        <f t="shared" si="134"/>
        <v>ConnecticutVCU</v>
      </c>
      <c r="D4298" t="s">
        <v>19</v>
      </c>
      <c r="E4298">
        <v>88.9</v>
      </c>
      <c r="F4298">
        <v>-13.611320754716999</v>
      </c>
      <c r="G4298">
        <v>-797.62210239146202</v>
      </c>
      <c r="H4298">
        <v>139.04161334715101</v>
      </c>
      <c r="I4298" s="1">
        <f t="shared" si="135"/>
        <v>142.49368790294662</v>
      </c>
    </row>
    <row r="4299" spans="1:9" x14ac:dyDescent="0.45">
      <c r="A4299" t="s">
        <v>20</v>
      </c>
      <c r="B4299" t="s">
        <v>70</v>
      </c>
      <c r="C4299" t="str">
        <f t="shared" si="134"/>
        <v>CreightonVCU</v>
      </c>
      <c r="D4299" t="s">
        <v>20</v>
      </c>
      <c r="E4299">
        <v>71.2</v>
      </c>
      <c r="F4299">
        <v>-5.9207547169811301</v>
      </c>
      <c r="G4299">
        <v>-246.72726966054501</v>
      </c>
      <c r="H4299">
        <v>138.514555709414</v>
      </c>
      <c r="I4299" s="1">
        <f t="shared" si="135"/>
        <v>135.07214422938947</v>
      </c>
    </row>
    <row r="4300" spans="1:9" x14ac:dyDescent="0.45">
      <c r="A4300" t="s">
        <v>21</v>
      </c>
      <c r="B4300" t="s">
        <v>70</v>
      </c>
      <c r="C4300" t="str">
        <f t="shared" si="134"/>
        <v>DrakeVCU</v>
      </c>
      <c r="D4300" t="s">
        <v>70</v>
      </c>
      <c r="E4300">
        <v>43.4</v>
      </c>
      <c r="F4300">
        <v>1.73962264150943</v>
      </c>
      <c r="G4300">
        <v>130.42407299193499</v>
      </c>
      <c r="H4300">
        <v>138.56802081356801</v>
      </c>
      <c r="I4300" s="1">
        <f t="shared" si="135"/>
        <v>135.82499093358291</v>
      </c>
    </row>
    <row r="4301" spans="1:9" x14ac:dyDescent="0.45">
      <c r="A4301" t="s">
        <v>22</v>
      </c>
      <c r="B4301" t="s">
        <v>70</v>
      </c>
      <c r="C4301" t="str">
        <f t="shared" si="134"/>
        <v>DukeVCU</v>
      </c>
      <c r="D4301" t="s">
        <v>22</v>
      </c>
      <c r="E4301">
        <v>97.7</v>
      </c>
      <c r="F4301">
        <v>-24.471698113207498</v>
      </c>
      <c r="G4301">
        <v>-4179.7535739247796</v>
      </c>
      <c r="H4301">
        <v>140.85534127502501</v>
      </c>
      <c r="I4301" s="1">
        <f t="shared" si="135"/>
        <v>168.0329459743449</v>
      </c>
    </row>
    <row r="4302" spans="1:9" x14ac:dyDescent="0.45">
      <c r="A4302" t="s">
        <v>23</v>
      </c>
      <c r="B4302" t="s">
        <v>70</v>
      </c>
      <c r="C4302" t="str">
        <f t="shared" si="134"/>
        <v>FloridaVCU</v>
      </c>
      <c r="D4302" t="s">
        <v>23</v>
      </c>
      <c r="E4302">
        <v>95.8</v>
      </c>
      <c r="F4302">
        <v>-20.569811320754699</v>
      </c>
      <c r="G4302">
        <v>-2305.7066508160801</v>
      </c>
      <c r="H4302">
        <v>140.57909755096699</v>
      </c>
      <c r="I4302" s="1">
        <f t="shared" si="135"/>
        <v>164.1431344701511</v>
      </c>
    </row>
    <row r="4303" spans="1:9" x14ac:dyDescent="0.45">
      <c r="A4303" t="s">
        <v>24</v>
      </c>
      <c r="B4303" t="s">
        <v>70</v>
      </c>
      <c r="C4303" t="str">
        <f t="shared" si="134"/>
        <v>GeorgiaVCU</v>
      </c>
      <c r="D4303" t="s">
        <v>70</v>
      </c>
      <c r="E4303">
        <v>46.4</v>
      </c>
      <c r="F4303">
        <v>0.93584905660377404</v>
      </c>
      <c r="G4303">
        <v>115.35347438554901</v>
      </c>
      <c r="H4303">
        <v>137.72091107531099</v>
      </c>
      <c r="I4303" s="1">
        <f t="shared" si="135"/>
        <v>123.89676626016123</v>
      </c>
    </row>
    <row r="4304" spans="1:9" x14ac:dyDescent="0.45">
      <c r="A4304" t="s">
        <v>25</v>
      </c>
      <c r="B4304" t="s">
        <v>70</v>
      </c>
      <c r="C4304" t="str">
        <f t="shared" si="134"/>
        <v>GonzagaVCU</v>
      </c>
      <c r="D4304" t="s">
        <v>25</v>
      </c>
      <c r="E4304">
        <v>83</v>
      </c>
      <c r="F4304">
        <v>-10.3924528301887</v>
      </c>
      <c r="G4304">
        <v>-487.96714008951699</v>
      </c>
      <c r="H4304">
        <v>139.85855219484</v>
      </c>
      <c r="I4304" s="1">
        <f t="shared" si="135"/>
        <v>153.99707368591575</v>
      </c>
    </row>
    <row r="4305" spans="1:9" x14ac:dyDescent="0.45">
      <c r="A4305" t="s">
        <v>26</v>
      </c>
      <c r="B4305" t="s">
        <v>70</v>
      </c>
      <c r="C4305" t="str">
        <f t="shared" si="134"/>
        <v>Grand CanyonVCU</v>
      </c>
      <c r="D4305" t="s">
        <v>70</v>
      </c>
      <c r="E4305">
        <v>32.299999999999997</v>
      </c>
      <c r="F4305">
        <v>4.8603773584905703</v>
      </c>
      <c r="G4305">
        <v>209.84180778962801</v>
      </c>
      <c r="H4305">
        <v>138.510520441144</v>
      </c>
      <c r="I4305" s="1">
        <f t="shared" si="135"/>
        <v>135.01532327176344</v>
      </c>
    </row>
    <row r="4306" spans="1:9" x14ac:dyDescent="0.45">
      <c r="A4306" t="s">
        <v>27</v>
      </c>
      <c r="B4306" t="s">
        <v>70</v>
      </c>
      <c r="C4306" t="str">
        <f t="shared" si="134"/>
        <v>High PointVCU</v>
      </c>
      <c r="D4306" t="s">
        <v>70</v>
      </c>
      <c r="E4306">
        <v>23.8</v>
      </c>
      <c r="F4306">
        <v>7.63018867924528</v>
      </c>
      <c r="G4306">
        <v>320.30822278171399</v>
      </c>
      <c r="H4306">
        <v>138.7914121888</v>
      </c>
      <c r="I4306" s="1">
        <f t="shared" si="135"/>
        <v>138.97058399376243</v>
      </c>
    </row>
    <row r="4307" spans="1:9" x14ac:dyDescent="0.45">
      <c r="A4307" t="s">
        <v>28</v>
      </c>
      <c r="B4307" t="s">
        <v>70</v>
      </c>
      <c r="C4307" t="str">
        <f t="shared" si="134"/>
        <v>HoustonVCU</v>
      </c>
      <c r="D4307" t="s">
        <v>28</v>
      </c>
      <c r="E4307">
        <v>98.6</v>
      </c>
      <c r="F4307">
        <v>-27.9849056603774</v>
      </c>
      <c r="G4307">
        <v>-7143.9420656797001</v>
      </c>
      <c r="H4307">
        <v>140.99900562465399</v>
      </c>
      <c r="I4307" s="1">
        <f t="shared" si="135"/>
        <v>170.05589596835799</v>
      </c>
    </row>
    <row r="4308" spans="1:9" x14ac:dyDescent="0.45">
      <c r="A4308" t="s">
        <v>29</v>
      </c>
      <c r="B4308" t="s">
        <v>70</v>
      </c>
      <c r="C4308" t="str">
        <f t="shared" si="134"/>
        <v>IllinoisVCU</v>
      </c>
      <c r="D4308" t="s">
        <v>29</v>
      </c>
      <c r="E4308">
        <v>87.7</v>
      </c>
      <c r="F4308">
        <v>-12.871698113207501</v>
      </c>
      <c r="G4308">
        <v>-712.58270225738295</v>
      </c>
      <c r="H4308">
        <v>139.04925077859099</v>
      </c>
      <c r="I4308" s="1">
        <f t="shared" si="135"/>
        <v>142.6012312282439</v>
      </c>
    </row>
    <row r="4309" spans="1:9" x14ac:dyDescent="0.45">
      <c r="A4309" t="s">
        <v>30</v>
      </c>
      <c r="B4309" t="s">
        <v>70</v>
      </c>
      <c r="C4309" t="str">
        <f t="shared" si="134"/>
        <v>Iowa St.VCU</v>
      </c>
      <c r="D4309" t="s">
        <v>30</v>
      </c>
      <c r="E4309">
        <v>93.8</v>
      </c>
      <c r="F4309">
        <v>-17.7584905660377</v>
      </c>
      <c r="G4309">
        <v>-1500.9825899720799</v>
      </c>
      <c r="H4309">
        <v>139.97551935694901</v>
      </c>
      <c r="I4309" s="1">
        <f t="shared" si="135"/>
        <v>155.64409829918426</v>
      </c>
    </row>
    <row r="4310" spans="1:9" x14ac:dyDescent="0.45">
      <c r="A4310" t="s">
        <v>31</v>
      </c>
      <c r="B4310" t="s">
        <v>70</v>
      </c>
      <c r="C4310" t="str">
        <f t="shared" si="134"/>
        <v>KansasVCU</v>
      </c>
      <c r="D4310" t="s">
        <v>31</v>
      </c>
      <c r="E4310">
        <v>81.3</v>
      </c>
      <c r="F4310">
        <v>-9.6528301886792498</v>
      </c>
      <c r="G4310">
        <v>-436.07799094923899</v>
      </c>
      <c r="H4310">
        <v>138.930909641261</v>
      </c>
      <c r="I4310" s="1">
        <f t="shared" si="135"/>
        <v>140.93485955237952</v>
      </c>
    </row>
    <row r="4311" spans="1:9" x14ac:dyDescent="0.45">
      <c r="A4311" t="s">
        <v>32</v>
      </c>
      <c r="B4311" t="s">
        <v>70</v>
      </c>
      <c r="C4311" t="str">
        <f t="shared" si="134"/>
        <v>KentuckyVCU</v>
      </c>
      <c r="D4311" t="s">
        <v>32</v>
      </c>
      <c r="E4311">
        <v>88</v>
      </c>
      <c r="F4311">
        <v>-13.083018867924499</v>
      </c>
      <c r="G4311">
        <v>-735.65388397053596</v>
      </c>
      <c r="H4311">
        <v>138.877947241653</v>
      </c>
      <c r="I4311" s="1">
        <f t="shared" si="135"/>
        <v>140.18909147389238</v>
      </c>
    </row>
    <row r="4312" spans="1:9" x14ac:dyDescent="0.45">
      <c r="A4312" t="s">
        <v>33</v>
      </c>
      <c r="B4312" t="s">
        <v>70</v>
      </c>
      <c r="C4312" t="str">
        <f t="shared" si="134"/>
        <v>LibertyVCU</v>
      </c>
      <c r="D4312" t="s">
        <v>70</v>
      </c>
      <c r="E4312">
        <v>17</v>
      </c>
      <c r="F4312">
        <v>10.4075471698113</v>
      </c>
      <c r="G4312">
        <v>489.20011000564602</v>
      </c>
      <c r="H4312">
        <v>138.086883490052</v>
      </c>
      <c r="I4312" s="1">
        <f t="shared" si="135"/>
        <v>129.05005513190471</v>
      </c>
    </row>
    <row r="4313" spans="1:9" x14ac:dyDescent="0.45">
      <c r="A4313" t="s">
        <v>34</v>
      </c>
      <c r="B4313" t="s">
        <v>70</v>
      </c>
      <c r="C4313" t="str">
        <f t="shared" si="134"/>
        <v>LipscombVCU</v>
      </c>
      <c r="D4313" t="s">
        <v>70</v>
      </c>
      <c r="E4313">
        <v>13.5</v>
      </c>
      <c r="F4313">
        <v>12.150943396226401</v>
      </c>
      <c r="G4313">
        <v>638.14062793818198</v>
      </c>
      <c r="H4313">
        <v>138.51880372130901</v>
      </c>
      <c r="I4313" s="1">
        <f t="shared" si="135"/>
        <v>135.13196084819421</v>
      </c>
    </row>
    <row r="4314" spans="1:9" x14ac:dyDescent="0.45">
      <c r="A4314" t="s">
        <v>35</v>
      </c>
      <c r="B4314" t="s">
        <v>70</v>
      </c>
      <c r="C4314" t="str">
        <f t="shared" si="134"/>
        <v>LouisvilleVCU</v>
      </c>
      <c r="D4314" t="s">
        <v>70</v>
      </c>
      <c r="E4314">
        <v>28.5</v>
      </c>
      <c r="F4314">
        <v>6.0415094339622604</v>
      </c>
      <c r="G4314">
        <v>251.36402610196299</v>
      </c>
      <c r="H4314">
        <v>137.80452703327799</v>
      </c>
      <c r="I4314" s="1">
        <f t="shared" si="135"/>
        <v>125.07416971554581</v>
      </c>
    </row>
    <row r="4315" spans="1:9" x14ac:dyDescent="0.45">
      <c r="A4315" t="s">
        <v>36</v>
      </c>
      <c r="B4315" t="s">
        <v>70</v>
      </c>
      <c r="C4315" t="str">
        <f t="shared" si="134"/>
        <v>MarquetteVCU</v>
      </c>
      <c r="D4315" t="s">
        <v>36</v>
      </c>
      <c r="E4315">
        <v>84.9</v>
      </c>
      <c r="F4315">
        <v>-11.3018867924528</v>
      </c>
      <c r="G4315">
        <v>-560.79261043986196</v>
      </c>
      <c r="H4315">
        <v>139.13628366818301</v>
      </c>
      <c r="I4315" s="1">
        <f t="shared" si="135"/>
        <v>143.8267487900734</v>
      </c>
    </row>
    <row r="4316" spans="1:9" x14ac:dyDescent="0.45">
      <c r="A4316" t="s">
        <v>37</v>
      </c>
      <c r="B4316" t="s">
        <v>70</v>
      </c>
      <c r="C4316" t="str">
        <f t="shared" si="134"/>
        <v>MarylandVCU</v>
      </c>
      <c r="D4316" t="s">
        <v>37</v>
      </c>
      <c r="E4316">
        <v>79.2</v>
      </c>
      <c r="F4316">
        <v>-8.7584905660377395</v>
      </c>
      <c r="G4316">
        <v>-380.41525496593903</v>
      </c>
      <c r="H4316">
        <v>138.74622297986099</v>
      </c>
      <c r="I4316" s="1">
        <f t="shared" si="135"/>
        <v>138.33427087788706</v>
      </c>
    </row>
    <row r="4317" spans="1:9" x14ac:dyDescent="0.45">
      <c r="A4317" t="s">
        <v>38</v>
      </c>
      <c r="B4317" t="s">
        <v>70</v>
      </c>
      <c r="C4317" t="str">
        <f t="shared" si="134"/>
        <v>McNeese St.VCU</v>
      </c>
      <c r="D4317" t="s">
        <v>70</v>
      </c>
      <c r="E4317">
        <v>40.4</v>
      </c>
      <c r="F4317">
        <v>2.5509433962264101</v>
      </c>
      <c r="G4317">
        <v>147.53370106056701</v>
      </c>
      <c r="H4317">
        <v>138.581634594062</v>
      </c>
      <c r="I4317" s="1">
        <f t="shared" si="135"/>
        <v>136.01668774103669</v>
      </c>
    </row>
    <row r="4318" spans="1:9" x14ac:dyDescent="0.45">
      <c r="A4318" t="s">
        <v>39</v>
      </c>
      <c r="B4318" t="s">
        <v>70</v>
      </c>
      <c r="C4318" t="str">
        <f t="shared" si="134"/>
        <v>MemphisVCU</v>
      </c>
      <c r="D4318" t="s">
        <v>39</v>
      </c>
      <c r="E4318">
        <v>66.099999999999994</v>
      </c>
      <c r="F4318">
        <v>-4.3735849056603797</v>
      </c>
      <c r="G4318">
        <v>-194.845966475029</v>
      </c>
      <c r="H4318">
        <v>137.72385779288101</v>
      </c>
      <c r="I4318" s="1">
        <f t="shared" si="135"/>
        <v>123.93825924228246</v>
      </c>
    </row>
    <row r="4319" spans="1:9" x14ac:dyDescent="0.45">
      <c r="A4319" t="s">
        <v>40</v>
      </c>
      <c r="B4319" t="s">
        <v>70</v>
      </c>
      <c r="C4319" t="str">
        <f t="shared" si="134"/>
        <v>MichiganVCU</v>
      </c>
      <c r="D4319" t="s">
        <v>40</v>
      </c>
      <c r="E4319">
        <v>50.7</v>
      </c>
      <c r="F4319">
        <v>-0.184905660377359</v>
      </c>
      <c r="G4319">
        <v>-102.85428282398099</v>
      </c>
      <c r="H4319">
        <v>137.38077887756401</v>
      </c>
      <c r="I4319" s="1">
        <f t="shared" si="135"/>
        <v>119.1073356938941</v>
      </c>
    </row>
    <row r="4320" spans="1:9" x14ac:dyDescent="0.45">
      <c r="A4320" t="s">
        <v>41</v>
      </c>
      <c r="B4320" t="s">
        <v>70</v>
      </c>
      <c r="C4320" t="str">
        <f t="shared" si="134"/>
        <v>Michigan St.VCU</v>
      </c>
      <c r="D4320" t="s">
        <v>41</v>
      </c>
      <c r="E4320">
        <v>90.8</v>
      </c>
      <c r="F4320">
        <v>-15.0075471698113</v>
      </c>
      <c r="G4320">
        <v>-986.952418280232</v>
      </c>
      <c r="H4320">
        <v>139.07967083839301</v>
      </c>
      <c r="I4320" s="1">
        <f t="shared" si="135"/>
        <v>143.02957869199057</v>
      </c>
    </row>
    <row r="4321" spans="1:9" x14ac:dyDescent="0.45">
      <c r="A4321" t="s">
        <v>42</v>
      </c>
      <c r="B4321" t="s">
        <v>70</v>
      </c>
      <c r="C4321" t="str">
        <f t="shared" si="134"/>
        <v>MississippiVCU</v>
      </c>
      <c r="D4321" t="s">
        <v>42</v>
      </c>
      <c r="E4321">
        <v>71.7</v>
      </c>
      <c r="F4321">
        <v>-6.0981132075471702</v>
      </c>
      <c r="G4321">
        <v>-253.49962731716499</v>
      </c>
      <c r="H4321">
        <v>138.210591943488</v>
      </c>
      <c r="I4321" s="1">
        <f t="shared" si="135"/>
        <v>130.7920044448972</v>
      </c>
    </row>
    <row r="4322" spans="1:9" x14ac:dyDescent="0.45">
      <c r="A4322" t="s">
        <v>43</v>
      </c>
      <c r="B4322" t="s">
        <v>70</v>
      </c>
      <c r="C4322" t="str">
        <f t="shared" si="134"/>
        <v>Mississippi St.VCU</v>
      </c>
      <c r="D4322" t="s">
        <v>43</v>
      </c>
      <c r="E4322">
        <v>65.7</v>
      </c>
      <c r="F4322">
        <v>-4.24905660377358</v>
      </c>
      <c r="G4322">
        <v>-191.199187850942</v>
      </c>
      <c r="H4322">
        <v>138.334963297277</v>
      </c>
      <c r="I4322" s="1">
        <f t="shared" si="135"/>
        <v>132.54328811445492</v>
      </c>
    </row>
    <row r="4323" spans="1:9" x14ac:dyDescent="0.45">
      <c r="A4323" t="s">
        <v>44</v>
      </c>
      <c r="B4323" t="s">
        <v>70</v>
      </c>
      <c r="C4323" t="str">
        <f t="shared" si="134"/>
        <v>MissouriVCU</v>
      </c>
      <c r="D4323" t="s">
        <v>70</v>
      </c>
      <c r="E4323">
        <v>45.6</v>
      </c>
      <c r="F4323">
        <v>1.1622641509434</v>
      </c>
      <c r="G4323">
        <v>119.429853004148</v>
      </c>
      <c r="H4323">
        <v>137.599435233451</v>
      </c>
      <c r="I4323" s="1">
        <f t="shared" si="135"/>
        <v>122.18625454171445</v>
      </c>
    </row>
    <row r="4324" spans="1:9" x14ac:dyDescent="0.45">
      <c r="A4324" t="s">
        <v>45</v>
      </c>
      <c r="B4324" t="s">
        <v>70</v>
      </c>
      <c r="C4324" t="str">
        <f t="shared" si="134"/>
        <v>MontanaVCU</v>
      </c>
      <c r="D4324" t="s">
        <v>70</v>
      </c>
      <c r="E4324">
        <v>7.6</v>
      </c>
      <c r="F4324">
        <v>16.422641509434001</v>
      </c>
      <c r="G4324">
        <v>1224.3482639229301</v>
      </c>
      <c r="H4324">
        <v>136.90816995847001</v>
      </c>
      <c r="I4324" s="1">
        <f t="shared" si="135"/>
        <v>112.45248908427362</v>
      </c>
    </row>
    <row r="4325" spans="1:9" x14ac:dyDescent="0.45">
      <c r="A4325" t="s">
        <v>46</v>
      </c>
      <c r="B4325" t="s">
        <v>70</v>
      </c>
      <c r="C4325" t="str">
        <f t="shared" si="134"/>
        <v>Mount St. Mary'sVCU</v>
      </c>
      <c r="D4325" t="s">
        <v>70</v>
      </c>
      <c r="E4325">
        <v>3.1</v>
      </c>
      <c r="F4325">
        <v>22.535849056603801</v>
      </c>
      <c r="G4325">
        <v>3112.4735227971501</v>
      </c>
      <c r="H4325">
        <v>138.25604418041701</v>
      </c>
      <c r="I4325" s="1">
        <f t="shared" si="135"/>
        <v>131.43202128039522</v>
      </c>
    </row>
    <row r="4326" spans="1:9" x14ac:dyDescent="0.45">
      <c r="A4326" t="s">
        <v>47</v>
      </c>
      <c r="B4326" t="s">
        <v>70</v>
      </c>
      <c r="C4326" t="str">
        <f t="shared" si="134"/>
        <v>Nebraska OmahaVCU</v>
      </c>
      <c r="D4326" t="s">
        <v>70</v>
      </c>
      <c r="E4326">
        <v>4</v>
      </c>
      <c r="F4326">
        <v>20.822641509434</v>
      </c>
      <c r="G4326">
        <v>2395.7158275742599</v>
      </c>
      <c r="H4326">
        <v>137.54004536031701</v>
      </c>
      <c r="I4326" s="1">
        <f t="shared" si="135"/>
        <v>121.34998065879827</v>
      </c>
    </row>
    <row r="4327" spans="1:9" x14ac:dyDescent="0.45">
      <c r="A4327" t="s">
        <v>48</v>
      </c>
      <c r="B4327" t="s">
        <v>70</v>
      </c>
      <c r="C4327" t="str">
        <f t="shared" si="134"/>
        <v>New MexicoVCU</v>
      </c>
      <c r="D4327" t="s">
        <v>48</v>
      </c>
      <c r="E4327">
        <v>51.6</v>
      </c>
      <c r="F4327">
        <v>-0.42641509433962299</v>
      </c>
      <c r="G4327">
        <v>-106.708797232066</v>
      </c>
      <c r="H4327">
        <v>138.41778970759199</v>
      </c>
      <c r="I4327" s="1">
        <f t="shared" si="135"/>
        <v>133.70957388182561</v>
      </c>
    </row>
    <row r="4328" spans="1:9" x14ac:dyDescent="0.45">
      <c r="A4328" t="s">
        <v>49</v>
      </c>
      <c r="B4328" t="s">
        <v>70</v>
      </c>
      <c r="C4328" t="str">
        <f t="shared" si="134"/>
        <v>Norfolk St.VCU</v>
      </c>
      <c r="D4328" t="s">
        <v>70</v>
      </c>
      <c r="E4328">
        <v>5.8</v>
      </c>
      <c r="F4328">
        <v>18.2905660377359</v>
      </c>
      <c r="G4328">
        <v>1627.99349972798</v>
      </c>
      <c r="H4328">
        <v>137.430153369794</v>
      </c>
      <c r="I4328" s="1">
        <f t="shared" si="135"/>
        <v>119.80258214173591</v>
      </c>
    </row>
    <row r="4329" spans="1:9" x14ac:dyDescent="0.45">
      <c r="A4329" t="s">
        <v>50</v>
      </c>
      <c r="B4329" t="s">
        <v>70</v>
      </c>
      <c r="C4329" t="str">
        <f t="shared" si="134"/>
        <v>North CarolinaVCU</v>
      </c>
      <c r="D4329" t="s">
        <v>50</v>
      </c>
      <c r="E4329">
        <v>78.400000000000006</v>
      </c>
      <c r="F4329">
        <v>-8.4679245283018894</v>
      </c>
      <c r="G4329">
        <v>-363.825602981906</v>
      </c>
      <c r="H4329">
        <v>139.50208480174999</v>
      </c>
      <c r="I4329" s="1">
        <f t="shared" si="135"/>
        <v>148.97762583695649</v>
      </c>
    </row>
    <row r="4330" spans="1:9" x14ac:dyDescent="0.45">
      <c r="A4330" t="s">
        <v>51</v>
      </c>
      <c r="B4330" t="s">
        <v>70</v>
      </c>
      <c r="C4330" t="str">
        <f t="shared" si="134"/>
        <v>OklahomaVCU</v>
      </c>
      <c r="D4330" t="s">
        <v>51</v>
      </c>
      <c r="E4330">
        <v>54.4</v>
      </c>
      <c r="F4330">
        <v>-1.1622641509434</v>
      </c>
      <c r="G4330">
        <v>-119.36712554147201</v>
      </c>
      <c r="H4330">
        <v>137.84468809725399</v>
      </c>
      <c r="I4330" s="1">
        <f t="shared" si="135"/>
        <v>125.63968109216518</v>
      </c>
    </row>
    <row r="4331" spans="1:9" x14ac:dyDescent="0.45">
      <c r="A4331" t="s">
        <v>52</v>
      </c>
      <c r="B4331" t="s">
        <v>70</v>
      </c>
      <c r="C4331" t="str">
        <f t="shared" si="134"/>
        <v>OregonVCU</v>
      </c>
      <c r="D4331" t="s">
        <v>52</v>
      </c>
      <c r="E4331">
        <v>79.8</v>
      </c>
      <c r="F4331">
        <v>-8.9849056603773594</v>
      </c>
      <c r="G4331">
        <v>-393.83031467391498</v>
      </c>
      <c r="H4331">
        <v>138.439065885395</v>
      </c>
      <c r="I4331" s="1">
        <f t="shared" si="135"/>
        <v>134.00916556111389</v>
      </c>
    </row>
    <row r="4332" spans="1:9" x14ac:dyDescent="0.45">
      <c r="A4332" t="s">
        <v>53</v>
      </c>
      <c r="B4332" t="s">
        <v>70</v>
      </c>
      <c r="C4332" t="str">
        <f t="shared" si="134"/>
        <v>PurdueVCU</v>
      </c>
      <c r="D4332" t="s">
        <v>53</v>
      </c>
      <c r="E4332">
        <v>95.4</v>
      </c>
      <c r="F4332">
        <v>-19.8943396226415</v>
      </c>
      <c r="G4332">
        <v>-2080.2561415294199</v>
      </c>
      <c r="H4332">
        <v>139.787053214184</v>
      </c>
      <c r="I4332" s="1">
        <f t="shared" si="135"/>
        <v>152.99029042435126</v>
      </c>
    </row>
    <row r="4333" spans="1:9" x14ac:dyDescent="0.45">
      <c r="A4333" t="s">
        <v>54</v>
      </c>
      <c r="B4333" t="s">
        <v>70</v>
      </c>
      <c r="C4333" t="str">
        <f t="shared" si="134"/>
        <v>Robert MorrisVCU</v>
      </c>
      <c r="D4333" t="s">
        <v>70</v>
      </c>
      <c r="E4333">
        <v>2.5</v>
      </c>
      <c r="F4333">
        <v>24.045283018867899</v>
      </c>
      <c r="G4333">
        <v>3917.9976273075699</v>
      </c>
      <c r="H4333">
        <v>136.845690062947</v>
      </c>
      <c r="I4333" s="1">
        <f t="shared" si="135"/>
        <v>111.57270433182366</v>
      </c>
    </row>
    <row r="4334" spans="1:9" x14ac:dyDescent="0.45">
      <c r="A4334" t="s">
        <v>55</v>
      </c>
      <c r="B4334" t="s">
        <v>70</v>
      </c>
      <c r="C4334" t="str">
        <f t="shared" si="134"/>
        <v>Saint FrancisVCU</v>
      </c>
      <c r="D4334" t="s">
        <v>70</v>
      </c>
      <c r="E4334">
        <v>1.7</v>
      </c>
      <c r="F4334">
        <v>26.7735849056604</v>
      </c>
      <c r="G4334">
        <v>5938.5318369319702</v>
      </c>
      <c r="H4334">
        <v>137.89854559615401</v>
      </c>
      <c r="I4334" s="1">
        <f t="shared" si="135"/>
        <v>126.39805314033661</v>
      </c>
    </row>
    <row r="4335" spans="1:9" x14ac:dyDescent="0.45">
      <c r="A4335" t="s">
        <v>56</v>
      </c>
      <c r="B4335" t="s">
        <v>70</v>
      </c>
      <c r="C4335" t="str">
        <f t="shared" si="134"/>
        <v>Saint Mary'sVCU</v>
      </c>
      <c r="D4335" t="s">
        <v>56</v>
      </c>
      <c r="E4335">
        <v>77.099999999999994</v>
      </c>
      <c r="F4335">
        <v>-7.9433962264150901</v>
      </c>
      <c r="G4335">
        <v>-335.89580963223199</v>
      </c>
      <c r="H4335">
        <v>139.14980079724401</v>
      </c>
      <c r="I4335" s="1">
        <f t="shared" si="135"/>
        <v>144.01708464043324</v>
      </c>
    </row>
    <row r="4336" spans="1:9" x14ac:dyDescent="0.45">
      <c r="A4336" t="s">
        <v>57</v>
      </c>
      <c r="B4336" t="s">
        <v>70</v>
      </c>
      <c r="C4336" t="str">
        <f t="shared" si="134"/>
        <v>San Diego St.VCU</v>
      </c>
      <c r="D4336" t="s">
        <v>70</v>
      </c>
      <c r="E4336">
        <v>49.4</v>
      </c>
      <c r="F4336">
        <v>0.15094339622641501</v>
      </c>
      <c r="G4336">
        <v>102.314338343693</v>
      </c>
      <c r="H4336">
        <v>138.29605567704201</v>
      </c>
      <c r="I4336" s="1">
        <f t="shared" si="135"/>
        <v>131.9954265863534</v>
      </c>
    </row>
    <row r="4337" spans="1:9" x14ac:dyDescent="0.45">
      <c r="A4337" t="s">
        <v>58</v>
      </c>
      <c r="B4337" t="s">
        <v>70</v>
      </c>
      <c r="C4337" t="str">
        <f t="shared" si="134"/>
        <v>SIU EdwardsvilleVCU</v>
      </c>
      <c r="D4337" t="s">
        <v>70</v>
      </c>
      <c r="E4337">
        <v>4.7</v>
      </c>
      <c r="F4337">
        <v>19.747169811320799</v>
      </c>
      <c r="G4337">
        <v>2033.8244732564599</v>
      </c>
      <c r="H4337">
        <v>138.44374344389001</v>
      </c>
      <c r="I4337" s="1">
        <f t="shared" si="135"/>
        <v>134.07503066233022</v>
      </c>
    </row>
    <row r="4338" spans="1:9" x14ac:dyDescent="0.45">
      <c r="A4338" t="s">
        <v>59</v>
      </c>
      <c r="B4338" t="s">
        <v>70</v>
      </c>
      <c r="C4338" t="str">
        <f t="shared" si="134"/>
        <v>St. John'sVCU</v>
      </c>
      <c r="D4338" t="s">
        <v>59</v>
      </c>
      <c r="E4338">
        <v>91.3</v>
      </c>
      <c r="F4338">
        <v>-15.411320754717</v>
      </c>
      <c r="G4338">
        <v>-1049.28638727203</v>
      </c>
      <c r="H4338">
        <v>139.42142621643501</v>
      </c>
      <c r="I4338" s="1">
        <f t="shared" si="135"/>
        <v>147.84186539881418</v>
      </c>
    </row>
    <row r="4339" spans="1:9" x14ac:dyDescent="0.45">
      <c r="A4339" t="s">
        <v>60</v>
      </c>
      <c r="B4339" t="s">
        <v>70</v>
      </c>
      <c r="C4339" t="str">
        <f t="shared" si="134"/>
        <v>TennesseeVCU</v>
      </c>
      <c r="D4339" t="s">
        <v>60</v>
      </c>
      <c r="E4339">
        <v>95.5</v>
      </c>
      <c r="F4339">
        <v>-19.954716981132101</v>
      </c>
      <c r="G4339">
        <v>-2099.1017317102201</v>
      </c>
      <c r="H4339">
        <v>140.01540909312601</v>
      </c>
      <c r="I4339" s="1">
        <f t="shared" si="135"/>
        <v>156.20578908586063</v>
      </c>
    </row>
    <row r="4340" spans="1:9" x14ac:dyDescent="0.45">
      <c r="A4340" t="s">
        <v>61</v>
      </c>
      <c r="B4340" t="s">
        <v>70</v>
      </c>
      <c r="C4340" t="str">
        <f t="shared" si="134"/>
        <v>TexasVCU</v>
      </c>
      <c r="D4340" t="s">
        <v>70</v>
      </c>
      <c r="E4340">
        <v>46.2</v>
      </c>
      <c r="F4340">
        <v>1</v>
      </c>
      <c r="G4340">
        <v>116.448320165166</v>
      </c>
      <c r="H4340">
        <v>137.771123624198</v>
      </c>
      <c r="I4340" s="1">
        <f t="shared" si="135"/>
        <v>124.60381345546524</v>
      </c>
    </row>
    <row r="4341" spans="1:9" x14ac:dyDescent="0.45">
      <c r="A4341" t="s">
        <v>62</v>
      </c>
      <c r="B4341" t="s">
        <v>70</v>
      </c>
      <c r="C4341" t="str">
        <f t="shared" si="134"/>
        <v>Texas A&amp;MVCU</v>
      </c>
      <c r="D4341" t="s">
        <v>62</v>
      </c>
      <c r="E4341">
        <v>83.2</v>
      </c>
      <c r="F4341">
        <v>-10.498113207547201</v>
      </c>
      <c r="G4341">
        <v>-495.98397535378302</v>
      </c>
      <c r="H4341">
        <v>138.56892265179201</v>
      </c>
      <c r="I4341" s="1">
        <f t="shared" si="135"/>
        <v>135.83768979474468</v>
      </c>
    </row>
    <row r="4342" spans="1:9" x14ac:dyDescent="0.45">
      <c r="A4342" t="s">
        <v>63</v>
      </c>
      <c r="B4342" t="s">
        <v>70</v>
      </c>
      <c r="C4342" t="str">
        <f t="shared" si="134"/>
        <v>Texas TechVCU</v>
      </c>
      <c r="D4342" t="s">
        <v>63</v>
      </c>
      <c r="E4342">
        <v>90.7</v>
      </c>
      <c r="F4342">
        <v>-14.9509433962264</v>
      </c>
      <c r="G4342">
        <v>-978.10207027066895</v>
      </c>
      <c r="H4342">
        <v>139.608706770856</v>
      </c>
      <c r="I4342" s="1">
        <f t="shared" si="135"/>
        <v>150.47897890277773</v>
      </c>
    </row>
    <row r="4343" spans="1:9" x14ac:dyDescent="0.45">
      <c r="A4343" t="s">
        <v>64</v>
      </c>
      <c r="B4343" t="s">
        <v>70</v>
      </c>
      <c r="C4343" t="str">
        <f t="shared" si="134"/>
        <v>TroyVCU</v>
      </c>
      <c r="D4343" t="s">
        <v>70</v>
      </c>
      <c r="E4343">
        <v>12.1</v>
      </c>
      <c r="F4343">
        <v>12.9962264150943</v>
      </c>
      <c r="G4343">
        <v>726.23424999838699</v>
      </c>
      <c r="H4343">
        <v>138.31227119058499</v>
      </c>
      <c r="I4343" s="1">
        <f t="shared" si="135"/>
        <v>132.22375861938332</v>
      </c>
    </row>
    <row r="4344" spans="1:9" x14ac:dyDescent="0.45">
      <c r="A4344" t="s">
        <v>65</v>
      </c>
      <c r="B4344" t="s">
        <v>70</v>
      </c>
      <c r="C4344" t="str">
        <f t="shared" si="134"/>
        <v>UC San DiegoVCU</v>
      </c>
      <c r="D4344" t="s">
        <v>70</v>
      </c>
      <c r="E4344">
        <v>26.1</v>
      </c>
      <c r="F4344">
        <v>6.8377358490565996</v>
      </c>
      <c r="G4344">
        <v>283.746522632449</v>
      </c>
      <c r="H4344">
        <v>138.40039293397601</v>
      </c>
      <c r="I4344" s="1">
        <f t="shared" si="135"/>
        <v>133.46460842468059</v>
      </c>
    </row>
    <row r="4345" spans="1:9" x14ac:dyDescent="0.45">
      <c r="A4345" t="s">
        <v>66</v>
      </c>
      <c r="B4345" t="s">
        <v>70</v>
      </c>
      <c r="C4345" t="str">
        <f t="shared" si="134"/>
        <v>UCLAVCU</v>
      </c>
      <c r="D4345" t="s">
        <v>66</v>
      </c>
      <c r="E4345">
        <v>58.3</v>
      </c>
      <c r="F4345">
        <v>-2.20754716981132</v>
      </c>
      <c r="G4345">
        <v>-140.046485895931</v>
      </c>
      <c r="H4345">
        <v>137.871847447085</v>
      </c>
      <c r="I4345" s="1">
        <f t="shared" si="135"/>
        <v>126.02211421993786</v>
      </c>
    </row>
    <row r="4346" spans="1:9" x14ac:dyDescent="0.45">
      <c r="A4346" t="s">
        <v>67</v>
      </c>
      <c r="B4346" t="s">
        <v>70</v>
      </c>
      <c r="C4346" t="str">
        <f t="shared" si="134"/>
        <v>UNC WilmingtonVCU</v>
      </c>
      <c r="D4346" t="s">
        <v>70</v>
      </c>
      <c r="E4346">
        <v>17.399999999999999</v>
      </c>
      <c r="F4346">
        <v>10.1962264150943</v>
      </c>
      <c r="G4346">
        <v>473.77128801046501</v>
      </c>
      <c r="H4346">
        <v>138.986863121005</v>
      </c>
      <c r="I4346" s="1">
        <f t="shared" si="135"/>
        <v>141.72274528607383</v>
      </c>
    </row>
    <row r="4347" spans="1:9" x14ac:dyDescent="0.45">
      <c r="A4347" t="s">
        <v>68</v>
      </c>
      <c r="B4347" t="s">
        <v>70</v>
      </c>
      <c r="C4347" t="str">
        <f t="shared" si="134"/>
        <v>Utah St.VCU</v>
      </c>
      <c r="D4347" t="s">
        <v>68</v>
      </c>
      <c r="E4347">
        <v>51.7</v>
      </c>
      <c r="F4347">
        <v>-0.44528301886792498</v>
      </c>
      <c r="G4347">
        <v>-107.05581652947301</v>
      </c>
      <c r="H4347">
        <v>138.35823352483101</v>
      </c>
      <c r="I4347" s="1">
        <f t="shared" si="135"/>
        <v>132.87095817882815</v>
      </c>
    </row>
    <row r="4348" spans="1:9" x14ac:dyDescent="0.45">
      <c r="A4348" t="s">
        <v>69</v>
      </c>
      <c r="B4348" t="s">
        <v>70</v>
      </c>
      <c r="C4348" t="str">
        <f t="shared" si="134"/>
        <v>VanderbiltVCU</v>
      </c>
      <c r="D4348" t="s">
        <v>70</v>
      </c>
      <c r="E4348">
        <v>18.600000000000001</v>
      </c>
      <c r="F4348">
        <v>9.6754716981132098</v>
      </c>
      <c r="G4348">
        <v>437.50167585268298</v>
      </c>
      <c r="H4348">
        <v>136.93280401343</v>
      </c>
      <c r="I4348" s="1">
        <f t="shared" si="135"/>
        <v>112.79936331899174</v>
      </c>
    </row>
    <row r="4349" spans="1:9" x14ac:dyDescent="0.45">
      <c r="A4349" t="s">
        <v>70</v>
      </c>
      <c r="B4349" t="s">
        <v>70</v>
      </c>
      <c r="C4349" t="str">
        <f t="shared" si="134"/>
        <v>VCUVCU</v>
      </c>
      <c r="D4349" t="s">
        <v>70</v>
      </c>
      <c r="E4349">
        <v>41.2</v>
      </c>
      <c r="F4349">
        <v>2.3283018867924499</v>
      </c>
      <c r="G4349">
        <v>142.64273539779199</v>
      </c>
      <c r="H4349">
        <v>138.77771517530499</v>
      </c>
      <c r="I4349" s="1">
        <f t="shared" si="135"/>
        <v>138.77771517530277</v>
      </c>
    </row>
    <row r="4350" spans="1:9" x14ac:dyDescent="0.45">
      <c r="A4350" t="s">
        <v>71</v>
      </c>
      <c r="B4350" t="s">
        <v>70</v>
      </c>
      <c r="C4350" t="str">
        <f t="shared" si="134"/>
        <v>WisconsinVCU</v>
      </c>
      <c r="D4350" t="s">
        <v>71</v>
      </c>
      <c r="E4350">
        <v>89.6</v>
      </c>
      <c r="F4350">
        <v>-14.135849056603799</v>
      </c>
      <c r="G4350">
        <v>-863.75618726327798</v>
      </c>
      <c r="H4350">
        <v>139.57839403057201</v>
      </c>
      <c r="I4350" s="1">
        <f t="shared" si="135"/>
        <v>150.05214261434304</v>
      </c>
    </row>
    <row r="4351" spans="1:9" x14ac:dyDescent="0.45">
      <c r="A4351" t="s">
        <v>80</v>
      </c>
      <c r="B4351" t="s">
        <v>70</v>
      </c>
      <c r="C4351" t="str">
        <f t="shared" si="134"/>
        <v>WoffordVCU</v>
      </c>
      <c r="D4351" t="s">
        <v>70</v>
      </c>
      <c r="E4351">
        <v>6.7</v>
      </c>
      <c r="F4351">
        <v>17.252830188679201</v>
      </c>
      <c r="G4351">
        <v>1389.5811400851301</v>
      </c>
      <c r="H4351">
        <v>137.60784976966701</v>
      </c>
      <c r="I4351" s="1">
        <f t="shared" si="135"/>
        <v>122.30474034582492</v>
      </c>
    </row>
    <row r="4352" spans="1:9" x14ac:dyDescent="0.45">
      <c r="A4352" t="s">
        <v>72</v>
      </c>
      <c r="B4352" t="s">
        <v>70</v>
      </c>
      <c r="C4352" t="str">
        <f t="shared" si="134"/>
        <v>XavierVCU</v>
      </c>
      <c r="D4352" t="s">
        <v>70</v>
      </c>
      <c r="E4352">
        <v>40.9</v>
      </c>
      <c r="F4352">
        <v>2.4037735849056601</v>
      </c>
      <c r="G4352">
        <v>144.312638505259</v>
      </c>
      <c r="H4352">
        <v>138.183763339818</v>
      </c>
      <c r="I4352" s="1">
        <f t="shared" si="135"/>
        <v>130.41422858210478</v>
      </c>
    </row>
    <row r="4353" spans="1:9" x14ac:dyDescent="0.45">
      <c r="A4353" t="s">
        <v>73</v>
      </c>
      <c r="B4353" t="s">
        <v>70</v>
      </c>
      <c r="C4353" t="str">
        <f t="shared" si="134"/>
        <v>YaleVCU</v>
      </c>
      <c r="D4353" t="s">
        <v>70</v>
      </c>
      <c r="E4353">
        <v>27.9</v>
      </c>
      <c r="F4353">
        <v>6.2264150943396199</v>
      </c>
      <c r="G4353">
        <v>258.59251333883498</v>
      </c>
      <c r="H4353">
        <v>138.982997973881</v>
      </c>
      <c r="I4353" s="1">
        <f t="shared" si="135"/>
        <v>141.6683198188542</v>
      </c>
    </row>
    <row r="4354" spans="1:9" x14ac:dyDescent="0.45">
      <c r="A4354" t="s">
        <v>7</v>
      </c>
      <c r="B4354" t="s">
        <v>71</v>
      </c>
      <c r="C4354" t="str">
        <f t="shared" si="134"/>
        <v>AkronWisconsin</v>
      </c>
      <c r="D4354" t="s">
        <v>71</v>
      </c>
      <c r="E4354">
        <v>1.6</v>
      </c>
      <c r="F4354">
        <v>27.086792452830199</v>
      </c>
      <c r="G4354">
        <v>6229.0894156596396</v>
      </c>
      <c r="H4354">
        <v>136.96478457405999</v>
      </c>
      <c r="I4354" s="1">
        <f t="shared" si="135"/>
        <v>113.24968432835873</v>
      </c>
    </row>
    <row r="4355" spans="1:9" x14ac:dyDescent="0.45">
      <c r="A4355" t="s">
        <v>8</v>
      </c>
      <c r="B4355" t="s">
        <v>71</v>
      </c>
      <c r="C4355" t="str">
        <f t="shared" ref="C4355:C4418" si="136">A4355&amp;B4355</f>
        <v>AlabamaWisconsin</v>
      </c>
      <c r="D4355" t="s">
        <v>8</v>
      </c>
      <c r="E4355">
        <v>54.1</v>
      </c>
      <c r="F4355">
        <v>-1.08679245283019</v>
      </c>
      <c r="G4355">
        <v>-118.059002070717</v>
      </c>
      <c r="H4355">
        <v>138.71288058619899</v>
      </c>
      <c r="I4355" s="1">
        <f t="shared" ref="I4355:I4418" si="137">18*(H4355-AVERAGE($H$2:$H$4625))/_xlfn.STDEV.P($H$2:$H$4625)+AVERAGE($H$2:$H$4625)</f>
        <v>137.86477378112568</v>
      </c>
    </row>
    <row r="4356" spans="1:9" x14ac:dyDescent="0.45">
      <c r="A4356" t="s">
        <v>9</v>
      </c>
      <c r="B4356" t="s">
        <v>71</v>
      </c>
      <c r="C4356" t="str">
        <f t="shared" si="136"/>
        <v>Alabama St.Wisconsin</v>
      </c>
      <c r="D4356" t="s">
        <v>71</v>
      </c>
      <c r="E4356">
        <v>0.3</v>
      </c>
      <c r="F4356">
        <v>39.2264150943396</v>
      </c>
      <c r="G4356">
        <v>39690.657410942702</v>
      </c>
      <c r="H4356">
        <v>137.191625429873</v>
      </c>
      <c r="I4356" s="1">
        <f t="shared" si="137"/>
        <v>116.44384981961633</v>
      </c>
    </row>
    <row r="4357" spans="1:9" x14ac:dyDescent="0.45">
      <c r="A4357" t="s">
        <v>10</v>
      </c>
      <c r="B4357" t="s">
        <v>71</v>
      </c>
      <c r="C4357" t="str">
        <f t="shared" si="136"/>
        <v>AmericanWisconsin</v>
      </c>
      <c r="D4357" t="s">
        <v>71</v>
      </c>
      <c r="E4357">
        <v>0.3</v>
      </c>
      <c r="F4357">
        <v>37.962264150943398</v>
      </c>
      <c r="G4357">
        <v>32733.3664454024</v>
      </c>
      <c r="H4357">
        <v>137.28271131147699</v>
      </c>
      <c r="I4357" s="1">
        <f t="shared" si="137"/>
        <v>117.72643790859826</v>
      </c>
    </row>
    <row r="4358" spans="1:9" x14ac:dyDescent="0.45">
      <c r="A4358" t="s">
        <v>11</v>
      </c>
      <c r="B4358" t="s">
        <v>71</v>
      </c>
      <c r="C4358" t="str">
        <f t="shared" si="136"/>
        <v>ArizonaWisconsin</v>
      </c>
      <c r="D4358" t="s">
        <v>71</v>
      </c>
      <c r="E4358">
        <v>45.6</v>
      </c>
      <c r="F4358">
        <v>1.1509433962264199</v>
      </c>
      <c r="G4358">
        <v>119.21725050597701</v>
      </c>
      <c r="H4358">
        <v>138.475239405189</v>
      </c>
      <c r="I4358" s="1">
        <f t="shared" si="137"/>
        <v>134.51852798707202</v>
      </c>
    </row>
    <row r="4359" spans="1:9" x14ac:dyDescent="0.45">
      <c r="A4359" t="s">
        <v>12</v>
      </c>
      <c r="B4359" t="s">
        <v>71</v>
      </c>
      <c r="C4359" t="str">
        <f t="shared" si="136"/>
        <v>ArkansasWisconsin</v>
      </c>
      <c r="D4359" t="s">
        <v>71</v>
      </c>
      <c r="E4359">
        <v>4.8</v>
      </c>
      <c r="F4359">
        <v>19.543396226415101</v>
      </c>
      <c r="G4359">
        <v>1971.63828292211</v>
      </c>
      <c r="H4359">
        <v>136.592843239047</v>
      </c>
      <c r="I4359" s="1">
        <f t="shared" si="137"/>
        <v>108.0123465797738</v>
      </c>
    </row>
    <row r="4360" spans="1:9" x14ac:dyDescent="0.45">
      <c r="A4360" t="s">
        <v>13</v>
      </c>
      <c r="B4360" t="s">
        <v>71</v>
      </c>
      <c r="C4360" t="str">
        <f t="shared" si="136"/>
        <v>AuburnWisconsin</v>
      </c>
      <c r="D4360" t="s">
        <v>13</v>
      </c>
      <c r="E4360">
        <v>69.8</v>
      </c>
      <c r="F4360">
        <v>-5.4981132075471697</v>
      </c>
      <c r="G4360">
        <v>-231.36647438382801</v>
      </c>
      <c r="H4360">
        <v>139.73156264430901</v>
      </c>
      <c r="I4360" s="1">
        <f t="shared" si="137"/>
        <v>152.20892296411287</v>
      </c>
    </row>
    <row r="4361" spans="1:9" x14ac:dyDescent="0.45">
      <c r="A4361" t="s">
        <v>14</v>
      </c>
      <c r="B4361" t="s">
        <v>71</v>
      </c>
      <c r="C4361" t="str">
        <f t="shared" si="136"/>
        <v>BaylorWisconsin</v>
      </c>
      <c r="D4361" t="s">
        <v>71</v>
      </c>
      <c r="E4361">
        <v>19.600000000000001</v>
      </c>
      <c r="F4361">
        <v>9.2339622641509393</v>
      </c>
      <c r="G4361">
        <v>408.96606238883999</v>
      </c>
      <c r="H4361">
        <v>138.26656065703401</v>
      </c>
      <c r="I4361" s="1">
        <f t="shared" si="137"/>
        <v>131.58010468706041</v>
      </c>
    </row>
    <row r="4362" spans="1:9" x14ac:dyDescent="0.45">
      <c r="A4362" t="s">
        <v>15</v>
      </c>
      <c r="B4362" t="s">
        <v>71</v>
      </c>
      <c r="C4362" t="str">
        <f t="shared" si="136"/>
        <v>BryantWisconsin</v>
      </c>
      <c r="D4362" t="s">
        <v>71</v>
      </c>
      <c r="E4362">
        <v>1.1000000000000001</v>
      </c>
      <c r="F4362">
        <v>29.520754716981099</v>
      </c>
      <c r="G4362">
        <v>9028.7455718311903</v>
      </c>
      <c r="H4362">
        <v>137.81555840692801</v>
      </c>
      <c r="I4362" s="1">
        <f t="shared" si="137"/>
        <v>125.22950343136941</v>
      </c>
    </row>
    <row r="4363" spans="1:9" x14ac:dyDescent="0.45">
      <c r="A4363" t="s">
        <v>16</v>
      </c>
      <c r="B4363" t="s">
        <v>71</v>
      </c>
      <c r="C4363" t="str">
        <f t="shared" si="136"/>
        <v>BYUWisconsin</v>
      </c>
      <c r="D4363" t="s">
        <v>71</v>
      </c>
      <c r="E4363">
        <v>23</v>
      </c>
      <c r="F4363">
        <v>7.9396226415094304</v>
      </c>
      <c r="G4363">
        <v>335.69949425479001</v>
      </c>
      <c r="H4363">
        <v>138.07607888515099</v>
      </c>
      <c r="I4363" s="1">
        <f t="shared" si="137"/>
        <v>128.89791456623018</v>
      </c>
    </row>
    <row r="4364" spans="1:9" x14ac:dyDescent="0.45">
      <c r="A4364" t="s">
        <v>17</v>
      </c>
      <c r="B4364" t="s">
        <v>71</v>
      </c>
      <c r="C4364" t="str">
        <f t="shared" si="136"/>
        <v>ClemsonWisconsin</v>
      </c>
      <c r="D4364" t="s">
        <v>71</v>
      </c>
      <c r="E4364">
        <v>27.6</v>
      </c>
      <c r="F4364">
        <v>6.3132075471698101</v>
      </c>
      <c r="G4364">
        <v>261.99871477080598</v>
      </c>
      <c r="H4364">
        <v>138.29799074144299</v>
      </c>
      <c r="I4364" s="1">
        <f t="shared" si="137"/>
        <v>132.02267439367992</v>
      </c>
    </row>
    <row r="4365" spans="1:9" x14ac:dyDescent="0.45">
      <c r="A4365" t="s">
        <v>18</v>
      </c>
      <c r="B4365" t="s">
        <v>71</v>
      </c>
      <c r="C4365" t="str">
        <f t="shared" si="136"/>
        <v>Colorado St.Wisconsin</v>
      </c>
      <c r="D4365" t="s">
        <v>71</v>
      </c>
      <c r="E4365">
        <v>5.9</v>
      </c>
      <c r="F4365">
        <v>18.154716981132101</v>
      </c>
      <c r="G4365">
        <v>1594.55935898229</v>
      </c>
      <c r="H4365">
        <v>137.60538258954799</v>
      </c>
      <c r="I4365" s="1">
        <f t="shared" si="137"/>
        <v>122.26999977156343</v>
      </c>
    </row>
    <row r="4366" spans="1:9" x14ac:dyDescent="0.45">
      <c r="A4366" t="s">
        <v>19</v>
      </c>
      <c r="B4366" t="s">
        <v>71</v>
      </c>
      <c r="C4366" t="str">
        <f t="shared" si="136"/>
        <v>ConnecticutWisconsin</v>
      </c>
      <c r="D4366" t="s">
        <v>71</v>
      </c>
      <c r="E4366">
        <v>39.299999999999997</v>
      </c>
      <c r="F4366">
        <v>2.8490566037735801</v>
      </c>
      <c r="G4366">
        <v>154.46982336446399</v>
      </c>
      <c r="H4366">
        <v>138.24093449188399</v>
      </c>
      <c r="I4366" s="1">
        <f t="shared" si="137"/>
        <v>131.21926046390635</v>
      </c>
    </row>
    <row r="4367" spans="1:9" x14ac:dyDescent="0.45">
      <c r="A4367" t="s">
        <v>20</v>
      </c>
      <c r="B4367" t="s">
        <v>71</v>
      </c>
      <c r="C4367" t="str">
        <f t="shared" si="136"/>
        <v>CreightonWisconsin</v>
      </c>
      <c r="D4367" t="s">
        <v>71</v>
      </c>
      <c r="E4367">
        <v>16.7</v>
      </c>
      <c r="F4367">
        <v>10.5433962264151</v>
      </c>
      <c r="G4367">
        <v>499.37141296750599</v>
      </c>
      <c r="H4367">
        <v>137.713876854148</v>
      </c>
      <c r="I4367" s="1">
        <f t="shared" si="137"/>
        <v>123.79771679036361</v>
      </c>
    </row>
    <row r="4368" spans="1:9" x14ac:dyDescent="0.45">
      <c r="A4368" t="s">
        <v>21</v>
      </c>
      <c r="B4368" t="s">
        <v>71</v>
      </c>
      <c r="C4368" t="str">
        <f t="shared" si="136"/>
        <v>DrakeWisconsin</v>
      </c>
      <c r="D4368" t="s">
        <v>71</v>
      </c>
      <c r="E4368">
        <v>5.9</v>
      </c>
      <c r="F4368">
        <v>18.203773584905701</v>
      </c>
      <c r="G4368">
        <v>1606.9360301264001</v>
      </c>
      <c r="H4368">
        <v>137.76734195830201</v>
      </c>
      <c r="I4368" s="1">
        <f t="shared" si="137"/>
        <v>124.55056349455705</v>
      </c>
    </row>
    <row r="4369" spans="1:9" x14ac:dyDescent="0.45">
      <c r="A4369" t="s">
        <v>22</v>
      </c>
      <c r="B4369" t="s">
        <v>71</v>
      </c>
      <c r="C4369" t="str">
        <f t="shared" si="136"/>
        <v>DukeWisconsin</v>
      </c>
      <c r="D4369" t="s">
        <v>22</v>
      </c>
      <c r="E4369">
        <v>77.2</v>
      </c>
      <c r="F4369">
        <v>-8.0075471698113194</v>
      </c>
      <c r="G4369">
        <v>-339.24218201205503</v>
      </c>
      <c r="H4369">
        <v>140.05466241975799</v>
      </c>
      <c r="I4369" s="1">
        <f t="shared" si="137"/>
        <v>156.75851853530463</v>
      </c>
    </row>
    <row r="4370" spans="1:9" x14ac:dyDescent="0.45">
      <c r="A4370" t="s">
        <v>23</v>
      </c>
      <c r="B4370" t="s">
        <v>71</v>
      </c>
      <c r="C4370" t="str">
        <f t="shared" si="136"/>
        <v>FloridaWisconsin</v>
      </c>
      <c r="D4370" t="s">
        <v>23</v>
      </c>
      <c r="E4370">
        <v>65.2</v>
      </c>
      <c r="F4370">
        <v>-4.1094339622641503</v>
      </c>
      <c r="G4370">
        <v>-187.13853376003601</v>
      </c>
      <c r="H4370">
        <v>139.7784186957</v>
      </c>
      <c r="I4370" s="1">
        <f t="shared" si="137"/>
        <v>152.86870703111123</v>
      </c>
    </row>
    <row r="4371" spans="1:9" x14ac:dyDescent="0.45">
      <c r="A4371" t="s">
        <v>24</v>
      </c>
      <c r="B4371" t="s">
        <v>71</v>
      </c>
      <c r="C4371" t="str">
        <f t="shared" si="136"/>
        <v>GeorgiaWisconsin</v>
      </c>
      <c r="D4371" t="s">
        <v>71</v>
      </c>
      <c r="E4371">
        <v>6.6</v>
      </c>
      <c r="F4371">
        <v>17.399999999999999</v>
      </c>
      <c r="G4371">
        <v>1421.2533770653199</v>
      </c>
      <c r="H4371">
        <v>136.92023222004499</v>
      </c>
      <c r="I4371" s="1">
        <f t="shared" si="137"/>
        <v>112.62233882113536</v>
      </c>
    </row>
    <row r="4372" spans="1:9" x14ac:dyDescent="0.45">
      <c r="A4372" t="s">
        <v>25</v>
      </c>
      <c r="B4372" t="s">
        <v>71</v>
      </c>
      <c r="C4372" t="str">
        <f t="shared" si="136"/>
        <v>GonzagaWisconsin</v>
      </c>
      <c r="D4372" t="s">
        <v>71</v>
      </c>
      <c r="E4372">
        <v>28.4</v>
      </c>
      <c r="F4372">
        <v>6.0716981132075496</v>
      </c>
      <c r="G4372">
        <v>252.493529063041</v>
      </c>
      <c r="H4372">
        <v>139.057873339574</v>
      </c>
      <c r="I4372" s="1">
        <f t="shared" si="137"/>
        <v>142.72264624688989</v>
      </c>
    </row>
    <row r="4373" spans="1:9" x14ac:dyDescent="0.45">
      <c r="A4373" t="s">
        <v>26</v>
      </c>
      <c r="B4373" t="s">
        <v>71</v>
      </c>
      <c r="C4373" t="str">
        <f t="shared" si="136"/>
        <v>Grand CanyonWisconsin</v>
      </c>
      <c r="D4373" t="s">
        <v>71</v>
      </c>
      <c r="E4373">
        <v>3.7</v>
      </c>
      <c r="F4373">
        <v>21.320754716981099</v>
      </c>
      <c r="G4373">
        <v>2585.4303874167599</v>
      </c>
      <c r="H4373">
        <v>137.709841585878</v>
      </c>
      <c r="I4373" s="1">
        <f t="shared" si="137"/>
        <v>123.74089583273756</v>
      </c>
    </row>
    <row r="4374" spans="1:9" x14ac:dyDescent="0.45">
      <c r="A4374" t="s">
        <v>27</v>
      </c>
      <c r="B4374" t="s">
        <v>71</v>
      </c>
      <c r="C4374" t="str">
        <f t="shared" si="136"/>
        <v>High PointWisconsin</v>
      </c>
      <c r="D4374" t="s">
        <v>71</v>
      </c>
      <c r="E4374">
        <v>2.5</v>
      </c>
      <c r="F4374">
        <v>24.094339622641499</v>
      </c>
      <c r="G4374">
        <v>3946.4710166313798</v>
      </c>
      <c r="H4374">
        <v>137.990733333533</v>
      </c>
      <c r="I4374" s="1">
        <f t="shared" si="137"/>
        <v>127.69615655472255</v>
      </c>
    </row>
    <row r="4375" spans="1:9" x14ac:dyDescent="0.45">
      <c r="A4375" t="s">
        <v>28</v>
      </c>
      <c r="B4375" t="s">
        <v>71</v>
      </c>
      <c r="C4375" t="str">
        <f t="shared" si="136"/>
        <v>HoustonWisconsin</v>
      </c>
      <c r="D4375" t="s">
        <v>28</v>
      </c>
      <c r="E4375">
        <v>85.3</v>
      </c>
      <c r="F4375">
        <v>-11.5207547169811</v>
      </c>
      <c r="G4375">
        <v>-579.82521018654302</v>
      </c>
      <c r="H4375">
        <v>140.19832676938799</v>
      </c>
      <c r="I4375" s="1">
        <f t="shared" si="137"/>
        <v>158.78146852933213</v>
      </c>
    </row>
    <row r="4376" spans="1:9" x14ac:dyDescent="0.45">
      <c r="A4376" t="s">
        <v>29</v>
      </c>
      <c r="B4376" t="s">
        <v>71</v>
      </c>
      <c r="C4376" t="str">
        <f t="shared" si="136"/>
        <v>IllinoisWisconsin</v>
      </c>
      <c r="D4376" t="s">
        <v>71</v>
      </c>
      <c r="E4376">
        <v>36.6</v>
      </c>
      <c r="F4376">
        <v>3.5886792452830201</v>
      </c>
      <c r="G4376">
        <v>172.90420449119901</v>
      </c>
      <c r="H4376">
        <v>138.24857192332399</v>
      </c>
      <c r="I4376" s="1">
        <f t="shared" si="137"/>
        <v>131.32680378920404</v>
      </c>
    </row>
    <row r="4377" spans="1:9" x14ac:dyDescent="0.45">
      <c r="A4377" t="s">
        <v>30</v>
      </c>
      <c r="B4377" t="s">
        <v>71</v>
      </c>
      <c r="C4377" t="str">
        <f t="shared" si="136"/>
        <v>Iowa St.Wisconsin</v>
      </c>
      <c r="D4377" t="s">
        <v>30</v>
      </c>
      <c r="E4377">
        <v>54.9</v>
      </c>
      <c r="F4377">
        <v>-1.29433962264151</v>
      </c>
      <c r="G4377">
        <v>-121.82455256712601</v>
      </c>
      <c r="H4377">
        <v>139.17484050168301</v>
      </c>
      <c r="I4377" s="1">
        <f t="shared" si="137"/>
        <v>144.36967086015841</v>
      </c>
    </row>
    <row r="4378" spans="1:9" x14ac:dyDescent="0.45">
      <c r="A4378" t="s">
        <v>31</v>
      </c>
      <c r="B4378" t="s">
        <v>71</v>
      </c>
      <c r="C4378" t="str">
        <f t="shared" si="136"/>
        <v>KansasWisconsin</v>
      </c>
      <c r="D4378" t="s">
        <v>71</v>
      </c>
      <c r="E4378">
        <v>26.1</v>
      </c>
      <c r="F4378">
        <v>6.8075471698113201</v>
      </c>
      <c r="G4378">
        <v>282.53786667794299</v>
      </c>
      <c r="H4378">
        <v>138.130230785994</v>
      </c>
      <c r="I4378" s="1">
        <f t="shared" si="137"/>
        <v>129.66043211333965</v>
      </c>
    </row>
    <row r="4379" spans="1:9" x14ac:dyDescent="0.45">
      <c r="A4379" t="s">
        <v>32</v>
      </c>
      <c r="B4379" t="s">
        <v>71</v>
      </c>
      <c r="C4379" t="str">
        <f t="shared" si="136"/>
        <v>KentuckyWisconsin</v>
      </c>
      <c r="D4379" t="s">
        <v>71</v>
      </c>
      <c r="E4379">
        <v>37.4</v>
      </c>
      <c r="F4379">
        <v>3.3811320754717</v>
      </c>
      <c r="G4379">
        <v>167.48167576171701</v>
      </c>
      <c r="H4379">
        <v>138.077268386387</v>
      </c>
      <c r="I4379" s="1">
        <f t="shared" si="137"/>
        <v>128.91466403486652</v>
      </c>
    </row>
    <row r="4380" spans="1:9" x14ac:dyDescent="0.45">
      <c r="A4380" t="s">
        <v>33</v>
      </c>
      <c r="B4380" t="s">
        <v>71</v>
      </c>
      <c r="C4380" t="str">
        <f t="shared" si="136"/>
        <v>LibertyWisconsin</v>
      </c>
      <c r="D4380" t="s">
        <v>71</v>
      </c>
      <c r="E4380">
        <v>1.6</v>
      </c>
      <c r="F4380">
        <v>26.871698113207501</v>
      </c>
      <c r="G4380">
        <v>6027.36338987419</v>
      </c>
      <c r="H4380">
        <v>137.28620463478501</v>
      </c>
      <c r="I4380" s="1">
        <f t="shared" si="137"/>
        <v>117.77562769286483</v>
      </c>
    </row>
    <row r="4381" spans="1:9" x14ac:dyDescent="0.45">
      <c r="A4381" t="s">
        <v>34</v>
      </c>
      <c r="B4381" t="s">
        <v>71</v>
      </c>
      <c r="C4381" t="str">
        <f t="shared" si="136"/>
        <v>LipscombWisconsin</v>
      </c>
      <c r="D4381" t="s">
        <v>71</v>
      </c>
      <c r="E4381">
        <v>1.3</v>
      </c>
      <c r="F4381">
        <v>28.611320754716999</v>
      </c>
      <c r="G4381">
        <v>7862.4378444672302</v>
      </c>
      <c r="H4381">
        <v>137.71812486604301</v>
      </c>
      <c r="I4381" s="1">
        <f t="shared" si="137"/>
        <v>123.85753340916835</v>
      </c>
    </row>
    <row r="4382" spans="1:9" x14ac:dyDescent="0.45">
      <c r="A4382" t="s">
        <v>35</v>
      </c>
      <c r="B4382" t="s">
        <v>71</v>
      </c>
      <c r="C4382" t="str">
        <f t="shared" si="136"/>
        <v>LouisvilleWisconsin</v>
      </c>
      <c r="D4382" t="s">
        <v>71</v>
      </c>
      <c r="E4382">
        <v>3.1</v>
      </c>
      <c r="F4382">
        <v>22.505660377358499</v>
      </c>
      <c r="G4382">
        <v>3097.0195988730802</v>
      </c>
      <c r="H4382">
        <v>137.003848178011</v>
      </c>
      <c r="I4382" s="1">
        <f t="shared" si="137"/>
        <v>113.79974227650592</v>
      </c>
    </row>
    <row r="4383" spans="1:9" x14ac:dyDescent="0.45">
      <c r="A4383" t="s">
        <v>36</v>
      </c>
      <c r="B4383" t="s">
        <v>71</v>
      </c>
      <c r="C4383" t="str">
        <f t="shared" si="136"/>
        <v>MarquetteWisconsin</v>
      </c>
      <c r="D4383" t="s">
        <v>71</v>
      </c>
      <c r="E4383">
        <v>31.3</v>
      </c>
      <c r="F4383">
        <v>5.1584905660377398</v>
      </c>
      <c r="G4383">
        <v>219.70429526766</v>
      </c>
      <c r="H4383">
        <v>138.33560481291599</v>
      </c>
      <c r="I4383" s="1">
        <f t="shared" si="137"/>
        <v>132.55232135103313</v>
      </c>
    </row>
    <row r="4384" spans="1:9" x14ac:dyDescent="0.45">
      <c r="A4384" t="s">
        <v>37</v>
      </c>
      <c r="B4384" t="s">
        <v>71</v>
      </c>
      <c r="C4384" t="str">
        <f t="shared" si="136"/>
        <v>MarylandWisconsin</v>
      </c>
      <c r="D4384" t="s">
        <v>71</v>
      </c>
      <c r="E4384">
        <v>23.6</v>
      </c>
      <c r="F4384">
        <v>7.7056603773584902</v>
      </c>
      <c r="G4384">
        <v>323.87908649728899</v>
      </c>
      <c r="H4384">
        <v>137.94554412459499</v>
      </c>
      <c r="I4384" s="1">
        <f t="shared" si="137"/>
        <v>127.05984343886121</v>
      </c>
    </row>
    <row r="4385" spans="1:9" x14ac:dyDescent="0.45">
      <c r="A4385" t="s">
        <v>38</v>
      </c>
      <c r="B4385" t="s">
        <v>71</v>
      </c>
      <c r="C4385" t="str">
        <f t="shared" si="136"/>
        <v>McNeese St.Wisconsin</v>
      </c>
      <c r="D4385" t="s">
        <v>71</v>
      </c>
      <c r="E4385">
        <v>5.2</v>
      </c>
      <c r="F4385">
        <v>19.011320754717001</v>
      </c>
      <c r="G4385">
        <v>1817.74126856766</v>
      </c>
      <c r="H4385">
        <v>137.780955738796</v>
      </c>
      <c r="I4385" s="1">
        <f t="shared" si="137"/>
        <v>124.74226030201083</v>
      </c>
    </row>
    <row r="4386" spans="1:9" x14ac:dyDescent="0.45">
      <c r="A4386" t="s">
        <v>39</v>
      </c>
      <c r="B4386" t="s">
        <v>71</v>
      </c>
      <c r="C4386" t="str">
        <f t="shared" si="136"/>
        <v>MemphisWisconsin</v>
      </c>
      <c r="D4386" t="s">
        <v>71</v>
      </c>
      <c r="E4386">
        <v>13.7</v>
      </c>
      <c r="F4386">
        <v>12.090566037735799</v>
      </c>
      <c r="G4386">
        <v>632.33818742556002</v>
      </c>
      <c r="H4386">
        <v>136.92317893761401</v>
      </c>
      <c r="I4386" s="1">
        <f t="shared" si="137"/>
        <v>112.66383180324259</v>
      </c>
    </row>
    <row r="4387" spans="1:9" x14ac:dyDescent="0.45">
      <c r="A4387" t="s">
        <v>40</v>
      </c>
      <c r="B4387" t="s">
        <v>71</v>
      </c>
      <c r="C4387" t="str">
        <f t="shared" si="136"/>
        <v>MichiganWisconsin</v>
      </c>
      <c r="D4387" t="s">
        <v>71</v>
      </c>
      <c r="E4387">
        <v>7.7</v>
      </c>
      <c r="F4387">
        <v>16.279245283018899</v>
      </c>
      <c r="G4387">
        <v>1197.8941652712001</v>
      </c>
      <c r="H4387">
        <v>136.58010002229801</v>
      </c>
      <c r="I4387" s="1">
        <f t="shared" si="137"/>
        <v>107.83290825486824</v>
      </c>
    </row>
    <row r="4388" spans="1:9" x14ac:dyDescent="0.45">
      <c r="A4388" t="s">
        <v>41</v>
      </c>
      <c r="B4388" t="s">
        <v>71</v>
      </c>
      <c r="C4388" t="str">
        <f t="shared" si="136"/>
        <v>Michigan St.Wisconsin</v>
      </c>
      <c r="D4388" t="s">
        <v>71</v>
      </c>
      <c r="E4388">
        <v>44.5</v>
      </c>
      <c r="F4388">
        <v>1.4528301886792501</v>
      </c>
      <c r="G4388">
        <v>124.837371068701</v>
      </c>
      <c r="H4388">
        <v>138.27899198312701</v>
      </c>
      <c r="I4388" s="1">
        <f t="shared" si="137"/>
        <v>131.75515125296471</v>
      </c>
    </row>
    <row r="4389" spans="1:9" x14ac:dyDescent="0.45">
      <c r="A4389" t="s">
        <v>42</v>
      </c>
      <c r="B4389" t="s">
        <v>71</v>
      </c>
      <c r="C4389" t="str">
        <f t="shared" si="136"/>
        <v>MississippiWisconsin</v>
      </c>
      <c r="D4389" t="s">
        <v>71</v>
      </c>
      <c r="E4389">
        <v>17.100000000000001</v>
      </c>
      <c r="F4389">
        <v>10.366037735849099</v>
      </c>
      <c r="G4389">
        <v>486.03047890815799</v>
      </c>
      <c r="H4389">
        <v>137.409913088221</v>
      </c>
      <c r="I4389" s="1">
        <f t="shared" si="137"/>
        <v>119.51757700585733</v>
      </c>
    </row>
    <row r="4390" spans="1:9" x14ac:dyDescent="0.45">
      <c r="A4390" t="s">
        <v>43</v>
      </c>
      <c r="B4390" t="s">
        <v>71</v>
      </c>
      <c r="C4390" t="str">
        <f t="shared" si="136"/>
        <v>Mississippi St.Wisconsin</v>
      </c>
      <c r="D4390" t="s">
        <v>71</v>
      </c>
      <c r="E4390">
        <v>13.4</v>
      </c>
      <c r="F4390">
        <v>12.215094339622601</v>
      </c>
      <c r="G4390">
        <v>644.39889443491995</v>
      </c>
      <c r="H4390">
        <v>137.53428444201001</v>
      </c>
      <c r="I4390" s="1">
        <f t="shared" si="137"/>
        <v>121.26886067541506</v>
      </c>
    </row>
    <row r="4391" spans="1:9" x14ac:dyDescent="0.45">
      <c r="A4391" t="s">
        <v>44</v>
      </c>
      <c r="B4391" t="s">
        <v>71</v>
      </c>
      <c r="C4391" t="str">
        <f t="shared" si="136"/>
        <v>MissouriWisconsin</v>
      </c>
      <c r="D4391" t="s">
        <v>71</v>
      </c>
      <c r="E4391">
        <v>6.4</v>
      </c>
      <c r="F4391">
        <v>17.626415094339599</v>
      </c>
      <c r="G4391">
        <v>1471.47784502124</v>
      </c>
      <c r="H4391">
        <v>136.79875637818401</v>
      </c>
      <c r="I4391" s="1">
        <f t="shared" si="137"/>
        <v>110.91182710267458</v>
      </c>
    </row>
    <row r="4392" spans="1:9" x14ac:dyDescent="0.45">
      <c r="A4392" t="s">
        <v>45</v>
      </c>
      <c r="B4392" t="s">
        <v>71</v>
      </c>
      <c r="C4392" t="str">
        <f t="shared" si="136"/>
        <v>MontanaWisconsin</v>
      </c>
      <c r="D4392" t="s">
        <v>71</v>
      </c>
      <c r="E4392">
        <v>0.7</v>
      </c>
      <c r="F4392">
        <v>32.883018867924498</v>
      </c>
      <c r="G4392">
        <v>15085.0168499348</v>
      </c>
      <c r="H4392">
        <v>136.10749110320299</v>
      </c>
      <c r="I4392" s="1">
        <f t="shared" si="137"/>
        <v>101.17806164523336</v>
      </c>
    </row>
    <row r="4393" spans="1:9" x14ac:dyDescent="0.45">
      <c r="A4393" t="s">
        <v>46</v>
      </c>
      <c r="B4393" t="s">
        <v>71</v>
      </c>
      <c r="C4393" t="str">
        <f t="shared" si="136"/>
        <v>Mount St. Mary'sWisconsin</v>
      </c>
      <c r="D4393" t="s">
        <v>71</v>
      </c>
      <c r="E4393">
        <v>0.3</v>
      </c>
      <c r="F4393">
        <v>39</v>
      </c>
      <c r="G4393">
        <v>38348.333492900798</v>
      </c>
      <c r="H4393">
        <v>137.45536532515001</v>
      </c>
      <c r="I4393" s="1">
        <f t="shared" si="137"/>
        <v>120.15759384135536</v>
      </c>
    </row>
    <row r="4394" spans="1:9" x14ac:dyDescent="0.45">
      <c r="A4394" t="s">
        <v>47</v>
      </c>
      <c r="B4394" t="s">
        <v>71</v>
      </c>
      <c r="C4394" t="str">
        <f t="shared" si="136"/>
        <v>Nebraska OmahaWisconsin</v>
      </c>
      <c r="D4394" t="s">
        <v>71</v>
      </c>
      <c r="E4394">
        <v>0.3</v>
      </c>
      <c r="F4394">
        <v>37.283018867924497</v>
      </c>
      <c r="G4394">
        <v>29517.266199095</v>
      </c>
      <c r="H4394">
        <v>136.73936650504999</v>
      </c>
      <c r="I4394" s="1">
        <f t="shared" si="137"/>
        <v>110.07555321975801</v>
      </c>
    </row>
    <row r="4395" spans="1:9" x14ac:dyDescent="0.45">
      <c r="A4395" t="s">
        <v>48</v>
      </c>
      <c r="B4395" t="s">
        <v>71</v>
      </c>
      <c r="C4395" t="str">
        <f t="shared" si="136"/>
        <v>New MexicoWisconsin</v>
      </c>
      <c r="D4395" t="s">
        <v>71</v>
      </c>
      <c r="E4395">
        <v>8</v>
      </c>
      <c r="F4395">
        <v>16.037735849056599</v>
      </c>
      <c r="G4395">
        <v>1154.62406534348</v>
      </c>
      <c r="H4395">
        <v>137.61711085232599</v>
      </c>
      <c r="I4395" s="1">
        <f t="shared" si="137"/>
        <v>122.43514644279973</v>
      </c>
    </row>
    <row r="4396" spans="1:9" x14ac:dyDescent="0.45">
      <c r="A4396" t="s">
        <v>49</v>
      </c>
      <c r="B4396" t="s">
        <v>71</v>
      </c>
      <c r="C4396" t="str">
        <f t="shared" si="136"/>
        <v>Norfolk St.Wisconsin</v>
      </c>
      <c r="D4396" t="s">
        <v>71</v>
      </c>
      <c r="E4396">
        <v>0.5</v>
      </c>
      <c r="F4396">
        <v>34.750943396226397</v>
      </c>
      <c r="G4396">
        <v>20058.2710807246</v>
      </c>
      <c r="H4396">
        <v>136.629474514527</v>
      </c>
      <c r="I4396" s="1">
        <f t="shared" si="137"/>
        <v>108.52815470269604</v>
      </c>
    </row>
    <row r="4397" spans="1:9" x14ac:dyDescent="0.45">
      <c r="A4397" t="s">
        <v>50</v>
      </c>
      <c r="B4397" t="s">
        <v>71</v>
      </c>
      <c r="C4397" t="str">
        <f t="shared" si="136"/>
        <v>North CarolinaWisconsin</v>
      </c>
      <c r="D4397" t="s">
        <v>71</v>
      </c>
      <c r="E4397">
        <v>22.8</v>
      </c>
      <c r="F4397">
        <v>7.9962264150943403</v>
      </c>
      <c r="G4397">
        <v>338.64726467347799</v>
      </c>
      <c r="H4397">
        <v>138.70140594648299</v>
      </c>
      <c r="I4397" s="1">
        <f t="shared" si="137"/>
        <v>137.70319839791662</v>
      </c>
    </row>
    <row r="4398" spans="1:9" x14ac:dyDescent="0.45">
      <c r="A4398" t="s">
        <v>51</v>
      </c>
      <c r="B4398" t="s">
        <v>71</v>
      </c>
      <c r="C4398" t="str">
        <f t="shared" si="136"/>
        <v>OklahomaWisconsin</v>
      </c>
      <c r="D4398" t="s">
        <v>71</v>
      </c>
      <c r="E4398">
        <v>8.8000000000000007</v>
      </c>
      <c r="F4398">
        <v>15.3018867924528</v>
      </c>
      <c r="G4398">
        <v>1032.18155508984</v>
      </c>
      <c r="H4398">
        <v>137.04400924198799</v>
      </c>
      <c r="I4398" s="1">
        <f t="shared" si="137"/>
        <v>114.36525365313931</v>
      </c>
    </row>
    <row r="4399" spans="1:9" x14ac:dyDescent="0.45">
      <c r="A4399" t="s">
        <v>52</v>
      </c>
      <c r="B4399" t="s">
        <v>71</v>
      </c>
      <c r="C4399" t="str">
        <f t="shared" si="136"/>
        <v>OregonWisconsin</v>
      </c>
      <c r="D4399" t="s">
        <v>71</v>
      </c>
      <c r="E4399">
        <v>24.2</v>
      </c>
      <c r="F4399">
        <v>7.4754716981132097</v>
      </c>
      <c r="G4399">
        <v>312.846778618391</v>
      </c>
      <c r="H4399">
        <v>137.638387030128</v>
      </c>
      <c r="I4399" s="1">
        <f t="shared" si="137"/>
        <v>122.73473812207402</v>
      </c>
    </row>
    <row r="4400" spans="1:9" x14ac:dyDescent="0.45">
      <c r="A4400" t="s">
        <v>53</v>
      </c>
      <c r="B4400" t="s">
        <v>71</v>
      </c>
      <c r="C4400" t="str">
        <f t="shared" si="136"/>
        <v>PurdueWisconsin</v>
      </c>
      <c r="D4400" t="s">
        <v>53</v>
      </c>
      <c r="E4400">
        <v>62.8</v>
      </c>
      <c r="F4400">
        <v>-3.43396226415094</v>
      </c>
      <c r="G4400">
        <v>-168.84024862110601</v>
      </c>
      <c r="H4400">
        <v>138.986374358917</v>
      </c>
      <c r="I4400" s="1">
        <f t="shared" si="137"/>
        <v>141.71586298531139</v>
      </c>
    </row>
    <row r="4401" spans="1:9" x14ac:dyDescent="0.45">
      <c r="A4401" t="s">
        <v>54</v>
      </c>
      <c r="B4401" t="s">
        <v>71</v>
      </c>
      <c r="C4401" t="str">
        <f t="shared" si="136"/>
        <v>Robert MorrisWisconsin</v>
      </c>
      <c r="D4401" t="s">
        <v>71</v>
      </c>
      <c r="E4401">
        <v>0.2</v>
      </c>
      <c r="F4401">
        <v>40.509433962264197</v>
      </c>
      <c r="G4401">
        <v>48273.078802404598</v>
      </c>
      <c r="H4401">
        <v>136.04501120768001</v>
      </c>
      <c r="I4401" s="1">
        <f t="shared" si="137"/>
        <v>100.29827689278379</v>
      </c>
    </row>
    <row r="4402" spans="1:9" x14ac:dyDescent="0.45">
      <c r="A4402" t="s">
        <v>55</v>
      </c>
      <c r="B4402" t="s">
        <v>71</v>
      </c>
      <c r="C4402" t="str">
        <f t="shared" si="136"/>
        <v>Saint FrancisWisconsin</v>
      </c>
      <c r="D4402" t="s">
        <v>71</v>
      </c>
      <c r="E4402">
        <v>0.1</v>
      </c>
      <c r="F4402">
        <v>43.233962264150897</v>
      </c>
      <c r="G4402">
        <v>73167.786865609902</v>
      </c>
      <c r="H4402">
        <v>137.09786674088701</v>
      </c>
      <c r="I4402" s="1">
        <f t="shared" si="137"/>
        <v>115.12362570129673</v>
      </c>
    </row>
    <row r="4403" spans="1:9" x14ac:dyDescent="0.45">
      <c r="A4403" t="s">
        <v>56</v>
      </c>
      <c r="B4403" t="s">
        <v>71</v>
      </c>
      <c r="C4403" t="str">
        <f t="shared" si="136"/>
        <v>Saint Mary'sWisconsin</v>
      </c>
      <c r="D4403" t="s">
        <v>71</v>
      </c>
      <c r="E4403">
        <v>21.4</v>
      </c>
      <c r="F4403">
        <v>8.5207547169811306</v>
      </c>
      <c r="G4403">
        <v>366.80584197492999</v>
      </c>
      <c r="H4403">
        <v>138.34912194197801</v>
      </c>
      <c r="I4403" s="1">
        <f t="shared" si="137"/>
        <v>132.74265720140738</v>
      </c>
    </row>
    <row r="4404" spans="1:9" x14ac:dyDescent="0.45">
      <c r="A4404" t="s">
        <v>57</v>
      </c>
      <c r="B4404" t="s">
        <v>71</v>
      </c>
      <c r="C4404" t="str">
        <f t="shared" si="136"/>
        <v>San Diego St.Wisconsin</v>
      </c>
      <c r="D4404" t="s">
        <v>71</v>
      </c>
      <c r="E4404">
        <v>7.3</v>
      </c>
      <c r="F4404">
        <v>16.611320754716999</v>
      </c>
      <c r="G4404">
        <v>1260.6000787384601</v>
      </c>
      <c r="H4404">
        <v>137.49537682177501</v>
      </c>
      <c r="I4404" s="1">
        <f t="shared" si="137"/>
        <v>120.72099914731353</v>
      </c>
    </row>
    <row r="4405" spans="1:9" x14ac:dyDescent="0.45">
      <c r="A4405" t="s">
        <v>58</v>
      </c>
      <c r="B4405" t="s">
        <v>71</v>
      </c>
      <c r="C4405" t="str">
        <f t="shared" si="136"/>
        <v>SIU EdwardsvilleWisconsin</v>
      </c>
      <c r="D4405" t="s">
        <v>71</v>
      </c>
      <c r="E4405">
        <v>0.4</v>
      </c>
      <c r="F4405">
        <v>36.211320754717001</v>
      </c>
      <c r="G4405">
        <v>25058.455468038701</v>
      </c>
      <c r="H4405">
        <v>137.64306458862399</v>
      </c>
      <c r="I4405" s="1">
        <f t="shared" si="137"/>
        <v>122.80060322330397</v>
      </c>
    </row>
    <row r="4406" spans="1:9" x14ac:dyDescent="0.45">
      <c r="A4406" t="s">
        <v>59</v>
      </c>
      <c r="B4406" t="s">
        <v>71</v>
      </c>
      <c r="C4406" t="str">
        <f t="shared" si="136"/>
        <v>St. John'sWisconsin</v>
      </c>
      <c r="D4406" t="s">
        <v>71</v>
      </c>
      <c r="E4406">
        <v>46</v>
      </c>
      <c r="F4406">
        <v>1.0528301886792499</v>
      </c>
      <c r="G4406">
        <v>117.421274842155</v>
      </c>
      <c r="H4406">
        <v>138.62074736116799</v>
      </c>
      <c r="I4406" s="1">
        <f t="shared" si="137"/>
        <v>136.56743795977391</v>
      </c>
    </row>
    <row r="4407" spans="1:9" x14ac:dyDescent="0.45">
      <c r="A4407" t="s">
        <v>60</v>
      </c>
      <c r="B4407" t="s">
        <v>71</v>
      </c>
      <c r="C4407" t="str">
        <f t="shared" si="136"/>
        <v>TennesseeWisconsin</v>
      </c>
      <c r="D4407" t="s">
        <v>60</v>
      </c>
      <c r="E4407">
        <v>63</v>
      </c>
      <c r="F4407">
        <v>-3.49433962264151</v>
      </c>
      <c r="G4407">
        <v>-170.36981705646201</v>
      </c>
      <c r="H4407">
        <v>139.21473023785899</v>
      </c>
      <c r="I4407" s="1">
        <f t="shared" si="137"/>
        <v>144.93136164682036</v>
      </c>
    </row>
    <row r="4408" spans="1:9" x14ac:dyDescent="0.45">
      <c r="A4408" t="s">
        <v>61</v>
      </c>
      <c r="B4408" t="s">
        <v>71</v>
      </c>
      <c r="C4408" t="str">
        <f t="shared" si="136"/>
        <v>TexasWisconsin</v>
      </c>
      <c r="D4408" t="s">
        <v>71</v>
      </c>
      <c r="E4408">
        <v>6.5</v>
      </c>
      <c r="F4408">
        <v>17.4603773584906</v>
      </c>
      <c r="G4408">
        <v>1434.7428126452601</v>
      </c>
      <c r="H4408">
        <v>136.970444768931</v>
      </c>
      <c r="I4408" s="1">
        <f t="shared" si="137"/>
        <v>113.32938601642537</v>
      </c>
    </row>
    <row r="4409" spans="1:9" x14ac:dyDescent="0.45">
      <c r="A4409" t="s">
        <v>62</v>
      </c>
      <c r="B4409" t="s">
        <v>71</v>
      </c>
      <c r="C4409" t="str">
        <f t="shared" si="136"/>
        <v>Texas A&amp;MWisconsin</v>
      </c>
      <c r="D4409" t="s">
        <v>71</v>
      </c>
      <c r="E4409">
        <v>28.7</v>
      </c>
      <c r="F4409">
        <v>5.9660377358490599</v>
      </c>
      <c r="G4409">
        <v>248.41235078233601</v>
      </c>
      <c r="H4409">
        <v>137.76824379652501</v>
      </c>
      <c r="I4409" s="1">
        <f t="shared" si="137"/>
        <v>124.56326235570481</v>
      </c>
    </row>
    <row r="4410" spans="1:9" x14ac:dyDescent="0.45">
      <c r="A4410" t="s">
        <v>63</v>
      </c>
      <c r="B4410" t="s">
        <v>71</v>
      </c>
      <c r="C4410" t="str">
        <f t="shared" si="136"/>
        <v>Texas TechWisconsin</v>
      </c>
      <c r="D4410" t="s">
        <v>71</v>
      </c>
      <c r="E4410">
        <v>44.3</v>
      </c>
      <c r="F4410">
        <v>1.5132075471698101</v>
      </c>
      <c r="G4410">
        <v>125.966960926589</v>
      </c>
      <c r="H4410">
        <v>138.80802791558901</v>
      </c>
      <c r="I4410" s="1">
        <f t="shared" si="137"/>
        <v>139.20455146373786</v>
      </c>
    </row>
    <row r="4411" spans="1:9" x14ac:dyDescent="0.45">
      <c r="A4411" t="s">
        <v>64</v>
      </c>
      <c r="B4411" t="s">
        <v>71</v>
      </c>
      <c r="C4411" t="str">
        <f t="shared" si="136"/>
        <v>TroyWisconsin</v>
      </c>
      <c r="D4411" t="s">
        <v>71</v>
      </c>
      <c r="E4411">
        <v>1.1000000000000001</v>
      </c>
      <c r="F4411">
        <v>29.4603773584906</v>
      </c>
      <c r="G4411">
        <v>8947.8265466099092</v>
      </c>
      <c r="H4411">
        <v>137.51159233531899</v>
      </c>
      <c r="I4411" s="1">
        <f t="shared" si="137"/>
        <v>120.94933118035746</v>
      </c>
    </row>
    <row r="4412" spans="1:9" x14ac:dyDescent="0.45">
      <c r="A4412" t="s">
        <v>65</v>
      </c>
      <c r="B4412" t="s">
        <v>71</v>
      </c>
      <c r="C4412" t="str">
        <f t="shared" si="136"/>
        <v>UC San DiegoWisconsin</v>
      </c>
      <c r="D4412" t="s">
        <v>71</v>
      </c>
      <c r="E4412">
        <v>2.8</v>
      </c>
      <c r="F4412">
        <v>23.2981132075472</v>
      </c>
      <c r="G4412">
        <v>3495.9996278397998</v>
      </c>
      <c r="H4412">
        <v>137.59971407870901</v>
      </c>
      <c r="I4412" s="1">
        <f t="shared" si="137"/>
        <v>122.19018098564071</v>
      </c>
    </row>
    <row r="4413" spans="1:9" x14ac:dyDescent="0.45">
      <c r="A4413" t="s">
        <v>66</v>
      </c>
      <c r="B4413" t="s">
        <v>71</v>
      </c>
      <c r="C4413" t="str">
        <f t="shared" si="136"/>
        <v>UCLAWisconsin</v>
      </c>
      <c r="D4413" t="s">
        <v>71</v>
      </c>
      <c r="E4413">
        <v>10.199999999999999</v>
      </c>
      <c r="F4413">
        <v>14.2528301886792</v>
      </c>
      <c r="G4413">
        <v>879.76891729763395</v>
      </c>
      <c r="H4413">
        <v>137.07116859181801</v>
      </c>
      <c r="I4413" s="1">
        <f t="shared" si="137"/>
        <v>114.74768678089799</v>
      </c>
    </row>
    <row r="4414" spans="1:9" x14ac:dyDescent="0.45">
      <c r="A4414" t="s">
        <v>67</v>
      </c>
      <c r="B4414" t="s">
        <v>71</v>
      </c>
      <c r="C4414" t="str">
        <f t="shared" si="136"/>
        <v>UNC WilmingtonWisconsin</v>
      </c>
      <c r="D4414" t="s">
        <v>71</v>
      </c>
      <c r="E4414">
        <v>1.7</v>
      </c>
      <c r="F4414">
        <v>26.660377358490599</v>
      </c>
      <c r="G4414">
        <v>5837.2671185516701</v>
      </c>
      <c r="H4414">
        <v>138.18618426573801</v>
      </c>
      <c r="I4414" s="1">
        <f t="shared" si="137"/>
        <v>130.44831784703396</v>
      </c>
    </row>
    <row r="4415" spans="1:9" x14ac:dyDescent="0.45">
      <c r="A4415" t="s">
        <v>68</v>
      </c>
      <c r="B4415" t="s">
        <v>71</v>
      </c>
      <c r="C4415" t="str">
        <f t="shared" si="136"/>
        <v>Utah St.Wisconsin</v>
      </c>
      <c r="D4415" t="s">
        <v>71</v>
      </c>
      <c r="E4415">
        <v>8</v>
      </c>
      <c r="F4415">
        <v>16.0150943396226</v>
      </c>
      <c r="G4415">
        <v>1150.8813744284701</v>
      </c>
      <c r="H4415">
        <v>137.55755466956501</v>
      </c>
      <c r="I4415" s="1">
        <f t="shared" si="137"/>
        <v>121.59653073980228</v>
      </c>
    </row>
    <row r="4416" spans="1:9" x14ac:dyDescent="0.45">
      <c r="A4416" t="s">
        <v>69</v>
      </c>
      <c r="B4416" t="s">
        <v>71</v>
      </c>
      <c r="C4416" t="str">
        <f t="shared" si="136"/>
        <v>VanderbiltWisconsin</v>
      </c>
      <c r="D4416" t="s">
        <v>71</v>
      </c>
      <c r="E4416">
        <v>1.8</v>
      </c>
      <c r="F4416">
        <v>26.135849056603799</v>
      </c>
      <c r="G4416">
        <v>5390.3945034121798</v>
      </c>
      <c r="H4416">
        <v>136.13212515816301</v>
      </c>
      <c r="I4416" s="1">
        <f t="shared" si="137"/>
        <v>101.52493587995187</v>
      </c>
    </row>
    <row r="4417" spans="1:9" x14ac:dyDescent="0.45">
      <c r="A4417" t="s">
        <v>70</v>
      </c>
      <c r="B4417" t="s">
        <v>71</v>
      </c>
      <c r="C4417" t="str">
        <f t="shared" si="136"/>
        <v>VCUWisconsin</v>
      </c>
      <c r="D4417" t="s">
        <v>71</v>
      </c>
      <c r="E4417">
        <v>5.4</v>
      </c>
      <c r="F4417">
        <v>18.792452830188701</v>
      </c>
      <c r="G4417">
        <v>1757.4803921410401</v>
      </c>
      <c r="H4417">
        <v>137.97703632003899</v>
      </c>
      <c r="I4417" s="1">
        <f t="shared" si="137"/>
        <v>127.5032877362769</v>
      </c>
    </row>
    <row r="4418" spans="1:9" x14ac:dyDescent="0.45">
      <c r="A4418" t="s">
        <v>71</v>
      </c>
      <c r="B4418" t="s">
        <v>71</v>
      </c>
      <c r="C4418" t="str">
        <f t="shared" si="136"/>
        <v>WisconsinWisconsin</v>
      </c>
      <c r="D4418" t="s">
        <v>71</v>
      </c>
      <c r="E4418">
        <v>41.2</v>
      </c>
      <c r="F4418">
        <v>2.3283018867924499</v>
      </c>
      <c r="G4418">
        <v>142.64273539779199</v>
      </c>
      <c r="H4418">
        <v>138.77771517530499</v>
      </c>
      <c r="I4418" s="1">
        <f t="shared" si="137"/>
        <v>138.77771517530277</v>
      </c>
    </row>
    <row r="4419" spans="1:9" x14ac:dyDescent="0.45">
      <c r="A4419" t="s">
        <v>80</v>
      </c>
      <c r="B4419" t="s">
        <v>71</v>
      </c>
      <c r="C4419" t="str">
        <f t="shared" ref="C4419:C4482" si="138">A4419&amp;B4419</f>
        <v>WoffordWisconsin</v>
      </c>
      <c r="D4419" t="s">
        <v>71</v>
      </c>
      <c r="E4419">
        <v>0.6</v>
      </c>
      <c r="F4419">
        <v>33.713207547169802</v>
      </c>
      <c r="G4419">
        <v>17120.827080173902</v>
      </c>
      <c r="H4419">
        <v>136.80717091439999</v>
      </c>
      <c r="I4419" s="1">
        <f t="shared" ref="I4419:I4482" si="139">18*(H4419-AVERAGE($H$2:$H$4625))/_xlfn.STDEV.P($H$2:$H$4625)+AVERAGE($H$2:$H$4625)</f>
        <v>111.03031290678466</v>
      </c>
    </row>
    <row r="4420" spans="1:9" x14ac:dyDescent="0.45">
      <c r="A4420" t="s">
        <v>72</v>
      </c>
      <c r="B4420" t="s">
        <v>71</v>
      </c>
      <c r="C4420" t="str">
        <f t="shared" si="138"/>
        <v>XavierWisconsin</v>
      </c>
      <c r="D4420" t="s">
        <v>71</v>
      </c>
      <c r="E4420">
        <v>5.3</v>
      </c>
      <c r="F4420">
        <v>18.867924528301899</v>
      </c>
      <c r="G4420">
        <v>1778.05502540199</v>
      </c>
      <c r="H4420">
        <v>137.383084484552</v>
      </c>
      <c r="I4420" s="1">
        <f t="shared" si="139"/>
        <v>119.13980114307891</v>
      </c>
    </row>
    <row r="4421" spans="1:9" x14ac:dyDescent="0.45">
      <c r="A4421" t="s">
        <v>73</v>
      </c>
      <c r="B4421" t="s">
        <v>71</v>
      </c>
      <c r="C4421" t="str">
        <f t="shared" si="138"/>
        <v>YaleWisconsin</v>
      </c>
      <c r="D4421" t="s">
        <v>71</v>
      </c>
      <c r="E4421">
        <v>3</v>
      </c>
      <c r="F4421">
        <v>22.690566037735799</v>
      </c>
      <c r="G4421">
        <v>3186.0807385674102</v>
      </c>
      <c r="H4421">
        <v>138.182319118614</v>
      </c>
      <c r="I4421" s="1">
        <f t="shared" si="139"/>
        <v>130.39389237981433</v>
      </c>
    </row>
    <row r="4422" spans="1:9" x14ac:dyDescent="0.45">
      <c r="A4422" t="s">
        <v>7</v>
      </c>
      <c r="B4422" t="s">
        <v>80</v>
      </c>
      <c r="C4422" t="str">
        <f t="shared" si="138"/>
        <v>AkronWofford</v>
      </c>
      <c r="D4422" t="s">
        <v>7</v>
      </c>
      <c r="E4422">
        <v>65.8</v>
      </c>
      <c r="F4422">
        <v>-4.2981132075471704</v>
      </c>
      <c r="G4422">
        <v>-192.68615801781399</v>
      </c>
      <c r="H4422">
        <v>138.93532883496499</v>
      </c>
      <c r="I4422" s="1">
        <f t="shared" si="139"/>
        <v>140.99708659687681</v>
      </c>
    </row>
    <row r="4423" spans="1:9" x14ac:dyDescent="0.45">
      <c r="A4423" t="s">
        <v>8</v>
      </c>
      <c r="B4423" t="s">
        <v>80</v>
      </c>
      <c r="C4423" t="str">
        <f t="shared" si="138"/>
        <v>AlabamaWofford</v>
      </c>
      <c r="D4423" t="s">
        <v>8</v>
      </c>
      <c r="E4423">
        <v>99.3</v>
      </c>
      <c r="F4423">
        <v>-32.471698113207502</v>
      </c>
      <c r="G4423">
        <v>-14170.141606397799</v>
      </c>
      <c r="H4423">
        <v>140.68342484710399</v>
      </c>
      <c r="I4423" s="1">
        <f t="shared" si="139"/>
        <v>165.61217604964378</v>
      </c>
    </row>
    <row r="4424" spans="1:9" x14ac:dyDescent="0.45">
      <c r="A4424" t="s">
        <v>9</v>
      </c>
      <c r="B4424" t="s">
        <v>80</v>
      </c>
      <c r="C4424" t="str">
        <f t="shared" si="138"/>
        <v>Alabama St.Wofford</v>
      </c>
      <c r="D4424" t="s">
        <v>80</v>
      </c>
      <c r="E4424">
        <v>23.2</v>
      </c>
      <c r="F4424">
        <v>7.8415094339622602</v>
      </c>
      <c r="G4424">
        <v>330.68402106517902</v>
      </c>
      <c r="H4424">
        <v>139.162169690778</v>
      </c>
      <c r="I4424" s="1">
        <f t="shared" si="139"/>
        <v>144.19125208813443</v>
      </c>
    </row>
    <row r="4425" spans="1:9" x14ac:dyDescent="0.45">
      <c r="A4425" t="s">
        <v>10</v>
      </c>
      <c r="B4425" t="s">
        <v>80</v>
      </c>
      <c r="C4425" t="str">
        <f t="shared" si="138"/>
        <v>AmericanWofford</v>
      </c>
      <c r="D4425" t="s">
        <v>80</v>
      </c>
      <c r="E4425">
        <v>26.8</v>
      </c>
      <c r="F4425">
        <v>6.5773584905660396</v>
      </c>
      <c r="G4425">
        <v>272.71912196096201</v>
      </c>
      <c r="H4425">
        <v>139.25325557238199</v>
      </c>
      <c r="I4425" s="1">
        <f t="shared" si="139"/>
        <v>145.47384017711636</v>
      </c>
    </row>
    <row r="4426" spans="1:9" x14ac:dyDescent="0.45">
      <c r="A4426" t="s">
        <v>11</v>
      </c>
      <c r="B4426" t="s">
        <v>80</v>
      </c>
      <c r="C4426" t="str">
        <f t="shared" si="138"/>
        <v>ArizonaWofford</v>
      </c>
      <c r="D4426" t="s">
        <v>11</v>
      </c>
      <c r="E4426">
        <v>99</v>
      </c>
      <c r="F4426">
        <v>-30.2339622641509</v>
      </c>
      <c r="G4426">
        <v>-10067.8324853055</v>
      </c>
      <c r="H4426">
        <v>140.445783666095</v>
      </c>
      <c r="I4426" s="1">
        <f t="shared" si="139"/>
        <v>162.26593025560413</v>
      </c>
    </row>
    <row r="4427" spans="1:9" x14ac:dyDescent="0.45">
      <c r="A4427" t="s">
        <v>12</v>
      </c>
      <c r="B4427" t="s">
        <v>80</v>
      </c>
      <c r="C4427" t="str">
        <f t="shared" si="138"/>
        <v>ArkansasWofford</v>
      </c>
      <c r="D4427" t="s">
        <v>12</v>
      </c>
      <c r="E4427">
        <v>85.9</v>
      </c>
      <c r="F4427">
        <v>-11.841509433962299</v>
      </c>
      <c r="G4427">
        <v>-608.762427596007</v>
      </c>
      <c r="H4427">
        <v>138.563387499952</v>
      </c>
      <c r="I4427" s="1">
        <f t="shared" si="139"/>
        <v>135.75974884829191</v>
      </c>
    </row>
    <row r="4428" spans="1:9" x14ac:dyDescent="0.45">
      <c r="A4428" t="s">
        <v>13</v>
      </c>
      <c r="B4428" t="s">
        <v>80</v>
      </c>
      <c r="C4428" t="str">
        <f t="shared" si="138"/>
        <v>AuburnWofford</v>
      </c>
      <c r="D4428" t="s">
        <v>13</v>
      </c>
      <c r="E4428">
        <v>99.6</v>
      </c>
      <c r="F4428">
        <v>-36.883018867924498</v>
      </c>
      <c r="G4428">
        <v>-27769.976431175899</v>
      </c>
      <c r="H4428">
        <v>141.70210690521401</v>
      </c>
      <c r="I4428" s="1">
        <f t="shared" si="139"/>
        <v>179.95632523263097</v>
      </c>
    </row>
    <row r="4429" spans="1:9" x14ac:dyDescent="0.45">
      <c r="A4429" t="s">
        <v>14</v>
      </c>
      <c r="B4429" t="s">
        <v>80</v>
      </c>
      <c r="C4429" t="str">
        <f t="shared" si="138"/>
        <v>BaylorWofford</v>
      </c>
      <c r="D4429" t="s">
        <v>14</v>
      </c>
      <c r="E4429">
        <v>96.7</v>
      </c>
      <c r="F4429">
        <v>-22.150943396226399</v>
      </c>
      <c r="G4429">
        <v>-2934.8628598714899</v>
      </c>
      <c r="H4429">
        <v>140.23710491793901</v>
      </c>
      <c r="I4429" s="1">
        <f t="shared" si="139"/>
        <v>159.32750695557851</v>
      </c>
    </row>
    <row r="4430" spans="1:9" x14ac:dyDescent="0.45">
      <c r="A4430" t="s">
        <v>15</v>
      </c>
      <c r="B4430" t="s">
        <v>80</v>
      </c>
      <c r="C4430" t="str">
        <f t="shared" si="138"/>
        <v>BryantWofford</v>
      </c>
      <c r="D4430" t="s">
        <v>15</v>
      </c>
      <c r="E4430">
        <v>57.1</v>
      </c>
      <c r="F4430">
        <v>-1.8679245283018899</v>
      </c>
      <c r="G4430">
        <v>-132.937549065241</v>
      </c>
      <c r="H4430">
        <v>139.78610266783301</v>
      </c>
      <c r="I4430" s="1">
        <f t="shared" si="139"/>
        <v>152.97690569988751</v>
      </c>
    </row>
    <row r="4431" spans="1:9" x14ac:dyDescent="0.45">
      <c r="A4431" t="s">
        <v>16</v>
      </c>
      <c r="B4431" t="s">
        <v>80</v>
      </c>
      <c r="C4431" t="str">
        <f t="shared" si="138"/>
        <v>BYUWofford</v>
      </c>
      <c r="D4431" t="s">
        <v>16</v>
      </c>
      <c r="E4431">
        <v>97.3</v>
      </c>
      <c r="F4431">
        <v>-23.445283018867901</v>
      </c>
      <c r="G4431">
        <v>-3575.3980211299099</v>
      </c>
      <c r="H4431">
        <v>140.04662314605599</v>
      </c>
      <c r="I4431" s="1">
        <f t="shared" si="139"/>
        <v>156.64531683474829</v>
      </c>
    </row>
    <row r="4432" spans="1:9" x14ac:dyDescent="0.45">
      <c r="A4432" t="s">
        <v>17</v>
      </c>
      <c r="B4432" t="s">
        <v>80</v>
      </c>
      <c r="C4432" t="str">
        <f t="shared" si="138"/>
        <v>ClemsonWofford</v>
      </c>
      <c r="D4432" t="s">
        <v>17</v>
      </c>
      <c r="E4432">
        <v>97.9</v>
      </c>
      <c r="F4432">
        <v>-25.0716981132075</v>
      </c>
      <c r="G4432">
        <v>-4581.1648675561901</v>
      </c>
      <c r="H4432">
        <v>140.26853500234799</v>
      </c>
      <c r="I4432" s="1">
        <f t="shared" si="139"/>
        <v>159.77007666219802</v>
      </c>
    </row>
    <row r="4433" spans="1:9" x14ac:dyDescent="0.45">
      <c r="A4433" t="s">
        <v>18</v>
      </c>
      <c r="B4433" t="s">
        <v>80</v>
      </c>
      <c r="C4433" t="str">
        <f t="shared" si="138"/>
        <v>Colorado St.Wofford</v>
      </c>
      <c r="D4433" t="s">
        <v>18</v>
      </c>
      <c r="E4433">
        <v>88.3</v>
      </c>
      <c r="F4433">
        <v>-13.2339622641509</v>
      </c>
      <c r="G4433">
        <v>-752.72162224110696</v>
      </c>
      <c r="H4433">
        <v>139.57592685045299</v>
      </c>
      <c r="I4433" s="1">
        <f t="shared" si="139"/>
        <v>150.01740204008155</v>
      </c>
    </row>
    <row r="4434" spans="1:9" x14ac:dyDescent="0.45">
      <c r="A4434" t="s">
        <v>19</v>
      </c>
      <c r="B4434" t="s">
        <v>80</v>
      </c>
      <c r="C4434" t="str">
        <f t="shared" si="138"/>
        <v>ConnecticutWofford</v>
      </c>
      <c r="D4434" t="s">
        <v>19</v>
      </c>
      <c r="E4434">
        <v>98.7</v>
      </c>
      <c r="F4434">
        <v>-28.535849056603801</v>
      </c>
      <c r="G4434">
        <v>-7770.1863141316599</v>
      </c>
      <c r="H4434">
        <v>140.21147875278899</v>
      </c>
      <c r="I4434" s="1">
        <f t="shared" si="139"/>
        <v>158.96666273242445</v>
      </c>
    </row>
    <row r="4435" spans="1:9" x14ac:dyDescent="0.45">
      <c r="A4435" t="s">
        <v>20</v>
      </c>
      <c r="B4435" t="s">
        <v>80</v>
      </c>
      <c r="C4435" t="str">
        <f t="shared" si="138"/>
        <v>CreightonWofford</v>
      </c>
      <c r="D4435" t="s">
        <v>20</v>
      </c>
      <c r="E4435">
        <v>96</v>
      </c>
      <c r="F4435">
        <v>-20.841509433962301</v>
      </c>
      <c r="G4435">
        <v>-2403.5402834142301</v>
      </c>
      <c r="H4435">
        <v>139.684421115053</v>
      </c>
      <c r="I4435" s="1">
        <f t="shared" si="139"/>
        <v>151.54511905888171</v>
      </c>
    </row>
    <row r="4436" spans="1:9" x14ac:dyDescent="0.45">
      <c r="A4436" t="s">
        <v>21</v>
      </c>
      <c r="B4436" t="s">
        <v>80</v>
      </c>
      <c r="C4436" t="str">
        <f t="shared" si="138"/>
        <v>DrakeWofford</v>
      </c>
      <c r="D4436" t="s">
        <v>21</v>
      </c>
      <c r="E4436">
        <v>88.2</v>
      </c>
      <c r="F4436">
        <v>-13.1811320754717</v>
      </c>
      <c r="G4436">
        <v>-746.924136960498</v>
      </c>
      <c r="H4436">
        <v>139.73788621920701</v>
      </c>
      <c r="I4436" s="1">
        <f t="shared" si="139"/>
        <v>152.29796576307515</v>
      </c>
    </row>
    <row r="4437" spans="1:9" x14ac:dyDescent="0.45">
      <c r="A4437" t="s">
        <v>22</v>
      </c>
      <c r="B4437" t="s">
        <v>80</v>
      </c>
      <c r="C4437" t="str">
        <f t="shared" si="138"/>
        <v>DukeWofford</v>
      </c>
      <c r="D4437" t="s">
        <v>22</v>
      </c>
      <c r="E4437">
        <v>99.8</v>
      </c>
      <c r="F4437">
        <v>-39.392452830188702</v>
      </c>
      <c r="G4437">
        <v>-40717.858644060398</v>
      </c>
      <c r="H4437">
        <v>142.02520668066299</v>
      </c>
      <c r="I4437" s="1">
        <f t="shared" si="139"/>
        <v>184.50592080382273</v>
      </c>
    </row>
    <row r="4438" spans="1:9" x14ac:dyDescent="0.45">
      <c r="A4438" t="s">
        <v>23</v>
      </c>
      <c r="B4438" t="s">
        <v>80</v>
      </c>
      <c r="C4438" t="str">
        <f t="shared" si="138"/>
        <v>FloridaWofford</v>
      </c>
      <c r="D4438" t="s">
        <v>23</v>
      </c>
      <c r="E4438">
        <v>99.6</v>
      </c>
      <c r="F4438">
        <v>-35.494339622641498</v>
      </c>
      <c r="G4438">
        <v>-22461.476692856399</v>
      </c>
      <c r="H4438">
        <v>141.74896295660599</v>
      </c>
      <c r="I4438" s="1">
        <f t="shared" si="139"/>
        <v>180.61610929964331</v>
      </c>
    </row>
    <row r="4439" spans="1:9" x14ac:dyDescent="0.45">
      <c r="A4439" t="s">
        <v>24</v>
      </c>
      <c r="B4439" t="s">
        <v>80</v>
      </c>
      <c r="C4439" t="str">
        <f t="shared" si="138"/>
        <v>GeorgiaWofford</v>
      </c>
      <c r="D4439" t="s">
        <v>24</v>
      </c>
      <c r="E4439">
        <v>89.4</v>
      </c>
      <c r="F4439">
        <v>-13.9849056603774</v>
      </c>
      <c r="G4439">
        <v>-844.50762040140103</v>
      </c>
      <c r="H4439">
        <v>138.89077648095</v>
      </c>
      <c r="I4439" s="1">
        <f t="shared" si="139"/>
        <v>140.36974108965347</v>
      </c>
    </row>
    <row r="4440" spans="1:9" x14ac:dyDescent="0.45">
      <c r="A4440" t="s">
        <v>25</v>
      </c>
      <c r="B4440" t="s">
        <v>80</v>
      </c>
      <c r="C4440" t="str">
        <f t="shared" si="138"/>
        <v>GonzagaWofford</v>
      </c>
      <c r="D4440" t="s">
        <v>25</v>
      </c>
      <c r="E4440">
        <v>97.9</v>
      </c>
      <c r="F4440">
        <v>-25.313207547169799</v>
      </c>
      <c r="G4440">
        <v>-4753.6240311062202</v>
      </c>
      <c r="H4440">
        <v>141.028417600479</v>
      </c>
      <c r="I4440" s="1">
        <f t="shared" si="139"/>
        <v>170.470048515408</v>
      </c>
    </row>
    <row r="4441" spans="1:9" x14ac:dyDescent="0.45">
      <c r="A4441" t="s">
        <v>26</v>
      </c>
      <c r="B4441" t="s">
        <v>80</v>
      </c>
      <c r="C4441" t="str">
        <f t="shared" si="138"/>
        <v>Grand CanyonWofford</v>
      </c>
      <c r="D4441" t="s">
        <v>26</v>
      </c>
      <c r="E4441">
        <v>82.3</v>
      </c>
      <c r="F4441">
        <v>-10.0641509433962</v>
      </c>
      <c r="G4441">
        <v>-464.23965359675799</v>
      </c>
      <c r="H4441">
        <v>139.680385846783</v>
      </c>
      <c r="I4441" s="1">
        <f t="shared" si="139"/>
        <v>151.48829810125565</v>
      </c>
    </row>
    <row r="4442" spans="1:9" x14ac:dyDescent="0.45">
      <c r="A4442" t="s">
        <v>27</v>
      </c>
      <c r="B4442" t="s">
        <v>80</v>
      </c>
      <c r="C4442" t="str">
        <f t="shared" si="138"/>
        <v>High PointWofford</v>
      </c>
      <c r="D4442" t="s">
        <v>27</v>
      </c>
      <c r="E4442">
        <v>75.3</v>
      </c>
      <c r="F4442">
        <v>-7.2905660377358501</v>
      </c>
      <c r="G4442">
        <v>-304.13483398071401</v>
      </c>
      <c r="H4442">
        <v>139.961277594439</v>
      </c>
      <c r="I4442" s="1">
        <f t="shared" si="139"/>
        <v>155.44355882325468</v>
      </c>
    </row>
    <row r="4443" spans="1:9" x14ac:dyDescent="0.45">
      <c r="A4443" t="s">
        <v>28</v>
      </c>
      <c r="B4443" t="s">
        <v>80</v>
      </c>
      <c r="C4443" t="str">
        <f t="shared" si="138"/>
        <v>HoustonWofford</v>
      </c>
      <c r="D4443" t="s">
        <v>28</v>
      </c>
      <c r="E4443">
        <v>99.9</v>
      </c>
      <c r="F4443">
        <v>-42.905660377358501</v>
      </c>
      <c r="G4443">
        <v>-69594.060522221494</v>
      </c>
      <c r="H4443">
        <v>142.16887103029299</v>
      </c>
      <c r="I4443" s="1">
        <f t="shared" si="139"/>
        <v>186.52887079785023</v>
      </c>
    </row>
    <row r="4444" spans="1:9" x14ac:dyDescent="0.45">
      <c r="A4444" t="s">
        <v>29</v>
      </c>
      <c r="B4444" t="s">
        <v>80</v>
      </c>
      <c r="C4444" t="str">
        <f t="shared" si="138"/>
        <v>IllinoisWofford</v>
      </c>
      <c r="D4444" t="s">
        <v>29</v>
      </c>
      <c r="E4444">
        <v>98.6</v>
      </c>
      <c r="F4444">
        <v>-27.796226415094299</v>
      </c>
      <c r="G4444">
        <v>-6941.7589409399598</v>
      </c>
      <c r="H4444">
        <v>140.21911618422899</v>
      </c>
      <c r="I4444" s="1">
        <f t="shared" si="139"/>
        <v>159.07420605772214</v>
      </c>
    </row>
    <row r="4445" spans="1:9" x14ac:dyDescent="0.45">
      <c r="A4445" t="s">
        <v>30</v>
      </c>
      <c r="B4445" t="s">
        <v>80</v>
      </c>
      <c r="C4445" t="str">
        <f t="shared" si="138"/>
        <v>Iowa St.Wofford</v>
      </c>
      <c r="D4445" t="s">
        <v>30</v>
      </c>
      <c r="E4445">
        <v>99.3</v>
      </c>
      <c r="F4445">
        <v>-32.679245283018901</v>
      </c>
      <c r="G4445">
        <v>-14622.1053094976</v>
      </c>
      <c r="H4445">
        <v>141.14538476258801</v>
      </c>
      <c r="I4445" s="1">
        <f t="shared" si="139"/>
        <v>172.11707312867651</v>
      </c>
    </row>
    <row r="4446" spans="1:9" x14ac:dyDescent="0.45">
      <c r="A4446" t="s">
        <v>31</v>
      </c>
      <c r="B4446" t="s">
        <v>80</v>
      </c>
      <c r="C4446" t="str">
        <f t="shared" si="138"/>
        <v>KansasWofford</v>
      </c>
      <c r="D4446" t="s">
        <v>31</v>
      </c>
      <c r="E4446">
        <v>97.7</v>
      </c>
      <c r="F4446">
        <v>-24.577358490565999</v>
      </c>
      <c r="G4446">
        <v>-4248.1360872630303</v>
      </c>
      <c r="H4446">
        <v>140.100775046899</v>
      </c>
      <c r="I4446" s="1">
        <f t="shared" si="139"/>
        <v>157.40783438185775</v>
      </c>
    </row>
    <row r="4447" spans="1:9" x14ac:dyDescent="0.45">
      <c r="A4447" t="s">
        <v>32</v>
      </c>
      <c r="B4447" t="s">
        <v>80</v>
      </c>
      <c r="C4447" t="str">
        <f t="shared" si="138"/>
        <v>KentuckyWofford</v>
      </c>
      <c r="D4447" t="s">
        <v>32</v>
      </c>
      <c r="E4447">
        <v>98.6</v>
      </c>
      <c r="F4447">
        <v>-28.003773584905701</v>
      </c>
      <c r="G4447">
        <v>-7166.51121380312</v>
      </c>
      <c r="H4447">
        <v>140.04781264729201</v>
      </c>
      <c r="I4447" s="1">
        <f t="shared" si="139"/>
        <v>156.66206630338462</v>
      </c>
    </row>
    <row r="4448" spans="1:9" x14ac:dyDescent="0.45">
      <c r="A4448" t="s">
        <v>33</v>
      </c>
      <c r="B4448" t="s">
        <v>80</v>
      </c>
      <c r="C4448" t="str">
        <f t="shared" si="138"/>
        <v>LibertyWofford</v>
      </c>
      <c r="D4448" t="s">
        <v>33</v>
      </c>
      <c r="E4448">
        <v>66.599999999999994</v>
      </c>
      <c r="F4448">
        <v>-4.51698113207547</v>
      </c>
      <c r="G4448">
        <v>-199.13504957562199</v>
      </c>
      <c r="H4448">
        <v>139.25674889569001</v>
      </c>
      <c r="I4448" s="1">
        <f t="shared" si="139"/>
        <v>145.52302996138295</v>
      </c>
    </row>
    <row r="4449" spans="1:9" x14ac:dyDescent="0.45">
      <c r="A4449" t="s">
        <v>34</v>
      </c>
      <c r="B4449" t="s">
        <v>80</v>
      </c>
      <c r="C4449" t="str">
        <f t="shared" si="138"/>
        <v>LipscombWofford</v>
      </c>
      <c r="D4449" t="s">
        <v>34</v>
      </c>
      <c r="E4449">
        <v>60.4</v>
      </c>
      <c r="F4449">
        <v>-2.7735849056603801</v>
      </c>
      <c r="G4449">
        <v>-152.657398531615</v>
      </c>
      <c r="H4449">
        <v>139.68866912694801</v>
      </c>
      <c r="I4449" s="1">
        <f t="shared" si="139"/>
        <v>151.60493567768646</v>
      </c>
    </row>
    <row r="4450" spans="1:9" x14ac:dyDescent="0.45">
      <c r="A4450" t="s">
        <v>35</v>
      </c>
      <c r="B4450" t="s">
        <v>80</v>
      </c>
      <c r="C4450" t="str">
        <f t="shared" si="138"/>
        <v>LouisvilleWofford</v>
      </c>
      <c r="D4450" t="s">
        <v>35</v>
      </c>
      <c r="E4450">
        <v>79.5</v>
      </c>
      <c r="F4450">
        <v>-8.8792452830188697</v>
      </c>
      <c r="G4450">
        <v>-387.553022877101</v>
      </c>
      <c r="H4450">
        <v>138.974392438916</v>
      </c>
      <c r="I4450" s="1">
        <f t="shared" si="139"/>
        <v>141.54714454502403</v>
      </c>
    </row>
    <row r="4451" spans="1:9" x14ac:dyDescent="0.45">
      <c r="A4451" t="s">
        <v>36</v>
      </c>
      <c r="B4451" t="s">
        <v>80</v>
      </c>
      <c r="C4451" t="str">
        <f t="shared" si="138"/>
        <v>MarquetteWofford</v>
      </c>
      <c r="D4451" t="s">
        <v>36</v>
      </c>
      <c r="E4451">
        <v>98.2</v>
      </c>
      <c r="F4451">
        <v>-26.2264150943396</v>
      </c>
      <c r="G4451">
        <v>-5463.0671011262903</v>
      </c>
      <c r="H4451">
        <v>140.30614907382099</v>
      </c>
      <c r="I4451" s="1">
        <f t="shared" si="139"/>
        <v>160.29972361955123</v>
      </c>
    </row>
    <row r="4452" spans="1:9" x14ac:dyDescent="0.45">
      <c r="A4452" t="s">
        <v>37</v>
      </c>
      <c r="B4452" t="s">
        <v>80</v>
      </c>
      <c r="C4452" t="str">
        <f t="shared" si="138"/>
        <v>MarylandWofford</v>
      </c>
      <c r="D4452" t="s">
        <v>37</v>
      </c>
      <c r="E4452">
        <v>97.4</v>
      </c>
      <c r="F4452">
        <v>-23.683018867924499</v>
      </c>
      <c r="G4452">
        <v>-3705.8870346756098</v>
      </c>
      <c r="H4452">
        <v>139.91608838549999</v>
      </c>
      <c r="I4452" s="1">
        <f t="shared" si="139"/>
        <v>154.80724570737931</v>
      </c>
    </row>
    <row r="4453" spans="1:9" x14ac:dyDescent="0.45">
      <c r="A4453" t="s">
        <v>38</v>
      </c>
      <c r="B4453" t="s">
        <v>80</v>
      </c>
      <c r="C4453" t="str">
        <f t="shared" si="138"/>
        <v>McNeese St.Wofford</v>
      </c>
      <c r="D4453" t="s">
        <v>38</v>
      </c>
      <c r="E4453">
        <v>86.8</v>
      </c>
      <c r="F4453">
        <v>-12.373584905660399</v>
      </c>
      <c r="G4453">
        <v>-660.302611932589</v>
      </c>
      <c r="H4453">
        <v>139.751499999701</v>
      </c>
      <c r="I4453" s="1">
        <f t="shared" si="139"/>
        <v>152.48966257052894</v>
      </c>
    </row>
    <row r="4454" spans="1:9" x14ac:dyDescent="0.45">
      <c r="A4454" t="s">
        <v>39</v>
      </c>
      <c r="B4454" t="s">
        <v>80</v>
      </c>
      <c r="C4454" t="str">
        <f t="shared" si="138"/>
        <v>MemphisWofford</v>
      </c>
      <c r="D4454" t="s">
        <v>39</v>
      </c>
      <c r="E4454">
        <v>95</v>
      </c>
      <c r="F4454">
        <v>-19.294339622641498</v>
      </c>
      <c r="G4454">
        <v>-1898.12877242082</v>
      </c>
      <c r="H4454">
        <v>138.89372319852001</v>
      </c>
      <c r="I4454" s="1">
        <f t="shared" si="139"/>
        <v>140.41123407177469</v>
      </c>
    </row>
    <row r="4455" spans="1:9" x14ac:dyDescent="0.45">
      <c r="A4455" t="s">
        <v>40</v>
      </c>
      <c r="B4455" t="s">
        <v>80</v>
      </c>
      <c r="C4455" t="str">
        <f t="shared" si="138"/>
        <v>MichiganWofford</v>
      </c>
      <c r="D4455" t="s">
        <v>40</v>
      </c>
      <c r="E4455">
        <v>90.9</v>
      </c>
      <c r="F4455">
        <v>-15.1056603773585</v>
      </c>
      <c r="G4455">
        <v>-1001.97441664736</v>
      </c>
      <c r="H4455">
        <v>138.55064428320301</v>
      </c>
      <c r="I4455" s="1">
        <f t="shared" si="139"/>
        <v>135.58031052338634</v>
      </c>
    </row>
    <row r="4456" spans="1:9" x14ac:dyDescent="0.45">
      <c r="A4456" t="s">
        <v>41</v>
      </c>
      <c r="B4456" t="s">
        <v>80</v>
      </c>
      <c r="C4456" t="str">
        <f t="shared" si="138"/>
        <v>Michigan St.Wofford</v>
      </c>
      <c r="D4456" t="s">
        <v>41</v>
      </c>
      <c r="E4456">
        <v>99</v>
      </c>
      <c r="F4456">
        <v>-29.932075471698099</v>
      </c>
      <c r="G4456">
        <v>-9614.5833349242694</v>
      </c>
      <c r="H4456">
        <v>140.24953624403199</v>
      </c>
      <c r="I4456" s="1">
        <f t="shared" si="139"/>
        <v>159.50255352148241</v>
      </c>
    </row>
    <row r="4457" spans="1:9" x14ac:dyDescent="0.45">
      <c r="A4457" t="s">
        <v>42</v>
      </c>
      <c r="B4457" t="s">
        <v>80</v>
      </c>
      <c r="C4457" t="str">
        <f t="shared" si="138"/>
        <v>MississippiWofford</v>
      </c>
      <c r="D4457" t="s">
        <v>42</v>
      </c>
      <c r="E4457">
        <v>96.1</v>
      </c>
      <c r="F4457">
        <v>-21.018867924528301</v>
      </c>
      <c r="G4457">
        <v>-2469.5144842545801</v>
      </c>
      <c r="H4457">
        <v>139.380457349127</v>
      </c>
      <c r="I4457" s="1">
        <f t="shared" si="139"/>
        <v>147.26497927438945</v>
      </c>
    </row>
    <row r="4458" spans="1:9" x14ac:dyDescent="0.45">
      <c r="A4458" t="s">
        <v>43</v>
      </c>
      <c r="B4458" t="s">
        <v>80</v>
      </c>
      <c r="C4458" t="str">
        <f t="shared" si="138"/>
        <v>Mississippi St.Wofford</v>
      </c>
      <c r="D4458" t="s">
        <v>43</v>
      </c>
      <c r="E4458">
        <v>94.9</v>
      </c>
      <c r="F4458">
        <v>-19.1698113207547</v>
      </c>
      <c r="G4458">
        <v>-1862.60298988471</v>
      </c>
      <c r="H4458">
        <v>139.504828702916</v>
      </c>
      <c r="I4458" s="1">
        <f t="shared" si="139"/>
        <v>149.01626294394717</v>
      </c>
    </row>
    <row r="4459" spans="1:9" x14ac:dyDescent="0.45">
      <c r="A4459" t="s">
        <v>44</v>
      </c>
      <c r="B4459" t="s">
        <v>80</v>
      </c>
      <c r="C4459" t="str">
        <f t="shared" si="138"/>
        <v>MissouriWofford</v>
      </c>
      <c r="D4459" t="s">
        <v>44</v>
      </c>
      <c r="E4459">
        <v>89.1</v>
      </c>
      <c r="F4459">
        <v>-13.7584905660377</v>
      </c>
      <c r="G4459">
        <v>-815.68289425082298</v>
      </c>
      <c r="H4459">
        <v>138.76930063909001</v>
      </c>
      <c r="I4459" s="1">
        <f t="shared" si="139"/>
        <v>138.65922937120669</v>
      </c>
    </row>
    <row r="4460" spans="1:9" x14ac:dyDescent="0.45">
      <c r="A4460" t="s">
        <v>45</v>
      </c>
      <c r="B4460" t="s">
        <v>80</v>
      </c>
      <c r="C4460" t="str">
        <f t="shared" si="138"/>
        <v>MontanaWofford</v>
      </c>
      <c r="D4460" t="s">
        <v>80</v>
      </c>
      <c r="E4460">
        <v>44.3</v>
      </c>
      <c r="F4460">
        <v>1.4981132075471699</v>
      </c>
      <c r="G4460">
        <v>125.68131533132799</v>
      </c>
      <c r="H4460">
        <v>138.07803536410901</v>
      </c>
      <c r="I4460" s="1">
        <f t="shared" si="139"/>
        <v>128.92546391376587</v>
      </c>
    </row>
    <row r="4461" spans="1:9" x14ac:dyDescent="0.45">
      <c r="A4461" t="s">
        <v>46</v>
      </c>
      <c r="B4461" t="s">
        <v>80</v>
      </c>
      <c r="C4461" t="str">
        <f t="shared" si="138"/>
        <v>Mount St. Mary'sWofford</v>
      </c>
      <c r="D4461" t="s">
        <v>80</v>
      </c>
      <c r="E4461">
        <v>23.8</v>
      </c>
      <c r="F4461">
        <v>7.6150943396226403</v>
      </c>
      <c r="G4461">
        <v>319.50040507731001</v>
      </c>
      <c r="H4461">
        <v>139.42590958605601</v>
      </c>
      <c r="I4461" s="1">
        <f t="shared" si="139"/>
        <v>147.90499610988746</v>
      </c>
    </row>
    <row r="4462" spans="1:9" x14ac:dyDescent="0.45">
      <c r="A4462" t="s">
        <v>47</v>
      </c>
      <c r="B4462" t="s">
        <v>80</v>
      </c>
      <c r="C4462" t="str">
        <f t="shared" si="138"/>
        <v>Nebraska OmahaWofford</v>
      </c>
      <c r="D4462" t="s">
        <v>80</v>
      </c>
      <c r="E4462">
        <v>28.9</v>
      </c>
      <c r="F4462">
        <v>5.8981132075471701</v>
      </c>
      <c r="G4462">
        <v>245.92407670418001</v>
      </c>
      <c r="H4462">
        <v>138.70991076595499</v>
      </c>
      <c r="I4462" s="1">
        <f t="shared" si="139"/>
        <v>137.82295548827611</v>
      </c>
    </row>
    <row r="4463" spans="1:9" x14ac:dyDescent="0.45">
      <c r="A4463" t="s">
        <v>48</v>
      </c>
      <c r="B4463" t="s">
        <v>80</v>
      </c>
      <c r="C4463" t="str">
        <f t="shared" si="138"/>
        <v>New MexicoWofford</v>
      </c>
      <c r="D4463" t="s">
        <v>48</v>
      </c>
      <c r="E4463">
        <v>91.2</v>
      </c>
      <c r="F4463">
        <v>-15.3471698113208</v>
      </c>
      <c r="G4463">
        <v>-1039.5238965470801</v>
      </c>
      <c r="H4463">
        <v>139.58765511323099</v>
      </c>
      <c r="I4463" s="1">
        <f t="shared" si="139"/>
        <v>150.18254871131785</v>
      </c>
    </row>
    <row r="4464" spans="1:9" x14ac:dyDescent="0.45">
      <c r="A4464" t="s">
        <v>49</v>
      </c>
      <c r="B4464" t="s">
        <v>80</v>
      </c>
      <c r="C4464" t="str">
        <f t="shared" si="138"/>
        <v>Norfolk St.Wofford</v>
      </c>
      <c r="D4464" t="s">
        <v>80</v>
      </c>
      <c r="E4464">
        <v>37.4</v>
      </c>
      <c r="F4464">
        <v>3.3660377358490599</v>
      </c>
      <c r="G4464">
        <v>167.116146954036</v>
      </c>
      <c r="H4464">
        <v>138.60001877543201</v>
      </c>
      <c r="I4464" s="1">
        <f t="shared" si="139"/>
        <v>136.27555697121414</v>
      </c>
    </row>
    <row r="4465" spans="1:9" x14ac:dyDescent="0.45">
      <c r="A4465" t="s">
        <v>50</v>
      </c>
      <c r="B4465" t="s">
        <v>80</v>
      </c>
      <c r="C4465" t="str">
        <f t="shared" si="138"/>
        <v>North CarolinaWofford</v>
      </c>
      <c r="D4465" t="s">
        <v>50</v>
      </c>
      <c r="E4465">
        <v>97.3</v>
      </c>
      <c r="F4465">
        <v>-23.388679245283001</v>
      </c>
      <c r="G4465">
        <v>-3544.2758074841499</v>
      </c>
      <c r="H4465">
        <v>140.67195020738799</v>
      </c>
      <c r="I4465" s="1">
        <f t="shared" si="139"/>
        <v>165.45060066643472</v>
      </c>
    </row>
    <row r="4466" spans="1:9" x14ac:dyDescent="0.45">
      <c r="A4466" t="s">
        <v>51</v>
      </c>
      <c r="B4466" t="s">
        <v>80</v>
      </c>
      <c r="C4466" t="str">
        <f t="shared" si="138"/>
        <v>OklahomaWofford</v>
      </c>
      <c r="D4466" t="s">
        <v>51</v>
      </c>
      <c r="E4466">
        <v>92.1</v>
      </c>
      <c r="F4466">
        <v>-16.083018867924501</v>
      </c>
      <c r="G4466">
        <v>-1162.83739186602</v>
      </c>
      <c r="H4466">
        <v>139.01455350289299</v>
      </c>
      <c r="I4466" s="1">
        <f t="shared" si="139"/>
        <v>142.11265592165742</v>
      </c>
    </row>
    <row r="4467" spans="1:9" x14ac:dyDescent="0.45">
      <c r="A4467" t="s">
        <v>52</v>
      </c>
      <c r="B4467" t="s">
        <v>80</v>
      </c>
      <c r="C4467" t="str">
        <f t="shared" si="138"/>
        <v>OregonWofford</v>
      </c>
      <c r="D4467" t="s">
        <v>52</v>
      </c>
      <c r="E4467">
        <v>97.5</v>
      </c>
      <c r="F4467">
        <v>-23.909433962264199</v>
      </c>
      <c r="G4467">
        <v>-3836.5723717966098</v>
      </c>
      <c r="H4467">
        <v>139.608931291033</v>
      </c>
      <c r="I4467" s="1">
        <f t="shared" si="139"/>
        <v>150.48214039059212</v>
      </c>
    </row>
    <row r="4468" spans="1:9" x14ac:dyDescent="0.45">
      <c r="A4468" t="s">
        <v>53</v>
      </c>
      <c r="B4468" t="s">
        <v>80</v>
      </c>
      <c r="C4468" t="str">
        <f t="shared" si="138"/>
        <v>PurdueWofford</v>
      </c>
      <c r="D4468" t="s">
        <v>53</v>
      </c>
      <c r="E4468">
        <v>99.5</v>
      </c>
      <c r="F4468">
        <v>-34.818867924528298</v>
      </c>
      <c r="G4468">
        <v>-20265.207988014201</v>
      </c>
      <c r="H4468">
        <v>140.956918619823</v>
      </c>
      <c r="I4468" s="1">
        <f t="shared" si="139"/>
        <v>169.4632652538435</v>
      </c>
    </row>
    <row r="4469" spans="1:9" x14ac:dyDescent="0.45">
      <c r="A4469" t="s">
        <v>54</v>
      </c>
      <c r="B4469" t="s">
        <v>80</v>
      </c>
      <c r="C4469" t="str">
        <f t="shared" si="138"/>
        <v>Robert MorrisWofford</v>
      </c>
      <c r="D4469" t="s">
        <v>80</v>
      </c>
      <c r="E4469">
        <v>19.899999999999999</v>
      </c>
      <c r="F4469">
        <v>9.1245283018867909</v>
      </c>
      <c r="G4469">
        <v>402.18874790353999</v>
      </c>
      <c r="H4469">
        <v>138.01555546858501</v>
      </c>
      <c r="I4469" s="1">
        <f t="shared" si="139"/>
        <v>128.0456791613019</v>
      </c>
    </row>
    <row r="4470" spans="1:9" x14ac:dyDescent="0.45">
      <c r="A4470" t="s">
        <v>55</v>
      </c>
      <c r="B4470" t="s">
        <v>80</v>
      </c>
      <c r="C4470" t="str">
        <f t="shared" si="138"/>
        <v>Saint FrancisWofford</v>
      </c>
      <c r="D4470" t="s">
        <v>80</v>
      </c>
      <c r="E4470">
        <v>14.1</v>
      </c>
      <c r="F4470">
        <v>11.849056603773599</v>
      </c>
      <c r="G4470">
        <v>609.59982906428604</v>
      </c>
      <c r="H4470">
        <v>139.06841100179199</v>
      </c>
      <c r="I4470" s="1">
        <f t="shared" si="139"/>
        <v>142.87102796981443</v>
      </c>
    </row>
    <row r="4471" spans="1:9" x14ac:dyDescent="0.45">
      <c r="A4471" t="s">
        <v>56</v>
      </c>
      <c r="B4471" t="s">
        <v>80</v>
      </c>
      <c r="C4471" t="str">
        <f t="shared" si="138"/>
        <v>Saint Mary'sWofford</v>
      </c>
      <c r="D4471" t="s">
        <v>56</v>
      </c>
      <c r="E4471">
        <v>97</v>
      </c>
      <c r="F4471">
        <v>-22.864150943396201</v>
      </c>
      <c r="G4471">
        <v>-3272.19245198096</v>
      </c>
      <c r="H4471">
        <v>140.31966620288301</v>
      </c>
      <c r="I4471" s="1">
        <f t="shared" si="139"/>
        <v>160.49005946992548</v>
      </c>
    </row>
    <row r="4472" spans="1:9" x14ac:dyDescent="0.45">
      <c r="A4472" t="s">
        <v>57</v>
      </c>
      <c r="B4472" t="s">
        <v>80</v>
      </c>
      <c r="C4472" t="str">
        <f t="shared" si="138"/>
        <v>San Diego St.Wofford</v>
      </c>
      <c r="D4472" t="s">
        <v>57</v>
      </c>
      <c r="E4472">
        <v>90.5</v>
      </c>
      <c r="F4472">
        <v>-14.7735849056604</v>
      </c>
      <c r="G4472">
        <v>-952.13329563968</v>
      </c>
      <c r="H4472">
        <v>139.46592108268001</v>
      </c>
      <c r="I4472" s="1">
        <f t="shared" si="139"/>
        <v>148.46840141583164</v>
      </c>
    </row>
    <row r="4473" spans="1:9" x14ac:dyDescent="0.45">
      <c r="A4473" t="s">
        <v>58</v>
      </c>
      <c r="B4473" t="s">
        <v>80</v>
      </c>
      <c r="C4473" t="str">
        <f t="shared" si="138"/>
        <v>SIU EdwardsvilleWofford</v>
      </c>
      <c r="D4473" t="s">
        <v>80</v>
      </c>
      <c r="E4473">
        <v>32.4</v>
      </c>
      <c r="F4473">
        <v>4.8264150943396196</v>
      </c>
      <c r="G4473">
        <v>208.77534806387899</v>
      </c>
      <c r="H4473">
        <v>139.61360884952899</v>
      </c>
      <c r="I4473" s="1">
        <f t="shared" si="139"/>
        <v>150.54800549182207</v>
      </c>
    </row>
    <row r="4474" spans="1:9" x14ac:dyDescent="0.45">
      <c r="A4474" t="s">
        <v>59</v>
      </c>
      <c r="B4474" t="s">
        <v>80</v>
      </c>
      <c r="C4474" t="str">
        <f t="shared" si="138"/>
        <v>St. John'sWofford</v>
      </c>
      <c r="D4474" t="s">
        <v>59</v>
      </c>
      <c r="E4474">
        <v>99</v>
      </c>
      <c r="F4474">
        <v>-30.332075471698101</v>
      </c>
      <c r="G4474">
        <v>-10221.8214634983</v>
      </c>
      <c r="H4474">
        <v>140.59129162207401</v>
      </c>
      <c r="I4474" s="1">
        <f t="shared" si="139"/>
        <v>164.31484022830642</v>
      </c>
    </row>
    <row r="4475" spans="1:9" x14ac:dyDescent="0.45">
      <c r="A4475" t="s">
        <v>60</v>
      </c>
      <c r="B4475" t="s">
        <v>80</v>
      </c>
      <c r="C4475" t="str">
        <f t="shared" si="138"/>
        <v>TennesseeWofford</v>
      </c>
      <c r="D4475" t="s">
        <v>60</v>
      </c>
      <c r="E4475">
        <v>99.5</v>
      </c>
      <c r="F4475">
        <v>-34.879245283018903</v>
      </c>
      <c r="G4475">
        <v>-20448.795863106599</v>
      </c>
      <c r="H4475">
        <v>141.18527449876501</v>
      </c>
      <c r="I4475" s="1">
        <f t="shared" si="139"/>
        <v>172.67876391535287</v>
      </c>
    </row>
    <row r="4476" spans="1:9" x14ac:dyDescent="0.45">
      <c r="A4476" t="s">
        <v>61</v>
      </c>
      <c r="B4476" t="s">
        <v>80</v>
      </c>
      <c r="C4476" t="str">
        <f t="shared" si="138"/>
        <v>TexasWofford</v>
      </c>
      <c r="D4476" t="s">
        <v>61</v>
      </c>
      <c r="E4476">
        <v>89.3</v>
      </c>
      <c r="F4476">
        <v>-13.9245283018868</v>
      </c>
      <c r="G4476">
        <v>-836.56756937499495</v>
      </c>
      <c r="H4476">
        <v>138.940989029837</v>
      </c>
      <c r="I4476" s="1">
        <f t="shared" si="139"/>
        <v>141.07678828495747</v>
      </c>
    </row>
    <row r="4477" spans="1:9" x14ac:dyDescent="0.45">
      <c r="A4477" t="s">
        <v>62</v>
      </c>
      <c r="B4477" t="s">
        <v>80</v>
      </c>
      <c r="C4477" t="str">
        <f t="shared" si="138"/>
        <v>Texas A&amp;MWofford</v>
      </c>
      <c r="D4477" t="s">
        <v>62</v>
      </c>
      <c r="E4477">
        <v>98</v>
      </c>
      <c r="F4477">
        <v>-25.4188679245283</v>
      </c>
      <c r="G4477">
        <v>-4831.7215455385403</v>
      </c>
      <c r="H4477">
        <v>139.73878805743001</v>
      </c>
      <c r="I4477" s="1">
        <f t="shared" si="139"/>
        <v>152.31066462422291</v>
      </c>
    </row>
    <row r="4478" spans="1:9" x14ac:dyDescent="0.45">
      <c r="A4478" t="s">
        <v>63</v>
      </c>
      <c r="B4478" t="s">
        <v>80</v>
      </c>
      <c r="C4478" t="str">
        <f t="shared" si="138"/>
        <v>Texas TechWofford</v>
      </c>
      <c r="D4478" t="s">
        <v>63</v>
      </c>
      <c r="E4478">
        <v>99</v>
      </c>
      <c r="F4478">
        <v>-29.871698113207501</v>
      </c>
      <c r="G4478">
        <v>-9528.3659987032297</v>
      </c>
      <c r="H4478">
        <v>140.77857217649401</v>
      </c>
      <c r="I4478" s="1">
        <f t="shared" si="139"/>
        <v>166.95195373225596</v>
      </c>
    </row>
    <row r="4479" spans="1:9" x14ac:dyDescent="0.45">
      <c r="A4479" t="s">
        <v>64</v>
      </c>
      <c r="B4479" t="s">
        <v>80</v>
      </c>
      <c r="C4479" t="str">
        <f t="shared" si="138"/>
        <v>TroyWofford</v>
      </c>
      <c r="D4479" t="s">
        <v>64</v>
      </c>
      <c r="E4479">
        <v>57.3</v>
      </c>
      <c r="F4479">
        <v>-1.92452830188679</v>
      </c>
      <c r="G4479">
        <v>-134.139760220054</v>
      </c>
      <c r="H4479">
        <v>139.482136596224</v>
      </c>
      <c r="I4479" s="1">
        <f t="shared" si="139"/>
        <v>148.69673344887556</v>
      </c>
    </row>
    <row r="4480" spans="1:9" x14ac:dyDescent="0.45">
      <c r="A4480" t="s">
        <v>65</v>
      </c>
      <c r="B4480" t="s">
        <v>80</v>
      </c>
      <c r="C4480" t="str">
        <f t="shared" si="138"/>
        <v>UC San DiegoWofford</v>
      </c>
      <c r="D4480" t="s">
        <v>65</v>
      </c>
      <c r="E4480">
        <v>77.400000000000006</v>
      </c>
      <c r="F4480">
        <v>-8.0867924528301902</v>
      </c>
      <c r="G4480">
        <v>-343.32363707788301</v>
      </c>
      <c r="H4480">
        <v>139.57025833961501</v>
      </c>
      <c r="I4480" s="1">
        <f t="shared" si="139"/>
        <v>149.93758325417281</v>
      </c>
    </row>
    <row r="4481" spans="1:9" x14ac:dyDescent="0.45">
      <c r="A4481" t="s">
        <v>66</v>
      </c>
      <c r="B4481" t="s">
        <v>80</v>
      </c>
      <c r="C4481" t="str">
        <f t="shared" si="138"/>
        <v>UCLAWofford</v>
      </c>
      <c r="D4481" t="s">
        <v>66</v>
      </c>
      <c r="E4481">
        <v>93.2</v>
      </c>
      <c r="F4481">
        <v>-17.132075471698101</v>
      </c>
      <c r="G4481">
        <v>-1364.2892853497201</v>
      </c>
      <c r="H4481">
        <v>139.04171285272301</v>
      </c>
      <c r="I4481" s="1">
        <f t="shared" si="139"/>
        <v>142.49508904941609</v>
      </c>
    </row>
    <row r="4482" spans="1:9" x14ac:dyDescent="0.45">
      <c r="A4482" t="s">
        <v>67</v>
      </c>
      <c r="B4482" t="s">
        <v>80</v>
      </c>
      <c r="C4482" t="str">
        <f t="shared" si="138"/>
        <v>UNC WilmingtonWofford</v>
      </c>
      <c r="D4482" t="s">
        <v>67</v>
      </c>
      <c r="E4482">
        <v>67.3</v>
      </c>
      <c r="F4482">
        <v>-4.7245283018867896</v>
      </c>
      <c r="G4482">
        <v>-205.62007581223901</v>
      </c>
      <c r="H4482">
        <v>140.15672852664301</v>
      </c>
      <c r="I4482" s="1">
        <f t="shared" si="139"/>
        <v>158.19572011555206</v>
      </c>
    </row>
    <row r="4483" spans="1:9" x14ac:dyDescent="0.45">
      <c r="A4483" t="s">
        <v>68</v>
      </c>
      <c r="B4483" t="s">
        <v>80</v>
      </c>
      <c r="C4483" t="str">
        <f t="shared" ref="C4483:C4546" si="140">A4483&amp;B4483</f>
        <v>Utah St.Wofford</v>
      </c>
      <c r="D4483" t="s">
        <v>68</v>
      </c>
      <c r="E4483">
        <v>91.3</v>
      </c>
      <c r="F4483">
        <v>-15.3698113207547</v>
      </c>
      <c r="G4483">
        <v>-1042.90445055551</v>
      </c>
      <c r="H4483">
        <v>139.52809893047001</v>
      </c>
      <c r="I4483" s="1">
        <f t="shared" ref="I4483:I4546" si="141">18*(H4483-AVERAGE($H$2:$H$4625))/_xlfn.STDEV.P($H$2:$H$4625)+AVERAGE($H$2:$H$4625)</f>
        <v>149.34393300832039</v>
      </c>
    </row>
    <row r="4484" spans="1:9" x14ac:dyDescent="0.45">
      <c r="A4484" t="s">
        <v>69</v>
      </c>
      <c r="B4484" t="s">
        <v>80</v>
      </c>
      <c r="C4484" t="str">
        <f t="shared" si="140"/>
        <v>VanderbiltWofford</v>
      </c>
      <c r="D4484" t="s">
        <v>69</v>
      </c>
      <c r="E4484">
        <v>69</v>
      </c>
      <c r="F4484">
        <v>-5.24905660377358</v>
      </c>
      <c r="G4484">
        <v>-222.666320005541</v>
      </c>
      <c r="H4484">
        <v>138.10266941906801</v>
      </c>
      <c r="I4484" s="1">
        <f t="shared" si="141"/>
        <v>129.27233814846997</v>
      </c>
    </row>
    <row r="4485" spans="1:9" x14ac:dyDescent="0.45">
      <c r="A4485" t="s">
        <v>70</v>
      </c>
      <c r="B4485" t="s">
        <v>80</v>
      </c>
      <c r="C4485" t="str">
        <f t="shared" si="140"/>
        <v>VCUWofford</v>
      </c>
      <c r="D4485" t="s">
        <v>70</v>
      </c>
      <c r="E4485">
        <v>87.2</v>
      </c>
      <c r="F4485">
        <v>-12.5962264150943</v>
      </c>
      <c r="G4485">
        <v>-682.94321394429903</v>
      </c>
      <c r="H4485">
        <v>139.94758058094399</v>
      </c>
      <c r="I4485" s="1">
        <f t="shared" si="141"/>
        <v>155.25069000479499</v>
      </c>
    </row>
    <row r="4486" spans="1:9" x14ac:dyDescent="0.45">
      <c r="A4486" t="s">
        <v>71</v>
      </c>
      <c r="B4486" t="s">
        <v>80</v>
      </c>
      <c r="C4486" t="str">
        <f t="shared" si="140"/>
        <v>WisconsinWofford</v>
      </c>
      <c r="D4486" t="s">
        <v>71</v>
      </c>
      <c r="E4486">
        <v>98.8</v>
      </c>
      <c r="F4486">
        <v>-29.0566037735849</v>
      </c>
      <c r="G4486">
        <v>-8414.44398907307</v>
      </c>
      <c r="H4486">
        <v>140.74825943621099</v>
      </c>
      <c r="I4486" s="1">
        <f t="shared" si="141"/>
        <v>166.52511744383486</v>
      </c>
    </row>
    <row r="4487" spans="1:9" x14ac:dyDescent="0.45">
      <c r="A4487" t="s">
        <v>80</v>
      </c>
      <c r="B4487" t="s">
        <v>80</v>
      </c>
      <c r="C4487" t="str">
        <f t="shared" si="140"/>
        <v>WoffordWofford</v>
      </c>
      <c r="D4487" t="s">
        <v>80</v>
      </c>
      <c r="E4487">
        <v>41.2</v>
      </c>
      <c r="F4487">
        <v>2.3283018867924499</v>
      </c>
      <c r="G4487">
        <v>142.64273539779199</v>
      </c>
      <c r="H4487">
        <v>138.77771517530499</v>
      </c>
      <c r="I4487" s="1">
        <f t="shared" si="141"/>
        <v>138.77771517530277</v>
      </c>
    </row>
    <row r="4488" spans="1:9" x14ac:dyDescent="0.45">
      <c r="A4488" t="s">
        <v>72</v>
      </c>
      <c r="B4488" t="s">
        <v>80</v>
      </c>
      <c r="C4488" t="str">
        <f t="shared" si="140"/>
        <v>XavierWofford</v>
      </c>
      <c r="D4488" t="s">
        <v>72</v>
      </c>
      <c r="E4488">
        <v>87.1</v>
      </c>
      <c r="F4488">
        <v>-12.5169811320755</v>
      </c>
      <c r="G4488">
        <v>-675.040586655369</v>
      </c>
      <c r="H4488">
        <v>139.353628745457</v>
      </c>
      <c r="I4488" s="1">
        <f t="shared" si="141"/>
        <v>146.88720341159703</v>
      </c>
    </row>
    <row r="4489" spans="1:9" x14ac:dyDescent="0.45">
      <c r="A4489" t="s">
        <v>73</v>
      </c>
      <c r="B4489" t="s">
        <v>80</v>
      </c>
      <c r="C4489" t="str">
        <f t="shared" si="140"/>
        <v>YaleWofford</v>
      </c>
      <c r="D4489" t="s">
        <v>73</v>
      </c>
      <c r="E4489">
        <v>79</v>
      </c>
      <c r="F4489">
        <v>-8.6943396226415093</v>
      </c>
      <c r="G4489">
        <v>-376.71967722719199</v>
      </c>
      <c r="H4489">
        <v>140.15286337952</v>
      </c>
      <c r="I4489" s="1">
        <f t="shared" si="141"/>
        <v>158.14129464834645</v>
      </c>
    </row>
    <row r="4490" spans="1:9" x14ac:dyDescent="0.45">
      <c r="A4490" t="s">
        <v>7</v>
      </c>
      <c r="B4490" t="s">
        <v>72</v>
      </c>
      <c r="C4490" t="str">
        <f t="shared" si="140"/>
        <v>AkronXavier</v>
      </c>
      <c r="D4490" t="s">
        <v>72</v>
      </c>
      <c r="E4490">
        <v>16.7</v>
      </c>
      <c r="F4490">
        <v>10.547169811320799</v>
      </c>
      <c r="G4490">
        <v>499.72264108431699</v>
      </c>
      <c r="H4490">
        <v>138.35941526481301</v>
      </c>
      <c r="I4490" s="1">
        <f t="shared" si="141"/>
        <v>132.88759836058296</v>
      </c>
    </row>
    <row r="4491" spans="1:9" x14ac:dyDescent="0.45">
      <c r="A4491" t="s">
        <v>8</v>
      </c>
      <c r="B4491" t="s">
        <v>72</v>
      </c>
      <c r="C4491" t="str">
        <f t="shared" si="140"/>
        <v>AlabamaXavier</v>
      </c>
      <c r="D4491" t="s">
        <v>8</v>
      </c>
      <c r="E4491">
        <v>93.6</v>
      </c>
      <c r="F4491">
        <v>-17.626415094339599</v>
      </c>
      <c r="G4491">
        <v>-1471.6164923533299</v>
      </c>
      <c r="H4491">
        <v>140.10751127695301</v>
      </c>
      <c r="I4491" s="1">
        <f t="shared" si="141"/>
        <v>157.50268781336393</v>
      </c>
    </row>
    <row r="4492" spans="1:9" x14ac:dyDescent="0.45">
      <c r="A4492" t="s">
        <v>9</v>
      </c>
      <c r="B4492" t="s">
        <v>72</v>
      </c>
      <c r="C4492" t="str">
        <f t="shared" si="140"/>
        <v>Alabama St.Xavier</v>
      </c>
      <c r="D4492" t="s">
        <v>72</v>
      </c>
      <c r="E4492">
        <v>3</v>
      </c>
      <c r="F4492">
        <v>22.686792452830201</v>
      </c>
      <c r="G4492">
        <v>3184.1443948302499</v>
      </c>
      <c r="H4492">
        <v>138.58625612062701</v>
      </c>
      <c r="I4492" s="1">
        <f t="shared" si="141"/>
        <v>136.08176385185459</v>
      </c>
    </row>
    <row r="4493" spans="1:9" x14ac:dyDescent="0.45">
      <c r="A4493" t="s">
        <v>10</v>
      </c>
      <c r="B4493" t="s">
        <v>72</v>
      </c>
      <c r="C4493" t="str">
        <f t="shared" si="140"/>
        <v>AmericanXavier</v>
      </c>
      <c r="D4493" t="s">
        <v>72</v>
      </c>
      <c r="E4493">
        <v>3.7</v>
      </c>
      <c r="F4493">
        <v>21.422641509434001</v>
      </c>
      <c r="G4493">
        <v>2626.00249252402</v>
      </c>
      <c r="H4493">
        <v>138.677342002231</v>
      </c>
      <c r="I4493" s="1">
        <f t="shared" si="141"/>
        <v>137.36435194083651</v>
      </c>
    </row>
    <row r="4494" spans="1:9" x14ac:dyDescent="0.45">
      <c r="A4494" t="s">
        <v>11</v>
      </c>
      <c r="B4494" t="s">
        <v>72</v>
      </c>
      <c r="C4494" t="str">
        <f t="shared" si="140"/>
        <v>ArizonaXavier</v>
      </c>
      <c r="D4494" t="s">
        <v>11</v>
      </c>
      <c r="E4494">
        <v>91.3</v>
      </c>
      <c r="F4494">
        <v>-15.384905660377401</v>
      </c>
      <c r="G4494">
        <v>-1045.5780005004899</v>
      </c>
      <c r="H4494">
        <v>139.86987009594301</v>
      </c>
      <c r="I4494" s="1">
        <f t="shared" si="141"/>
        <v>154.15644201931028</v>
      </c>
    </row>
    <row r="4495" spans="1:9" x14ac:dyDescent="0.45">
      <c r="A4495" t="s">
        <v>12</v>
      </c>
      <c r="B4495" t="s">
        <v>72</v>
      </c>
      <c r="C4495" t="str">
        <f t="shared" si="140"/>
        <v>ArkansasXavier</v>
      </c>
      <c r="D4495" t="s">
        <v>72</v>
      </c>
      <c r="E4495">
        <v>38.700000000000003</v>
      </c>
      <c r="F4495">
        <v>3.0075471698113199</v>
      </c>
      <c r="G4495">
        <v>158.172763988241</v>
      </c>
      <c r="H4495">
        <v>137.98747392980101</v>
      </c>
      <c r="I4495" s="1">
        <f t="shared" si="141"/>
        <v>127.65026061201206</v>
      </c>
    </row>
    <row r="4496" spans="1:9" x14ac:dyDescent="0.45">
      <c r="A4496" t="s">
        <v>13</v>
      </c>
      <c r="B4496" t="s">
        <v>72</v>
      </c>
      <c r="C4496" t="str">
        <f t="shared" si="140"/>
        <v>AuburnXavier</v>
      </c>
      <c r="D4496" t="s">
        <v>13</v>
      </c>
      <c r="E4496">
        <v>96.6</v>
      </c>
      <c r="F4496">
        <v>-22.037735849056599</v>
      </c>
      <c r="G4496">
        <v>-2884.0047222907801</v>
      </c>
      <c r="H4496">
        <v>141.126193335062</v>
      </c>
      <c r="I4496" s="1">
        <f t="shared" si="141"/>
        <v>171.84683699633672</v>
      </c>
    </row>
    <row r="4497" spans="1:9" x14ac:dyDescent="0.45">
      <c r="A4497" t="s">
        <v>14</v>
      </c>
      <c r="B4497" t="s">
        <v>72</v>
      </c>
      <c r="C4497" t="str">
        <f t="shared" si="140"/>
        <v>BaylorXavier</v>
      </c>
      <c r="D4497" t="s">
        <v>14</v>
      </c>
      <c r="E4497">
        <v>75.3</v>
      </c>
      <c r="F4497">
        <v>-7.3056603773584898</v>
      </c>
      <c r="G4497">
        <v>-304.79530179374598</v>
      </c>
      <c r="H4497">
        <v>139.661191347787</v>
      </c>
      <c r="I4497" s="1">
        <f t="shared" si="141"/>
        <v>151.21801871928426</v>
      </c>
    </row>
    <row r="4498" spans="1:9" x14ac:dyDescent="0.45">
      <c r="A4498" t="s">
        <v>15</v>
      </c>
      <c r="B4498" t="s">
        <v>72</v>
      </c>
      <c r="C4498" t="str">
        <f t="shared" si="140"/>
        <v>BryantXavier</v>
      </c>
      <c r="D4498" t="s">
        <v>72</v>
      </c>
      <c r="E4498">
        <v>12.1</v>
      </c>
      <c r="F4498">
        <v>12.981132075471701</v>
      </c>
      <c r="G4498">
        <v>724.32233377340503</v>
      </c>
      <c r="H4498">
        <v>139.210189097681</v>
      </c>
      <c r="I4498" s="1">
        <f t="shared" si="141"/>
        <v>144.86741746359326</v>
      </c>
    </row>
    <row r="4499" spans="1:9" x14ac:dyDescent="0.45">
      <c r="A4499" t="s">
        <v>16</v>
      </c>
      <c r="B4499" t="s">
        <v>72</v>
      </c>
      <c r="C4499" t="str">
        <f t="shared" si="140"/>
        <v>BYUXavier</v>
      </c>
      <c r="D4499" t="s">
        <v>16</v>
      </c>
      <c r="E4499">
        <v>78.8</v>
      </c>
      <c r="F4499">
        <v>-8.6</v>
      </c>
      <c r="G4499">
        <v>-371.31701579090901</v>
      </c>
      <c r="H4499">
        <v>139.470709575905</v>
      </c>
      <c r="I4499" s="1">
        <f t="shared" si="141"/>
        <v>148.53582859846844</v>
      </c>
    </row>
    <row r="4500" spans="1:9" x14ac:dyDescent="0.45">
      <c r="A4500" t="s">
        <v>17</v>
      </c>
      <c r="B4500" t="s">
        <v>72</v>
      </c>
      <c r="C4500" t="str">
        <f t="shared" si="140"/>
        <v>ClemsonXavier</v>
      </c>
      <c r="D4500" t="s">
        <v>17</v>
      </c>
      <c r="E4500">
        <v>82.6</v>
      </c>
      <c r="F4500">
        <v>-10.2264150943396</v>
      </c>
      <c r="G4500">
        <v>-475.76925909063999</v>
      </c>
      <c r="H4500">
        <v>139.69262143219601</v>
      </c>
      <c r="I4500" s="1">
        <f t="shared" si="141"/>
        <v>151.66058842590417</v>
      </c>
    </row>
    <row r="4501" spans="1:9" x14ac:dyDescent="0.45">
      <c r="A4501" t="s">
        <v>18</v>
      </c>
      <c r="B4501" t="s">
        <v>72</v>
      </c>
      <c r="C4501" t="str">
        <f t="shared" si="140"/>
        <v>Colorado St.Xavier</v>
      </c>
      <c r="D4501" t="s">
        <v>72</v>
      </c>
      <c r="E4501">
        <v>43.9</v>
      </c>
      <c r="F4501">
        <v>1.61509433962264</v>
      </c>
      <c r="G4501">
        <v>127.921973994005</v>
      </c>
      <c r="H4501">
        <v>139.000013280302</v>
      </c>
      <c r="I4501" s="1">
        <f t="shared" si="141"/>
        <v>141.9079138038017</v>
      </c>
    </row>
    <row r="4502" spans="1:9" x14ac:dyDescent="0.45">
      <c r="A4502" t="s">
        <v>19</v>
      </c>
      <c r="B4502" t="s">
        <v>72</v>
      </c>
      <c r="C4502" t="str">
        <f t="shared" si="140"/>
        <v>ConnecticutXavier</v>
      </c>
      <c r="D4502" t="s">
        <v>19</v>
      </c>
      <c r="E4502">
        <v>89</v>
      </c>
      <c r="F4502">
        <v>-13.686792452830201</v>
      </c>
      <c r="G4502">
        <v>-806.95977825454497</v>
      </c>
      <c r="H4502">
        <v>139.635565182638</v>
      </c>
      <c r="I4502" s="1">
        <f t="shared" si="141"/>
        <v>150.85717449614461</v>
      </c>
    </row>
    <row r="4503" spans="1:9" x14ac:dyDescent="0.45">
      <c r="A4503" t="s">
        <v>20</v>
      </c>
      <c r="B4503" t="s">
        <v>72</v>
      </c>
      <c r="C4503" t="str">
        <f t="shared" si="140"/>
        <v>CreightonXavier</v>
      </c>
      <c r="D4503" t="s">
        <v>20</v>
      </c>
      <c r="E4503">
        <v>71.400000000000006</v>
      </c>
      <c r="F4503">
        <v>-5.9962264150943403</v>
      </c>
      <c r="G4503">
        <v>-249.61567917648699</v>
      </c>
      <c r="H4503">
        <v>139.10850754490099</v>
      </c>
      <c r="I4503" s="1">
        <f t="shared" si="141"/>
        <v>143.43563082258746</v>
      </c>
    </row>
    <row r="4504" spans="1:9" x14ac:dyDescent="0.45">
      <c r="A4504" t="s">
        <v>21</v>
      </c>
      <c r="B4504" t="s">
        <v>72</v>
      </c>
      <c r="C4504" t="str">
        <f t="shared" si="140"/>
        <v>DrakeXavier</v>
      </c>
      <c r="D4504" t="s">
        <v>72</v>
      </c>
      <c r="E4504">
        <v>43.7</v>
      </c>
      <c r="F4504">
        <v>1.66415094339623</v>
      </c>
      <c r="G4504">
        <v>128.91488040122599</v>
      </c>
      <c r="H4504">
        <v>139.161972649055</v>
      </c>
      <c r="I4504" s="1">
        <f t="shared" si="141"/>
        <v>144.1884775267809</v>
      </c>
    </row>
    <row r="4505" spans="1:9" x14ac:dyDescent="0.45">
      <c r="A4505" t="s">
        <v>22</v>
      </c>
      <c r="B4505" t="s">
        <v>72</v>
      </c>
      <c r="C4505" t="str">
        <f t="shared" si="140"/>
        <v>DukeXavier</v>
      </c>
      <c r="D4505" t="s">
        <v>22</v>
      </c>
      <c r="E4505">
        <v>97.7</v>
      </c>
      <c r="F4505">
        <v>-24.547169811320799</v>
      </c>
      <c r="G4505">
        <v>-4228.6854978820702</v>
      </c>
      <c r="H4505">
        <v>141.449293110512</v>
      </c>
      <c r="I4505" s="1">
        <f t="shared" si="141"/>
        <v>176.39643256754289</v>
      </c>
    </row>
    <row r="4506" spans="1:9" x14ac:dyDescent="0.45">
      <c r="A4506" t="s">
        <v>23</v>
      </c>
      <c r="B4506" t="s">
        <v>72</v>
      </c>
      <c r="C4506" t="str">
        <f t="shared" si="140"/>
        <v>FloridaXavier</v>
      </c>
      <c r="D4506" t="s">
        <v>23</v>
      </c>
      <c r="E4506">
        <v>95.9</v>
      </c>
      <c r="F4506">
        <v>-20.6452830188679</v>
      </c>
      <c r="G4506">
        <v>-2332.6993097157301</v>
      </c>
      <c r="H4506">
        <v>141.17304938645401</v>
      </c>
      <c r="I4506" s="1">
        <f t="shared" si="141"/>
        <v>172.50662106334948</v>
      </c>
    </row>
    <row r="4507" spans="1:9" x14ac:dyDescent="0.45">
      <c r="A4507" t="s">
        <v>24</v>
      </c>
      <c r="B4507" t="s">
        <v>72</v>
      </c>
      <c r="C4507" t="str">
        <f t="shared" si="140"/>
        <v>GeorgiaXavier</v>
      </c>
      <c r="D4507" t="s">
        <v>72</v>
      </c>
      <c r="E4507">
        <v>46.7</v>
      </c>
      <c r="F4507">
        <v>0.86037735849056596</v>
      </c>
      <c r="G4507">
        <v>114.01867012080299</v>
      </c>
      <c r="H4507">
        <v>138.31486291079901</v>
      </c>
      <c r="I4507" s="1">
        <f t="shared" si="141"/>
        <v>132.26025285337363</v>
      </c>
    </row>
    <row r="4508" spans="1:9" x14ac:dyDescent="0.45">
      <c r="A4508" t="s">
        <v>25</v>
      </c>
      <c r="B4508" t="s">
        <v>72</v>
      </c>
      <c r="C4508" t="str">
        <f t="shared" si="140"/>
        <v>GonzagaXavier</v>
      </c>
      <c r="D4508" t="s">
        <v>25</v>
      </c>
      <c r="E4508">
        <v>83.2</v>
      </c>
      <c r="F4508">
        <v>-10.4679245283019</v>
      </c>
      <c r="G4508">
        <v>-493.67971873086799</v>
      </c>
      <c r="H4508">
        <v>140.45250403032699</v>
      </c>
      <c r="I4508" s="1">
        <f t="shared" si="141"/>
        <v>162.36056027911374</v>
      </c>
    </row>
    <row r="4509" spans="1:9" x14ac:dyDescent="0.45">
      <c r="A4509" t="s">
        <v>26</v>
      </c>
      <c r="B4509" t="s">
        <v>72</v>
      </c>
      <c r="C4509" t="str">
        <f t="shared" si="140"/>
        <v>Grand CanyonXavier</v>
      </c>
      <c r="D4509" t="s">
        <v>72</v>
      </c>
      <c r="E4509">
        <v>32.5</v>
      </c>
      <c r="F4509">
        <v>4.7811320754717004</v>
      </c>
      <c r="G4509">
        <v>207.41363870801499</v>
      </c>
      <c r="H4509">
        <v>139.10447227663099</v>
      </c>
      <c r="I4509" s="1">
        <f t="shared" si="141"/>
        <v>143.3788098649614</v>
      </c>
    </row>
    <row r="4510" spans="1:9" x14ac:dyDescent="0.45">
      <c r="A4510" t="s">
        <v>27</v>
      </c>
      <c r="B4510" t="s">
        <v>72</v>
      </c>
      <c r="C4510" t="str">
        <f t="shared" si="140"/>
        <v>High PointXavier</v>
      </c>
      <c r="D4510" t="s">
        <v>72</v>
      </c>
      <c r="E4510">
        <v>24</v>
      </c>
      <c r="F4510">
        <v>7.5547169811320796</v>
      </c>
      <c r="G4510">
        <v>316.60179968453701</v>
      </c>
      <c r="H4510">
        <v>139.38536402428699</v>
      </c>
      <c r="I4510" s="1">
        <f t="shared" si="141"/>
        <v>147.33407058696042</v>
      </c>
    </row>
    <row r="4511" spans="1:9" x14ac:dyDescent="0.45">
      <c r="A4511" t="s">
        <v>28</v>
      </c>
      <c r="B4511" t="s">
        <v>72</v>
      </c>
      <c r="C4511" t="str">
        <f t="shared" si="140"/>
        <v>HoustonXavier</v>
      </c>
      <c r="D4511" t="s">
        <v>28</v>
      </c>
      <c r="E4511">
        <v>98.6</v>
      </c>
      <c r="F4511">
        <v>-28.060377358490602</v>
      </c>
      <c r="G4511">
        <v>-7227.5754243767096</v>
      </c>
      <c r="H4511">
        <v>141.59295746014101</v>
      </c>
      <c r="I4511" s="1">
        <f t="shared" si="141"/>
        <v>178.41938256155638</v>
      </c>
    </row>
    <row r="4512" spans="1:9" x14ac:dyDescent="0.45">
      <c r="A4512" t="s">
        <v>29</v>
      </c>
      <c r="B4512" t="s">
        <v>72</v>
      </c>
      <c r="C4512" t="str">
        <f t="shared" si="140"/>
        <v>IllinoisXavier</v>
      </c>
      <c r="D4512" t="s">
        <v>29</v>
      </c>
      <c r="E4512">
        <v>87.8</v>
      </c>
      <c r="F4512">
        <v>-12.9509433962264</v>
      </c>
      <c r="G4512">
        <v>-720.92483104163796</v>
      </c>
      <c r="H4512">
        <v>139.64320261407801</v>
      </c>
      <c r="I4512" s="1">
        <f t="shared" si="141"/>
        <v>150.96471782144229</v>
      </c>
    </row>
    <row r="4513" spans="1:9" x14ac:dyDescent="0.45">
      <c r="A4513" t="s">
        <v>30</v>
      </c>
      <c r="B4513" t="s">
        <v>72</v>
      </c>
      <c r="C4513" t="str">
        <f t="shared" si="140"/>
        <v>Iowa St.Xavier</v>
      </c>
      <c r="D4513" t="s">
        <v>30</v>
      </c>
      <c r="E4513">
        <v>93.8</v>
      </c>
      <c r="F4513">
        <v>-17.833962264150902</v>
      </c>
      <c r="G4513">
        <v>-1518.5544311475701</v>
      </c>
      <c r="H4513">
        <v>140.569471192436</v>
      </c>
      <c r="I4513" s="1">
        <f t="shared" si="141"/>
        <v>164.00758489238225</v>
      </c>
    </row>
    <row r="4514" spans="1:9" x14ac:dyDescent="0.45">
      <c r="A4514" t="s">
        <v>31</v>
      </c>
      <c r="B4514" t="s">
        <v>72</v>
      </c>
      <c r="C4514" t="str">
        <f t="shared" si="140"/>
        <v>KansasXavier</v>
      </c>
      <c r="D4514" t="s">
        <v>31</v>
      </c>
      <c r="E4514">
        <v>81.5</v>
      </c>
      <c r="F4514">
        <v>-9.7283018867924493</v>
      </c>
      <c r="G4514">
        <v>-441.18310892214799</v>
      </c>
      <c r="H4514">
        <v>139.52486147674799</v>
      </c>
      <c r="I4514" s="1">
        <f t="shared" si="141"/>
        <v>149.29834614557748</v>
      </c>
    </row>
    <row r="4515" spans="1:9" x14ac:dyDescent="0.45">
      <c r="A4515" t="s">
        <v>32</v>
      </c>
      <c r="B4515" t="s">
        <v>72</v>
      </c>
      <c r="C4515" t="str">
        <f t="shared" si="140"/>
        <v>KentuckyXavier</v>
      </c>
      <c r="D4515" t="s">
        <v>32</v>
      </c>
      <c r="E4515">
        <v>88.2</v>
      </c>
      <c r="F4515">
        <v>-13.158490566037701</v>
      </c>
      <c r="G4515">
        <v>-744.26610458897005</v>
      </c>
      <c r="H4515">
        <v>139.47189907713999</v>
      </c>
      <c r="I4515" s="1">
        <f t="shared" si="141"/>
        <v>148.55257806709037</v>
      </c>
    </row>
    <row r="4516" spans="1:9" x14ac:dyDescent="0.45">
      <c r="A4516" t="s">
        <v>33</v>
      </c>
      <c r="B4516" t="s">
        <v>72</v>
      </c>
      <c r="C4516" t="str">
        <f t="shared" si="140"/>
        <v>LibertyXavier</v>
      </c>
      <c r="D4516" t="s">
        <v>72</v>
      </c>
      <c r="E4516">
        <v>17.100000000000001</v>
      </c>
      <c r="F4516">
        <v>10.332075471698101</v>
      </c>
      <c r="G4516">
        <v>483.53936682796598</v>
      </c>
      <c r="H4516">
        <v>138.68083532553899</v>
      </c>
      <c r="I4516" s="1">
        <f t="shared" si="141"/>
        <v>137.41354172510268</v>
      </c>
    </row>
    <row r="4517" spans="1:9" x14ac:dyDescent="0.45">
      <c r="A4517" t="s">
        <v>34</v>
      </c>
      <c r="B4517" t="s">
        <v>72</v>
      </c>
      <c r="C4517" t="str">
        <f t="shared" si="140"/>
        <v>LipscombXavier</v>
      </c>
      <c r="D4517" t="s">
        <v>72</v>
      </c>
      <c r="E4517">
        <v>13.7</v>
      </c>
      <c r="F4517">
        <v>12.0716981132075</v>
      </c>
      <c r="G4517">
        <v>630.75643048581503</v>
      </c>
      <c r="H4517">
        <v>139.112755556797</v>
      </c>
      <c r="I4517" s="1">
        <f t="shared" si="141"/>
        <v>143.49544744140621</v>
      </c>
    </row>
    <row r="4518" spans="1:9" x14ac:dyDescent="0.45">
      <c r="A4518" t="s">
        <v>35</v>
      </c>
      <c r="B4518" t="s">
        <v>72</v>
      </c>
      <c r="C4518" t="str">
        <f t="shared" si="140"/>
        <v>LouisvilleXavier</v>
      </c>
      <c r="D4518" t="s">
        <v>72</v>
      </c>
      <c r="E4518">
        <v>28.7</v>
      </c>
      <c r="F4518">
        <v>5.9660377358490599</v>
      </c>
      <c r="G4518">
        <v>248.45538571785801</v>
      </c>
      <c r="H4518">
        <v>138.39847886876501</v>
      </c>
      <c r="I4518" s="1">
        <f t="shared" si="141"/>
        <v>133.43765630874418</v>
      </c>
    </row>
    <row r="4519" spans="1:9" x14ac:dyDescent="0.45">
      <c r="A4519" t="s">
        <v>36</v>
      </c>
      <c r="B4519" t="s">
        <v>72</v>
      </c>
      <c r="C4519" t="str">
        <f t="shared" si="140"/>
        <v>MarquetteXavier</v>
      </c>
      <c r="D4519" t="s">
        <v>36</v>
      </c>
      <c r="E4519">
        <v>85</v>
      </c>
      <c r="F4519">
        <v>-11.377358490565999</v>
      </c>
      <c r="G4519">
        <v>-567.35774900234605</v>
      </c>
      <c r="H4519">
        <v>139.73023550367</v>
      </c>
      <c r="I4519" s="1">
        <f t="shared" si="141"/>
        <v>152.19023538327139</v>
      </c>
    </row>
    <row r="4520" spans="1:9" x14ac:dyDescent="0.45">
      <c r="A4520" t="s">
        <v>37</v>
      </c>
      <c r="B4520" t="s">
        <v>72</v>
      </c>
      <c r="C4520" t="str">
        <f t="shared" si="140"/>
        <v>MarylandXavier</v>
      </c>
      <c r="D4520" t="s">
        <v>37</v>
      </c>
      <c r="E4520">
        <v>79.400000000000006</v>
      </c>
      <c r="F4520">
        <v>-8.8339622641509408</v>
      </c>
      <c r="G4520">
        <v>-384.86873529652701</v>
      </c>
      <c r="H4520">
        <v>139.34017481534801</v>
      </c>
      <c r="I4520" s="1">
        <f t="shared" si="141"/>
        <v>146.69775747108545</v>
      </c>
    </row>
    <row r="4521" spans="1:9" x14ac:dyDescent="0.45">
      <c r="A4521" t="s">
        <v>38</v>
      </c>
      <c r="B4521" t="s">
        <v>72</v>
      </c>
      <c r="C4521" t="str">
        <f t="shared" si="140"/>
        <v>McNeese St.Xavier</v>
      </c>
      <c r="D4521" t="s">
        <v>72</v>
      </c>
      <c r="E4521">
        <v>40.700000000000003</v>
      </c>
      <c r="F4521">
        <v>2.47169811320755</v>
      </c>
      <c r="G4521">
        <v>145.826525664088</v>
      </c>
      <c r="H4521">
        <v>139.17558642955001</v>
      </c>
      <c r="I4521" s="1">
        <f t="shared" si="141"/>
        <v>144.38017433424909</v>
      </c>
    </row>
    <row r="4522" spans="1:9" x14ac:dyDescent="0.45">
      <c r="A4522" t="s">
        <v>39</v>
      </c>
      <c r="B4522" t="s">
        <v>72</v>
      </c>
      <c r="C4522" t="str">
        <f t="shared" si="140"/>
        <v>MemphisXavier</v>
      </c>
      <c r="D4522" t="s">
        <v>39</v>
      </c>
      <c r="E4522">
        <v>66.3</v>
      </c>
      <c r="F4522">
        <v>-4.4490566037735899</v>
      </c>
      <c r="G4522">
        <v>-197.12700717427401</v>
      </c>
      <c r="H4522">
        <v>138.317809628368</v>
      </c>
      <c r="I4522" s="1">
        <f t="shared" si="141"/>
        <v>132.30174583548043</v>
      </c>
    </row>
    <row r="4523" spans="1:9" x14ac:dyDescent="0.45">
      <c r="A4523" t="s">
        <v>40</v>
      </c>
      <c r="B4523" t="s">
        <v>72</v>
      </c>
      <c r="C4523" t="str">
        <f t="shared" si="140"/>
        <v>MichiganXavier</v>
      </c>
      <c r="D4523" t="s">
        <v>40</v>
      </c>
      <c r="E4523">
        <v>51</v>
      </c>
      <c r="F4523">
        <v>-0.26037735849056598</v>
      </c>
      <c r="G4523">
        <v>-104.058386811647</v>
      </c>
      <c r="H4523">
        <v>137.974730713051</v>
      </c>
      <c r="I4523" s="1">
        <f t="shared" si="141"/>
        <v>127.47082228709209</v>
      </c>
    </row>
    <row r="4524" spans="1:9" x14ac:dyDescent="0.45">
      <c r="A4524" t="s">
        <v>41</v>
      </c>
      <c r="B4524" t="s">
        <v>72</v>
      </c>
      <c r="C4524" t="str">
        <f t="shared" si="140"/>
        <v>Michigan St.Xavier</v>
      </c>
      <c r="D4524" t="s">
        <v>41</v>
      </c>
      <c r="E4524">
        <v>90.9</v>
      </c>
      <c r="F4524">
        <v>-15.083018867924499</v>
      </c>
      <c r="G4524">
        <v>-998.50656371646596</v>
      </c>
      <c r="H4524">
        <v>139.67362267388</v>
      </c>
      <c r="I4524" s="1">
        <f t="shared" si="141"/>
        <v>151.39306528518856</v>
      </c>
    </row>
    <row r="4525" spans="1:9" x14ac:dyDescent="0.45">
      <c r="A4525" t="s">
        <v>42</v>
      </c>
      <c r="B4525" t="s">
        <v>72</v>
      </c>
      <c r="C4525" t="str">
        <f t="shared" si="140"/>
        <v>MississippiXavier</v>
      </c>
      <c r="D4525" t="s">
        <v>42</v>
      </c>
      <c r="E4525">
        <v>71.900000000000006</v>
      </c>
      <c r="F4525">
        <v>-6.1735849056603804</v>
      </c>
      <c r="G4525">
        <v>-256.46732009323301</v>
      </c>
      <c r="H4525">
        <v>138.80454377897499</v>
      </c>
      <c r="I4525" s="1">
        <f t="shared" si="141"/>
        <v>139.15549103809519</v>
      </c>
    </row>
    <row r="4526" spans="1:9" x14ac:dyDescent="0.45">
      <c r="A4526" t="s">
        <v>43</v>
      </c>
      <c r="B4526" t="s">
        <v>72</v>
      </c>
      <c r="C4526" t="str">
        <f t="shared" si="140"/>
        <v>Mississippi St.Xavier</v>
      </c>
      <c r="D4526" t="s">
        <v>43</v>
      </c>
      <c r="E4526">
        <v>65.900000000000006</v>
      </c>
      <c r="F4526">
        <v>-4.3245283018867902</v>
      </c>
      <c r="G4526">
        <v>-193.437536106442</v>
      </c>
      <c r="H4526">
        <v>138.92891513276399</v>
      </c>
      <c r="I4526" s="1">
        <f t="shared" si="141"/>
        <v>140.90677470765291</v>
      </c>
    </row>
    <row r="4527" spans="1:9" x14ac:dyDescent="0.45">
      <c r="A4527" t="s">
        <v>44</v>
      </c>
      <c r="B4527" t="s">
        <v>72</v>
      </c>
      <c r="C4527" t="str">
        <f t="shared" si="140"/>
        <v>MissouriXavier</v>
      </c>
      <c r="D4527" t="s">
        <v>72</v>
      </c>
      <c r="E4527">
        <v>45.9</v>
      </c>
      <c r="F4527">
        <v>1.08679245283019</v>
      </c>
      <c r="G4527">
        <v>118.04787922332299</v>
      </c>
      <c r="H4527">
        <v>138.19338706893799</v>
      </c>
      <c r="I4527" s="1">
        <f t="shared" si="141"/>
        <v>130.54974113491244</v>
      </c>
    </row>
    <row r="4528" spans="1:9" x14ac:dyDescent="0.45">
      <c r="A4528" t="s">
        <v>45</v>
      </c>
      <c r="B4528" t="s">
        <v>72</v>
      </c>
      <c r="C4528" t="str">
        <f t="shared" si="140"/>
        <v>MontanaXavier</v>
      </c>
      <c r="D4528" t="s">
        <v>72</v>
      </c>
      <c r="E4528">
        <v>7.6</v>
      </c>
      <c r="F4528">
        <v>16.343396226415098</v>
      </c>
      <c r="G4528">
        <v>1210.1808078239801</v>
      </c>
      <c r="H4528">
        <v>137.502121793957</v>
      </c>
      <c r="I4528" s="1">
        <f t="shared" si="141"/>
        <v>120.81597567747161</v>
      </c>
    </row>
    <row r="4529" spans="1:9" x14ac:dyDescent="0.45">
      <c r="A4529" t="s">
        <v>46</v>
      </c>
      <c r="B4529" t="s">
        <v>72</v>
      </c>
      <c r="C4529" t="str">
        <f t="shared" si="140"/>
        <v>Mount St. Mary'sXavier</v>
      </c>
      <c r="D4529" t="s">
        <v>72</v>
      </c>
      <c r="E4529">
        <v>3.1</v>
      </c>
      <c r="F4529">
        <v>22.4603773584906</v>
      </c>
      <c r="G4529">
        <v>3076.45776380707</v>
      </c>
      <c r="H4529">
        <v>138.849996015904</v>
      </c>
      <c r="I4529" s="1">
        <f t="shared" si="141"/>
        <v>139.79550787359321</v>
      </c>
    </row>
    <row r="4530" spans="1:9" x14ac:dyDescent="0.45">
      <c r="A4530" t="s">
        <v>47</v>
      </c>
      <c r="B4530" t="s">
        <v>72</v>
      </c>
      <c r="C4530" t="str">
        <f t="shared" si="140"/>
        <v>Nebraska OmahaXavier</v>
      </c>
      <c r="D4530" t="s">
        <v>72</v>
      </c>
      <c r="E4530">
        <v>4.0999999999999996</v>
      </c>
      <c r="F4530">
        <v>20.747169811320799</v>
      </c>
      <c r="G4530">
        <v>2367.9939776620699</v>
      </c>
      <c r="H4530">
        <v>138.133997195804</v>
      </c>
      <c r="I4530" s="1">
        <f t="shared" si="141"/>
        <v>129.71346725199626</v>
      </c>
    </row>
    <row r="4531" spans="1:9" x14ac:dyDescent="0.45">
      <c r="A4531" t="s">
        <v>48</v>
      </c>
      <c r="B4531" t="s">
        <v>72</v>
      </c>
      <c r="C4531" t="str">
        <f t="shared" si="140"/>
        <v>New MexicoXavier</v>
      </c>
      <c r="D4531" t="s">
        <v>48</v>
      </c>
      <c r="E4531">
        <v>51.9</v>
      </c>
      <c r="F4531">
        <v>-0.50188679245282997</v>
      </c>
      <c r="G4531">
        <v>-107.95802560387899</v>
      </c>
      <c r="H4531">
        <v>139.01174154307901</v>
      </c>
      <c r="I4531" s="1">
        <f t="shared" si="141"/>
        <v>142.07306047502399</v>
      </c>
    </row>
    <row r="4532" spans="1:9" x14ac:dyDescent="0.45">
      <c r="A4532" t="s">
        <v>49</v>
      </c>
      <c r="B4532" t="s">
        <v>72</v>
      </c>
      <c r="C4532" t="str">
        <f t="shared" si="140"/>
        <v>Norfolk St.Xavier</v>
      </c>
      <c r="D4532" t="s">
        <v>72</v>
      </c>
      <c r="E4532">
        <v>5.9</v>
      </c>
      <c r="F4532">
        <v>18.211320754717001</v>
      </c>
      <c r="G4532">
        <v>1609.15529240054</v>
      </c>
      <c r="H4532">
        <v>138.02410520528099</v>
      </c>
      <c r="I4532" s="1">
        <f t="shared" si="141"/>
        <v>128.1660687349339</v>
      </c>
    </row>
    <row r="4533" spans="1:9" x14ac:dyDescent="0.45">
      <c r="A4533" t="s">
        <v>50</v>
      </c>
      <c r="B4533" t="s">
        <v>72</v>
      </c>
      <c r="C4533" t="str">
        <f t="shared" si="140"/>
        <v>North CarolinaXavier</v>
      </c>
      <c r="D4533" t="s">
        <v>50</v>
      </c>
      <c r="E4533">
        <v>78.599999999999994</v>
      </c>
      <c r="F4533">
        <v>-8.5433962264150907</v>
      </c>
      <c r="G4533">
        <v>-368.08487004728602</v>
      </c>
      <c r="H4533">
        <v>140.09603663723701</v>
      </c>
      <c r="I4533" s="1">
        <f t="shared" si="141"/>
        <v>157.34111243015488</v>
      </c>
    </row>
    <row r="4534" spans="1:9" x14ac:dyDescent="0.45">
      <c r="A4534" t="s">
        <v>51</v>
      </c>
      <c r="B4534" t="s">
        <v>72</v>
      </c>
      <c r="C4534" t="str">
        <f t="shared" si="140"/>
        <v>OklahomaXavier</v>
      </c>
      <c r="D4534" t="s">
        <v>51</v>
      </c>
      <c r="E4534">
        <v>54.7</v>
      </c>
      <c r="F4534">
        <v>-1.2377358490565999</v>
      </c>
      <c r="G4534">
        <v>-120.76454359655401</v>
      </c>
      <c r="H4534">
        <v>138.43863993274201</v>
      </c>
      <c r="I4534" s="1">
        <f t="shared" si="141"/>
        <v>134.00316768537758</v>
      </c>
    </row>
    <row r="4535" spans="1:9" x14ac:dyDescent="0.45">
      <c r="A4535" t="s">
        <v>52</v>
      </c>
      <c r="B4535" t="s">
        <v>72</v>
      </c>
      <c r="C4535" t="str">
        <f t="shared" si="140"/>
        <v>OregonXavier</v>
      </c>
      <c r="D4535" t="s">
        <v>52</v>
      </c>
      <c r="E4535">
        <v>79.900000000000006</v>
      </c>
      <c r="F4535">
        <v>-9.0603773584905696</v>
      </c>
      <c r="G4535">
        <v>-398.44084366058001</v>
      </c>
      <c r="H4535">
        <v>139.03301772088199</v>
      </c>
      <c r="I4535" s="1">
        <f t="shared" si="141"/>
        <v>142.37265215431188</v>
      </c>
    </row>
    <row r="4536" spans="1:9" x14ac:dyDescent="0.45">
      <c r="A4536" t="s">
        <v>53</v>
      </c>
      <c r="B4536" t="s">
        <v>72</v>
      </c>
      <c r="C4536" t="str">
        <f t="shared" si="140"/>
        <v>PurdueXavier</v>
      </c>
      <c r="D4536" t="s">
        <v>53</v>
      </c>
      <c r="E4536">
        <v>95.5</v>
      </c>
      <c r="F4536">
        <v>-19.973584905660399</v>
      </c>
      <c r="G4536">
        <v>-2104.6094756503599</v>
      </c>
      <c r="H4536">
        <v>140.38100504967099</v>
      </c>
      <c r="I4536" s="1">
        <f t="shared" si="141"/>
        <v>161.35377701754925</v>
      </c>
    </row>
    <row r="4537" spans="1:9" x14ac:dyDescent="0.45">
      <c r="A4537" t="s">
        <v>54</v>
      </c>
      <c r="B4537" t="s">
        <v>72</v>
      </c>
      <c r="C4537" t="str">
        <f t="shared" si="140"/>
        <v>Robert MorrisXavier</v>
      </c>
      <c r="D4537" t="s">
        <v>72</v>
      </c>
      <c r="E4537">
        <v>2.5</v>
      </c>
      <c r="F4537">
        <v>23.969811320754701</v>
      </c>
      <c r="G4537">
        <v>3872.66080524779</v>
      </c>
      <c r="H4537">
        <v>137.43964189843399</v>
      </c>
      <c r="I4537" s="1">
        <f t="shared" si="141"/>
        <v>119.93619092502165</v>
      </c>
    </row>
    <row r="4538" spans="1:9" x14ac:dyDescent="0.45">
      <c r="A4538" t="s">
        <v>55</v>
      </c>
      <c r="B4538" t="s">
        <v>72</v>
      </c>
      <c r="C4538" t="str">
        <f t="shared" si="140"/>
        <v>Saint FrancisXavier</v>
      </c>
      <c r="D4538" t="s">
        <v>72</v>
      </c>
      <c r="E4538">
        <v>1.7</v>
      </c>
      <c r="F4538">
        <v>26.6943396226415</v>
      </c>
      <c r="G4538">
        <v>5869.8145515230099</v>
      </c>
      <c r="H4538">
        <v>138.492497431641</v>
      </c>
      <c r="I4538" s="1">
        <f t="shared" si="141"/>
        <v>134.76153973353459</v>
      </c>
    </row>
    <row r="4539" spans="1:9" x14ac:dyDescent="0.45">
      <c r="A4539" t="s">
        <v>56</v>
      </c>
      <c r="B4539" t="s">
        <v>72</v>
      </c>
      <c r="C4539" t="str">
        <f t="shared" si="140"/>
        <v>Saint Mary'sXavier</v>
      </c>
      <c r="D4539" t="s">
        <v>56</v>
      </c>
      <c r="E4539">
        <v>77.3</v>
      </c>
      <c r="F4539">
        <v>-8.0188679245282994</v>
      </c>
      <c r="G4539">
        <v>-339.82810562140901</v>
      </c>
      <c r="H4539">
        <v>139.743752632731</v>
      </c>
      <c r="I4539" s="1">
        <f t="shared" si="141"/>
        <v>152.38057123363123</v>
      </c>
    </row>
    <row r="4540" spans="1:9" x14ac:dyDescent="0.45">
      <c r="A4540" t="s">
        <v>57</v>
      </c>
      <c r="B4540" t="s">
        <v>72</v>
      </c>
      <c r="C4540" t="str">
        <f t="shared" si="140"/>
        <v>San Diego St.Xavier</v>
      </c>
      <c r="D4540" t="s">
        <v>72</v>
      </c>
      <c r="E4540">
        <v>49.7</v>
      </c>
      <c r="F4540">
        <v>7.5471698113207503E-2</v>
      </c>
      <c r="G4540">
        <v>101.13041548490401</v>
      </c>
      <c r="H4540">
        <v>138.890007512529</v>
      </c>
      <c r="I4540" s="1">
        <f t="shared" si="141"/>
        <v>140.35891317955139</v>
      </c>
    </row>
    <row r="4541" spans="1:9" x14ac:dyDescent="0.45">
      <c r="A4541" t="s">
        <v>58</v>
      </c>
      <c r="B4541" t="s">
        <v>72</v>
      </c>
      <c r="C4541" t="str">
        <f t="shared" si="140"/>
        <v>SIU EdwardsvilleXavier</v>
      </c>
      <c r="D4541" t="s">
        <v>72</v>
      </c>
      <c r="E4541">
        <v>4.7</v>
      </c>
      <c r="F4541">
        <v>19.671698113207501</v>
      </c>
      <c r="G4541">
        <v>2010.2902225968401</v>
      </c>
      <c r="H4541">
        <v>139.037695279377</v>
      </c>
      <c r="I4541" s="1">
        <f t="shared" si="141"/>
        <v>142.43851725552821</v>
      </c>
    </row>
    <row r="4542" spans="1:9" x14ac:dyDescent="0.45">
      <c r="A4542" t="s">
        <v>59</v>
      </c>
      <c r="B4542" t="s">
        <v>72</v>
      </c>
      <c r="C4542" t="str">
        <f t="shared" si="140"/>
        <v>St. John'sXavier</v>
      </c>
      <c r="D4542" t="s">
        <v>59</v>
      </c>
      <c r="E4542">
        <v>91.4</v>
      </c>
      <c r="F4542">
        <v>-15.486792452830199</v>
      </c>
      <c r="G4542">
        <v>-1061.57026975537</v>
      </c>
      <c r="H4542">
        <v>140.015378051922</v>
      </c>
      <c r="I4542" s="1">
        <f t="shared" si="141"/>
        <v>156.20535199201217</v>
      </c>
    </row>
    <row r="4543" spans="1:9" x14ac:dyDescent="0.45">
      <c r="A4543" t="s">
        <v>60</v>
      </c>
      <c r="B4543" t="s">
        <v>72</v>
      </c>
      <c r="C4543" t="str">
        <f t="shared" si="140"/>
        <v>TennesseeXavier</v>
      </c>
      <c r="D4543" t="s">
        <v>60</v>
      </c>
      <c r="E4543">
        <v>95.5</v>
      </c>
      <c r="F4543">
        <v>-20.030188679245299</v>
      </c>
      <c r="G4543">
        <v>-2123.6756891213599</v>
      </c>
      <c r="H4543">
        <v>140.609360928613</v>
      </c>
      <c r="I4543" s="1">
        <f t="shared" si="141"/>
        <v>164.56927567905862</v>
      </c>
    </row>
    <row r="4544" spans="1:9" x14ac:dyDescent="0.45">
      <c r="A4544" t="s">
        <v>61</v>
      </c>
      <c r="B4544" t="s">
        <v>72</v>
      </c>
      <c r="C4544" t="str">
        <f t="shared" si="140"/>
        <v>TexasXavier</v>
      </c>
      <c r="D4544" t="s">
        <v>72</v>
      </c>
      <c r="E4544">
        <v>46.5</v>
      </c>
      <c r="F4544">
        <v>0.92075471698113198</v>
      </c>
      <c r="G4544">
        <v>115.100846972816</v>
      </c>
      <c r="H4544">
        <v>138.36507545968499</v>
      </c>
      <c r="I4544" s="1">
        <f t="shared" si="141"/>
        <v>132.96730004866322</v>
      </c>
    </row>
    <row r="4545" spans="1:9" x14ac:dyDescent="0.45">
      <c r="A4545" t="s">
        <v>62</v>
      </c>
      <c r="B4545" t="s">
        <v>72</v>
      </c>
      <c r="C4545" t="str">
        <f t="shared" si="140"/>
        <v>Texas A&amp;MXavier</v>
      </c>
      <c r="D4545" t="s">
        <v>62</v>
      </c>
      <c r="E4545">
        <v>83.4</v>
      </c>
      <c r="F4545">
        <v>-10.5735849056604</v>
      </c>
      <c r="G4545">
        <v>-501.79040622029402</v>
      </c>
      <c r="H4545">
        <v>139.162874487279</v>
      </c>
      <c r="I4545" s="1">
        <f t="shared" si="141"/>
        <v>144.20117638794267</v>
      </c>
    </row>
    <row r="4546" spans="1:9" x14ac:dyDescent="0.45">
      <c r="A4546" t="s">
        <v>63</v>
      </c>
      <c r="B4546" t="s">
        <v>72</v>
      </c>
      <c r="C4546" t="str">
        <f t="shared" si="140"/>
        <v>Texas TechXavier</v>
      </c>
      <c r="D4546" t="s">
        <v>63</v>
      </c>
      <c r="E4546">
        <v>90.8</v>
      </c>
      <c r="F4546">
        <v>-15.026415094339599</v>
      </c>
      <c r="G4546">
        <v>-989.552605637998</v>
      </c>
      <c r="H4546">
        <v>140.20265860634299</v>
      </c>
      <c r="I4546" s="1">
        <f t="shared" si="141"/>
        <v>158.84246549597569</v>
      </c>
    </row>
    <row r="4547" spans="1:9" x14ac:dyDescent="0.45">
      <c r="A4547" t="s">
        <v>64</v>
      </c>
      <c r="B4547" t="s">
        <v>72</v>
      </c>
      <c r="C4547" t="str">
        <f t="shared" ref="C4547:C4610" si="142">A4547&amp;B4547</f>
        <v>TroyXavier</v>
      </c>
      <c r="D4547" t="s">
        <v>72</v>
      </c>
      <c r="E4547">
        <v>12.2</v>
      </c>
      <c r="F4547">
        <v>12.920754716981101</v>
      </c>
      <c r="G4547">
        <v>717.83068366225405</v>
      </c>
      <c r="H4547">
        <v>138.90622302607201</v>
      </c>
      <c r="I4547" s="1">
        <f t="shared" ref="I4547:I4610" si="143">18*(H4547-AVERAGE($H$2:$H$4625))/_xlfn.STDEV.P($H$2:$H$4625)+AVERAGE($H$2:$H$4625)</f>
        <v>140.58724521258171</v>
      </c>
    </row>
    <row r="4548" spans="1:9" x14ac:dyDescent="0.45">
      <c r="A4548" t="s">
        <v>65</v>
      </c>
      <c r="B4548" t="s">
        <v>72</v>
      </c>
      <c r="C4548" t="str">
        <f t="shared" si="142"/>
        <v>UC San DiegoXavier</v>
      </c>
      <c r="D4548" t="s">
        <v>72</v>
      </c>
      <c r="E4548">
        <v>26.3</v>
      </c>
      <c r="F4548">
        <v>6.7622641509434001</v>
      </c>
      <c r="G4548">
        <v>280.46317056582001</v>
      </c>
      <c r="H4548">
        <v>138.994344769463</v>
      </c>
      <c r="I4548" s="1">
        <f t="shared" si="143"/>
        <v>141.82809501787855</v>
      </c>
    </row>
    <row r="4549" spans="1:9" x14ac:dyDescent="0.45">
      <c r="A4549" t="s">
        <v>66</v>
      </c>
      <c r="B4549" t="s">
        <v>72</v>
      </c>
      <c r="C4549" t="str">
        <f t="shared" si="142"/>
        <v>UCLAXavier</v>
      </c>
      <c r="D4549" t="s">
        <v>66</v>
      </c>
      <c r="E4549">
        <v>58.6</v>
      </c>
      <c r="F4549">
        <v>-2.2830188679245298</v>
      </c>
      <c r="G4549">
        <v>-141.68599499070001</v>
      </c>
      <c r="H4549">
        <v>138.46579928257199</v>
      </c>
      <c r="I4549" s="1">
        <f t="shared" si="143"/>
        <v>134.38560081313585</v>
      </c>
    </row>
    <row r="4550" spans="1:9" x14ac:dyDescent="0.45">
      <c r="A4550" t="s">
        <v>67</v>
      </c>
      <c r="B4550" t="s">
        <v>72</v>
      </c>
      <c r="C4550" t="str">
        <f t="shared" si="142"/>
        <v>UNC WilmingtonXavier</v>
      </c>
      <c r="D4550" t="s">
        <v>72</v>
      </c>
      <c r="E4550">
        <v>17.600000000000001</v>
      </c>
      <c r="F4550">
        <v>10.1207547169811</v>
      </c>
      <c r="G4550">
        <v>468.28907831440603</v>
      </c>
      <c r="H4550">
        <v>139.58081495649199</v>
      </c>
      <c r="I4550" s="1">
        <f t="shared" si="143"/>
        <v>150.08623187927182</v>
      </c>
    </row>
    <row r="4551" spans="1:9" x14ac:dyDescent="0.45">
      <c r="A4551" t="s">
        <v>68</v>
      </c>
      <c r="B4551" t="s">
        <v>72</v>
      </c>
      <c r="C4551" t="str">
        <f t="shared" si="142"/>
        <v>Utah St.Xavier</v>
      </c>
      <c r="D4551" t="s">
        <v>68</v>
      </c>
      <c r="E4551">
        <v>52</v>
      </c>
      <c r="F4551">
        <v>-0.524528301886792</v>
      </c>
      <c r="G4551">
        <v>-108.309107418745</v>
      </c>
      <c r="H4551">
        <v>138.95218536031899</v>
      </c>
      <c r="I4551" s="1">
        <f t="shared" si="143"/>
        <v>141.23444477204012</v>
      </c>
    </row>
    <row r="4552" spans="1:9" x14ac:dyDescent="0.45">
      <c r="A4552" t="s">
        <v>69</v>
      </c>
      <c r="B4552" t="s">
        <v>72</v>
      </c>
      <c r="C4552" t="str">
        <f t="shared" si="142"/>
        <v>VanderbiltXavier</v>
      </c>
      <c r="D4552" t="s">
        <v>72</v>
      </c>
      <c r="E4552">
        <v>18.8</v>
      </c>
      <c r="F4552">
        <v>9.6</v>
      </c>
      <c r="G4552">
        <v>432.439157312411</v>
      </c>
      <c r="H4552">
        <v>137.52675584891699</v>
      </c>
      <c r="I4552" s="1">
        <f t="shared" si="143"/>
        <v>121.16284991218973</v>
      </c>
    </row>
    <row r="4553" spans="1:9" x14ac:dyDescent="0.45">
      <c r="A4553" t="s">
        <v>70</v>
      </c>
      <c r="B4553" t="s">
        <v>72</v>
      </c>
      <c r="C4553" t="str">
        <f t="shared" si="142"/>
        <v>VCUXavier</v>
      </c>
      <c r="D4553" t="s">
        <v>72</v>
      </c>
      <c r="E4553">
        <v>41.5</v>
      </c>
      <c r="F4553">
        <v>2.2528301886792499</v>
      </c>
      <c r="G4553">
        <v>140.992155451603</v>
      </c>
      <c r="H4553">
        <v>139.37166701079201</v>
      </c>
      <c r="I4553" s="1">
        <f t="shared" si="143"/>
        <v>147.14120176850113</v>
      </c>
    </row>
    <row r="4554" spans="1:9" x14ac:dyDescent="0.45">
      <c r="A4554" t="s">
        <v>71</v>
      </c>
      <c r="B4554" t="s">
        <v>72</v>
      </c>
      <c r="C4554" t="str">
        <f t="shared" si="142"/>
        <v>WisconsinXavier</v>
      </c>
      <c r="D4554" t="s">
        <v>71</v>
      </c>
      <c r="E4554">
        <v>89.7</v>
      </c>
      <c r="F4554">
        <v>-14.211320754717001</v>
      </c>
      <c r="G4554">
        <v>-873.86808771991502</v>
      </c>
      <c r="H4554">
        <v>140.172345866059</v>
      </c>
      <c r="I4554" s="1">
        <f t="shared" si="143"/>
        <v>158.415629207541</v>
      </c>
    </row>
    <row r="4555" spans="1:9" x14ac:dyDescent="0.45">
      <c r="A4555" t="s">
        <v>80</v>
      </c>
      <c r="B4555" t="s">
        <v>72</v>
      </c>
      <c r="C4555" t="str">
        <f t="shared" si="142"/>
        <v>WoffordXavier</v>
      </c>
      <c r="D4555" t="s">
        <v>72</v>
      </c>
      <c r="E4555">
        <v>6.8</v>
      </c>
      <c r="F4555">
        <v>17.173584905660402</v>
      </c>
      <c r="G4555">
        <v>1373.50170388369</v>
      </c>
      <c r="H4555">
        <v>138.201801605154</v>
      </c>
      <c r="I4555" s="1">
        <f t="shared" si="143"/>
        <v>130.6682269390229</v>
      </c>
    </row>
    <row r="4556" spans="1:9" x14ac:dyDescent="0.45">
      <c r="A4556" t="s">
        <v>72</v>
      </c>
      <c r="B4556" t="s">
        <v>72</v>
      </c>
      <c r="C4556" t="str">
        <f t="shared" si="142"/>
        <v>XavierXavier</v>
      </c>
      <c r="D4556" t="s">
        <v>72</v>
      </c>
      <c r="E4556">
        <v>41.2</v>
      </c>
      <c r="F4556">
        <v>2.3283018867924499</v>
      </c>
      <c r="G4556">
        <v>142.64273539779199</v>
      </c>
      <c r="H4556">
        <v>138.77771517530499</v>
      </c>
      <c r="I4556" s="1">
        <f t="shared" si="143"/>
        <v>138.77771517530277</v>
      </c>
    </row>
    <row r="4557" spans="1:9" x14ac:dyDescent="0.45">
      <c r="A4557" t="s">
        <v>73</v>
      </c>
      <c r="B4557" t="s">
        <v>72</v>
      </c>
      <c r="C4557" t="str">
        <f t="shared" si="142"/>
        <v>YaleXavier</v>
      </c>
      <c r="D4557" t="s">
        <v>72</v>
      </c>
      <c r="E4557">
        <v>28.1</v>
      </c>
      <c r="F4557">
        <v>6.1509433962264204</v>
      </c>
      <c r="G4557">
        <v>255.60022904506201</v>
      </c>
      <c r="H4557">
        <v>139.57694980936799</v>
      </c>
      <c r="I4557" s="1">
        <f t="shared" si="143"/>
        <v>150.03180641205219</v>
      </c>
    </row>
    <row r="4558" spans="1:9" x14ac:dyDescent="0.45">
      <c r="A4558" t="s">
        <v>7</v>
      </c>
      <c r="B4558" t="s">
        <v>73</v>
      </c>
      <c r="C4558" t="str">
        <f t="shared" si="142"/>
        <v>AkronYale</v>
      </c>
      <c r="D4558" t="s">
        <v>73</v>
      </c>
      <c r="E4558">
        <v>26.4</v>
      </c>
      <c r="F4558">
        <v>6.7245283018867896</v>
      </c>
      <c r="G4558">
        <v>278.88004925030401</v>
      </c>
      <c r="H4558">
        <v>137.56018063075101</v>
      </c>
      <c r="I4558" s="1">
        <f t="shared" si="143"/>
        <v>121.63350712384755</v>
      </c>
    </row>
    <row r="4559" spans="1:9" x14ac:dyDescent="0.45">
      <c r="A4559" t="s">
        <v>8</v>
      </c>
      <c r="B4559" t="s">
        <v>73</v>
      </c>
      <c r="C4559" t="str">
        <f t="shared" si="142"/>
        <v>AlabamaYale</v>
      </c>
      <c r="D4559" t="s">
        <v>8</v>
      </c>
      <c r="E4559">
        <v>96.3</v>
      </c>
      <c r="F4559">
        <v>-21.449056603773599</v>
      </c>
      <c r="G4559">
        <v>-2636.9762993049198</v>
      </c>
      <c r="H4559">
        <v>139.30827664289001</v>
      </c>
      <c r="I4559" s="1">
        <f t="shared" si="143"/>
        <v>146.24859657661452</v>
      </c>
    </row>
    <row r="4560" spans="1:9" x14ac:dyDescent="0.45">
      <c r="A4560" t="s">
        <v>9</v>
      </c>
      <c r="B4560" t="s">
        <v>73</v>
      </c>
      <c r="C4560" t="str">
        <f t="shared" si="142"/>
        <v>Alabama St.Yale</v>
      </c>
      <c r="D4560" t="s">
        <v>73</v>
      </c>
      <c r="E4560">
        <v>5.3</v>
      </c>
      <c r="F4560">
        <v>18.864150943396201</v>
      </c>
      <c r="G4560">
        <v>1776.9744106921701</v>
      </c>
      <c r="H4560">
        <v>137.78702148656399</v>
      </c>
      <c r="I4560" s="1">
        <f t="shared" si="143"/>
        <v>124.82767261510475</v>
      </c>
    </row>
    <row r="4561" spans="1:9" x14ac:dyDescent="0.45">
      <c r="A4561" t="s">
        <v>10</v>
      </c>
      <c r="B4561" t="s">
        <v>73</v>
      </c>
      <c r="C4561" t="str">
        <f t="shared" si="142"/>
        <v>AmericanYale</v>
      </c>
      <c r="D4561" t="s">
        <v>73</v>
      </c>
      <c r="E4561">
        <v>6.4</v>
      </c>
      <c r="F4561">
        <v>17.600000000000001</v>
      </c>
      <c r="G4561">
        <v>1465.49234362778</v>
      </c>
      <c r="H4561">
        <v>137.878107368168</v>
      </c>
      <c r="I4561" s="1">
        <f t="shared" si="143"/>
        <v>126.11026070408708</v>
      </c>
    </row>
    <row r="4562" spans="1:9" x14ac:dyDescent="0.45">
      <c r="A4562" t="s">
        <v>11</v>
      </c>
      <c r="B4562" t="s">
        <v>73</v>
      </c>
      <c r="C4562" t="str">
        <f t="shared" si="142"/>
        <v>ArizonaYale</v>
      </c>
      <c r="D4562" t="s">
        <v>11</v>
      </c>
      <c r="E4562">
        <v>94.9</v>
      </c>
      <c r="F4562">
        <v>-19.211320754717001</v>
      </c>
      <c r="G4562">
        <v>-1873.5617742264701</v>
      </c>
      <c r="H4562">
        <v>139.07063546187999</v>
      </c>
      <c r="I4562" s="1">
        <f t="shared" si="143"/>
        <v>142.90235078256046</v>
      </c>
    </row>
    <row r="4563" spans="1:9" x14ac:dyDescent="0.45">
      <c r="A4563" t="s">
        <v>12</v>
      </c>
      <c r="B4563" t="s">
        <v>73</v>
      </c>
      <c r="C4563" t="str">
        <f t="shared" si="142"/>
        <v>ArkansasYale</v>
      </c>
      <c r="D4563" t="s">
        <v>12</v>
      </c>
      <c r="E4563">
        <v>53.1</v>
      </c>
      <c r="F4563">
        <v>-0.81886792452830204</v>
      </c>
      <c r="G4563">
        <v>-113.286947870247</v>
      </c>
      <c r="H4563">
        <v>137.18823929573799</v>
      </c>
      <c r="I4563" s="1">
        <f t="shared" si="143"/>
        <v>116.39616937526222</v>
      </c>
    </row>
    <row r="4564" spans="1:9" x14ac:dyDescent="0.45">
      <c r="A4564" t="s">
        <v>13</v>
      </c>
      <c r="B4564" t="s">
        <v>73</v>
      </c>
      <c r="C4564" t="str">
        <f t="shared" si="142"/>
        <v>AuburnYale</v>
      </c>
      <c r="D4564" t="s">
        <v>13</v>
      </c>
      <c r="E4564">
        <v>98.1</v>
      </c>
      <c r="F4564">
        <v>-25.860377358490599</v>
      </c>
      <c r="G4564">
        <v>-5167.82201020505</v>
      </c>
      <c r="H4564">
        <v>140.326958701</v>
      </c>
      <c r="I4564" s="1">
        <f t="shared" si="143"/>
        <v>160.59274575960129</v>
      </c>
    </row>
    <row r="4565" spans="1:9" x14ac:dyDescent="0.45">
      <c r="A4565" t="s">
        <v>14</v>
      </c>
      <c r="B4565" t="s">
        <v>73</v>
      </c>
      <c r="C4565" t="str">
        <f t="shared" si="142"/>
        <v>BaylorYale</v>
      </c>
      <c r="D4565" t="s">
        <v>14</v>
      </c>
      <c r="E4565">
        <v>84.5</v>
      </c>
      <c r="F4565">
        <v>-11.128301886792499</v>
      </c>
      <c r="G4565">
        <v>-546.15994802036096</v>
      </c>
      <c r="H4565">
        <v>138.86195671372499</v>
      </c>
      <c r="I4565" s="1">
        <f t="shared" si="143"/>
        <v>139.96392748254883</v>
      </c>
    </row>
    <row r="4566" spans="1:9" x14ac:dyDescent="0.45">
      <c r="A4566" t="s">
        <v>15</v>
      </c>
      <c r="B4566" t="s">
        <v>73</v>
      </c>
      <c r="C4566" t="str">
        <f t="shared" si="142"/>
        <v>BryantYale</v>
      </c>
      <c r="D4566" t="s">
        <v>73</v>
      </c>
      <c r="E4566">
        <v>19.8</v>
      </c>
      <c r="F4566">
        <v>9.1547169811320792</v>
      </c>
      <c r="G4566">
        <v>404.222325563472</v>
      </c>
      <c r="H4566">
        <v>138.41095446361899</v>
      </c>
      <c r="I4566" s="1">
        <f t="shared" si="143"/>
        <v>133.61332622685782</v>
      </c>
    </row>
    <row r="4567" spans="1:9" x14ac:dyDescent="0.45">
      <c r="A4567" t="s">
        <v>16</v>
      </c>
      <c r="B4567" t="s">
        <v>73</v>
      </c>
      <c r="C4567" t="str">
        <f t="shared" si="142"/>
        <v>BYUYale</v>
      </c>
      <c r="D4567" t="s">
        <v>16</v>
      </c>
      <c r="E4567">
        <v>86.9</v>
      </c>
      <c r="F4567">
        <v>-12.422641509433999</v>
      </c>
      <c r="G4567">
        <v>-665.35960643078397</v>
      </c>
      <c r="H4567">
        <v>138.67147494184201</v>
      </c>
      <c r="I4567" s="1">
        <f t="shared" si="143"/>
        <v>137.281737361719</v>
      </c>
    </row>
    <row r="4568" spans="1:9" x14ac:dyDescent="0.45">
      <c r="A4568" t="s">
        <v>17</v>
      </c>
      <c r="B4568" t="s">
        <v>73</v>
      </c>
      <c r="C4568" t="str">
        <f t="shared" si="142"/>
        <v>ClemsonYale</v>
      </c>
      <c r="D4568" t="s">
        <v>17</v>
      </c>
      <c r="E4568">
        <v>89.5</v>
      </c>
      <c r="F4568">
        <v>-14.0490566037736</v>
      </c>
      <c r="G4568">
        <v>-852.52663766604599</v>
      </c>
      <c r="H4568">
        <v>138.893386798134</v>
      </c>
      <c r="I4568" s="1">
        <f t="shared" si="143"/>
        <v>140.40649718916873</v>
      </c>
    </row>
    <row r="4569" spans="1:9" x14ac:dyDescent="0.45">
      <c r="A4569" t="s">
        <v>18</v>
      </c>
      <c r="B4569" t="s">
        <v>73</v>
      </c>
      <c r="C4569" t="str">
        <f t="shared" si="142"/>
        <v>Colorado St.Yale</v>
      </c>
      <c r="D4569" t="s">
        <v>18</v>
      </c>
      <c r="E4569">
        <v>58.3</v>
      </c>
      <c r="F4569">
        <v>-2.20754716981132</v>
      </c>
      <c r="G4569">
        <v>-140.07686958667901</v>
      </c>
      <c r="H4569">
        <v>138.200778646239</v>
      </c>
      <c r="I4569" s="1">
        <f t="shared" si="143"/>
        <v>130.65382256705226</v>
      </c>
    </row>
    <row r="4570" spans="1:9" x14ac:dyDescent="0.45">
      <c r="A4570" t="s">
        <v>19</v>
      </c>
      <c r="B4570" t="s">
        <v>73</v>
      </c>
      <c r="C4570" t="str">
        <f t="shared" si="142"/>
        <v>ConnecticutYale</v>
      </c>
      <c r="D4570" t="s">
        <v>19</v>
      </c>
      <c r="E4570">
        <v>93.5</v>
      </c>
      <c r="F4570">
        <v>-17.513207547169799</v>
      </c>
      <c r="G4570">
        <v>-1445.9839372598501</v>
      </c>
      <c r="H4570">
        <v>138.83633054857501</v>
      </c>
      <c r="I4570" s="1">
        <f t="shared" si="143"/>
        <v>139.60308325939516</v>
      </c>
    </row>
    <row r="4571" spans="1:9" x14ac:dyDescent="0.45">
      <c r="A4571" t="s">
        <v>20</v>
      </c>
      <c r="B4571" t="s">
        <v>73</v>
      </c>
      <c r="C4571" t="str">
        <f t="shared" si="142"/>
        <v>CreightonYale</v>
      </c>
      <c r="D4571" t="s">
        <v>20</v>
      </c>
      <c r="E4571">
        <v>81.7</v>
      </c>
      <c r="F4571">
        <v>-9.8188679245283002</v>
      </c>
      <c r="G4571">
        <v>-447.28408069869698</v>
      </c>
      <c r="H4571">
        <v>138.30927291083901</v>
      </c>
      <c r="I4571" s="1">
        <f t="shared" si="143"/>
        <v>132.18153958585242</v>
      </c>
    </row>
    <row r="4572" spans="1:9" x14ac:dyDescent="0.45">
      <c r="A4572" t="s">
        <v>21</v>
      </c>
      <c r="B4572" t="s">
        <v>73</v>
      </c>
      <c r="C4572" t="str">
        <f t="shared" si="142"/>
        <v>DrakeYale</v>
      </c>
      <c r="D4572" t="s">
        <v>21</v>
      </c>
      <c r="E4572">
        <v>58.2</v>
      </c>
      <c r="F4572">
        <v>-2.1584905660377398</v>
      </c>
      <c r="G4572">
        <v>-138.99799319255499</v>
      </c>
      <c r="H4572">
        <v>138.362738014993</v>
      </c>
      <c r="I4572" s="1">
        <f t="shared" si="143"/>
        <v>132.93438629004547</v>
      </c>
    </row>
    <row r="4573" spans="1:9" x14ac:dyDescent="0.45">
      <c r="A4573" t="s">
        <v>22</v>
      </c>
      <c r="B4573" t="s">
        <v>73</v>
      </c>
      <c r="C4573" t="str">
        <f t="shared" si="142"/>
        <v>DukeYale</v>
      </c>
      <c r="D4573" t="s">
        <v>22</v>
      </c>
      <c r="E4573">
        <v>98.7</v>
      </c>
      <c r="F4573">
        <v>-28.3698113207547</v>
      </c>
      <c r="G4573">
        <v>-7577.3433452743602</v>
      </c>
      <c r="H4573">
        <v>140.650058476449</v>
      </c>
      <c r="I4573" s="1">
        <f t="shared" si="143"/>
        <v>165.14234133079344</v>
      </c>
    </row>
    <row r="4574" spans="1:9" x14ac:dyDescent="0.45">
      <c r="A4574" t="s">
        <v>23</v>
      </c>
      <c r="B4574" t="s">
        <v>73</v>
      </c>
      <c r="C4574" t="str">
        <f t="shared" si="142"/>
        <v>FloridaYale</v>
      </c>
      <c r="D4574" t="s">
        <v>23</v>
      </c>
      <c r="E4574">
        <v>97.7</v>
      </c>
      <c r="F4574">
        <v>-24.471698113207498</v>
      </c>
      <c r="G4574">
        <v>-4179.9428214402196</v>
      </c>
      <c r="H4574">
        <v>140.37381475239101</v>
      </c>
      <c r="I4574" s="1">
        <f t="shared" si="143"/>
        <v>161.25252982660004</v>
      </c>
    </row>
    <row r="4575" spans="1:9" x14ac:dyDescent="0.45">
      <c r="A4575" t="s">
        <v>24</v>
      </c>
      <c r="B4575" t="s">
        <v>73</v>
      </c>
      <c r="C4575" t="str">
        <f t="shared" si="142"/>
        <v>GeorgiaYale</v>
      </c>
      <c r="D4575" t="s">
        <v>24</v>
      </c>
      <c r="E4575">
        <v>61.1</v>
      </c>
      <c r="F4575">
        <v>-2.9622641509433998</v>
      </c>
      <c r="G4575">
        <v>-157.157679961041</v>
      </c>
      <c r="H4575">
        <v>137.51562827673601</v>
      </c>
      <c r="I4575" s="1">
        <f t="shared" si="143"/>
        <v>121.00616161662418</v>
      </c>
    </row>
    <row r="4576" spans="1:9" x14ac:dyDescent="0.45">
      <c r="A4576" t="s">
        <v>25</v>
      </c>
      <c r="B4576" t="s">
        <v>73</v>
      </c>
      <c r="C4576" t="str">
        <f t="shared" si="142"/>
        <v>GonzagaYale</v>
      </c>
      <c r="D4576" t="s">
        <v>25</v>
      </c>
      <c r="E4576">
        <v>89.8</v>
      </c>
      <c r="F4576">
        <v>-14.2905660377358</v>
      </c>
      <c r="G4576">
        <v>-884.62022850737605</v>
      </c>
      <c r="H4576">
        <v>139.65326939626499</v>
      </c>
      <c r="I4576" s="1">
        <f t="shared" si="143"/>
        <v>151.10646904237831</v>
      </c>
    </row>
    <row r="4577" spans="1:9" x14ac:dyDescent="0.45">
      <c r="A4577" t="s">
        <v>26</v>
      </c>
      <c r="B4577" t="s">
        <v>73</v>
      </c>
      <c r="C4577" t="str">
        <f t="shared" si="142"/>
        <v>Grand CanyonYale</v>
      </c>
      <c r="D4577" t="s">
        <v>73</v>
      </c>
      <c r="E4577">
        <v>46.3</v>
      </c>
      <c r="F4577">
        <v>0.95849056603773597</v>
      </c>
      <c r="G4577">
        <v>115.751260844546</v>
      </c>
      <c r="H4577">
        <v>138.30523764256901</v>
      </c>
      <c r="I4577" s="1">
        <f t="shared" si="143"/>
        <v>132.12471862822639</v>
      </c>
    </row>
    <row r="4578" spans="1:9" x14ac:dyDescent="0.45">
      <c r="A4578" t="s">
        <v>27</v>
      </c>
      <c r="B4578" t="s">
        <v>73</v>
      </c>
      <c r="C4578" t="str">
        <f t="shared" si="142"/>
        <v>High PointYale</v>
      </c>
      <c r="D4578" t="s">
        <v>73</v>
      </c>
      <c r="E4578">
        <v>36.1</v>
      </c>
      <c r="F4578">
        <v>3.7320754716981099</v>
      </c>
      <c r="G4578">
        <v>176.68586177559399</v>
      </c>
      <c r="H4578">
        <v>138.58612939022399</v>
      </c>
      <c r="I4578" s="1">
        <f t="shared" si="143"/>
        <v>136.07997935021098</v>
      </c>
    </row>
    <row r="4579" spans="1:9" x14ac:dyDescent="0.45">
      <c r="A4579" t="s">
        <v>28</v>
      </c>
      <c r="B4579" t="s">
        <v>73</v>
      </c>
      <c r="C4579" t="str">
        <f t="shared" si="142"/>
        <v>HoustonYale</v>
      </c>
      <c r="D4579" t="s">
        <v>28</v>
      </c>
      <c r="E4579">
        <v>99.2</v>
      </c>
      <c r="F4579">
        <v>-31.883018867924498</v>
      </c>
      <c r="G4579">
        <v>-12951.027115116</v>
      </c>
      <c r="H4579">
        <v>140.79372282607901</v>
      </c>
      <c r="I4579" s="1">
        <f t="shared" si="143"/>
        <v>167.16529132482094</v>
      </c>
    </row>
    <row r="4580" spans="1:9" x14ac:dyDescent="0.45">
      <c r="A4580" t="s">
        <v>29</v>
      </c>
      <c r="B4580" t="s">
        <v>73</v>
      </c>
      <c r="C4580" t="str">
        <f t="shared" si="142"/>
        <v>IllinoisYale</v>
      </c>
      <c r="D4580" t="s">
        <v>29</v>
      </c>
      <c r="E4580">
        <v>92.8</v>
      </c>
      <c r="F4580">
        <v>-16.7735849056604</v>
      </c>
      <c r="G4580">
        <v>-1291.8186925162399</v>
      </c>
      <c r="H4580">
        <v>138.84396798001501</v>
      </c>
      <c r="I4580" s="1">
        <f t="shared" si="143"/>
        <v>139.71062658469285</v>
      </c>
    </row>
    <row r="4581" spans="1:9" x14ac:dyDescent="0.45">
      <c r="A4581" t="s">
        <v>30</v>
      </c>
      <c r="B4581" t="s">
        <v>73</v>
      </c>
      <c r="C4581" t="str">
        <f t="shared" si="142"/>
        <v>Iowa St.Yale</v>
      </c>
      <c r="D4581" t="s">
        <v>30</v>
      </c>
      <c r="E4581">
        <v>96.5</v>
      </c>
      <c r="F4581">
        <v>-21.656603773584902</v>
      </c>
      <c r="G4581">
        <v>-2721.0839678325601</v>
      </c>
      <c r="H4581">
        <v>139.77023655837399</v>
      </c>
      <c r="I4581" s="1">
        <f t="shared" si="143"/>
        <v>152.75349365564682</v>
      </c>
    </row>
    <row r="4582" spans="1:9" x14ac:dyDescent="0.45">
      <c r="A4582" t="s">
        <v>31</v>
      </c>
      <c r="B4582" t="s">
        <v>73</v>
      </c>
      <c r="C4582" t="str">
        <f t="shared" si="142"/>
        <v>KansasYale</v>
      </c>
      <c r="D4582" t="s">
        <v>31</v>
      </c>
      <c r="E4582">
        <v>88.8</v>
      </c>
      <c r="F4582">
        <v>-13.554716981132101</v>
      </c>
      <c r="G4582">
        <v>-790.55202760125405</v>
      </c>
      <c r="H4582">
        <v>138.72562684268499</v>
      </c>
      <c r="I4582" s="1">
        <f t="shared" si="143"/>
        <v>138.04425490882807</v>
      </c>
    </row>
    <row r="4583" spans="1:9" x14ac:dyDescent="0.45">
      <c r="A4583" t="s">
        <v>32</v>
      </c>
      <c r="B4583" t="s">
        <v>73</v>
      </c>
      <c r="C4583" t="str">
        <f t="shared" si="142"/>
        <v>KentuckyYale</v>
      </c>
      <c r="D4583" t="s">
        <v>32</v>
      </c>
      <c r="E4583">
        <v>93</v>
      </c>
      <c r="F4583">
        <v>-16.981132075471699</v>
      </c>
      <c r="G4583">
        <v>-1333.64370974031</v>
      </c>
      <c r="H4583">
        <v>138.67266444307799</v>
      </c>
      <c r="I4583" s="1">
        <f t="shared" si="143"/>
        <v>137.29848683035493</v>
      </c>
    </row>
    <row r="4584" spans="1:9" x14ac:dyDescent="0.45">
      <c r="A4584" t="s">
        <v>33</v>
      </c>
      <c r="B4584" t="s">
        <v>73</v>
      </c>
      <c r="C4584" t="str">
        <f t="shared" si="142"/>
        <v>LibertyYale</v>
      </c>
      <c r="D4584" t="s">
        <v>73</v>
      </c>
      <c r="E4584">
        <v>27</v>
      </c>
      <c r="F4584">
        <v>6.50566037735849</v>
      </c>
      <c r="G4584">
        <v>269.84865473143799</v>
      </c>
      <c r="H4584">
        <v>137.881600691476</v>
      </c>
      <c r="I4584" s="1">
        <f t="shared" si="143"/>
        <v>126.15945048835326</v>
      </c>
    </row>
    <row r="4585" spans="1:9" x14ac:dyDescent="0.45">
      <c r="A4585" t="s">
        <v>34</v>
      </c>
      <c r="B4585" t="s">
        <v>73</v>
      </c>
      <c r="C4585" t="str">
        <f t="shared" si="142"/>
        <v>LipscombYale</v>
      </c>
      <c r="D4585" t="s">
        <v>73</v>
      </c>
      <c r="E4585">
        <v>22.1</v>
      </c>
      <c r="F4585">
        <v>8.2490566037735906</v>
      </c>
      <c r="G4585">
        <v>352.00603282081499</v>
      </c>
      <c r="H4585">
        <v>138.313520922734</v>
      </c>
      <c r="I4585" s="1">
        <f t="shared" si="143"/>
        <v>132.24135620465677</v>
      </c>
    </row>
    <row r="4586" spans="1:9" x14ac:dyDescent="0.45">
      <c r="A4586" t="s">
        <v>35</v>
      </c>
      <c r="B4586" t="s">
        <v>73</v>
      </c>
      <c r="C4586" t="str">
        <f t="shared" si="142"/>
        <v>LouisvilleYale</v>
      </c>
      <c r="D4586" t="s">
        <v>73</v>
      </c>
      <c r="E4586">
        <v>41.9</v>
      </c>
      <c r="F4586">
        <v>2.1433962264150899</v>
      </c>
      <c r="G4586">
        <v>138.655415042139</v>
      </c>
      <c r="H4586">
        <v>137.59924423470201</v>
      </c>
      <c r="I4586" s="1">
        <f t="shared" si="143"/>
        <v>122.18356507199475</v>
      </c>
    </row>
    <row r="4587" spans="1:9" x14ac:dyDescent="0.45">
      <c r="A4587" t="s">
        <v>36</v>
      </c>
      <c r="B4587" t="s">
        <v>73</v>
      </c>
      <c r="C4587" t="str">
        <f t="shared" si="142"/>
        <v>MarquetteYale</v>
      </c>
      <c r="D4587" t="s">
        <v>36</v>
      </c>
      <c r="E4587">
        <v>91</v>
      </c>
      <c r="F4587">
        <v>-15.203773584905701</v>
      </c>
      <c r="G4587">
        <v>-1016.64322540561</v>
      </c>
      <c r="H4587">
        <v>138.931000869607</v>
      </c>
      <c r="I4587" s="1">
        <f t="shared" si="143"/>
        <v>140.93614414652194</v>
      </c>
    </row>
    <row r="4588" spans="1:9" x14ac:dyDescent="0.45">
      <c r="A4588" t="s">
        <v>37</v>
      </c>
      <c r="B4588" t="s">
        <v>73</v>
      </c>
      <c r="C4588" t="str">
        <f t="shared" si="142"/>
        <v>MarylandYale</v>
      </c>
      <c r="D4588" t="s">
        <v>37</v>
      </c>
      <c r="E4588">
        <v>87.3</v>
      </c>
      <c r="F4588">
        <v>-12.6566037735849</v>
      </c>
      <c r="G4588">
        <v>-689.64281019809096</v>
      </c>
      <c r="H4588">
        <v>138.540940181286</v>
      </c>
      <c r="I4588" s="1">
        <f t="shared" si="143"/>
        <v>135.44366623435002</v>
      </c>
    </row>
    <row r="4589" spans="1:9" x14ac:dyDescent="0.45">
      <c r="A4589" t="s">
        <v>38</v>
      </c>
      <c r="B4589" t="s">
        <v>73</v>
      </c>
      <c r="C4589" t="str">
        <f t="shared" si="142"/>
        <v>McNeese St.Yale</v>
      </c>
      <c r="D4589" t="s">
        <v>38</v>
      </c>
      <c r="E4589">
        <v>55.1</v>
      </c>
      <c r="F4589">
        <v>-1.3509433962264199</v>
      </c>
      <c r="G4589">
        <v>-122.878259540415</v>
      </c>
      <c r="H4589">
        <v>138.37635179548701</v>
      </c>
      <c r="I4589" s="1">
        <f t="shared" si="143"/>
        <v>133.12608309749967</v>
      </c>
    </row>
    <row r="4590" spans="1:9" x14ac:dyDescent="0.45">
      <c r="A4590" t="s">
        <v>39</v>
      </c>
      <c r="B4590" t="s">
        <v>73</v>
      </c>
      <c r="C4590" t="str">
        <f t="shared" si="142"/>
        <v>MemphisYale</v>
      </c>
      <c r="D4590" t="s">
        <v>39</v>
      </c>
      <c r="E4590">
        <v>77.900000000000006</v>
      </c>
      <c r="F4590">
        <v>-8.2716981132075507</v>
      </c>
      <c r="G4590">
        <v>-353.23010347635397</v>
      </c>
      <c r="H4590">
        <v>137.51857499430599</v>
      </c>
      <c r="I4590" s="1">
        <f t="shared" si="143"/>
        <v>121.04765459874501</v>
      </c>
    </row>
    <row r="4591" spans="1:9" x14ac:dyDescent="0.45">
      <c r="A4591" t="s">
        <v>40</v>
      </c>
      <c r="B4591" t="s">
        <v>73</v>
      </c>
      <c r="C4591" t="str">
        <f t="shared" si="142"/>
        <v>MichiganYale</v>
      </c>
      <c r="D4591" t="s">
        <v>40</v>
      </c>
      <c r="E4591">
        <v>65.099999999999994</v>
      </c>
      <c r="F4591">
        <v>-4.0830188679245296</v>
      </c>
      <c r="G4591">
        <v>-186.46128335203301</v>
      </c>
      <c r="H4591">
        <v>137.175496078989</v>
      </c>
      <c r="I4591" s="1">
        <f t="shared" si="143"/>
        <v>116.21673105035666</v>
      </c>
    </row>
    <row r="4592" spans="1:9" x14ac:dyDescent="0.45">
      <c r="A4592" t="s">
        <v>41</v>
      </c>
      <c r="B4592" t="s">
        <v>73</v>
      </c>
      <c r="C4592" t="str">
        <f t="shared" si="142"/>
        <v>Michigan St.Yale</v>
      </c>
      <c r="D4592" t="s">
        <v>41</v>
      </c>
      <c r="E4592">
        <v>94.7</v>
      </c>
      <c r="F4592">
        <v>-18.909433962264199</v>
      </c>
      <c r="G4592">
        <v>-1789.21489185686</v>
      </c>
      <c r="H4592">
        <v>138.874388039818</v>
      </c>
      <c r="I4592" s="1">
        <f t="shared" si="143"/>
        <v>140.13897404845312</v>
      </c>
    </row>
    <row r="4593" spans="1:9" x14ac:dyDescent="0.45">
      <c r="A4593" t="s">
        <v>42</v>
      </c>
      <c r="B4593" t="s">
        <v>73</v>
      </c>
      <c r="C4593" t="str">
        <f t="shared" si="142"/>
        <v>MississippiYale</v>
      </c>
      <c r="D4593" t="s">
        <v>42</v>
      </c>
      <c r="E4593">
        <v>82.1</v>
      </c>
      <c r="F4593">
        <v>-9.9962264150943394</v>
      </c>
      <c r="G4593">
        <v>-459.561474165466</v>
      </c>
      <c r="H4593">
        <v>138.00530914491301</v>
      </c>
      <c r="I4593" s="1">
        <f t="shared" si="143"/>
        <v>127.90139980136017</v>
      </c>
    </row>
    <row r="4594" spans="1:9" x14ac:dyDescent="0.45">
      <c r="A4594" t="s">
        <v>43</v>
      </c>
      <c r="B4594" t="s">
        <v>73</v>
      </c>
      <c r="C4594" t="str">
        <f t="shared" si="142"/>
        <v>Mississippi St.Yale</v>
      </c>
      <c r="D4594" t="s">
        <v>43</v>
      </c>
      <c r="E4594">
        <v>77.599999999999994</v>
      </c>
      <c r="F4594">
        <v>-8.1471698113207491</v>
      </c>
      <c r="G4594">
        <v>-346.61897359747701</v>
      </c>
      <c r="H4594">
        <v>138.12968049870199</v>
      </c>
      <c r="I4594" s="1">
        <f t="shared" si="143"/>
        <v>129.65268347091748</v>
      </c>
    </row>
    <row r="4595" spans="1:9" x14ac:dyDescent="0.45">
      <c r="A4595" t="s">
        <v>44</v>
      </c>
      <c r="B4595" t="s">
        <v>73</v>
      </c>
      <c r="C4595" t="str">
        <f t="shared" si="142"/>
        <v>MissouriYale</v>
      </c>
      <c r="D4595" t="s">
        <v>44</v>
      </c>
      <c r="E4595">
        <v>60.3</v>
      </c>
      <c r="F4595">
        <v>-2.7358490566037701</v>
      </c>
      <c r="G4595">
        <v>-151.79357550786401</v>
      </c>
      <c r="H4595">
        <v>137.394152434875</v>
      </c>
      <c r="I4595" s="1">
        <f t="shared" si="143"/>
        <v>119.29564989816301</v>
      </c>
    </row>
    <row r="4596" spans="1:9" x14ac:dyDescent="0.45">
      <c r="A4596" t="s">
        <v>45</v>
      </c>
      <c r="B4596" t="s">
        <v>73</v>
      </c>
      <c r="C4596" t="str">
        <f t="shared" si="142"/>
        <v>MontanaYale</v>
      </c>
      <c r="D4596" t="s">
        <v>73</v>
      </c>
      <c r="E4596">
        <v>12.9</v>
      </c>
      <c r="F4596">
        <v>12.5207547169811</v>
      </c>
      <c r="G4596">
        <v>675.36520369662696</v>
      </c>
      <c r="H4596">
        <v>136.702887159894</v>
      </c>
      <c r="I4596" s="1">
        <f t="shared" si="143"/>
        <v>109.56188444072217</v>
      </c>
    </row>
    <row r="4597" spans="1:9" x14ac:dyDescent="0.45">
      <c r="A4597" t="s">
        <v>46</v>
      </c>
      <c r="B4597" t="s">
        <v>73</v>
      </c>
      <c r="C4597" t="str">
        <f t="shared" si="142"/>
        <v>Mount St. Mary'sYale</v>
      </c>
      <c r="D4597" t="s">
        <v>73</v>
      </c>
      <c r="E4597">
        <v>5.5</v>
      </c>
      <c r="F4597">
        <v>18.6377358490566</v>
      </c>
      <c r="G4597">
        <v>1716.8777680862299</v>
      </c>
      <c r="H4597">
        <v>138.050761381841</v>
      </c>
      <c r="I4597" s="1">
        <f t="shared" si="143"/>
        <v>128.54141663684379</v>
      </c>
    </row>
    <row r="4598" spans="1:9" x14ac:dyDescent="0.45">
      <c r="A4598" t="s">
        <v>47</v>
      </c>
      <c r="B4598" t="s">
        <v>73</v>
      </c>
      <c r="C4598" t="str">
        <f t="shared" si="142"/>
        <v>Nebraska OmahaYale</v>
      </c>
      <c r="D4598" t="s">
        <v>73</v>
      </c>
      <c r="E4598">
        <v>7</v>
      </c>
      <c r="F4598">
        <v>16.920754716981101</v>
      </c>
      <c r="G4598">
        <v>1321.5056169596201</v>
      </c>
      <c r="H4598">
        <v>137.334762561741</v>
      </c>
      <c r="I4598" s="1">
        <f t="shared" si="143"/>
        <v>118.45937601524683</v>
      </c>
    </row>
    <row r="4599" spans="1:9" x14ac:dyDescent="0.45">
      <c r="A4599" t="s">
        <v>48</v>
      </c>
      <c r="B4599" t="s">
        <v>73</v>
      </c>
      <c r="C4599" t="str">
        <f t="shared" si="142"/>
        <v>New MexicoYale</v>
      </c>
      <c r="D4599" t="s">
        <v>48</v>
      </c>
      <c r="E4599">
        <v>65.900000000000006</v>
      </c>
      <c r="F4599">
        <v>-4.3245283018867902</v>
      </c>
      <c r="G4599">
        <v>-193.449010877783</v>
      </c>
      <c r="H4599">
        <v>138.21250690901701</v>
      </c>
      <c r="I4599" s="1">
        <f t="shared" si="143"/>
        <v>130.81896923828856</v>
      </c>
    </row>
    <row r="4600" spans="1:9" x14ac:dyDescent="0.45">
      <c r="A4600" t="s">
        <v>49</v>
      </c>
      <c r="B4600" t="s">
        <v>73</v>
      </c>
      <c r="C4600" t="str">
        <f t="shared" si="142"/>
        <v>Norfolk St.Yale</v>
      </c>
      <c r="D4600" t="s">
        <v>73</v>
      </c>
      <c r="E4600">
        <v>10</v>
      </c>
      <c r="F4600">
        <v>14.388679245283001</v>
      </c>
      <c r="G4600">
        <v>898.02076252200595</v>
      </c>
      <c r="H4600">
        <v>137.22487057121799</v>
      </c>
      <c r="I4600" s="1">
        <f t="shared" si="143"/>
        <v>116.91197749818447</v>
      </c>
    </row>
    <row r="4601" spans="1:9" x14ac:dyDescent="0.45">
      <c r="A4601" t="s">
        <v>50</v>
      </c>
      <c r="B4601" t="s">
        <v>73</v>
      </c>
      <c r="C4601" t="str">
        <f t="shared" si="142"/>
        <v>North CarolinaYale</v>
      </c>
      <c r="D4601" t="s">
        <v>50</v>
      </c>
      <c r="E4601">
        <v>86.8</v>
      </c>
      <c r="F4601">
        <v>-12.366037735849099</v>
      </c>
      <c r="G4601">
        <v>-659.56795366926599</v>
      </c>
      <c r="H4601">
        <v>139.29680200317401</v>
      </c>
      <c r="I4601" s="1">
        <f t="shared" si="143"/>
        <v>146.08702119340546</v>
      </c>
    </row>
    <row r="4602" spans="1:9" x14ac:dyDescent="0.45">
      <c r="A4602" t="s">
        <v>51</v>
      </c>
      <c r="B4602" t="s">
        <v>73</v>
      </c>
      <c r="C4602" t="str">
        <f t="shared" si="142"/>
        <v>OklahomaYale</v>
      </c>
      <c r="D4602" t="s">
        <v>51</v>
      </c>
      <c r="E4602">
        <v>68.400000000000006</v>
      </c>
      <c r="F4602">
        <v>-5.0603773584905696</v>
      </c>
      <c r="G4602">
        <v>-216.39689478556801</v>
      </c>
      <c r="H4602">
        <v>137.63940529867901</v>
      </c>
      <c r="I4602" s="1">
        <f t="shared" si="143"/>
        <v>122.74907644862813</v>
      </c>
    </row>
    <row r="4603" spans="1:9" x14ac:dyDescent="0.45">
      <c r="A4603" t="s">
        <v>52</v>
      </c>
      <c r="B4603" t="s">
        <v>73</v>
      </c>
      <c r="C4603" t="str">
        <f t="shared" si="142"/>
        <v>OregonYale</v>
      </c>
      <c r="D4603" t="s">
        <v>52</v>
      </c>
      <c r="E4603">
        <v>87.7</v>
      </c>
      <c r="F4603">
        <v>-12.8867924528302</v>
      </c>
      <c r="G4603">
        <v>-713.96254857664803</v>
      </c>
      <c r="H4603">
        <v>138.23378308681899</v>
      </c>
      <c r="I4603" s="1">
        <f t="shared" si="143"/>
        <v>131.11856091756243</v>
      </c>
    </row>
    <row r="4604" spans="1:9" x14ac:dyDescent="0.45">
      <c r="A4604" t="s">
        <v>53</v>
      </c>
      <c r="B4604" t="s">
        <v>73</v>
      </c>
      <c r="C4604" t="str">
        <f t="shared" si="142"/>
        <v>PurdueYale</v>
      </c>
      <c r="D4604" t="s">
        <v>53</v>
      </c>
      <c r="E4604">
        <v>97.4</v>
      </c>
      <c r="F4604">
        <v>-23.796226415094299</v>
      </c>
      <c r="G4604">
        <v>-3771.2307081498102</v>
      </c>
      <c r="H4604">
        <v>139.58177041560799</v>
      </c>
      <c r="I4604" s="1">
        <f t="shared" si="143"/>
        <v>150.09968578079983</v>
      </c>
    </row>
    <row r="4605" spans="1:9" x14ac:dyDescent="0.45">
      <c r="A4605" t="s">
        <v>54</v>
      </c>
      <c r="B4605" t="s">
        <v>73</v>
      </c>
      <c r="C4605" t="str">
        <f t="shared" si="142"/>
        <v>Robert MorrisYale</v>
      </c>
      <c r="D4605" t="s">
        <v>73</v>
      </c>
      <c r="E4605">
        <v>4.4000000000000004</v>
      </c>
      <c r="F4605">
        <v>20.147169811320801</v>
      </c>
      <c r="G4605">
        <v>2161.21453643522</v>
      </c>
      <c r="H4605">
        <v>136.64040726437099</v>
      </c>
      <c r="I4605" s="1">
        <f t="shared" si="143"/>
        <v>108.68209968827222</v>
      </c>
    </row>
    <row r="4606" spans="1:9" x14ac:dyDescent="0.45">
      <c r="A4606" t="s">
        <v>55</v>
      </c>
      <c r="B4606" t="s">
        <v>73</v>
      </c>
      <c r="C4606" t="str">
        <f t="shared" si="142"/>
        <v>Saint FrancisYale</v>
      </c>
      <c r="D4606" t="s">
        <v>73</v>
      </c>
      <c r="E4606">
        <v>3</v>
      </c>
      <c r="F4606">
        <v>22.871698113207501</v>
      </c>
      <c r="G4606">
        <v>3275.7654679542302</v>
      </c>
      <c r="H4606">
        <v>137.693262797578</v>
      </c>
      <c r="I4606" s="1">
        <f t="shared" si="143"/>
        <v>123.50744849678516</v>
      </c>
    </row>
    <row r="4607" spans="1:9" x14ac:dyDescent="0.45">
      <c r="A4607" t="s">
        <v>56</v>
      </c>
      <c r="B4607" t="s">
        <v>73</v>
      </c>
      <c r="C4607" t="str">
        <f t="shared" si="142"/>
        <v>Saint Mary'sYale</v>
      </c>
      <c r="D4607" t="s">
        <v>56</v>
      </c>
      <c r="E4607">
        <v>85.9</v>
      </c>
      <c r="F4607">
        <v>-11.841509433962299</v>
      </c>
      <c r="G4607">
        <v>-608.93491274232997</v>
      </c>
      <c r="H4607">
        <v>138.944517998669</v>
      </c>
      <c r="I4607" s="1">
        <f t="shared" si="143"/>
        <v>141.1264799968958</v>
      </c>
    </row>
    <row r="4608" spans="1:9" x14ac:dyDescent="0.45">
      <c r="A4608" t="s">
        <v>57</v>
      </c>
      <c r="B4608" t="s">
        <v>73</v>
      </c>
      <c r="C4608" t="str">
        <f t="shared" si="142"/>
        <v>San Diego St.Yale</v>
      </c>
      <c r="D4608" t="s">
        <v>57</v>
      </c>
      <c r="E4608">
        <v>63.9</v>
      </c>
      <c r="F4608">
        <v>-3.75094339622642</v>
      </c>
      <c r="G4608">
        <v>-177.186156929253</v>
      </c>
      <c r="H4608">
        <v>138.090772878466</v>
      </c>
      <c r="I4608" s="1">
        <f t="shared" si="143"/>
        <v>129.10482194280195</v>
      </c>
    </row>
    <row r="4609" spans="1:9" x14ac:dyDescent="0.45">
      <c r="A4609" t="s">
        <v>58</v>
      </c>
      <c r="B4609" t="s">
        <v>73</v>
      </c>
      <c r="C4609" t="str">
        <f t="shared" si="142"/>
        <v>SIU EdwardsvilleYale</v>
      </c>
      <c r="D4609" t="s">
        <v>73</v>
      </c>
      <c r="E4609">
        <v>8.1999999999999993</v>
      </c>
      <c r="F4609">
        <v>15.849056603773599</v>
      </c>
      <c r="G4609">
        <v>1121.8820005207999</v>
      </c>
      <c r="H4609">
        <v>138.238460645315</v>
      </c>
      <c r="I4609" s="1">
        <f t="shared" si="143"/>
        <v>131.18442601879281</v>
      </c>
    </row>
    <row r="4610" spans="1:9" x14ac:dyDescent="0.45">
      <c r="A4610" t="s">
        <v>59</v>
      </c>
      <c r="B4610" t="s">
        <v>73</v>
      </c>
      <c r="C4610" t="str">
        <f t="shared" si="142"/>
        <v>St. John'sYale</v>
      </c>
      <c r="D4610" t="s">
        <v>59</v>
      </c>
      <c r="E4610">
        <v>95</v>
      </c>
      <c r="F4610">
        <v>-19.309433962264201</v>
      </c>
      <c r="G4610">
        <v>-1902.21817704361</v>
      </c>
      <c r="H4610">
        <v>139.216143417859</v>
      </c>
      <c r="I4610" s="1">
        <f t="shared" si="143"/>
        <v>144.95126075526272</v>
      </c>
    </row>
    <row r="4611" spans="1:9" x14ac:dyDescent="0.45">
      <c r="A4611" t="s">
        <v>60</v>
      </c>
      <c r="B4611" t="s">
        <v>73</v>
      </c>
      <c r="C4611" t="str">
        <f t="shared" ref="C4611:C4625" si="144">A4611&amp;B4611</f>
        <v>TennesseeYale</v>
      </c>
      <c r="D4611" t="s">
        <v>60</v>
      </c>
      <c r="E4611">
        <v>97.4</v>
      </c>
      <c r="F4611">
        <v>-23.856603773584901</v>
      </c>
      <c r="G4611">
        <v>-3805.3952838403702</v>
      </c>
      <c r="H4611">
        <v>139.810126294551</v>
      </c>
      <c r="I4611" s="1">
        <f t="shared" ref="I4611:I4625" si="145">18*(H4611-AVERAGE($H$2:$H$4625))/_xlfn.STDEV.P($H$2:$H$4625)+AVERAGE($H$2:$H$4625)</f>
        <v>153.31518444232319</v>
      </c>
    </row>
    <row r="4612" spans="1:9" x14ac:dyDescent="0.45">
      <c r="A4612" t="s">
        <v>61</v>
      </c>
      <c r="B4612" t="s">
        <v>73</v>
      </c>
      <c r="C4612" t="str">
        <f t="shared" si="144"/>
        <v>TexasYale</v>
      </c>
      <c r="D4612" t="s">
        <v>61</v>
      </c>
      <c r="E4612">
        <v>60.9</v>
      </c>
      <c r="F4612">
        <v>-2.9018867924528302</v>
      </c>
      <c r="G4612">
        <v>-155.680085244384</v>
      </c>
      <c r="H4612">
        <v>137.56584082562301</v>
      </c>
      <c r="I4612" s="1">
        <f t="shared" si="145"/>
        <v>121.71320881192821</v>
      </c>
    </row>
    <row r="4613" spans="1:9" x14ac:dyDescent="0.45">
      <c r="A4613" t="s">
        <v>62</v>
      </c>
      <c r="B4613" t="s">
        <v>73</v>
      </c>
      <c r="C4613" t="str">
        <f t="shared" si="144"/>
        <v>Texas A&amp;MYale</v>
      </c>
      <c r="D4613" t="s">
        <v>62</v>
      </c>
      <c r="E4613">
        <v>90</v>
      </c>
      <c r="F4613">
        <v>-14.396226415094301</v>
      </c>
      <c r="G4613">
        <v>-899.15369615456098</v>
      </c>
      <c r="H4613">
        <v>138.363639853216</v>
      </c>
      <c r="I4613" s="1">
        <f t="shared" si="145"/>
        <v>132.94708515119322</v>
      </c>
    </row>
    <row r="4614" spans="1:9" x14ac:dyDescent="0.45">
      <c r="A4614" t="s">
        <v>63</v>
      </c>
      <c r="B4614" t="s">
        <v>73</v>
      </c>
      <c r="C4614" t="str">
        <f t="shared" si="144"/>
        <v>Texas TechYale</v>
      </c>
      <c r="D4614" t="s">
        <v>63</v>
      </c>
      <c r="E4614">
        <v>94.7</v>
      </c>
      <c r="F4614">
        <v>-18.849056603773601</v>
      </c>
      <c r="G4614">
        <v>-1773.1703752585599</v>
      </c>
      <c r="H4614">
        <v>139.40342397228</v>
      </c>
      <c r="I4614" s="1">
        <f t="shared" si="145"/>
        <v>147.58837425922627</v>
      </c>
    </row>
    <row r="4615" spans="1:9" x14ac:dyDescent="0.45">
      <c r="A4615" t="s">
        <v>64</v>
      </c>
      <c r="B4615" t="s">
        <v>73</v>
      </c>
      <c r="C4615" t="str">
        <f t="shared" si="144"/>
        <v>TroyYale</v>
      </c>
      <c r="D4615" t="s">
        <v>73</v>
      </c>
      <c r="E4615">
        <v>20</v>
      </c>
      <c r="F4615">
        <v>9.0981132075471702</v>
      </c>
      <c r="G4615">
        <v>400.59953253014902</v>
      </c>
      <c r="H4615">
        <v>138.10698839201001</v>
      </c>
      <c r="I4615" s="1">
        <f t="shared" si="145"/>
        <v>129.3331539758463</v>
      </c>
    </row>
    <row r="4616" spans="1:9" x14ac:dyDescent="0.45">
      <c r="A4616" t="s">
        <v>65</v>
      </c>
      <c r="B4616" t="s">
        <v>73</v>
      </c>
      <c r="C4616" t="str">
        <f t="shared" si="144"/>
        <v>UC San DiegoYale</v>
      </c>
      <c r="D4616" t="s">
        <v>73</v>
      </c>
      <c r="E4616">
        <v>39</v>
      </c>
      <c r="F4616">
        <v>2.9358490566037698</v>
      </c>
      <c r="G4616">
        <v>156.51798895998999</v>
      </c>
      <c r="H4616">
        <v>138.19511013540099</v>
      </c>
      <c r="I4616" s="1">
        <f t="shared" si="145"/>
        <v>130.57400378114315</v>
      </c>
    </row>
    <row r="4617" spans="1:9" x14ac:dyDescent="0.45">
      <c r="A4617" t="s">
        <v>66</v>
      </c>
      <c r="B4617" t="s">
        <v>73</v>
      </c>
      <c r="C4617" t="str">
        <f t="shared" si="144"/>
        <v>UCLAYale</v>
      </c>
      <c r="D4617" t="s">
        <v>66</v>
      </c>
      <c r="E4617">
        <v>71.7</v>
      </c>
      <c r="F4617">
        <v>-6.1094339622641503</v>
      </c>
      <c r="G4617">
        <v>-253.885854551981</v>
      </c>
      <c r="H4617">
        <v>137.666564648509</v>
      </c>
      <c r="I4617" s="1">
        <f t="shared" si="145"/>
        <v>123.13150957638642</v>
      </c>
    </row>
    <row r="4618" spans="1:9" x14ac:dyDescent="0.45">
      <c r="A4618" t="s">
        <v>67</v>
      </c>
      <c r="B4618" t="s">
        <v>73</v>
      </c>
      <c r="C4618" t="str">
        <f t="shared" si="144"/>
        <v>UNC WilmingtonYale</v>
      </c>
      <c r="D4618" t="s">
        <v>73</v>
      </c>
      <c r="E4618">
        <v>27.7</v>
      </c>
      <c r="F4618">
        <v>6.2981132075471704</v>
      </c>
      <c r="G4618">
        <v>261.33793125788401</v>
      </c>
      <c r="H4618">
        <v>138.78158032242899</v>
      </c>
      <c r="I4618" s="1">
        <f t="shared" si="145"/>
        <v>138.8321406425224</v>
      </c>
    </row>
    <row r="4619" spans="1:9" x14ac:dyDescent="0.45">
      <c r="A4619" t="s">
        <v>68</v>
      </c>
      <c r="B4619" t="s">
        <v>73</v>
      </c>
      <c r="C4619" t="str">
        <f t="shared" si="144"/>
        <v>Utah St.Yale</v>
      </c>
      <c r="D4619" t="s">
        <v>68</v>
      </c>
      <c r="E4619">
        <v>66</v>
      </c>
      <c r="F4619">
        <v>-4.3471698113207502</v>
      </c>
      <c r="G4619">
        <v>-194.07811121046501</v>
      </c>
      <c r="H4619">
        <v>138.15295072625599</v>
      </c>
      <c r="I4619" s="1">
        <f t="shared" si="145"/>
        <v>129.9803535352907</v>
      </c>
    </row>
    <row r="4620" spans="1:9" x14ac:dyDescent="0.45">
      <c r="A4620" t="s">
        <v>69</v>
      </c>
      <c r="B4620" t="s">
        <v>73</v>
      </c>
      <c r="C4620" t="str">
        <f t="shared" si="144"/>
        <v>VanderbiltYale</v>
      </c>
      <c r="D4620" t="s">
        <v>73</v>
      </c>
      <c r="E4620">
        <v>29.3</v>
      </c>
      <c r="F4620">
        <v>5.7735849056603801</v>
      </c>
      <c r="G4620">
        <v>241.331177685618</v>
      </c>
      <c r="H4620">
        <v>136.72752121485399</v>
      </c>
      <c r="I4620" s="1">
        <f t="shared" si="145"/>
        <v>109.9087586754403</v>
      </c>
    </row>
    <row r="4621" spans="1:9" x14ac:dyDescent="0.45">
      <c r="A4621" t="s">
        <v>70</v>
      </c>
      <c r="B4621" t="s">
        <v>73</v>
      </c>
      <c r="C4621" t="str">
        <f t="shared" si="144"/>
        <v>VCUYale</v>
      </c>
      <c r="D4621" t="s">
        <v>70</v>
      </c>
      <c r="E4621">
        <v>56</v>
      </c>
      <c r="F4621">
        <v>-1.56981132075472</v>
      </c>
      <c r="G4621">
        <v>-127.09153648324499</v>
      </c>
      <c r="H4621">
        <v>138.57243237673001</v>
      </c>
      <c r="I4621" s="1">
        <f t="shared" si="145"/>
        <v>135.88711053176573</v>
      </c>
    </row>
    <row r="4622" spans="1:9" x14ac:dyDescent="0.45">
      <c r="A4622" t="s">
        <v>71</v>
      </c>
      <c r="B4622" t="s">
        <v>73</v>
      </c>
      <c r="C4622" t="str">
        <f t="shared" si="144"/>
        <v>WisconsinYale</v>
      </c>
      <c r="D4622" t="s">
        <v>71</v>
      </c>
      <c r="E4622">
        <v>94</v>
      </c>
      <c r="F4622">
        <v>-18.033962264150901</v>
      </c>
      <c r="G4622">
        <v>-1565.8763325975699</v>
      </c>
      <c r="H4622">
        <v>139.37311123199601</v>
      </c>
      <c r="I4622" s="1">
        <f t="shared" si="145"/>
        <v>147.16153797079158</v>
      </c>
    </row>
    <row r="4623" spans="1:9" x14ac:dyDescent="0.45">
      <c r="A4623" t="s">
        <v>80</v>
      </c>
      <c r="B4623" t="s">
        <v>73</v>
      </c>
      <c r="C4623" t="str">
        <f t="shared" si="144"/>
        <v>WoffordYale</v>
      </c>
      <c r="D4623" t="s">
        <v>73</v>
      </c>
      <c r="E4623">
        <v>11.5</v>
      </c>
      <c r="F4623">
        <v>13.3509433962264</v>
      </c>
      <c r="G4623">
        <v>766.50964221537299</v>
      </c>
      <c r="H4623">
        <v>137.40256697109101</v>
      </c>
      <c r="I4623" s="1">
        <f t="shared" si="145"/>
        <v>119.41413570227348</v>
      </c>
    </row>
    <row r="4624" spans="1:9" x14ac:dyDescent="0.45">
      <c r="A4624" t="s">
        <v>72</v>
      </c>
      <c r="B4624" t="s">
        <v>73</v>
      </c>
      <c r="C4624" t="str">
        <f t="shared" si="144"/>
        <v>XavierYale</v>
      </c>
      <c r="D4624" t="s">
        <v>72</v>
      </c>
      <c r="E4624">
        <v>55.7</v>
      </c>
      <c r="F4624">
        <v>-1.49433962264151</v>
      </c>
      <c r="G4624">
        <v>-125.620906094221</v>
      </c>
      <c r="H4624">
        <v>137.97848054124299</v>
      </c>
      <c r="I4624" s="1">
        <f t="shared" si="145"/>
        <v>127.52362393856734</v>
      </c>
    </row>
    <row r="4625" spans="1:9" x14ac:dyDescent="0.45">
      <c r="A4625" t="s">
        <v>73</v>
      </c>
      <c r="B4625" t="s">
        <v>73</v>
      </c>
      <c r="C4625" t="str">
        <f t="shared" si="144"/>
        <v>YaleYale</v>
      </c>
      <c r="D4625" t="s">
        <v>73</v>
      </c>
      <c r="E4625">
        <v>41.2</v>
      </c>
      <c r="F4625">
        <v>2.3283018867924499</v>
      </c>
      <c r="G4625">
        <v>142.64273539779199</v>
      </c>
      <c r="H4625">
        <v>138.77771517530499</v>
      </c>
      <c r="I4625" s="1">
        <f t="shared" si="145"/>
        <v>138.77771517530277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NCAAT 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2025-03-16T20:35:42Z</dcterms:created>
  <dcterms:modified xsi:type="dcterms:W3CDTF">2025-03-22T13:17:43Z</dcterms:modified>
</cp:coreProperties>
</file>