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smben\Google Drive\Analytics\BeyondTheScore\College Basketball\Output\"/>
    </mc:Choice>
  </mc:AlternateContent>
  <xr:revisionPtr revIDLastSave="0" documentId="13_ncr:1_{91C91A01-7696-4551-9BEA-12D9B1D7109B}" xr6:coauthVersionLast="47" xr6:coauthVersionMax="47" xr10:uidLastSave="{00000000-0000-0000-0000-000000000000}"/>
  <bookViews>
    <workbookView xWindow="11168" yWindow="0" windowWidth="11415" windowHeight="14362" xr2:uid="{00000000-000D-0000-FFFF-FFFF00000000}"/>
  </bookViews>
  <sheets>
    <sheet name="Input" sheetId="2" r:id="rId1"/>
    <sheet name="NCAAT Simulation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H60" i="2" s="1"/>
  <c r="G61" i="2"/>
  <c r="H61" i="2" s="1"/>
  <c r="G62" i="2"/>
  <c r="G63" i="2"/>
  <c r="H63" i="2" s="1"/>
  <c r="G64" i="2"/>
  <c r="G65" i="2"/>
  <c r="G66" i="2"/>
  <c r="H66" i="2" s="1"/>
  <c r="G67" i="2"/>
  <c r="G68" i="2"/>
  <c r="G69" i="2"/>
  <c r="G70" i="2"/>
  <c r="G71" i="2"/>
  <c r="G72" i="2"/>
  <c r="G73" i="2"/>
  <c r="G74" i="2"/>
  <c r="G75" i="2"/>
  <c r="G76" i="2"/>
  <c r="G77" i="2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Q47" i="2"/>
  <c r="R47" i="2" s="1"/>
  <c r="Q76" i="2"/>
  <c r="R76" i="2" s="1"/>
  <c r="Q77" i="2"/>
  <c r="R77" i="2" s="1"/>
  <c r="Q78" i="2"/>
  <c r="R78" i="2" s="1"/>
  <c r="Q79" i="2"/>
  <c r="R79" i="2" s="1"/>
  <c r="Q80" i="2"/>
  <c r="R80" i="2" s="1"/>
  <c r="Q81" i="2"/>
  <c r="R81" i="2" s="1"/>
  <c r="L41" i="2"/>
  <c r="L76" i="2"/>
  <c r="L77" i="2"/>
  <c r="L78" i="2"/>
  <c r="L79" i="2"/>
  <c r="L80" i="2"/>
  <c r="L81" i="2"/>
  <c r="K20" i="2"/>
  <c r="P20" i="2" s="1"/>
  <c r="K21" i="2"/>
  <c r="P21" i="2" s="1"/>
  <c r="K22" i="2"/>
  <c r="P22" i="2" s="1"/>
  <c r="K10" i="2"/>
  <c r="K11" i="2"/>
  <c r="O11" i="2" s="1"/>
  <c r="K12" i="2"/>
  <c r="K13" i="2"/>
  <c r="K14" i="2"/>
  <c r="K15" i="2"/>
  <c r="K16" i="2"/>
  <c r="P16" i="2" s="1"/>
  <c r="K17" i="2"/>
  <c r="K18" i="2"/>
  <c r="K19" i="2"/>
  <c r="O19" i="2" s="1"/>
  <c r="K23" i="2"/>
  <c r="P23" i="2" s="1"/>
  <c r="K24" i="2"/>
  <c r="P24" i="2" s="1"/>
  <c r="K25" i="2"/>
  <c r="K26" i="2"/>
  <c r="K27" i="2"/>
  <c r="K28" i="2"/>
  <c r="O28" i="2" s="1"/>
  <c r="K29" i="2"/>
  <c r="P29" i="2" s="1"/>
  <c r="K30" i="2"/>
  <c r="O30" i="2" s="1"/>
  <c r="K31" i="2"/>
  <c r="P31" i="2" s="1"/>
  <c r="K32" i="2"/>
  <c r="P32" i="2" s="1"/>
  <c r="K33" i="2"/>
  <c r="P33" i="2" s="1"/>
  <c r="K34" i="2"/>
  <c r="O34" i="2" s="1"/>
  <c r="K35" i="2"/>
  <c r="O35" i="2" s="1"/>
  <c r="K36" i="2"/>
  <c r="O36" i="2" s="1"/>
  <c r="K37" i="2"/>
  <c r="K38" i="2"/>
  <c r="O38" i="2" s="1"/>
  <c r="K39" i="2"/>
  <c r="S39" i="2" s="1"/>
  <c r="T39" i="2" s="1"/>
  <c r="K40" i="2"/>
  <c r="Q40" i="2" s="1"/>
  <c r="R40" i="2" s="1"/>
  <c r="K41" i="2"/>
  <c r="O41" i="2" s="1"/>
  <c r="K42" i="2"/>
  <c r="Q42" i="2" s="1"/>
  <c r="R42" i="2" s="1"/>
  <c r="K43" i="2"/>
  <c r="Q43" i="2" s="1"/>
  <c r="R43" i="2" s="1"/>
  <c r="K44" i="2"/>
  <c r="O44" i="2" s="1"/>
  <c r="K45" i="2"/>
  <c r="S45" i="2" s="1"/>
  <c r="T45" i="2" s="1"/>
  <c r="K46" i="2"/>
  <c r="O46" i="2" s="1"/>
  <c r="K47" i="2"/>
  <c r="S47" i="2" s="1"/>
  <c r="T47" i="2" s="1"/>
  <c r="K48" i="2"/>
  <c r="Q48" i="2" s="1"/>
  <c r="R48" i="2" s="1"/>
  <c r="K49" i="2"/>
  <c r="O49" i="2" s="1"/>
  <c r="K50" i="2"/>
  <c r="Q50" i="2" s="1"/>
  <c r="R50" i="2" s="1"/>
  <c r="K51" i="2"/>
  <c r="S51" i="2" s="1"/>
  <c r="T51" i="2" s="1"/>
  <c r="K52" i="2"/>
  <c r="S52" i="2" s="1"/>
  <c r="T52" i="2" s="1"/>
  <c r="K53" i="2"/>
  <c r="S53" i="2" s="1"/>
  <c r="T53" i="2" s="1"/>
  <c r="K54" i="2"/>
  <c r="O54" i="2" s="1"/>
  <c r="K55" i="2"/>
  <c r="S55" i="2" s="1"/>
  <c r="T55" i="2" s="1"/>
  <c r="K56" i="2"/>
  <c r="Q56" i="2" s="1"/>
  <c r="R56" i="2" s="1"/>
  <c r="K57" i="2"/>
  <c r="O57" i="2" s="1"/>
  <c r="K58" i="2"/>
  <c r="O58" i="2" s="1"/>
  <c r="K59" i="2"/>
  <c r="O59" i="2" s="1"/>
  <c r="K60" i="2"/>
  <c r="Q60" i="2" s="1"/>
  <c r="R60" i="2" s="1"/>
  <c r="K61" i="2"/>
  <c r="S61" i="2" s="1"/>
  <c r="T61" i="2" s="1"/>
  <c r="K62" i="2"/>
  <c r="O62" i="2" s="1"/>
  <c r="K63" i="2"/>
  <c r="S63" i="2" s="1"/>
  <c r="T63" i="2" s="1"/>
  <c r="K64" i="2"/>
  <c r="Q64" i="2" s="1"/>
  <c r="R64" i="2" s="1"/>
  <c r="K65" i="2"/>
  <c r="O65" i="2" s="1"/>
  <c r="K66" i="2"/>
  <c r="Q66" i="2" s="1"/>
  <c r="R66" i="2" s="1"/>
  <c r="K67" i="2"/>
  <c r="Q67" i="2" s="1"/>
  <c r="R67" i="2" s="1"/>
  <c r="K68" i="2"/>
  <c r="Q68" i="2" s="1"/>
  <c r="R68" i="2" s="1"/>
  <c r="K69" i="2"/>
  <c r="S69" i="2" s="1"/>
  <c r="T69" i="2" s="1"/>
  <c r="K70" i="2"/>
  <c r="O70" i="2" s="1"/>
  <c r="K71" i="2"/>
  <c r="S71" i="2" s="1"/>
  <c r="T71" i="2" s="1"/>
  <c r="K72" i="2"/>
  <c r="Q72" i="2" s="1"/>
  <c r="R72" i="2" s="1"/>
  <c r="K73" i="2"/>
  <c r="O73" i="2" s="1"/>
  <c r="K74" i="2"/>
  <c r="S74" i="2" s="1"/>
  <c r="T74" i="2" s="1"/>
  <c r="K75" i="2"/>
  <c r="S75" i="2" s="1"/>
  <c r="T75" i="2" s="1"/>
  <c r="K3" i="2"/>
  <c r="P3" i="2" s="1"/>
  <c r="K4" i="2"/>
  <c r="P4" i="2" s="1"/>
  <c r="K5" i="2"/>
  <c r="P5" i="2" s="1"/>
  <c r="K6" i="2"/>
  <c r="P6" i="2" s="1"/>
  <c r="K7" i="2"/>
  <c r="P7" i="2" s="1"/>
  <c r="K8" i="2"/>
  <c r="P8" i="2" s="1"/>
  <c r="K9" i="2"/>
  <c r="P9" i="2" s="1"/>
  <c r="K2" i="2"/>
  <c r="S68" i="2"/>
  <c r="T68" i="2" s="1"/>
  <c r="S76" i="2"/>
  <c r="T76" i="2" s="1"/>
  <c r="S77" i="2"/>
  <c r="T77" i="2" s="1"/>
  <c r="S78" i="2"/>
  <c r="T78" i="2" s="1"/>
  <c r="S79" i="2"/>
  <c r="T79" i="2" s="1"/>
  <c r="S80" i="2"/>
  <c r="T80" i="2" s="1"/>
  <c r="S81" i="2"/>
  <c r="T81" i="2" s="1"/>
  <c r="O43" i="2"/>
  <c r="P76" i="2"/>
  <c r="P77" i="2"/>
  <c r="P78" i="2"/>
  <c r="P79" i="2"/>
  <c r="O76" i="2"/>
  <c r="O77" i="2"/>
  <c r="O78" i="2"/>
  <c r="O79" i="2"/>
  <c r="E2" i="2"/>
  <c r="F2" i="2"/>
  <c r="G2" i="2"/>
  <c r="H2" i="2" s="1"/>
  <c r="I2" i="2"/>
  <c r="E3" i="2"/>
  <c r="F3" i="2"/>
  <c r="H3" i="2"/>
  <c r="I3" i="2"/>
  <c r="E4" i="2"/>
  <c r="F4" i="2"/>
  <c r="H4" i="2"/>
  <c r="I4" i="2"/>
  <c r="E5" i="2"/>
  <c r="F5" i="2"/>
  <c r="H5" i="2"/>
  <c r="I5" i="2"/>
  <c r="E61" i="2"/>
  <c r="F61" i="2"/>
  <c r="I61" i="2"/>
  <c r="H7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F63" i="2"/>
  <c r="I63" i="2"/>
  <c r="F64" i="2"/>
  <c r="H64" i="2"/>
  <c r="I64" i="2"/>
  <c r="F65" i="2"/>
  <c r="H65" i="2"/>
  <c r="I65" i="2"/>
  <c r="F66" i="2"/>
  <c r="I66" i="2"/>
  <c r="F67" i="2"/>
  <c r="H67" i="2"/>
  <c r="I67" i="2"/>
  <c r="F68" i="2"/>
  <c r="H68" i="2"/>
  <c r="I68" i="2"/>
  <c r="F69" i="2"/>
  <c r="I69" i="2"/>
  <c r="F70" i="2"/>
  <c r="I70" i="2"/>
  <c r="F71" i="2"/>
  <c r="I71" i="2"/>
  <c r="F72" i="2"/>
  <c r="I72" i="2"/>
  <c r="F73" i="2"/>
  <c r="I73" i="2"/>
  <c r="F74" i="2"/>
  <c r="I74" i="2"/>
  <c r="F75" i="2"/>
  <c r="I75" i="2"/>
  <c r="F76" i="2"/>
  <c r="I76" i="2"/>
  <c r="F77" i="2"/>
  <c r="I77" i="2"/>
  <c r="E53" i="2"/>
  <c r="E54" i="2"/>
  <c r="E55" i="2"/>
  <c r="E56" i="2"/>
  <c r="E57" i="2"/>
  <c r="E58" i="2"/>
  <c r="E59" i="2"/>
  <c r="E60" i="2"/>
  <c r="F40" i="2"/>
  <c r="H40" i="2"/>
  <c r="F41" i="2"/>
  <c r="H41" i="2"/>
  <c r="F42" i="2"/>
  <c r="H42" i="2"/>
  <c r="F43" i="2"/>
  <c r="H43" i="2"/>
  <c r="F44" i="2"/>
  <c r="H44" i="2"/>
  <c r="F45" i="2"/>
  <c r="H45" i="2"/>
  <c r="F46" i="2"/>
  <c r="H46" i="2"/>
  <c r="F47" i="2"/>
  <c r="H47" i="2"/>
  <c r="F48" i="2"/>
  <c r="H48" i="2"/>
  <c r="F49" i="2"/>
  <c r="H49" i="2"/>
  <c r="F50" i="2"/>
  <c r="H50" i="2"/>
  <c r="F51" i="2"/>
  <c r="H51" i="2"/>
  <c r="F52" i="2"/>
  <c r="H52" i="2"/>
  <c r="F53" i="2"/>
  <c r="H53" i="2"/>
  <c r="F54" i="2"/>
  <c r="H54" i="2"/>
  <c r="F55" i="2"/>
  <c r="H55" i="2"/>
  <c r="F56" i="2"/>
  <c r="H56" i="2"/>
  <c r="F57" i="2"/>
  <c r="H57" i="2"/>
  <c r="F58" i="2"/>
  <c r="H58" i="2"/>
  <c r="F59" i="2"/>
  <c r="H59" i="2"/>
  <c r="F60" i="2"/>
  <c r="F62" i="2"/>
  <c r="H62" i="2"/>
  <c r="F39" i="2"/>
  <c r="H39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2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39" i="2"/>
  <c r="O61" i="2" l="1"/>
  <c r="O68" i="2"/>
  <c r="L63" i="2"/>
  <c r="Q71" i="2"/>
  <c r="R71" i="2" s="1"/>
  <c r="Q39" i="2"/>
  <c r="R39" i="2" s="1"/>
  <c r="O9" i="2"/>
  <c r="P67" i="2"/>
  <c r="L47" i="2"/>
  <c r="P60" i="2"/>
  <c r="L39" i="2"/>
  <c r="Q63" i="2"/>
  <c r="R63" i="2" s="1"/>
  <c r="P56" i="2"/>
  <c r="O56" i="2"/>
  <c r="P68" i="2"/>
  <c r="P42" i="2"/>
  <c r="L71" i="2"/>
  <c r="O20" i="2"/>
  <c r="P58" i="2"/>
  <c r="L2" i="2"/>
  <c r="L73" i="2"/>
  <c r="Q73" i="2"/>
  <c r="R73" i="2" s="1"/>
  <c r="Q41" i="2"/>
  <c r="R41" i="2" s="1"/>
  <c r="O67" i="2"/>
  <c r="O42" i="2"/>
  <c r="S67" i="2"/>
  <c r="T67" i="2" s="1"/>
  <c r="L65" i="2"/>
  <c r="Q65" i="2"/>
  <c r="R65" i="2" s="1"/>
  <c r="P75" i="2"/>
  <c r="P66" i="2"/>
  <c r="P50" i="2"/>
  <c r="S66" i="2"/>
  <c r="T66" i="2" s="1"/>
  <c r="O75" i="2"/>
  <c r="P64" i="2"/>
  <c r="O50" i="2"/>
  <c r="S50" i="2"/>
  <c r="T50" i="2" s="1"/>
  <c r="L57" i="2"/>
  <c r="Q57" i="2"/>
  <c r="R57" i="2" s="1"/>
  <c r="P74" i="2"/>
  <c r="P61" i="2"/>
  <c r="P48" i="2"/>
  <c r="S44" i="2"/>
  <c r="T44" i="2" s="1"/>
  <c r="L55" i="2"/>
  <c r="Q55" i="2"/>
  <c r="R55" i="2" s="1"/>
  <c r="O22" i="2"/>
  <c r="P35" i="2"/>
  <c r="O74" i="2"/>
  <c r="O48" i="2"/>
  <c r="S43" i="2"/>
  <c r="T43" i="2" s="1"/>
  <c r="L49" i="2"/>
  <c r="Q49" i="2"/>
  <c r="R49" i="2" s="1"/>
  <c r="O21" i="2"/>
  <c r="P34" i="2"/>
  <c r="S34" i="2" s="1"/>
  <c r="T34" i="2" s="1"/>
  <c r="P43" i="2"/>
  <c r="S42" i="2"/>
  <c r="T42" i="2" s="1"/>
  <c r="O27" i="2"/>
  <c r="O26" i="2"/>
  <c r="P26" i="2"/>
  <c r="P17" i="2"/>
  <c r="S17" i="2" s="1"/>
  <c r="T17" i="2" s="1"/>
  <c r="P15" i="2"/>
  <c r="S15" i="2" s="1"/>
  <c r="T15" i="2" s="1"/>
  <c r="O15" i="2"/>
  <c r="O10" i="2"/>
  <c r="L70" i="2"/>
  <c r="L62" i="2"/>
  <c r="L54" i="2"/>
  <c r="L46" i="2"/>
  <c r="L38" i="2"/>
  <c r="Q70" i="2"/>
  <c r="R70" i="2" s="1"/>
  <c r="Q62" i="2"/>
  <c r="R62" i="2" s="1"/>
  <c r="Q54" i="2"/>
  <c r="R54" i="2" s="1"/>
  <c r="Q46" i="2"/>
  <c r="R46" i="2" s="1"/>
  <c r="Q38" i="2"/>
  <c r="R38" i="2" s="1"/>
  <c r="P30" i="2"/>
  <c r="S30" i="2" s="1"/>
  <c r="T30" i="2" s="1"/>
  <c r="P53" i="2"/>
  <c r="L69" i="2"/>
  <c r="L61" i="2"/>
  <c r="L53" i="2"/>
  <c r="L45" i="2"/>
  <c r="L5" i="2"/>
  <c r="Q69" i="2"/>
  <c r="R69" i="2" s="1"/>
  <c r="Q61" i="2"/>
  <c r="R61" i="2" s="1"/>
  <c r="Q53" i="2"/>
  <c r="R53" i="2" s="1"/>
  <c r="Q45" i="2"/>
  <c r="R45" i="2" s="1"/>
  <c r="O3" i="2"/>
  <c r="Q3" i="2" s="1"/>
  <c r="R3" i="2" s="1"/>
  <c r="O60" i="2"/>
  <c r="O53" i="2"/>
  <c r="S60" i="2"/>
  <c r="T60" i="2" s="1"/>
  <c r="L68" i="2"/>
  <c r="L60" i="2"/>
  <c r="L52" i="2"/>
  <c r="L44" i="2"/>
  <c r="L4" i="2"/>
  <c r="Q52" i="2"/>
  <c r="R52" i="2" s="1"/>
  <c r="Q44" i="2"/>
  <c r="R44" i="2" s="1"/>
  <c r="P28" i="2"/>
  <c r="S28" i="2" s="1"/>
  <c r="T28" i="2" s="1"/>
  <c r="P11" i="2"/>
  <c r="S11" i="2" s="1"/>
  <c r="T11" i="2" s="1"/>
  <c r="P72" i="2"/>
  <c r="P59" i="2"/>
  <c r="P52" i="2"/>
  <c r="P45" i="2"/>
  <c r="P40" i="2"/>
  <c r="S59" i="2"/>
  <c r="T59" i="2" s="1"/>
  <c r="L75" i="2"/>
  <c r="L67" i="2"/>
  <c r="L59" i="2"/>
  <c r="L51" i="2"/>
  <c r="L43" i="2"/>
  <c r="L3" i="2"/>
  <c r="Q75" i="2"/>
  <c r="R75" i="2" s="1"/>
  <c r="Q59" i="2"/>
  <c r="R59" i="2" s="1"/>
  <c r="Q51" i="2"/>
  <c r="R51" i="2" s="1"/>
  <c r="O18" i="2"/>
  <c r="P27" i="2"/>
  <c r="S27" i="2" s="1"/>
  <c r="T27" i="2" s="1"/>
  <c r="P10" i="2"/>
  <c r="S10" i="2" s="1"/>
  <c r="T10" i="2" s="1"/>
  <c r="O72" i="2"/>
  <c r="O66" i="2"/>
  <c r="O52" i="2"/>
  <c r="O45" i="2"/>
  <c r="O40" i="2"/>
  <c r="S58" i="2"/>
  <c r="T58" i="2" s="1"/>
  <c r="L74" i="2"/>
  <c r="L66" i="2"/>
  <c r="L58" i="2"/>
  <c r="L50" i="2"/>
  <c r="L42" i="2"/>
  <c r="Q74" i="2"/>
  <c r="R74" i="2" s="1"/>
  <c r="Q58" i="2"/>
  <c r="R58" i="2" s="1"/>
  <c r="O17" i="2"/>
  <c r="P69" i="2"/>
  <c r="P51" i="2"/>
  <c r="P44" i="2"/>
  <c r="P36" i="2"/>
  <c r="S36" i="2" s="1"/>
  <c r="T36" i="2" s="1"/>
  <c r="O16" i="2"/>
  <c r="O69" i="2"/>
  <c r="O64" i="2"/>
  <c r="O51" i="2"/>
  <c r="S26" i="2"/>
  <c r="T26" i="2" s="1"/>
  <c r="L72" i="2"/>
  <c r="L64" i="2"/>
  <c r="L56" i="2"/>
  <c r="L48" i="2"/>
  <c r="L40" i="2"/>
  <c r="S35" i="2"/>
  <c r="T35" i="2" s="1"/>
  <c r="S3" i="2"/>
  <c r="T3" i="2" s="1"/>
  <c r="S6" i="2"/>
  <c r="T6" i="2" s="1"/>
  <c r="S4" i="2"/>
  <c r="T4" i="2" s="1"/>
  <c r="S16" i="2"/>
  <c r="T16" i="2" s="1"/>
  <c r="S7" i="2"/>
  <c r="T7" i="2" s="1"/>
  <c r="S24" i="2"/>
  <c r="T24" i="2" s="1"/>
  <c r="S5" i="2"/>
  <c r="T5" i="2" s="1"/>
  <c r="S23" i="2"/>
  <c r="T23" i="2" s="1"/>
  <c r="S22" i="2"/>
  <c r="T22" i="2" s="1"/>
  <c r="S20" i="2"/>
  <c r="T20" i="2" s="1"/>
  <c r="O25" i="2"/>
  <c r="O8" i="2"/>
  <c r="S9" i="2"/>
  <c r="T9" i="2" s="1"/>
  <c r="S33" i="2"/>
  <c r="T33" i="2" s="1"/>
  <c r="O24" i="2"/>
  <c r="O7" i="2"/>
  <c r="Q7" i="2" s="1"/>
  <c r="R7" i="2" s="1"/>
  <c r="P71" i="2"/>
  <c r="P63" i="2"/>
  <c r="P55" i="2"/>
  <c r="P47" i="2"/>
  <c r="P39" i="2"/>
  <c r="S73" i="2"/>
  <c r="T73" i="2" s="1"/>
  <c r="S65" i="2"/>
  <c r="T65" i="2" s="1"/>
  <c r="S57" i="2"/>
  <c r="T57" i="2" s="1"/>
  <c r="S49" i="2"/>
  <c r="T49" i="2" s="1"/>
  <c r="S41" i="2"/>
  <c r="T41" i="2" s="1"/>
  <c r="S32" i="2"/>
  <c r="T32" i="2" s="1"/>
  <c r="O23" i="2"/>
  <c r="O14" i="2"/>
  <c r="O6" i="2"/>
  <c r="O71" i="2"/>
  <c r="O63" i="2"/>
  <c r="O55" i="2"/>
  <c r="O47" i="2"/>
  <c r="O39" i="2"/>
  <c r="S72" i="2"/>
  <c r="T72" i="2" s="1"/>
  <c r="S64" i="2"/>
  <c r="T64" i="2" s="1"/>
  <c r="S56" i="2"/>
  <c r="T56" i="2" s="1"/>
  <c r="S48" i="2"/>
  <c r="T48" i="2" s="1"/>
  <c r="S40" i="2"/>
  <c r="T40" i="2" s="1"/>
  <c r="O33" i="2"/>
  <c r="O13" i="2"/>
  <c r="O5" i="2"/>
  <c r="Q5" i="2" s="1"/>
  <c r="R5" i="2" s="1"/>
  <c r="P25" i="2"/>
  <c r="S25" i="2" s="1"/>
  <c r="T25" i="2" s="1"/>
  <c r="P14" i="2"/>
  <c r="S14" i="2" s="1"/>
  <c r="T14" i="2" s="1"/>
  <c r="P73" i="2"/>
  <c r="P65" i="2"/>
  <c r="P57" i="2"/>
  <c r="P49" i="2"/>
  <c r="P41" i="2"/>
  <c r="O32" i="2"/>
  <c r="O12" i="2"/>
  <c r="O4" i="2"/>
  <c r="Q4" i="2" s="1"/>
  <c r="R4" i="2" s="1"/>
  <c r="P13" i="2"/>
  <c r="S13" i="2" s="1"/>
  <c r="T13" i="2" s="1"/>
  <c r="P70" i="2"/>
  <c r="P62" i="2"/>
  <c r="P54" i="2"/>
  <c r="P46" i="2"/>
  <c r="P38" i="2"/>
  <c r="S70" i="2"/>
  <c r="T70" i="2" s="1"/>
  <c r="S62" i="2"/>
  <c r="T62" i="2" s="1"/>
  <c r="S54" i="2"/>
  <c r="T54" i="2" s="1"/>
  <c r="S46" i="2"/>
  <c r="T46" i="2" s="1"/>
  <c r="S38" i="2"/>
  <c r="T38" i="2" s="1"/>
  <c r="S21" i="2"/>
  <c r="T21" i="2" s="1"/>
  <c r="P12" i="2"/>
  <c r="S12" i="2" s="1"/>
  <c r="T12" i="2" s="1"/>
  <c r="P37" i="2"/>
  <c r="S37" i="2" s="1"/>
  <c r="T37" i="2" s="1"/>
  <c r="O37" i="2"/>
  <c r="S31" i="2"/>
  <c r="T31" i="2" s="1"/>
  <c r="O31" i="2"/>
  <c r="S29" i="2"/>
  <c r="T29" i="2" s="1"/>
  <c r="O29" i="2"/>
  <c r="P19" i="2"/>
  <c r="S19" i="2" s="1"/>
  <c r="T19" i="2" s="1"/>
  <c r="P18" i="2"/>
  <c r="S18" i="2" s="1"/>
  <c r="T18" i="2" s="1"/>
  <c r="P2" i="2"/>
  <c r="S2" i="2" s="1"/>
  <c r="T2" i="2" s="1"/>
  <c r="O2" i="2"/>
  <c r="Q2" i="2" s="1"/>
  <c r="R2" i="2" s="1"/>
  <c r="S8" i="2"/>
  <c r="T8" i="2" s="1"/>
  <c r="E6" i="2"/>
  <c r="L6" i="2" s="1"/>
  <c r="F6" i="2"/>
  <c r="H6" i="2"/>
  <c r="I6" i="2"/>
  <c r="E7" i="2"/>
  <c r="L7" i="2" s="1"/>
  <c r="F7" i="2"/>
  <c r="I7" i="2"/>
  <c r="E8" i="2"/>
  <c r="L8" i="2" s="1"/>
  <c r="F8" i="2"/>
  <c r="H8" i="2"/>
  <c r="I8" i="2"/>
  <c r="E9" i="2"/>
  <c r="L9" i="2" s="1"/>
  <c r="F9" i="2"/>
  <c r="H9" i="2"/>
  <c r="I9" i="2"/>
  <c r="E10" i="2"/>
  <c r="L10" i="2" s="1"/>
  <c r="F10" i="2"/>
  <c r="H10" i="2"/>
  <c r="I10" i="2"/>
  <c r="E11" i="2"/>
  <c r="L11" i="2" s="1"/>
  <c r="F11" i="2"/>
  <c r="H11" i="2"/>
  <c r="Q11" i="2" s="1"/>
  <c r="R11" i="2" s="1"/>
  <c r="I11" i="2"/>
  <c r="E12" i="2"/>
  <c r="L12" i="2" s="1"/>
  <c r="F12" i="2"/>
  <c r="H12" i="2"/>
  <c r="I12" i="2"/>
  <c r="E13" i="2"/>
  <c r="L13" i="2" s="1"/>
  <c r="F13" i="2"/>
  <c r="H13" i="2"/>
  <c r="I13" i="2"/>
  <c r="E14" i="2"/>
  <c r="L14" i="2" s="1"/>
  <c r="F14" i="2"/>
  <c r="H14" i="2"/>
  <c r="I14" i="2"/>
  <c r="E15" i="2"/>
  <c r="L15" i="2" s="1"/>
  <c r="F15" i="2"/>
  <c r="H15" i="2"/>
  <c r="I15" i="2"/>
  <c r="E16" i="2"/>
  <c r="L16" i="2" s="1"/>
  <c r="F16" i="2"/>
  <c r="H16" i="2"/>
  <c r="Q16" i="2" s="1"/>
  <c r="R16" i="2" s="1"/>
  <c r="I16" i="2"/>
  <c r="E17" i="2"/>
  <c r="L17" i="2" s="1"/>
  <c r="F17" i="2"/>
  <c r="H17" i="2"/>
  <c r="I17" i="2"/>
  <c r="E18" i="2"/>
  <c r="L18" i="2" s="1"/>
  <c r="F18" i="2"/>
  <c r="H18" i="2"/>
  <c r="I18" i="2"/>
  <c r="E19" i="2"/>
  <c r="L19" i="2" s="1"/>
  <c r="F19" i="2"/>
  <c r="H19" i="2"/>
  <c r="Q19" i="2" s="1"/>
  <c r="R19" i="2" s="1"/>
  <c r="I19" i="2"/>
  <c r="E20" i="2"/>
  <c r="L20" i="2" s="1"/>
  <c r="F20" i="2"/>
  <c r="H20" i="2"/>
  <c r="I20" i="2"/>
  <c r="E21" i="2"/>
  <c r="L21" i="2" s="1"/>
  <c r="F21" i="2"/>
  <c r="H21" i="2"/>
  <c r="Q21" i="2" s="1"/>
  <c r="R21" i="2" s="1"/>
  <c r="I21" i="2"/>
  <c r="E22" i="2"/>
  <c r="L22" i="2" s="1"/>
  <c r="F22" i="2"/>
  <c r="H22" i="2"/>
  <c r="Q22" i="2" s="1"/>
  <c r="R22" i="2" s="1"/>
  <c r="I22" i="2"/>
  <c r="E23" i="2"/>
  <c r="L23" i="2" s="1"/>
  <c r="F23" i="2"/>
  <c r="H23" i="2"/>
  <c r="Q23" i="2" s="1"/>
  <c r="R23" i="2" s="1"/>
  <c r="I23" i="2"/>
  <c r="E24" i="2"/>
  <c r="L24" i="2" s="1"/>
  <c r="F24" i="2"/>
  <c r="H24" i="2"/>
  <c r="I24" i="2"/>
  <c r="E25" i="2"/>
  <c r="L25" i="2" s="1"/>
  <c r="F25" i="2"/>
  <c r="H25" i="2"/>
  <c r="Q25" i="2" s="1"/>
  <c r="R25" i="2" s="1"/>
  <c r="I25" i="2"/>
  <c r="E26" i="2"/>
  <c r="L26" i="2" s="1"/>
  <c r="F26" i="2"/>
  <c r="H26" i="2"/>
  <c r="I26" i="2"/>
  <c r="E27" i="2"/>
  <c r="L27" i="2" s="1"/>
  <c r="F27" i="2"/>
  <c r="H27" i="2"/>
  <c r="I27" i="2"/>
  <c r="E28" i="2"/>
  <c r="L28" i="2" s="1"/>
  <c r="F28" i="2"/>
  <c r="H28" i="2"/>
  <c r="Q28" i="2" s="1"/>
  <c r="R28" i="2" s="1"/>
  <c r="I28" i="2"/>
  <c r="E29" i="2"/>
  <c r="L29" i="2" s="1"/>
  <c r="F29" i="2"/>
  <c r="H29" i="2"/>
  <c r="I29" i="2"/>
  <c r="E30" i="2"/>
  <c r="L30" i="2" s="1"/>
  <c r="F30" i="2"/>
  <c r="H30" i="2"/>
  <c r="Q30" i="2" s="1"/>
  <c r="R30" i="2" s="1"/>
  <c r="I30" i="2"/>
  <c r="E31" i="2"/>
  <c r="L31" i="2" s="1"/>
  <c r="F31" i="2"/>
  <c r="H31" i="2"/>
  <c r="Q31" i="2" s="1"/>
  <c r="R31" i="2" s="1"/>
  <c r="I31" i="2"/>
  <c r="E32" i="2"/>
  <c r="L32" i="2" s="1"/>
  <c r="F32" i="2"/>
  <c r="H32" i="2"/>
  <c r="I32" i="2"/>
  <c r="E33" i="2"/>
  <c r="L33" i="2" s="1"/>
  <c r="F33" i="2"/>
  <c r="H33" i="2"/>
  <c r="I33" i="2"/>
  <c r="E34" i="2"/>
  <c r="L34" i="2" s="1"/>
  <c r="F34" i="2"/>
  <c r="H34" i="2"/>
  <c r="Q34" i="2" s="1"/>
  <c r="R34" i="2" s="1"/>
  <c r="I34" i="2"/>
  <c r="E35" i="2"/>
  <c r="L35" i="2" s="1"/>
  <c r="F35" i="2"/>
  <c r="H35" i="2"/>
  <c r="Q35" i="2" s="1"/>
  <c r="R35" i="2" s="1"/>
  <c r="I35" i="2"/>
  <c r="E36" i="2"/>
  <c r="L36" i="2" s="1"/>
  <c r="F36" i="2"/>
  <c r="H36" i="2"/>
  <c r="Q36" i="2" s="1"/>
  <c r="R36" i="2" s="1"/>
  <c r="I36" i="2"/>
  <c r="E37" i="2"/>
  <c r="L37" i="2" s="1"/>
  <c r="F37" i="2"/>
  <c r="H37" i="2"/>
  <c r="Q37" i="2" s="1"/>
  <c r="R37" i="2" s="1"/>
  <c r="I37" i="2"/>
  <c r="I38" i="2"/>
  <c r="H38" i="2"/>
  <c r="F38" i="2"/>
  <c r="E38" i="2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W7" i="2" l="1"/>
  <c r="Q9" i="2"/>
  <c r="R9" i="2" s="1"/>
  <c r="Q20" i="2"/>
  <c r="R20" i="2" s="1"/>
  <c r="Q18" i="2"/>
  <c r="R18" i="2" s="1"/>
  <c r="Q29" i="2"/>
  <c r="R29" i="2" s="1"/>
  <c r="Q10" i="2"/>
  <c r="R10" i="2" s="1"/>
  <c r="Q32" i="2"/>
  <c r="R32" i="2" s="1"/>
  <c r="Q13" i="2"/>
  <c r="R13" i="2" s="1"/>
  <c r="Q33" i="2"/>
  <c r="R33" i="2" s="1"/>
  <c r="Q26" i="2"/>
  <c r="R26" i="2" s="1"/>
  <c r="Q27" i="2"/>
  <c r="R27" i="2" s="1"/>
  <c r="Q15" i="2"/>
  <c r="R15" i="2" s="1"/>
  <c r="Q14" i="2"/>
  <c r="R14" i="2" s="1"/>
  <c r="Q17" i="2"/>
  <c r="R17" i="2" s="1"/>
  <c r="Q12" i="2"/>
  <c r="R12" i="2" s="1"/>
  <c r="W2" i="2"/>
  <c r="Q6" i="2"/>
  <c r="R6" i="2" s="1"/>
  <c r="Q8" i="2"/>
  <c r="R8" i="2" s="1"/>
  <c r="Q24" i="2"/>
  <c r="R24" i="2" s="1"/>
  <c r="W6" i="2"/>
  <c r="W3" i="2" l="1"/>
  <c r="W4" i="2"/>
  <c r="W5" i="2"/>
</calcChain>
</file>

<file path=xl/sharedStrings.xml><?xml version="1.0" encoding="utf-8"?>
<sst xmlns="http://schemas.openxmlformats.org/spreadsheetml/2006/main" count="14040" uniqueCount="99">
  <si>
    <t>FAVORITE</t>
  </si>
  <si>
    <t>UNDERDOG</t>
  </si>
  <si>
    <t>PREDICTION</t>
  </si>
  <si>
    <t>PREDICTION.PROB</t>
  </si>
  <si>
    <t>POINT.SPREAD</t>
  </si>
  <si>
    <t>BETTING.ODDS</t>
  </si>
  <si>
    <t>TOTAL.SCORE</t>
  </si>
  <si>
    <t>Akron</t>
  </si>
  <si>
    <t>Alabama</t>
  </si>
  <si>
    <t>Alabama St.</t>
  </si>
  <si>
    <t>American</t>
  </si>
  <si>
    <t>Arizona</t>
  </si>
  <si>
    <t>Arkansas</t>
  </si>
  <si>
    <t>Auburn</t>
  </si>
  <si>
    <t>Baylor</t>
  </si>
  <si>
    <t>Bryant</t>
  </si>
  <si>
    <t>BYU</t>
  </si>
  <si>
    <t>Clemson</t>
  </si>
  <si>
    <t>Colorado St.</t>
  </si>
  <si>
    <t>Connecticut</t>
  </si>
  <si>
    <t>Creighton</t>
  </si>
  <si>
    <t>Drake</t>
  </si>
  <si>
    <t>Duke</t>
  </si>
  <si>
    <t>Florida</t>
  </si>
  <si>
    <t>Georgia</t>
  </si>
  <si>
    <t>Gonzaga</t>
  </si>
  <si>
    <t>Grand Canyon</t>
  </si>
  <si>
    <t>High Point</t>
  </si>
  <si>
    <t>Houston</t>
  </si>
  <si>
    <t>Illinois</t>
  </si>
  <si>
    <t>Iowa St.</t>
  </si>
  <si>
    <t>Kansas</t>
  </si>
  <si>
    <t>Kentucky</t>
  </si>
  <si>
    <t>Liberty</t>
  </si>
  <si>
    <t>Lipscomb</t>
  </si>
  <si>
    <t>Louisville</t>
  </si>
  <si>
    <t>Marquette</t>
  </si>
  <si>
    <t>Maryland</t>
  </si>
  <si>
    <t>McNeese St.</t>
  </si>
  <si>
    <t>Memphis</t>
  </si>
  <si>
    <t>Michigan</t>
  </si>
  <si>
    <t>Michigan St.</t>
  </si>
  <si>
    <t>Mississippi</t>
  </si>
  <si>
    <t>Mississippi St.</t>
  </si>
  <si>
    <t>Missouri</t>
  </si>
  <si>
    <t>Montana</t>
  </si>
  <si>
    <t>Mount St. Mary's</t>
  </si>
  <si>
    <t>Nebraska Omaha</t>
  </si>
  <si>
    <t>New Mexico</t>
  </si>
  <si>
    <t>Norfolk St.</t>
  </si>
  <si>
    <t>North Carolina</t>
  </si>
  <si>
    <t>Oklahoma</t>
  </si>
  <si>
    <t>Oregon</t>
  </si>
  <si>
    <t>Purdue</t>
  </si>
  <si>
    <t>Robert Morris</t>
  </si>
  <si>
    <t>Saint Francis</t>
  </si>
  <si>
    <t>Saint Mary's</t>
  </si>
  <si>
    <t>San Diego St.</t>
  </si>
  <si>
    <t>SIU Edwardsville</t>
  </si>
  <si>
    <t>St. John's</t>
  </si>
  <si>
    <t>Tennessee</t>
  </si>
  <si>
    <t>Texas</t>
  </si>
  <si>
    <t>Texas A&amp;M</t>
  </si>
  <si>
    <t>Texas Tech</t>
  </si>
  <si>
    <t>Troy</t>
  </si>
  <si>
    <t>UC San Diego</t>
  </si>
  <si>
    <t>UCLA</t>
  </si>
  <si>
    <t>UNC Wilmington</t>
  </si>
  <si>
    <t>Utah St.</t>
  </si>
  <si>
    <t>Vanderbilt</t>
  </si>
  <si>
    <t>VCU</t>
  </si>
  <si>
    <t>Wisconsin</t>
  </si>
  <si>
    <t>Xavier</t>
  </si>
  <si>
    <t>Yale</t>
  </si>
  <si>
    <t>Matchup</t>
  </si>
  <si>
    <t>PROBABILITY</t>
  </si>
  <si>
    <t>SCORE</t>
  </si>
  <si>
    <t>High Seed</t>
  </si>
  <si>
    <t>Low Seed</t>
  </si>
  <si>
    <t>IMPLIED BETTING ODDS</t>
  </si>
  <si>
    <t>Wofford</t>
  </si>
  <si>
    <t>Raw Spread</t>
  </si>
  <si>
    <t>Spread</t>
  </si>
  <si>
    <t>Seed</t>
  </si>
  <si>
    <t>ADJUSTED.TOTAL</t>
  </si>
  <si>
    <t>Result</t>
  </si>
  <si>
    <t>Favorite Score</t>
  </si>
  <si>
    <t>Underdog Score</t>
  </si>
  <si>
    <t>Total</t>
  </si>
  <si>
    <t>Spread Difference</t>
  </si>
  <si>
    <t>Total Difference</t>
  </si>
  <si>
    <t>Accuraccy</t>
  </si>
  <si>
    <t>Average Spread Difference</t>
  </si>
  <si>
    <t>RMSE Spread</t>
  </si>
  <si>
    <t>RMSE Total</t>
  </si>
  <si>
    <t>Absolute Spread Difference</t>
  </si>
  <si>
    <t>Mean absolute error of predicted margin of victory</t>
  </si>
  <si>
    <t>Mean absolute error of predicted total score</t>
  </si>
  <si>
    <t>Absolute Total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</si>
</sst>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1" fontId="0" fillId="0" borderId="0" xfId="0" applyNumberFormat="1" applyAlignment="1">
      <alignment horizontal="center"/>
    </xf>
    <xf numFmtId="165" fontId="0" fillId="0" borderId="0" xfId="1" applyNumberFormat="1" applyFont="1" applyAlignment="1">
      <alignment horizontal="center"/>
    </xf>
    <xf numFmtId="0" fontId="2" fillId="2" borderId="0" xfId="0" applyFont="1" applyFill="1" applyAlignment="1">
      <alignment horizont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horizontal="right"/>
    </xf>
    <xf numFmtId="164" fontId="0" fillId="0" borderId="0" xfId="0" applyNumberFormat="1" applyAlignment="1">
      <alignment wrapText="1"/>
    </xf>
    <xf numFmtId="164" fontId="0" fillId="0" borderId="0" xfId="0" applyNumberFormat="1" applyAlignment="1">
      <alignment horizontal="center" wrapText="1"/>
    </xf>
    <xf numFmtId="0" fontId="0" fillId="0" borderId="0" xfId="0" applyAlignment="1">
      <alignment horizontal="center"/>
    </xf>
    <xf numFmtId="165" fontId="0" fillId="0" borderId="0" xfId="1" applyNumberFormat="1" applyFont="1" applyAlignment="1">
      <alignment wrapText="1"/>
    </xf>
    <xf numFmtId="164" fontId="0" fillId="0" borderId="0" xfId="0" applyNumberFormat="1" applyFont="1"/>
    <xf numFmtId="0" fontId="2" fillId="0" borderId="0" xfId="0" applyFont="1" applyAlignment="1">
      <alignment wrapText="1"/>
    </xf>
    <xf numFmtId="0" fontId="2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81518-1216-4874-AFB0-D9103593B349}">
  <dimension ref="A1:W81"/>
  <sheetViews>
    <sheetView tabSelected="1" topLeftCell="P1" zoomScale="80" zoomScaleNormal="80" workbookViewId="0">
      <selection activeCell="W4" sqref="W4"/>
    </sheetView>
  </sheetViews>
  <sheetFormatPr defaultRowHeight="14.25" x14ac:dyDescent="0.45"/>
  <cols>
    <col min="2" max="3" width="11.53125" customWidth="1"/>
    <col min="4" max="4" width="12.6640625" customWidth="1"/>
    <col min="5" max="5" width="12.46484375" customWidth="1"/>
    <col min="6" max="6" width="13.86328125" customWidth="1"/>
    <col min="7" max="7" width="7.9296875" customWidth="1"/>
    <col min="8" max="8" width="9.46484375" customWidth="1"/>
    <col min="9" max="9" width="13.33203125" customWidth="1"/>
    <col min="11" max="12" width="13.33203125" customWidth="1"/>
    <col min="17" max="18" width="11.265625" style="11" customWidth="1"/>
    <col min="20" max="21" width="10.06640625" customWidth="1"/>
    <col min="22" max="22" width="41.3984375" customWidth="1"/>
    <col min="23" max="23" width="11.265625" bestFit="1" customWidth="1"/>
  </cols>
  <sheetData>
    <row r="1" spans="1:23" s="7" customFormat="1" ht="42.75" x14ac:dyDescent="0.45">
      <c r="A1" s="6" t="s">
        <v>83</v>
      </c>
      <c r="B1" s="6" t="s">
        <v>77</v>
      </c>
      <c r="C1" s="6" t="s">
        <v>83</v>
      </c>
      <c r="D1" s="6" t="s">
        <v>78</v>
      </c>
      <c r="E1" s="6" t="s">
        <v>2</v>
      </c>
      <c r="F1" s="6" t="s">
        <v>75</v>
      </c>
      <c r="G1" s="6" t="s">
        <v>81</v>
      </c>
      <c r="H1" s="6" t="s">
        <v>82</v>
      </c>
      <c r="I1" s="6" t="s">
        <v>79</v>
      </c>
      <c r="J1" s="6" t="s">
        <v>76</v>
      </c>
      <c r="K1" s="6" t="s">
        <v>85</v>
      </c>
      <c r="L1" s="6"/>
      <c r="M1" s="6" t="s">
        <v>86</v>
      </c>
      <c r="N1" s="6" t="s">
        <v>87</v>
      </c>
      <c r="O1" s="6" t="s">
        <v>82</v>
      </c>
      <c r="P1" s="6" t="s">
        <v>88</v>
      </c>
      <c r="Q1" s="6" t="s">
        <v>89</v>
      </c>
      <c r="R1" s="6" t="s">
        <v>95</v>
      </c>
      <c r="S1" s="6" t="s">
        <v>90</v>
      </c>
      <c r="T1" s="6" t="s">
        <v>98</v>
      </c>
    </row>
    <row r="2" spans="1:23" s="7" customFormat="1" x14ac:dyDescent="0.45">
      <c r="A2">
        <v>16</v>
      </c>
      <c r="B2" t="s">
        <v>9</v>
      </c>
      <c r="C2">
        <v>16</v>
      </c>
      <c r="D2" t="s">
        <v>55</v>
      </c>
      <c r="E2" t="str">
        <f>_xlfn.IFNA(VLOOKUP($B2&amp;$D2, 'NCAAT Simulations'!$C$2:$H$9999, 2,FALSE), "")</f>
        <v>Alabama St.</v>
      </c>
      <c r="F2" s="5">
        <f>_xlfn.IFNA(IF(VLOOKUP($B2&amp;$D2, 'NCAAT Simulations'!$C$2:$H$9999, 3,FALSE)&lt;50,1-VLOOKUP($B2&amp;$D2, 'NCAAT Simulations'!$C$2:$H$9999, 3,FALSE)/100, VLOOKUP($B2&amp;$D2, 'NCAAT Simulations'!$C$2:$H$9999, 3,FALSE)/100), "")</f>
        <v>0.59200000000000008</v>
      </c>
      <c r="G2" s="3">
        <f>_xlfn.IFNA(IF(ROUND(VLOOKUP($B2&amp;$D2, 'NCAAT Simulations'!$C$2:$H$9999, 4,FALSE), 1)&gt;0, _xlfn.CONCAT("+",ROUND(VLOOKUP($B2&amp;$D2, 'NCAAT Simulations'!$C$2:$H$9999, 4,FALSE), 1)), ROUND(VLOOKUP($B2&amp;$D2, 'NCAAT Simulations'!$C$2:$H$9999, 4,FALSE), 1)), "")</f>
        <v>-2.4</v>
      </c>
      <c r="H2" s="8">
        <f>IF(G2&lt;0,(VLOOKUP($B2&amp;$D2, 'NCAAT Simulations'!$C$2:$I$9999, 6,FALSE)/138.8)*G2, _xlfn.CONCAT("+", ROUND((VLOOKUP($B2&amp;$D2, 'NCAAT Simulations'!$C$2:$I$9999, 6,FALSE)/138.8)*G2, 1)))</f>
        <v>-2.4077365273995386</v>
      </c>
      <c r="I2" s="4">
        <f>_xlfn.IFNA(IF(ABS(VLOOKUP($B2&amp;$D2, 'NCAAT Simulations'!$C$2:$H$9999, 5,FALSE))&gt;10000,_xlfn.FLOOR.MATH(VLOOKUP($B2&amp;$D2, 'NCAAT Simulations'!$C$2:$H$9999, 5,FALSE), 1000), IF(ABS(VLOOKUP($B2&amp;$D2, 'NCAAT Simulations'!$C$2:$H$9999, 5,FALSE))&gt;1000,_xlfn.FLOOR.MATH(VLOOKUP($B2&amp;$D2, 'NCAAT Simulations'!$C$2:$H$9999, 5,FALSE), 100), _xlfn.FLOOR.MATH(VLOOKUP($B2&amp;$D2, 'NCAAT Simulations'!$C$2:$H$9999, 5,FALSE), 10))), "")</f>
        <v>-150</v>
      </c>
      <c r="J2" s="1">
        <f>_xlfn.IFNA(VLOOKUP($B2&amp;$D2, 'NCAAT Simulations'!$C$2:$I$9999, 7,FALSE), "")</f>
        <v>145.37330546903453</v>
      </c>
      <c r="K2" t="str">
        <f>IF(M2&gt;N2,B2,IF(N2&gt;M2,D2,""))</f>
        <v>Alabama St.</v>
      </c>
      <c r="L2">
        <f>IF(K2="", "", IF(K2=E2, 1, 0))</f>
        <v>1</v>
      </c>
      <c r="M2">
        <v>70</v>
      </c>
      <c r="N2">
        <v>68</v>
      </c>
      <c r="O2">
        <f>IF(K2="", "",N2-M2)</f>
        <v>-2</v>
      </c>
      <c r="P2">
        <f>IF(K2="", "", M2+N2)</f>
        <v>138</v>
      </c>
      <c r="Q2" s="10">
        <f>IF(K2="", "", O2-H2)</f>
        <v>0.40773652739953858</v>
      </c>
      <c r="R2" s="10">
        <f>IFERROR(ABS(Q2), "")</f>
        <v>0.40773652739953858</v>
      </c>
      <c r="S2" s="9">
        <f>IF(K2="", "", P2-J2)</f>
        <v>-7.3733054690345341</v>
      </c>
      <c r="T2" s="9">
        <f>IFERROR(ABS(S2), "")</f>
        <v>7.3733054690345341</v>
      </c>
      <c r="U2" s="9"/>
      <c r="V2" s="14" t="s">
        <v>91</v>
      </c>
      <c r="W2" s="12">
        <f>SUM($L$2:$L$1048576)/COUNTIF(L2:L81, "&gt;="&amp;-1)</f>
        <v>0.83333333333333337</v>
      </c>
    </row>
    <row r="3" spans="1:23" s="7" customFormat="1" ht="12.4" customHeight="1" x14ac:dyDescent="0.45">
      <c r="A3">
        <v>11</v>
      </c>
      <c r="B3" t="s">
        <v>50</v>
      </c>
      <c r="C3">
        <v>11</v>
      </c>
      <c r="D3" t="s">
        <v>57</v>
      </c>
      <c r="E3" t="str">
        <f>_xlfn.IFNA(VLOOKUP($B3&amp;$D3, 'NCAAT Simulations'!$C$2:$H$9999, 2,FALSE), "")</f>
        <v>North Carolina</v>
      </c>
      <c r="F3" s="5">
        <f>_xlfn.IFNA(IF(VLOOKUP($B3&amp;$D3, 'NCAAT Simulations'!$C$2:$H$9999, 3,FALSE)&lt;50,1-VLOOKUP($B3&amp;$D3, 'NCAAT Simulations'!$C$2:$H$9999, 3,FALSE)/100, VLOOKUP($B3&amp;$D3, 'NCAAT Simulations'!$C$2:$H$9999, 3,FALSE)/100), "")</f>
        <v>0.70200000000000007</v>
      </c>
      <c r="G3" s="3">
        <f>_xlfn.IFNA(IF(ROUND(VLOOKUP($B3&amp;$D3, 'NCAAT Simulations'!$C$2:$H$9999, 4,FALSE), 1)&gt;0, _xlfn.CONCAT("+",ROUND(VLOOKUP($B3&amp;$D3, 'NCAAT Simulations'!$C$2:$H$9999, 4,FALSE), 1)), ROUND(VLOOKUP($B3&amp;$D3, 'NCAAT Simulations'!$C$2:$H$9999, 4,FALSE), 1)), "")</f>
        <v>-5.6</v>
      </c>
      <c r="H3" s="8">
        <f>IF(G3&lt;0,(VLOOKUP($B3&amp;$D3, 'NCAAT Simulations'!$C$2:$I$9999, 6,FALSE)/138.8)*G3, _xlfn.CONCAT("+", ROUND((VLOOKUP($B3&amp;$D3, 'NCAAT Simulations'!$C$2:$I$9999, 6,FALSE)/138.8)*G3, 1)))</f>
        <v>-5.6420229554854231</v>
      </c>
      <c r="I3" s="4">
        <f>_xlfn.IFNA(IF(ABS(VLOOKUP($B3&amp;$D3, 'NCAAT Simulations'!$C$2:$H$9999, 5,FALSE))&gt;10000,_xlfn.FLOOR.MATH(VLOOKUP($B3&amp;$D3, 'NCAAT Simulations'!$C$2:$H$9999, 5,FALSE), 1000), IF(ABS(VLOOKUP($B3&amp;$D3, 'NCAAT Simulations'!$C$2:$H$9999, 5,FALSE))&gt;1000,_xlfn.FLOOR.MATH(VLOOKUP($B3&amp;$D3, 'NCAAT Simulations'!$C$2:$H$9999, 5,FALSE), 100), _xlfn.FLOOR.MATH(VLOOKUP($B3&amp;$D3, 'NCAAT Simulations'!$C$2:$H$9999, 5,FALSE), 10))), "")</f>
        <v>-240</v>
      </c>
      <c r="J3" s="1">
        <f>_xlfn.IFNA(VLOOKUP($B3&amp;$D3, 'NCAAT Simulations'!$C$2:$I$9999, 7,FALSE), "")</f>
        <v>153.71604756425967</v>
      </c>
      <c r="K3" t="str">
        <f>IF(M3&gt;N3,B3,IF(N3&gt;M3,D3,""))</f>
        <v>North Carolina</v>
      </c>
      <c r="L3">
        <f t="shared" ref="L3:L66" si="0">IF(K3="", "", IF(K3=E3, 1, 0))</f>
        <v>1</v>
      </c>
      <c r="M3">
        <v>95</v>
      </c>
      <c r="N3">
        <v>68</v>
      </c>
      <c r="O3">
        <f>IF(K3="", "",N3-M3)</f>
        <v>-27</v>
      </c>
      <c r="P3">
        <f>IF(K3="", "", M3+N3)</f>
        <v>163</v>
      </c>
      <c r="Q3" s="10">
        <f>IF(K3="", "", O3-H3)</f>
        <v>-21.357977044514577</v>
      </c>
      <c r="R3" s="10">
        <f t="shared" ref="R3:R66" si="1">IFERROR(ABS(Q3), "")</f>
        <v>21.357977044514577</v>
      </c>
      <c r="S3" s="9">
        <f t="shared" ref="S3:S66" si="2">IF(K3="", "", P3-J3)</f>
        <v>9.283952435740332</v>
      </c>
      <c r="T3" s="9">
        <f t="shared" ref="T3:T66" si="3">IFERROR(ABS(S3), "")</f>
        <v>9.283952435740332</v>
      </c>
      <c r="U3" s="9"/>
      <c r="V3" s="14" t="s">
        <v>92</v>
      </c>
      <c r="W3" s="9">
        <f>AVERAGE($Q$2:$Q$1048576)</f>
        <v>4.0486154631704885</v>
      </c>
    </row>
    <row r="4" spans="1:23" s="7" customFormat="1" ht="16.899999999999999" customHeight="1" x14ac:dyDescent="0.45">
      <c r="A4">
        <v>16</v>
      </c>
      <c r="B4" t="s">
        <v>10</v>
      </c>
      <c r="C4">
        <v>16</v>
      </c>
      <c r="D4" t="s">
        <v>46</v>
      </c>
      <c r="E4" t="str">
        <f>_xlfn.IFNA(VLOOKUP($B4&amp;$D4, 'NCAAT Simulations'!$C$2:$H$9999, 2,FALSE), "")</f>
        <v>Mount St. Mary's</v>
      </c>
      <c r="F4" s="5">
        <f>_xlfn.IFNA(IF(VLOOKUP($B4&amp;$D4, 'NCAAT Simulations'!$C$2:$H$9999, 3,FALSE)&lt;50,1-VLOOKUP($B4&amp;$D4, 'NCAAT Simulations'!$C$2:$H$9999, 3,FALSE)/100, VLOOKUP($B4&amp;$D4, 'NCAAT Simulations'!$C$2:$H$9999, 3,FALSE)/100), "")</f>
        <v>0.56499999999999995</v>
      </c>
      <c r="G4" s="3" t="str">
        <f>_xlfn.IFNA(IF(ROUND(VLOOKUP($B4&amp;$D4, 'NCAAT Simulations'!$C$2:$H$9999, 4,FALSE), 1)&gt;0, _xlfn.CONCAT("+",ROUND(VLOOKUP($B4&amp;$D4, 'NCAAT Simulations'!$C$2:$H$9999, 4,FALSE), 1)), ROUND(VLOOKUP($B4&amp;$D4, 'NCAAT Simulations'!$C$2:$H$9999, 4,FALSE), 1)), "")</f>
        <v>+1.7</v>
      </c>
      <c r="H4" s="8" t="str">
        <f>IF(G4&lt;0,(VLOOKUP($B4&amp;$D4, 'NCAAT Simulations'!$C$2:$I$9999, 6,FALSE)/138.8)*G4, _xlfn.CONCAT("+", ROUND((VLOOKUP($B4&amp;$D4, 'NCAAT Simulations'!$C$2:$I$9999, 6,FALSE)/138.8)*G4, 1)))</f>
        <v>+1.7</v>
      </c>
      <c r="I4" s="4">
        <f>_xlfn.IFNA(IF(ABS(VLOOKUP($B4&amp;$D4, 'NCAAT Simulations'!$C$2:$H$9999, 5,FALSE))&gt;10000,_xlfn.FLOOR.MATH(VLOOKUP($B4&amp;$D4, 'NCAAT Simulations'!$C$2:$H$9999, 5,FALSE), 1000), IF(ABS(VLOOKUP($B4&amp;$D4, 'NCAAT Simulations'!$C$2:$H$9999, 5,FALSE))&gt;1000,_xlfn.FLOOR.MATH(VLOOKUP($B4&amp;$D4, 'NCAAT Simulations'!$C$2:$H$9999, 5,FALSE), 100), _xlfn.FLOOR.MATH(VLOOKUP($B4&amp;$D4, 'NCAAT Simulations'!$C$2:$H$9999, 5,FALSE), 10))), "")</f>
        <v>130</v>
      </c>
      <c r="J4" s="1">
        <f>_xlfn.IFNA(VLOOKUP($B4&amp;$D4, 'NCAAT Simulations'!$C$2:$I$9999, 7,FALSE), "")</f>
        <v>132.07619720679284</v>
      </c>
      <c r="K4" t="str">
        <f>IF(M4&gt;N4,B4,IF(N4&gt;M4,D4,""))</f>
        <v>Mount St. Mary's</v>
      </c>
      <c r="L4">
        <f t="shared" si="0"/>
        <v>1</v>
      </c>
      <c r="M4">
        <v>72</v>
      </c>
      <c r="N4">
        <v>83</v>
      </c>
      <c r="O4">
        <f>IF(K4="", "",N4-M4)</f>
        <v>11</v>
      </c>
      <c r="P4">
        <f>IF(K4="", "", M4+N4)</f>
        <v>155</v>
      </c>
      <c r="Q4" s="10">
        <f>IF(K4="", "", O4-H4)</f>
        <v>9.3000000000000007</v>
      </c>
      <c r="R4" s="10">
        <f t="shared" si="1"/>
        <v>9.3000000000000007</v>
      </c>
      <c r="S4" s="9">
        <f t="shared" si="2"/>
        <v>22.923802793207159</v>
      </c>
      <c r="T4" s="9">
        <f t="shared" si="3"/>
        <v>22.923802793207159</v>
      </c>
      <c r="U4" s="9"/>
      <c r="V4" s="14" t="s">
        <v>96</v>
      </c>
      <c r="W4" s="9">
        <f>AVERAGE($R$2:$R$1048576)</f>
        <v>10.485482534358258</v>
      </c>
    </row>
    <row r="5" spans="1:23" s="7" customFormat="1" x14ac:dyDescent="0.45">
      <c r="A5">
        <v>11</v>
      </c>
      <c r="B5" t="s">
        <v>61</v>
      </c>
      <c r="C5">
        <v>11</v>
      </c>
      <c r="D5" t="s">
        <v>72</v>
      </c>
      <c r="E5" t="str">
        <f>_xlfn.IFNA(VLOOKUP($B5&amp;$D5, 'NCAAT Simulations'!$C$2:$H$9999, 2,FALSE), "")</f>
        <v>Xavier</v>
      </c>
      <c r="F5" s="5">
        <f>_xlfn.IFNA(IF(VLOOKUP($B5&amp;$D5, 'NCAAT Simulations'!$C$2:$H$9999, 3,FALSE)&lt;50,1-VLOOKUP($B5&amp;$D5, 'NCAAT Simulations'!$C$2:$H$9999, 3,FALSE)/100, VLOOKUP($B5&amp;$D5, 'NCAAT Simulations'!$C$2:$H$9999, 3,FALSE)/100), "")</f>
        <v>0.54200000000000004</v>
      </c>
      <c r="G5" s="3" t="str">
        <f>_xlfn.IFNA(IF(ROUND(VLOOKUP($B5&amp;$D5, 'NCAAT Simulations'!$C$2:$H$9999, 4,FALSE), 1)&gt;0, _xlfn.CONCAT("+",ROUND(VLOOKUP($B5&amp;$D5, 'NCAAT Simulations'!$C$2:$H$9999, 4,FALSE), 1)), ROUND(VLOOKUP($B5&amp;$D5, 'NCAAT Simulations'!$C$2:$H$9999, 4,FALSE), 1)), "")</f>
        <v>+1.1</v>
      </c>
      <c r="H5" s="8" t="str">
        <f>IF(G5&lt;0,(VLOOKUP($B5&amp;$D5, 'NCAAT Simulations'!$C$2:$I$9999, 6,FALSE)/138.8)*G5, _xlfn.CONCAT("+", ROUND((VLOOKUP($B5&amp;$D5, 'NCAAT Simulations'!$C$2:$I$9999, 6,FALSE)/138.8)*G5, 1)))</f>
        <v>+1.1</v>
      </c>
      <c r="I5" s="4">
        <f>_xlfn.IFNA(IF(ABS(VLOOKUP($B5&amp;$D5, 'NCAAT Simulations'!$C$2:$H$9999, 5,FALSE))&gt;10000,_xlfn.FLOOR.MATH(VLOOKUP($B5&amp;$D5, 'NCAAT Simulations'!$C$2:$H$9999, 5,FALSE), 1000), IF(ABS(VLOOKUP($B5&amp;$D5, 'NCAAT Simulations'!$C$2:$H$9999, 5,FALSE))&gt;1000,_xlfn.FLOOR.MATH(VLOOKUP($B5&amp;$D5, 'NCAAT Simulations'!$C$2:$H$9999, 5,FALSE), 100), _xlfn.FLOOR.MATH(VLOOKUP($B5&amp;$D5, 'NCAAT Simulations'!$C$2:$H$9999, 5,FALSE), 10))), "")</f>
        <v>110</v>
      </c>
      <c r="J5" s="1">
        <f>_xlfn.IFNA(VLOOKUP($B5&amp;$D5, 'NCAAT Simulations'!$C$2:$I$9999, 7,FALSE), "")</f>
        <v>131.04515405348093</v>
      </c>
      <c r="K5" t="str">
        <f>IF(M5&gt;N5,B5,IF(N5&gt;M5,D5,""))</f>
        <v>Xavier</v>
      </c>
      <c r="L5">
        <f t="shared" si="0"/>
        <v>1</v>
      </c>
      <c r="M5">
        <v>80</v>
      </c>
      <c r="N5">
        <v>86</v>
      </c>
      <c r="O5">
        <f>IF(K5="", "",N5-M5)</f>
        <v>6</v>
      </c>
      <c r="P5">
        <f>IF(K5="", "", M5+N5)</f>
        <v>166</v>
      </c>
      <c r="Q5" s="10">
        <f>IF(K5="", "", O5-H5)</f>
        <v>4.9000000000000004</v>
      </c>
      <c r="R5" s="10">
        <f t="shared" si="1"/>
        <v>4.9000000000000004</v>
      </c>
      <c r="S5" s="9">
        <f t="shared" si="2"/>
        <v>34.954845946519072</v>
      </c>
      <c r="T5" s="9">
        <f t="shared" si="3"/>
        <v>34.954845946519072</v>
      </c>
      <c r="U5" s="9"/>
      <c r="V5" s="14" t="s">
        <v>93</v>
      </c>
      <c r="W5" s="13">
        <f>SQRT(SUMSQ($Q$2:$Q$81) / COUNTA($M$2:$M$1048576))</f>
        <v>13.464243941214557</v>
      </c>
    </row>
    <row r="6" spans="1:23" x14ac:dyDescent="0.45">
      <c r="A6">
        <v>1</v>
      </c>
      <c r="B6" t="s">
        <v>13</v>
      </c>
      <c r="C6">
        <v>16</v>
      </c>
      <c r="D6" t="s">
        <v>9</v>
      </c>
      <c r="E6" t="str">
        <f>_xlfn.IFNA(VLOOKUP($B6&amp;$D6, 'NCAAT Simulations'!$C$2:$H$9999, 2,FALSE), "")</f>
        <v>Auburn</v>
      </c>
      <c r="F6" s="5">
        <f>_xlfn.IFNA(IF(VLOOKUP($B6&amp;$D6, 'NCAAT Simulations'!$C$2:$H$9999, 3,FALSE)&lt;50,1-VLOOKUP($B6&amp;$D6, 'NCAAT Simulations'!$C$2:$H$9999, 3,FALSE)/100, VLOOKUP($B6&amp;$D6, 'NCAAT Simulations'!$C$2:$H$9999, 3,FALSE)/100), "")</f>
        <v>0.99900000000000011</v>
      </c>
      <c r="G6" s="3">
        <f>_xlfn.IFNA(IF(ROUND(VLOOKUP($B6&amp;$D6, 'NCAAT Simulations'!$C$2:$H$9999, 4,FALSE), 1)&gt;0, _xlfn.CONCAT("+",ROUND(VLOOKUP($B6&amp;$D6, 'NCAAT Simulations'!$C$2:$H$9999, 4,FALSE), 1)), ROUND(VLOOKUP($B6&amp;$D6, 'NCAAT Simulations'!$C$2:$H$9999, 4,FALSE), 1)), "")</f>
        <v>-42.8</v>
      </c>
      <c r="H6" s="8">
        <f>IF(G6&lt;0,(VLOOKUP($B6&amp;$D6, 'NCAAT Simulations'!$C$2:$I$9999, 6,FALSE)/138.8)*G6, _xlfn.CONCAT("+", ROUND((VLOOKUP($B6&amp;$D6, 'NCAAT Simulations'!$C$2:$I$9999, 6,FALSE)/138.8)*G6, 1)))</f>
        <v>-43.608137030377584</v>
      </c>
      <c r="I6" s="4">
        <f>_xlfn.IFNA(IF(ABS(VLOOKUP($B6&amp;$D6, 'NCAAT Simulations'!$C$2:$H$9999, 5,FALSE))&gt;10000,_xlfn.FLOOR.MATH(VLOOKUP($B6&amp;$D6, 'NCAAT Simulations'!$C$2:$H$9999, 5,FALSE), 1000), IF(ABS(VLOOKUP($B6&amp;$D6, 'NCAAT Simulations'!$C$2:$H$9999, 5,FALSE))&gt;1000,_xlfn.FLOOR.MATH(VLOOKUP($B6&amp;$D6, 'NCAAT Simulations'!$C$2:$H$9999, 5,FALSE), 100), _xlfn.FLOOR.MATH(VLOOKUP($B6&amp;$D6, 'NCAAT Simulations'!$C$2:$H$9999, 5,FALSE), 10))), "")</f>
        <v>-69000</v>
      </c>
      <c r="J6" s="1">
        <f>_xlfn.IFNA(VLOOKUP($B6&amp;$D6, 'NCAAT Simulations'!$C$2:$I$9999, 7,FALSE), "")</f>
        <v>175.8908914829978</v>
      </c>
      <c r="K6" t="str">
        <f>IF(M6&gt;N6,B6,IF(N6&gt;M6,D6,""))</f>
        <v>Auburn</v>
      </c>
      <c r="L6">
        <f t="shared" si="0"/>
        <v>1</v>
      </c>
      <c r="M6">
        <v>83</v>
      </c>
      <c r="N6">
        <v>63</v>
      </c>
      <c r="O6">
        <f>IF(K6="", "",N6-M6)</f>
        <v>-20</v>
      </c>
      <c r="P6">
        <f>IF(K6="", "", M6+N6)</f>
        <v>146</v>
      </c>
      <c r="Q6" s="10">
        <f>IF(K6="", "", O6-H6)</f>
        <v>23.608137030377584</v>
      </c>
      <c r="R6" s="10">
        <f t="shared" si="1"/>
        <v>23.608137030377584</v>
      </c>
      <c r="S6" s="9">
        <f t="shared" si="2"/>
        <v>-29.890891482997802</v>
      </c>
      <c r="T6" s="9">
        <f t="shared" si="3"/>
        <v>29.890891482997802</v>
      </c>
      <c r="U6" s="9"/>
      <c r="V6" s="14" t="s">
        <v>94</v>
      </c>
      <c r="W6" s="13">
        <f>SQRT(SUMSQ($S$2:$S$81) / COUNTA($M$2:$M$1048576))</f>
        <v>22.114120761623763</v>
      </c>
    </row>
    <row r="7" spans="1:23" x14ac:dyDescent="0.45">
      <c r="A7">
        <v>8</v>
      </c>
      <c r="B7" t="s">
        <v>35</v>
      </c>
      <c r="C7">
        <v>9</v>
      </c>
      <c r="D7" t="s">
        <v>20</v>
      </c>
      <c r="E7" t="str">
        <f>_xlfn.IFNA(VLOOKUP($B7&amp;$D7, 'NCAAT Simulations'!$C$2:$H$9999, 2,FALSE), "")</f>
        <v>Creighton</v>
      </c>
      <c r="F7" s="5">
        <f>_xlfn.IFNA(IF(VLOOKUP($B7&amp;$D7, 'NCAAT Simulations'!$C$2:$H$9999, 3,FALSE)&lt;50,1-VLOOKUP($B7&amp;$D7, 'NCAAT Simulations'!$C$2:$H$9999, 3,FALSE)/100, VLOOKUP($B7&amp;$D7, 'NCAAT Simulations'!$C$2:$H$9999, 3,FALSE)/100), "")</f>
        <v>0.89</v>
      </c>
      <c r="G7" s="3" t="str">
        <f>_xlfn.IFNA(IF(ROUND(VLOOKUP($B7&amp;$D7, 'NCAAT Simulations'!$C$2:$H$9999, 4,FALSE), 1)&gt;0, _xlfn.CONCAT("+",ROUND(VLOOKUP($B7&amp;$D7, 'NCAAT Simulations'!$C$2:$H$9999, 4,FALSE), 1)), ROUND(VLOOKUP($B7&amp;$D7, 'NCAAT Simulations'!$C$2:$H$9999, 4,FALSE), 1)), "")</f>
        <v>+13.7</v>
      </c>
      <c r="H7" s="8" t="str">
        <f>IF(G7&lt;0,(VLOOKUP($B7&amp;$D7, 'NCAAT Simulations'!$C$2:$I$9999, 6,FALSE)/138.8)*G7, _xlfn.CONCAT("+", ROUND((VLOOKUP($B7&amp;$D7, 'NCAAT Simulations'!$C$2:$I$9999, 6,FALSE)/138.8)*G7, 1)))</f>
        <v>+13.6</v>
      </c>
      <c r="I7" s="4">
        <f>_xlfn.IFNA(IF(ABS(VLOOKUP($B7&amp;$D7, 'NCAAT Simulations'!$C$2:$H$9999, 5,FALSE))&gt;10000,_xlfn.FLOOR.MATH(VLOOKUP($B7&amp;$D7, 'NCAAT Simulations'!$C$2:$H$9999, 5,FALSE), 1000), IF(ABS(VLOOKUP($B7&amp;$D7, 'NCAAT Simulations'!$C$2:$H$9999, 5,FALSE))&gt;1000,_xlfn.FLOOR.MATH(VLOOKUP($B7&amp;$D7, 'NCAAT Simulations'!$C$2:$H$9999, 5,FALSE), 100), _xlfn.FLOOR.MATH(VLOOKUP($B7&amp;$D7, 'NCAAT Simulations'!$C$2:$H$9999, 5,FALSE), 10))), "")</f>
        <v>800</v>
      </c>
      <c r="J7" s="1">
        <f>_xlfn.IFNA(VLOOKUP($B7&amp;$D7, 'NCAAT Simulations'!$C$2:$I$9999, 7,FALSE), "")</f>
        <v>129.64758095384443</v>
      </c>
      <c r="K7" t="str">
        <f>IF(M7&gt;N7,B7,IF(N7&gt;M7,D7,""))</f>
        <v>Creighton</v>
      </c>
      <c r="L7">
        <f t="shared" si="0"/>
        <v>1</v>
      </c>
      <c r="M7">
        <v>75</v>
      </c>
      <c r="N7">
        <v>89</v>
      </c>
      <c r="O7">
        <f>IF(K7="", "",N7-M7)</f>
        <v>14</v>
      </c>
      <c r="P7">
        <f>IF(K7="", "", M7+N7)</f>
        <v>164</v>
      </c>
      <c r="Q7" s="10">
        <f>IF(K7="", "", O7-H7)</f>
        <v>0.40000000000000036</v>
      </c>
      <c r="R7" s="10">
        <f t="shared" si="1"/>
        <v>0.40000000000000036</v>
      </c>
      <c r="S7" s="9">
        <f t="shared" si="2"/>
        <v>34.352419046155575</v>
      </c>
      <c r="T7" s="9">
        <f t="shared" si="3"/>
        <v>34.352419046155575</v>
      </c>
      <c r="U7" s="9"/>
      <c r="V7" s="15" t="s">
        <v>97</v>
      </c>
      <c r="W7" s="1">
        <f>AVERAGE($T$2:$T$81)</f>
        <v>17.782505655383147</v>
      </c>
    </row>
    <row r="8" spans="1:23" x14ac:dyDescent="0.45">
      <c r="A8">
        <v>5</v>
      </c>
      <c r="B8" t="s">
        <v>40</v>
      </c>
      <c r="C8">
        <v>12</v>
      </c>
      <c r="D8" t="s">
        <v>65</v>
      </c>
      <c r="E8" t="str">
        <f>_xlfn.IFNA(VLOOKUP($B8&amp;$D8, 'NCAAT Simulations'!$C$2:$H$9999, 2,FALSE), "")</f>
        <v>Michigan</v>
      </c>
      <c r="F8" s="5">
        <f>_xlfn.IFNA(IF(VLOOKUP($B8&amp;$D8, 'NCAAT Simulations'!$C$2:$H$9999, 3,FALSE)&lt;50,1-VLOOKUP($B8&amp;$D8, 'NCAAT Simulations'!$C$2:$H$9999, 3,FALSE)/100, VLOOKUP($B8&amp;$D8, 'NCAAT Simulations'!$C$2:$H$9999, 3,FALSE)/100), "")</f>
        <v>0.65500000000000003</v>
      </c>
      <c r="G8" s="3">
        <f>_xlfn.IFNA(IF(ROUND(VLOOKUP($B8&amp;$D8, 'NCAAT Simulations'!$C$2:$H$9999, 4,FALSE), 1)&gt;0, _xlfn.CONCAT("+",ROUND(VLOOKUP($B8&amp;$D8, 'NCAAT Simulations'!$C$2:$H$9999, 4,FALSE), 1)), ROUND(VLOOKUP($B8&amp;$D8, 'NCAAT Simulations'!$C$2:$H$9999, 4,FALSE), 1)), "")</f>
        <v>-4.2</v>
      </c>
      <c r="H8" s="8">
        <f>IF(G8&lt;0,(VLOOKUP($B8&amp;$D8, 'NCAAT Simulations'!$C$2:$I$9999, 6,FALSE)/138.8)*G8, _xlfn.CONCAT("+", ROUND((VLOOKUP($B8&amp;$D8, 'NCAAT Simulations'!$C$2:$I$9999, 6,FALSE)/138.8)*G8, 1)))</f>
        <v>-4.165085250773032</v>
      </c>
      <c r="I8" s="4">
        <f>_xlfn.IFNA(IF(ABS(VLOOKUP($B8&amp;$D8, 'NCAAT Simulations'!$C$2:$H$9999, 5,FALSE))&gt;10000,_xlfn.FLOOR.MATH(VLOOKUP($B8&amp;$D8, 'NCAAT Simulations'!$C$2:$H$9999, 5,FALSE), 1000), IF(ABS(VLOOKUP($B8&amp;$D8, 'NCAAT Simulations'!$C$2:$H$9999, 5,FALSE))&gt;1000,_xlfn.FLOOR.MATH(VLOOKUP($B8&amp;$D8, 'NCAAT Simulations'!$C$2:$H$9999, 5,FALSE), 100), _xlfn.FLOOR.MATH(VLOOKUP($B8&amp;$D8, 'NCAAT Simulations'!$C$2:$H$9999, 5,FALSE), 10))), "")</f>
        <v>-190</v>
      </c>
      <c r="J8" s="1">
        <f>_xlfn.IFNA(VLOOKUP($B8&amp;$D8, 'NCAAT Simulations'!$C$2:$I$9999, 7,FALSE), "")</f>
        <v>122.88860819645149</v>
      </c>
      <c r="K8" t="str">
        <f>IF(M8&gt;N8,B8,IF(N8&gt;M8,D8,""))</f>
        <v>Michigan</v>
      </c>
      <c r="L8">
        <f t="shared" si="0"/>
        <v>1</v>
      </c>
      <c r="M8">
        <v>68</v>
      </c>
      <c r="N8">
        <v>65</v>
      </c>
      <c r="O8">
        <f>IF(K8="", "",N8-M8)</f>
        <v>-3</v>
      </c>
      <c r="P8">
        <f>IF(K8="", "", M8+N8)</f>
        <v>133</v>
      </c>
      <c r="Q8" s="10">
        <f>IF(K8="", "", O8-H8)</f>
        <v>1.165085250773032</v>
      </c>
      <c r="R8" s="10">
        <f t="shared" si="1"/>
        <v>1.165085250773032</v>
      </c>
      <c r="S8" s="9">
        <f t="shared" si="2"/>
        <v>10.111391803548514</v>
      </c>
      <c r="T8" s="9">
        <f t="shared" si="3"/>
        <v>10.111391803548514</v>
      </c>
      <c r="U8" s="9"/>
      <c r="V8" s="14"/>
    </row>
    <row r="9" spans="1:23" x14ac:dyDescent="0.45">
      <c r="A9">
        <v>4</v>
      </c>
      <c r="B9" t="s">
        <v>62</v>
      </c>
      <c r="C9">
        <v>13</v>
      </c>
      <c r="D9" t="s">
        <v>73</v>
      </c>
      <c r="E9" t="str">
        <f>_xlfn.IFNA(VLOOKUP($B9&amp;$D9, 'NCAAT Simulations'!$C$2:$H$9999, 2,FALSE), "")</f>
        <v>Texas A&amp;M</v>
      </c>
      <c r="F9" s="5">
        <f>_xlfn.IFNA(IF(VLOOKUP($B9&amp;$D9, 'NCAAT Simulations'!$C$2:$H$9999, 3,FALSE)&lt;50,1-VLOOKUP($B9&amp;$D9, 'NCAAT Simulations'!$C$2:$H$9999, 3,FALSE)/100, VLOOKUP($B9&amp;$D9, 'NCAAT Simulations'!$C$2:$H$9999, 3,FALSE)/100), "")</f>
        <v>0.90200000000000002</v>
      </c>
      <c r="G9" s="3">
        <f>_xlfn.IFNA(IF(ROUND(VLOOKUP($B9&amp;$D9, 'NCAAT Simulations'!$C$2:$H$9999, 4,FALSE), 1)&gt;0, _xlfn.CONCAT("+",ROUND(VLOOKUP($B9&amp;$D9, 'NCAAT Simulations'!$C$2:$H$9999, 4,FALSE), 1)), ROUND(VLOOKUP($B9&amp;$D9, 'NCAAT Simulations'!$C$2:$H$9999, 4,FALSE), 1)), "")</f>
        <v>-14.6</v>
      </c>
      <c r="H9" s="8">
        <f>IF(G9&lt;0,(VLOOKUP($B9&amp;$D9, 'NCAAT Simulations'!$C$2:$I$9999, 6,FALSE)/138.8)*G9, _xlfn.CONCAT("+", ROUND((VLOOKUP($B9&amp;$D9, 'NCAAT Simulations'!$C$2:$I$9999, 6,FALSE)/138.8)*G9, 1)))</f>
        <v>-14.55942918987496</v>
      </c>
      <c r="I9" s="4">
        <f>_xlfn.IFNA(IF(ABS(VLOOKUP($B9&amp;$D9, 'NCAAT Simulations'!$C$2:$H$9999, 5,FALSE))&gt;10000,_xlfn.FLOOR.MATH(VLOOKUP($B9&amp;$D9, 'NCAAT Simulations'!$C$2:$H$9999, 5,FALSE), 1000), IF(ABS(VLOOKUP($B9&amp;$D9, 'NCAAT Simulations'!$C$2:$H$9999, 5,FALSE))&gt;1000,_xlfn.FLOOR.MATH(VLOOKUP($B9&amp;$D9, 'NCAAT Simulations'!$C$2:$H$9999, 5,FALSE), 100), _xlfn.FLOOR.MATH(VLOOKUP($B9&amp;$D9, 'NCAAT Simulations'!$C$2:$H$9999, 5,FALSE), 10))), "")</f>
        <v>-930</v>
      </c>
      <c r="J9" s="1">
        <f>_xlfn.IFNA(VLOOKUP($B9&amp;$D9, 'NCAAT Simulations'!$C$2:$I$9999, 7,FALSE), "")</f>
        <v>133.67473451977813</v>
      </c>
      <c r="K9" t="str">
        <f>IF(M9&gt;N9,B9,IF(N9&gt;M9,D9,""))</f>
        <v>Texas A&amp;M</v>
      </c>
      <c r="L9">
        <f t="shared" si="0"/>
        <v>1</v>
      </c>
      <c r="M9">
        <v>80</v>
      </c>
      <c r="N9">
        <v>71</v>
      </c>
      <c r="O9">
        <f>IF(K9="", "",N9-M9)</f>
        <v>-9</v>
      </c>
      <c r="P9">
        <f>IF(K9="", "", M9+N9)</f>
        <v>151</v>
      </c>
      <c r="Q9" s="10">
        <f>IF(K9="", "", O9-H9)</f>
        <v>5.5594291898749599</v>
      </c>
      <c r="R9" s="10">
        <f t="shared" si="1"/>
        <v>5.5594291898749599</v>
      </c>
      <c r="S9" s="9">
        <f t="shared" si="2"/>
        <v>17.325265480221873</v>
      </c>
      <c r="T9" s="9">
        <f t="shared" si="3"/>
        <v>17.325265480221873</v>
      </c>
      <c r="U9" s="9"/>
    </row>
    <row r="10" spans="1:23" x14ac:dyDescent="0.45">
      <c r="A10">
        <v>6</v>
      </c>
      <c r="B10" t="s">
        <v>42</v>
      </c>
      <c r="C10">
        <v>11</v>
      </c>
      <c r="D10" t="s">
        <v>50</v>
      </c>
      <c r="E10" t="str">
        <f>_xlfn.IFNA(VLOOKUP($B10&amp;$D10, 'NCAAT Simulations'!$C$2:$H$9999, 2,FALSE), "")</f>
        <v>North Carolina</v>
      </c>
      <c r="F10" s="5">
        <f>_xlfn.IFNA(IF(VLOOKUP($B10&amp;$D10, 'NCAAT Simulations'!$C$2:$H$9999, 3,FALSE)&lt;50,1-VLOOKUP($B10&amp;$D10, 'NCAAT Simulations'!$C$2:$H$9999, 3,FALSE)/100, VLOOKUP($B10&amp;$D10, 'NCAAT Simulations'!$C$2:$H$9999, 3,FALSE)/100), "")</f>
        <v>0.66900000000000004</v>
      </c>
      <c r="G10" s="3" t="str">
        <f>_xlfn.IFNA(IF(ROUND(VLOOKUP($B10&amp;$D10, 'NCAAT Simulations'!$C$2:$H$9999, 4,FALSE), 1)&gt;0, _xlfn.CONCAT("+",ROUND(VLOOKUP($B10&amp;$D10, 'NCAAT Simulations'!$C$2:$H$9999, 4,FALSE), 1)), ROUND(VLOOKUP($B10&amp;$D10, 'NCAAT Simulations'!$C$2:$H$9999, 4,FALSE), 1)), "")</f>
        <v>+4.6</v>
      </c>
      <c r="H10" s="8" t="str">
        <f>IF(G10&lt;0,(VLOOKUP($B10&amp;$D10, 'NCAAT Simulations'!$C$2:$I$9999, 6,FALSE)/138.8)*G10, _xlfn.CONCAT("+", ROUND((VLOOKUP($B10&amp;$D10, 'NCAAT Simulations'!$C$2:$I$9999, 6,FALSE)/138.8)*G10, 1)))</f>
        <v>+4.6</v>
      </c>
      <c r="I10" s="4">
        <f>_xlfn.IFNA(IF(ABS(VLOOKUP($B10&amp;$D10, 'NCAAT Simulations'!$C$2:$H$9999, 5,FALSE))&gt;10000,_xlfn.FLOOR.MATH(VLOOKUP($B10&amp;$D10, 'NCAAT Simulations'!$C$2:$H$9999, 5,FALSE), 1000), IF(ABS(VLOOKUP($B10&amp;$D10, 'NCAAT Simulations'!$C$2:$H$9999, 5,FALSE))&gt;1000,_xlfn.FLOOR.MATH(VLOOKUP($B10&amp;$D10, 'NCAAT Simulations'!$C$2:$H$9999, 5,FALSE), 100), _xlfn.FLOOR.MATH(VLOOKUP($B10&amp;$D10, 'NCAAT Simulations'!$C$2:$H$9999, 5,FALSE), 10))), "")</f>
        <v>200</v>
      </c>
      <c r="J10" s="1">
        <f>_xlfn.IFNA(VLOOKUP($B10&amp;$D10, 'NCAAT Simulations'!$C$2:$I$9999, 7,FALSE), "")</f>
        <v>120.59501802258703</v>
      </c>
      <c r="K10" t="str">
        <f>IF(M10&gt;N10,B10,IF(N10&gt;M10,D10,""))</f>
        <v>Mississippi</v>
      </c>
      <c r="L10">
        <f t="shared" si="0"/>
        <v>0</v>
      </c>
      <c r="M10">
        <v>71</v>
      </c>
      <c r="N10">
        <v>64</v>
      </c>
      <c r="O10">
        <f>IF(K10="", "",N10-M10)</f>
        <v>-7</v>
      </c>
      <c r="P10">
        <f>IF(K10="", "", M10+N10)</f>
        <v>135</v>
      </c>
      <c r="Q10" s="10">
        <f>IF(K10="", "", O10-H10)</f>
        <v>-11.6</v>
      </c>
      <c r="R10" s="10">
        <f t="shared" si="1"/>
        <v>11.6</v>
      </c>
      <c r="S10" s="9">
        <f t="shared" si="2"/>
        <v>14.404981977412973</v>
      </c>
      <c r="T10" s="9">
        <f t="shared" si="3"/>
        <v>14.404981977412973</v>
      </c>
      <c r="U10" s="9"/>
    </row>
    <row r="11" spans="1:23" x14ac:dyDescent="0.45">
      <c r="A11">
        <v>3</v>
      </c>
      <c r="B11" t="s">
        <v>30</v>
      </c>
      <c r="C11">
        <v>14</v>
      </c>
      <c r="D11" t="s">
        <v>34</v>
      </c>
      <c r="E11" t="str">
        <f>_xlfn.IFNA(VLOOKUP($B11&amp;$D11, 'NCAAT Simulations'!$C$2:$H$9999, 2,FALSE), "")</f>
        <v>Iowa St.</v>
      </c>
      <c r="F11" s="5">
        <f>_xlfn.IFNA(IF(VLOOKUP($B11&amp;$D11, 'NCAAT Simulations'!$C$2:$H$9999, 3,FALSE)&lt;50,1-VLOOKUP($B11&amp;$D11, 'NCAAT Simulations'!$C$2:$H$9999, 3,FALSE)/100, VLOOKUP($B11&amp;$D11, 'NCAAT Simulations'!$C$2:$H$9999, 3,FALSE)/100), "")</f>
        <v>0.9840000000000001</v>
      </c>
      <c r="G11" s="3">
        <f>_xlfn.IFNA(IF(ROUND(VLOOKUP($B11&amp;$D11, 'NCAAT Simulations'!$C$2:$H$9999, 4,FALSE), 1)&gt;0, _xlfn.CONCAT("+",ROUND(VLOOKUP($B11&amp;$D11, 'NCAAT Simulations'!$C$2:$H$9999, 4,FALSE), 1)), ROUND(VLOOKUP($B11&amp;$D11, 'NCAAT Simulations'!$C$2:$H$9999, 4,FALSE), 1)), "")</f>
        <v>-26.9</v>
      </c>
      <c r="H11" s="8">
        <f>IF(G11&lt;0,(VLOOKUP($B11&amp;$D11, 'NCAAT Simulations'!$C$2:$I$9999, 6,FALSE)/138.8)*G11, _xlfn.CONCAT("+", ROUND((VLOOKUP($B11&amp;$D11, 'NCAAT Simulations'!$C$2:$I$9999, 6,FALSE)/138.8)*G11, 1)))</f>
        <v>-27.140612692220149</v>
      </c>
      <c r="I11" s="4">
        <f>_xlfn.IFNA(IF(ABS(VLOOKUP($B11&amp;$D11, 'NCAAT Simulations'!$C$2:$H$9999, 5,FALSE))&gt;10000,_xlfn.FLOOR.MATH(VLOOKUP($B11&amp;$D11, 'NCAAT Simulations'!$C$2:$H$9999, 5,FALSE), 1000), IF(ABS(VLOOKUP($B11&amp;$D11, 'NCAAT Simulations'!$C$2:$H$9999, 5,FALSE))&gt;1000,_xlfn.FLOOR.MATH(VLOOKUP($B11&amp;$D11, 'NCAAT Simulations'!$C$2:$H$9999, 5,FALSE), 100), _xlfn.FLOOR.MATH(VLOOKUP($B11&amp;$D11, 'NCAAT Simulations'!$C$2:$H$9999, 5,FALSE), 10))), "")</f>
        <v>-6100</v>
      </c>
      <c r="J11" s="1">
        <f>_xlfn.IFNA(VLOOKUP($B11&amp;$D11, 'NCAAT Simulations'!$C$2:$I$9999, 7,FALSE), "")</f>
        <v>156.52378330685866</v>
      </c>
      <c r="K11" t="str">
        <f>IF(M11&gt;N11,B11,IF(N11&gt;M11,D11,""))</f>
        <v>Iowa St.</v>
      </c>
      <c r="L11">
        <f t="shared" si="0"/>
        <v>1</v>
      </c>
      <c r="M11">
        <v>82</v>
      </c>
      <c r="N11">
        <v>55</v>
      </c>
      <c r="O11">
        <f>IF(K11="", "",N11-M11)</f>
        <v>-27</v>
      </c>
      <c r="P11">
        <f>IF(K11="", "", M11+N11)</f>
        <v>137</v>
      </c>
      <c r="Q11" s="10">
        <f>IF(K11="", "", O11-H11)</f>
        <v>0.14061269222014872</v>
      </c>
      <c r="R11" s="10">
        <f t="shared" si="1"/>
        <v>0.14061269222014872</v>
      </c>
      <c r="S11" s="9">
        <f t="shared" si="2"/>
        <v>-19.523783306858661</v>
      </c>
      <c r="T11" s="9">
        <f t="shared" si="3"/>
        <v>19.523783306858661</v>
      </c>
      <c r="U11" s="9"/>
    </row>
    <row r="12" spans="1:23" x14ac:dyDescent="0.45">
      <c r="A12">
        <v>7</v>
      </c>
      <c r="B12" t="s">
        <v>36</v>
      </c>
      <c r="C12">
        <v>10</v>
      </c>
      <c r="D12" t="s">
        <v>48</v>
      </c>
      <c r="E12" t="str">
        <f>_xlfn.IFNA(VLOOKUP($B12&amp;$D12, 'NCAAT Simulations'!$C$2:$H$9999, 2,FALSE), "")</f>
        <v>Marquette</v>
      </c>
      <c r="F12" s="5">
        <f>_xlfn.IFNA(IF(VLOOKUP($B12&amp;$D12, 'NCAAT Simulations'!$C$2:$H$9999, 3,FALSE)&lt;50,1-VLOOKUP($B12&amp;$D12, 'NCAAT Simulations'!$C$2:$H$9999, 3,FALSE)/100, VLOOKUP($B12&amp;$D12, 'NCAAT Simulations'!$C$2:$H$9999, 3,FALSE)/100), "")</f>
        <v>0.79200000000000004</v>
      </c>
      <c r="G12" s="3">
        <f>_xlfn.IFNA(IF(ROUND(VLOOKUP($B12&amp;$D12, 'NCAAT Simulations'!$C$2:$H$9999, 4,FALSE), 1)&gt;0, _xlfn.CONCAT("+",ROUND(VLOOKUP($B12&amp;$D12, 'NCAAT Simulations'!$C$2:$H$9999, 4,FALSE), 1)), ROUND(VLOOKUP($B12&amp;$D12, 'NCAAT Simulations'!$C$2:$H$9999, 4,FALSE), 1)), "")</f>
        <v>-8.8000000000000007</v>
      </c>
      <c r="H12" s="8">
        <f>IF(G12&lt;0,(VLOOKUP($B12&amp;$D12, 'NCAAT Simulations'!$C$2:$I$9999, 6,FALSE)/138.8)*G12, _xlfn.CONCAT("+", ROUND((VLOOKUP($B12&amp;$D12, 'NCAAT Simulations'!$C$2:$I$9999, 6,FALSE)/138.8)*G12, 1)))</f>
        <v>-8.8462356329283001</v>
      </c>
      <c r="I12" s="4">
        <f>_xlfn.IFNA(IF(ABS(VLOOKUP($B12&amp;$D12, 'NCAAT Simulations'!$C$2:$H$9999, 5,FALSE))&gt;10000,_xlfn.FLOOR.MATH(VLOOKUP($B12&amp;$D12, 'NCAAT Simulations'!$C$2:$H$9999, 5,FALSE), 1000), IF(ABS(VLOOKUP($B12&amp;$D12, 'NCAAT Simulations'!$C$2:$H$9999, 5,FALSE))&gt;1000,_xlfn.FLOOR.MATH(VLOOKUP($B12&amp;$D12, 'NCAAT Simulations'!$C$2:$H$9999, 5,FALSE), 100), _xlfn.FLOOR.MATH(VLOOKUP($B12&amp;$D12, 'NCAAT Simulations'!$C$2:$H$9999, 5,FALSE), 10))), "")</f>
        <v>-390</v>
      </c>
      <c r="J12" s="1">
        <f>_xlfn.IFNA(VLOOKUP($B12&amp;$D12, 'NCAAT Simulations'!$C$2:$I$9999, 7,FALSE), "")</f>
        <v>149.33072234067484</v>
      </c>
      <c r="K12" t="str">
        <f>IF(M12&gt;N12,B12,IF(N12&gt;M12,D12,""))</f>
        <v>New Mexico</v>
      </c>
      <c r="L12">
        <f t="shared" si="0"/>
        <v>0</v>
      </c>
      <c r="M12">
        <v>66</v>
      </c>
      <c r="N12">
        <v>75</v>
      </c>
      <c r="O12">
        <f>IF(K12="", "",N12-M12)</f>
        <v>9</v>
      </c>
      <c r="P12">
        <f>IF(K12="", "", M12+N12)</f>
        <v>141</v>
      </c>
      <c r="Q12" s="10">
        <f>IF(K12="", "", O12-H12)</f>
        <v>17.846235632928298</v>
      </c>
      <c r="R12" s="10">
        <f t="shared" si="1"/>
        <v>17.846235632928298</v>
      </c>
      <c r="S12" s="9">
        <f t="shared" si="2"/>
        <v>-8.3307223406748392</v>
      </c>
      <c r="T12" s="9">
        <f t="shared" si="3"/>
        <v>8.3307223406748392</v>
      </c>
      <c r="U12" s="9"/>
    </row>
    <row r="13" spans="1:23" x14ac:dyDescent="0.45">
      <c r="A13">
        <v>2</v>
      </c>
      <c r="B13" t="s">
        <v>41</v>
      </c>
      <c r="C13">
        <v>15</v>
      </c>
      <c r="D13" t="s">
        <v>15</v>
      </c>
      <c r="E13" t="str">
        <f>_xlfn.IFNA(VLOOKUP($B13&amp;$D13, 'NCAAT Simulations'!$C$2:$H$9999, 2,FALSE), "")</f>
        <v>Michigan St.</v>
      </c>
      <c r="F13" s="5">
        <f>_xlfn.IFNA(IF(VLOOKUP($B13&amp;$D13, 'NCAAT Simulations'!$C$2:$H$9999, 3,FALSE)&lt;50,1-VLOOKUP($B13&amp;$D13, 'NCAAT Simulations'!$C$2:$H$9999, 3,FALSE)/100, VLOOKUP($B13&amp;$D13, 'NCAAT Simulations'!$C$2:$H$9999, 3,FALSE)/100), "")</f>
        <v>0.97900000000000009</v>
      </c>
      <c r="G13" s="3">
        <f>_xlfn.IFNA(IF(ROUND(VLOOKUP($B13&amp;$D13, 'NCAAT Simulations'!$C$2:$H$9999, 4,FALSE), 1)&gt;0, _xlfn.CONCAT("+",ROUND(VLOOKUP($B13&amp;$D13, 'NCAAT Simulations'!$C$2:$H$9999, 4,FALSE), 1)), ROUND(VLOOKUP($B13&amp;$D13, 'NCAAT Simulations'!$C$2:$H$9999, 4,FALSE), 1)), "")</f>
        <v>-25.1</v>
      </c>
      <c r="H13" s="8">
        <f>IF(G13&lt;0,(VLOOKUP($B13&amp;$D13, 'NCAAT Simulations'!$C$2:$I$9999, 6,FALSE)/138.8)*G13, _xlfn.CONCAT("+", ROUND((VLOOKUP($B13&amp;$D13, 'NCAAT Simulations'!$C$2:$I$9999, 6,FALSE)/138.8)*G13, 1)))</f>
        <v>-25.146087855962506</v>
      </c>
      <c r="I13" s="4">
        <f>_xlfn.IFNA(IF(ABS(VLOOKUP($B13&amp;$D13, 'NCAAT Simulations'!$C$2:$H$9999, 5,FALSE))&gt;10000,_xlfn.FLOOR.MATH(VLOOKUP($B13&amp;$D13, 'NCAAT Simulations'!$C$2:$H$9999, 5,FALSE), 1000), IF(ABS(VLOOKUP($B13&amp;$D13, 'NCAAT Simulations'!$C$2:$H$9999, 5,FALSE))&gt;1000,_xlfn.FLOOR.MATH(VLOOKUP($B13&amp;$D13, 'NCAAT Simulations'!$C$2:$H$9999, 5,FALSE), 100), _xlfn.FLOOR.MATH(VLOOKUP($B13&amp;$D13, 'NCAAT Simulations'!$C$2:$H$9999, 5,FALSE), 10))), "")</f>
        <v>-4700</v>
      </c>
      <c r="J13" s="1">
        <f>_xlfn.IFNA(VLOOKUP($B13&amp;$D13, 'NCAAT Simulations'!$C$2:$I$9999, 7,FALSE), "")</f>
        <v>142.66930868468077</v>
      </c>
      <c r="K13" t="str">
        <f>IF(M13&gt;N13,B13,IF(N13&gt;M13,D13,""))</f>
        <v>Michigan St.</v>
      </c>
      <c r="L13">
        <f t="shared" si="0"/>
        <v>1</v>
      </c>
      <c r="M13">
        <v>87</v>
      </c>
      <c r="N13">
        <v>62</v>
      </c>
      <c r="O13">
        <f>IF(K13="", "",N13-M13)</f>
        <v>-25</v>
      </c>
      <c r="P13">
        <f>IF(K13="", "", M13+N13)</f>
        <v>149</v>
      </c>
      <c r="Q13" s="10">
        <f>IF(K13="", "", O13-H13)</f>
        <v>0.14608785596250584</v>
      </c>
      <c r="R13" s="10">
        <f t="shared" si="1"/>
        <v>0.14608785596250584</v>
      </c>
      <c r="S13" s="9">
        <f t="shared" si="2"/>
        <v>6.3306913153192284</v>
      </c>
      <c r="T13" s="9">
        <f t="shared" si="3"/>
        <v>6.3306913153192284</v>
      </c>
      <c r="U13" s="9"/>
    </row>
    <row r="14" spans="1:23" x14ac:dyDescent="0.45">
      <c r="A14">
        <v>1</v>
      </c>
      <c r="B14" t="s">
        <v>23</v>
      </c>
      <c r="C14">
        <v>16</v>
      </c>
      <c r="D14" t="s">
        <v>49</v>
      </c>
      <c r="E14" t="str">
        <f>_xlfn.IFNA(VLOOKUP($B14&amp;$D14, 'NCAAT Simulations'!$C$2:$H$9999, 2,FALSE), "")</f>
        <v>Florida</v>
      </c>
      <c r="F14" s="5">
        <f>_xlfn.IFNA(IF(VLOOKUP($B14&amp;$D14, 'NCAAT Simulations'!$C$2:$H$9999, 3,FALSE)&lt;50,1-VLOOKUP($B14&amp;$D14, 'NCAAT Simulations'!$C$2:$H$9999, 3,FALSE)/100, VLOOKUP($B14&amp;$D14, 'NCAAT Simulations'!$C$2:$H$9999, 3,FALSE)/100), "")</f>
        <v>0.996</v>
      </c>
      <c r="G14" s="3">
        <f>_xlfn.IFNA(IF(ROUND(VLOOKUP($B14&amp;$D14, 'NCAAT Simulations'!$C$2:$H$9999, 4,FALSE), 1)&gt;0, _xlfn.CONCAT("+",ROUND(VLOOKUP($B14&amp;$D14, 'NCAAT Simulations'!$C$2:$H$9999, 4,FALSE), 1)), ROUND(VLOOKUP($B14&amp;$D14, 'NCAAT Simulations'!$C$2:$H$9999, 4,FALSE), 1)), "")</f>
        <v>-36.5</v>
      </c>
      <c r="H14" s="8">
        <f>IF(G14&lt;0,(VLOOKUP($B14&amp;$D14, 'NCAAT Simulations'!$C$2:$I$9999, 6,FALSE)/138.8)*G14, _xlfn.CONCAT("+", ROUND((VLOOKUP($B14&amp;$D14, 'NCAAT Simulations'!$C$2:$I$9999, 6,FALSE)/138.8)*G14, 1)))</f>
        <v>-37.323323150377348</v>
      </c>
      <c r="I14" s="4">
        <f>_xlfn.IFNA(IF(ABS(VLOOKUP($B14&amp;$D14, 'NCAAT Simulations'!$C$2:$H$9999, 5,FALSE))&gt;10000,_xlfn.FLOOR.MATH(VLOOKUP($B14&amp;$D14, 'NCAAT Simulations'!$C$2:$H$9999, 5,FALSE), 1000), IF(ABS(VLOOKUP($B14&amp;$D14, 'NCAAT Simulations'!$C$2:$H$9999, 5,FALSE))&gt;1000,_xlfn.FLOOR.MATH(VLOOKUP($B14&amp;$D14, 'NCAAT Simulations'!$C$2:$H$9999, 5,FALSE), 100), _xlfn.FLOOR.MATH(VLOOKUP($B14&amp;$D14, 'NCAAT Simulations'!$C$2:$H$9999, 5,FALSE), 10))), "")</f>
        <v>-27000</v>
      </c>
      <c r="J14" s="1">
        <f>_xlfn.IFNA(VLOOKUP($B14&amp;$D14, 'NCAAT Simulations'!$C$2:$I$9999, 7,FALSE), "")</f>
        <v>183.05361012593471</v>
      </c>
      <c r="K14" t="str">
        <f>IF(M14&gt;N14,B14,IF(N14&gt;M14,D14,""))</f>
        <v>Florida</v>
      </c>
      <c r="L14">
        <f t="shared" si="0"/>
        <v>1</v>
      </c>
      <c r="M14">
        <v>95</v>
      </c>
      <c r="N14">
        <v>69</v>
      </c>
      <c r="O14">
        <f>IF(K14="", "",N14-M14)</f>
        <v>-26</v>
      </c>
      <c r="P14">
        <f>IF(K14="", "", M14+N14)</f>
        <v>164</v>
      </c>
      <c r="Q14" s="10">
        <f>IF(K14="", "", O14-H14)</f>
        <v>11.323323150377348</v>
      </c>
      <c r="R14" s="10">
        <f t="shared" si="1"/>
        <v>11.323323150377348</v>
      </c>
      <c r="S14" s="9">
        <f t="shared" si="2"/>
        <v>-19.053610125934711</v>
      </c>
      <c r="T14" s="9">
        <f t="shared" si="3"/>
        <v>19.053610125934711</v>
      </c>
      <c r="U14" s="9"/>
    </row>
    <row r="15" spans="1:23" x14ac:dyDescent="0.45">
      <c r="A15">
        <v>8</v>
      </c>
      <c r="B15" t="s">
        <v>19</v>
      </c>
      <c r="C15">
        <v>9</v>
      </c>
      <c r="D15" t="s">
        <v>51</v>
      </c>
      <c r="E15" t="str">
        <f>_xlfn.IFNA(VLOOKUP($B15&amp;$D15, 'NCAAT Simulations'!$C$2:$H$9999, 2,FALSE), "")</f>
        <v>Connecticut</v>
      </c>
      <c r="F15" s="5">
        <f>_xlfn.IFNA(IF(VLOOKUP($B15&amp;$D15, 'NCAAT Simulations'!$C$2:$H$9999, 3,FALSE)&lt;50,1-VLOOKUP($B15&amp;$D15, 'NCAAT Simulations'!$C$2:$H$9999, 3,FALSE)/100, VLOOKUP($B15&amp;$D15, 'NCAAT Simulations'!$C$2:$H$9999, 3,FALSE)/100), "")</f>
        <v>0.81200000000000006</v>
      </c>
      <c r="G15" s="3">
        <f>_xlfn.IFNA(IF(ROUND(VLOOKUP($B15&amp;$D15, 'NCAAT Simulations'!$C$2:$H$9999, 4,FALSE), 1)&gt;0, _xlfn.CONCAT("+",ROUND(VLOOKUP($B15&amp;$D15, 'NCAAT Simulations'!$C$2:$H$9999, 4,FALSE), 1)), ROUND(VLOOKUP($B15&amp;$D15, 'NCAAT Simulations'!$C$2:$H$9999, 4,FALSE), 1)), "")</f>
        <v>-9.6</v>
      </c>
      <c r="H15" s="8">
        <f>IF(G15&lt;0,(VLOOKUP($B15&amp;$D15, 'NCAAT Simulations'!$C$2:$I$9999, 6,FALSE)/138.8)*G15, _xlfn.CONCAT("+", ROUND((VLOOKUP($B15&amp;$D15, 'NCAAT Simulations'!$C$2:$I$9999, 6,FALSE)/138.8)*G15, 1)))</f>
        <v>-9.6715636838720904</v>
      </c>
      <c r="I15" s="4">
        <f>_xlfn.IFNA(IF(ABS(VLOOKUP($B15&amp;$D15, 'NCAAT Simulations'!$C$2:$H$9999, 5,FALSE))&gt;10000,_xlfn.FLOOR.MATH(VLOOKUP($B15&amp;$D15, 'NCAAT Simulations'!$C$2:$H$9999, 5,FALSE), 1000), IF(ABS(VLOOKUP($B15&amp;$D15, 'NCAAT Simulations'!$C$2:$H$9999, 5,FALSE))&gt;1000,_xlfn.FLOOR.MATH(VLOOKUP($B15&amp;$D15, 'NCAAT Simulations'!$C$2:$H$9999, 5,FALSE), 100), _xlfn.FLOOR.MATH(VLOOKUP($B15&amp;$D15, 'NCAAT Simulations'!$C$2:$H$9999, 5,FALSE), 10))), "")</f>
        <v>-440</v>
      </c>
      <c r="J15" s="1">
        <f>_xlfn.IFNA(VLOOKUP($B15&amp;$D15, 'NCAAT Simulations'!$C$2:$I$9999, 7,FALSE), "")</f>
        <v>153.6194774609508</v>
      </c>
      <c r="K15" t="str">
        <f>IF(M15&gt;N15,B15,IF(N15&gt;M15,D15,""))</f>
        <v>Connecticut</v>
      </c>
      <c r="L15">
        <f t="shared" si="0"/>
        <v>1</v>
      </c>
      <c r="M15">
        <v>67</v>
      </c>
      <c r="N15">
        <v>59</v>
      </c>
      <c r="O15">
        <f>IF(K15="", "",N15-M15)</f>
        <v>-8</v>
      </c>
      <c r="P15">
        <f>IF(K15="", "", M15+N15)</f>
        <v>126</v>
      </c>
      <c r="Q15" s="10">
        <f>IF(K15="", "", O15-H15)</f>
        <v>1.6715636838720904</v>
      </c>
      <c r="R15" s="10">
        <f t="shared" si="1"/>
        <v>1.6715636838720904</v>
      </c>
      <c r="S15" s="9">
        <f t="shared" si="2"/>
        <v>-27.619477460950804</v>
      </c>
      <c r="T15" s="9">
        <f t="shared" si="3"/>
        <v>27.619477460950804</v>
      </c>
      <c r="U15" s="9"/>
    </row>
    <row r="16" spans="1:23" x14ac:dyDescent="0.45">
      <c r="A16">
        <v>5</v>
      </c>
      <c r="B16" t="s">
        <v>39</v>
      </c>
      <c r="C16">
        <v>12</v>
      </c>
      <c r="D16" t="s">
        <v>18</v>
      </c>
      <c r="E16" t="str">
        <f>_xlfn.IFNA(VLOOKUP($B16&amp;$D16, 'NCAAT Simulations'!$C$2:$H$9999, 2,FALSE), "")</f>
        <v>Memphis</v>
      </c>
      <c r="F16" s="5">
        <f>_xlfn.IFNA(IF(VLOOKUP($B16&amp;$D16, 'NCAAT Simulations'!$C$2:$H$9999, 3,FALSE)&lt;50,1-VLOOKUP($B16&amp;$D16, 'NCAAT Simulations'!$C$2:$H$9999, 3,FALSE)/100, VLOOKUP($B16&amp;$D16, 'NCAAT Simulations'!$C$2:$H$9999, 3,FALSE)/100), "")</f>
        <v>0.628</v>
      </c>
      <c r="G16" s="3">
        <f>_xlfn.IFNA(IF(ROUND(VLOOKUP($B16&amp;$D16, 'NCAAT Simulations'!$C$2:$H$9999, 4,FALSE), 1)&gt;0, _xlfn.CONCAT("+",ROUND(VLOOKUP($B16&amp;$D16, 'NCAAT Simulations'!$C$2:$H$9999, 4,FALSE), 1)), ROUND(VLOOKUP($B16&amp;$D16, 'NCAAT Simulations'!$C$2:$H$9999, 4,FALSE), 1)), "")</f>
        <v>-3.4</v>
      </c>
      <c r="H16" s="8">
        <f>IF(G16&lt;0,(VLOOKUP($B16&amp;$D16, 'NCAAT Simulations'!$C$2:$I$9999, 6,FALSE)/138.8)*G16, _xlfn.CONCAT("+", ROUND((VLOOKUP($B16&amp;$D16, 'NCAAT Simulations'!$C$2:$I$9999, 6,FALSE)/138.8)*G16, 1)))</f>
        <v>-3.3788224449160227</v>
      </c>
      <c r="I16" s="4">
        <f>_xlfn.IFNA(IF(ABS(VLOOKUP($B16&amp;$D16, 'NCAAT Simulations'!$C$2:$H$9999, 5,FALSE))&gt;10000,_xlfn.FLOOR.MATH(VLOOKUP($B16&amp;$D16, 'NCAAT Simulations'!$C$2:$H$9999, 5,FALSE), 1000), IF(ABS(VLOOKUP($B16&amp;$D16, 'NCAAT Simulations'!$C$2:$H$9999, 5,FALSE))&gt;1000,_xlfn.FLOOR.MATH(VLOOKUP($B16&amp;$D16, 'NCAAT Simulations'!$C$2:$H$9999, 5,FALSE), 100), _xlfn.FLOOR.MATH(VLOOKUP($B16&amp;$D16, 'NCAAT Simulations'!$C$2:$H$9999, 5,FALSE), 10))), "")</f>
        <v>-170</v>
      </c>
      <c r="J16" s="1">
        <f>_xlfn.IFNA(VLOOKUP($B16&amp;$D16, 'NCAAT Simulations'!$C$2:$I$9999, 7,FALSE), "")</f>
        <v>126.95097184272952</v>
      </c>
      <c r="K16" t="str">
        <f>IF(M16&gt;N16,B16,IF(N16&gt;M16,D16,""))</f>
        <v>Colorado St.</v>
      </c>
      <c r="L16">
        <f t="shared" si="0"/>
        <v>0</v>
      </c>
      <c r="M16">
        <v>70</v>
      </c>
      <c r="N16">
        <v>78</v>
      </c>
      <c r="O16">
        <f>IF(K16="", "",N16-M16)</f>
        <v>8</v>
      </c>
      <c r="P16">
        <f>IF(K16="", "", M16+N16)</f>
        <v>148</v>
      </c>
      <c r="Q16" s="10">
        <f>IF(K16="", "", O16-H16)</f>
        <v>11.378822444916022</v>
      </c>
      <c r="R16" s="10">
        <f t="shared" si="1"/>
        <v>11.378822444916022</v>
      </c>
      <c r="S16" s="9">
        <f t="shared" si="2"/>
        <v>21.049028157270484</v>
      </c>
      <c r="T16" s="9">
        <f t="shared" si="3"/>
        <v>21.049028157270484</v>
      </c>
      <c r="U16" s="9"/>
    </row>
    <row r="17" spans="1:21" x14ac:dyDescent="0.45">
      <c r="A17">
        <v>4</v>
      </c>
      <c r="B17" t="s">
        <v>37</v>
      </c>
      <c r="C17">
        <v>13</v>
      </c>
      <c r="D17" t="s">
        <v>26</v>
      </c>
      <c r="E17" t="str">
        <f>_xlfn.IFNA(VLOOKUP($B17&amp;$D17, 'NCAAT Simulations'!$C$2:$H$9999, 2,FALSE), "")</f>
        <v>Maryland</v>
      </c>
      <c r="F17" s="5">
        <f>_xlfn.IFNA(IF(VLOOKUP($B17&amp;$D17, 'NCAAT Simulations'!$C$2:$H$9999, 3,FALSE)&lt;50,1-VLOOKUP($B17&amp;$D17, 'NCAAT Simulations'!$C$2:$H$9999, 3,FALSE)/100, VLOOKUP($B17&amp;$D17, 'NCAAT Simulations'!$C$2:$H$9999, 3,FALSE)/100), "")</f>
        <v>0.82799999999999996</v>
      </c>
      <c r="G17" s="3">
        <f>_xlfn.IFNA(IF(ROUND(VLOOKUP($B17&amp;$D17, 'NCAAT Simulations'!$C$2:$H$9999, 4,FALSE), 1)&gt;0, _xlfn.CONCAT("+",ROUND(VLOOKUP($B17&amp;$D17, 'NCAAT Simulations'!$C$2:$H$9999, 4,FALSE), 1)), ROUND(VLOOKUP($B17&amp;$D17, 'NCAAT Simulations'!$C$2:$H$9999, 4,FALSE), 1)), "")</f>
        <v>-10.3</v>
      </c>
      <c r="H17" s="8">
        <f>IF(G17&lt;0,(VLOOKUP($B17&amp;$D17, 'NCAAT Simulations'!$C$2:$I$9999, 6,FALSE)/138.8)*G17, _xlfn.CONCAT("+", ROUND((VLOOKUP($B17&amp;$D17, 'NCAAT Simulations'!$C$2:$I$9999, 6,FALSE)/138.8)*G17, 1)))</f>
        <v>-10.295506412968118</v>
      </c>
      <c r="I17" s="4">
        <f>_xlfn.IFNA(IF(ABS(VLOOKUP($B17&amp;$D17, 'NCAAT Simulations'!$C$2:$H$9999, 5,FALSE))&gt;10000,_xlfn.FLOOR.MATH(VLOOKUP($B17&amp;$D17, 'NCAAT Simulations'!$C$2:$H$9999, 5,FALSE), 1000), IF(ABS(VLOOKUP($B17&amp;$D17, 'NCAAT Simulations'!$C$2:$H$9999, 5,FALSE))&gt;1000,_xlfn.FLOOR.MATH(VLOOKUP($B17&amp;$D17, 'NCAAT Simulations'!$C$2:$H$9999, 5,FALSE), 100), _xlfn.FLOOR.MATH(VLOOKUP($B17&amp;$D17, 'NCAAT Simulations'!$C$2:$H$9999, 5,FALSE), 10))), "")</f>
        <v>-490</v>
      </c>
      <c r="J17" s="1">
        <f>_xlfn.IFNA(VLOOKUP($B17&amp;$D17, 'NCAAT Simulations'!$C$2:$I$9999, 7,FALSE), "")</f>
        <v>138.24034528288885</v>
      </c>
      <c r="K17" t="str">
        <f>IF(M17&gt;N17,B17,IF(N17&gt;M17,D17,""))</f>
        <v>Maryland</v>
      </c>
      <c r="L17">
        <f t="shared" si="0"/>
        <v>1</v>
      </c>
      <c r="M17">
        <v>81</v>
      </c>
      <c r="N17">
        <v>49</v>
      </c>
      <c r="O17">
        <f>IF(K17="", "",N17-M17)</f>
        <v>-32</v>
      </c>
      <c r="P17">
        <f>IF(K17="", "", M17+N17)</f>
        <v>130</v>
      </c>
      <c r="Q17" s="10">
        <f>IF(K17="", "", O17-H17)</f>
        <v>-21.704493587031884</v>
      </c>
      <c r="R17" s="10">
        <f t="shared" si="1"/>
        <v>21.704493587031884</v>
      </c>
      <c r="S17" s="9">
        <f t="shared" si="2"/>
        <v>-8.2403452828888533</v>
      </c>
      <c r="T17" s="9">
        <f t="shared" si="3"/>
        <v>8.2403452828888533</v>
      </c>
      <c r="U17" s="9"/>
    </row>
    <row r="18" spans="1:21" x14ac:dyDescent="0.45">
      <c r="A18">
        <v>6</v>
      </c>
      <c r="B18" t="s">
        <v>44</v>
      </c>
      <c r="C18">
        <v>11</v>
      </c>
      <c r="D18" t="s">
        <v>21</v>
      </c>
      <c r="E18" t="str">
        <f>_xlfn.IFNA(VLOOKUP($B18&amp;$D18, 'NCAAT Simulations'!$C$2:$H$9999, 2,FALSE), "")</f>
        <v>Drake</v>
      </c>
      <c r="F18" s="5">
        <f>_xlfn.IFNA(IF(VLOOKUP($B18&amp;$D18, 'NCAAT Simulations'!$C$2:$H$9999, 3,FALSE)&lt;50,1-VLOOKUP($B18&amp;$D18, 'NCAAT Simulations'!$C$2:$H$9999, 3,FALSE)/100, VLOOKUP($B18&amp;$D18, 'NCAAT Simulations'!$C$2:$H$9999, 3,FALSE)/100), "")</f>
        <v>0.55299999999999994</v>
      </c>
      <c r="G18" s="3" t="str">
        <f>_xlfn.IFNA(IF(ROUND(VLOOKUP($B18&amp;$D18, 'NCAAT Simulations'!$C$2:$H$9999, 4,FALSE), 1)&gt;0, _xlfn.CONCAT("+",ROUND(VLOOKUP($B18&amp;$D18, 'NCAAT Simulations'!$C$2:$H$9999, 4,FALSE), 1)), ROUND(VLOOKUP($B18&amp;$D18, 'NCAAT Simulations'!$C$2:$H$9999, 4,FALSE), 1)), "")</f>
        <v>+1.4</v>
      </c>
      <c r="H18" s="8" t="str">
        <f>IF(G18&lt;0,(VLOOKUP($B18&amp;$D18, 'NCAAT Simulations'!$C$2:$I$9999, 6,FALSE)/138.8)*G18, _xlfn.CONCAT("+", ROUND((VLOOKUP($B18&amp;$D18, 'NCAAT Simulations'!$C$2:$I$9999, 6,FALSE)/138.8)*G18, 1)))</f>
        <v>+1.4</v>
      </c>
      <c r="I18" s="4">
        <f>_xlfn.IFNA(IF(ABS(VLOOKUP($B18&amp;$D18, 'NCAAT Simulations'!$C$2:$H$9999, 5,FALSE))&gt;10000,_xlfn.FLOOR.MATH(VLOOKUP($B18&amp;$D18, 'NCAAT Simulations'!$C$2:$H$9999, 5,FALSE), 1000), IF(ABS(VLOOKUP($B18&amp;$D18, 'NCAAT Simulations'!$C$2:$H$9999, 5,FALSE))&gt;1000,_xlfn.FLOOR.MATH(VLOOKUP($B18&amp;$D18, 'NCAAT Simulations'!$C$2:$H$9999, 5,FALSE), 100), _xlfn.FLOOR.MATH(VLOOKUP($B18&amp;$D18, 'NCAAT Simulations'!$C$2:$H$9999, 5,FALSE), 10))), "")</f>
        <v>120</v>
      </c>
      <c r="J18" s="1">
        <f>_xlfn.IFNA(VLOOKUP($B18&amp;$D18, 'NCAAT Simulations'!$C$2:$I$9999, 7,FALSE), "")</f>
        <v>124.70694158390667</v>
      </c>
      <c r="K18" t="str">
        <f>IF(M18&gt;N18,B18,IF(N18&gt;M18,D18,""))</f>
        <v>Drake</v>
      </c>
      <c r="L18">
        <f t="shared" si="0"/>
        <v>1</v>
      </c>
      <c r="M18">
        <v>57</v>
      </c>
      <c r="N18">
        <v>67</v>
      </c>
      <c r="O18">
        <f>IF(K18="", "",N18-M18)</f>
        <v>10</v>
      </c>
      <c r="P18">
        <f>IF(K18="", "", M18+N18)</f>
        <v>124</v>
      </c>
      <c r="Q18" s="10">
        <f>IF(K18="", "", O18-H18)</f>
        <v>8.6</v>
      </c>
      <c r="R18" s="10">
        <f t="shared" si="1"/>
        <v>8.6</v>
      </c>
      <c r="S18" s="9">
        <f t="shared" si="2"/>
        <v>-0.70694158390666928</v>
      </c>
      <c r="T18" s="9">
        <f t="shared" si="3"/>
        <v>0.70694158390666928</v>
      </c>
      <c r="U18" s="9"/>
    </row>
    <row r="19" spans="1:21" x14ac:dyDescent="0.45">
      <c r="A19">
        <v>3</v>
      </c>
      <c r="B19" t="s">
        <v>63</v>
      </c>
      <c r="C19">
        <v>14</v>
      </c>
      <c r="D19" t="s">
        <v>67</v>
      </c>
      <c r="E19" t="str">
        <f>_xlfn.IFNA(VLOOKUP($B19&amp;$D19, 'NCAAT Simulations'!$C$2:$H$9999, 2,FALSE), "")</f>
        <v>Texas Tech</v>
      </c>
      <c r="F19" s="5">
        <f>_xlfn.IFNA(IF(VLOOKUP($B19&amp;$D19, 'NCAAT Simulations'!$C$2:$H$9999, 3,FALSE)&lt;50,1-VLOOKUP($B19&amp;$D19, 'NCAAT Simulations'!$C$2:$H$9999, 3,FALSE)/100, VLOOKUP($B19&amp;$D19, 'NCAAT Simulations'!$C$2:$H$9999, 3,FALSE)/100), "")</f>
        <v>0.97</v>
      </c>
      <c r="G19" s="3">
        <f>_xlfn.IFNA(IF(ROUND(VLOOKUP($B19&amp;$D19, 'NCAAT Simulations'!$C$2:$H$9999, 4,FALSE), 1)&gt;0, _xlfn.CONCAT("+",ROUND(VLOOKUP($B19&amp;$D19, 'NCAAT Simulations'!$C$2:$H$9999, 4,FALSE), 1)), ROUND(VLOOKUP($B19&amp;$D19, 'NCAAT Simulations'!$C$2:$H$9999, 4,FALSE), 1)), "")</f>
        <v>-22.9</v>
      </c>
      <c r="H19" s="8">
        <f>IF(G19&lt;0,(VLOOKUP($B19&amp;$D19, 'NCAAT Simulations'!$C$2:$I$9999, 6,FALSE)/138.8)*G19, _xlfn.CONCAT("+", ROUND((VLOOKUP($B19&amp;$D19, 'NCAAT Simulations'!$C$2:$I$9999, 6,FALSE)/138.8)*G19, 1)))</f>
        <v>-22.999753898138291</v>
      </c>
      <c r="I19" s="4">
        <f>_xlfn.IFNA(IF(ABS(VLOOKUP($B19&amp;$D19, 'NCAAT Simulations'!$C$2:$H$9999, 5,FALSE))&gt;10000,_xlfn.FLOOR.MATH(VLOOKUP($B19&amp;$D19, 'NCAAT Simulations'!$C$2:$H$9999, 5,FALSE), 1000), IF(ABS(VLOOKUP($B19&amp;$D19, 'NCAAT Simulations'!$C$2:$H$9999, 5,FALSE))&gt;1000,_xlfn.FLOOR.MATH(VLOOKUP($B19&amp;$D19, 'NCAAT Simulations'!$C$2:$H$9999, 5,FALSE), 100), _xlfn.FLOOR.MATH(VLOOKUP($B19&amp;$D19, 'NCAAT Simulations'!$C$2:$H$9999, 5,FALSE), 10))), "")</f>
        <v>-3300</v>
      </c>
      <c r="J19" s="1">
        <f>_xlfn.IFNA(VLOOKUP($B19&amp;$D19, 'NCAAT Simulations'!$C$2:$I$9999, 7,FALSE), "")</f>
        <v>147.58056083065387</v>
      </c>
      <c r="K19" t="str">
        <f>IF(M19&gt;N19,B19,IF(N19&gt;M19,D19,""))</f>
        <v>Texas Tech</v>
      </c>
      <c r="L19">
        <f t="shared" si="0"/>
        <v>1</v>
      </c>
      <c r="M19">
        <v>82</v>
      </c>
      <c r="N19">
        <v>72</v>
      </c>
      <c r="O19">
        <f>IF(K19="", "",N19-M19)</f>
        <v>-10</v>
      </c>
      <c r="P19">
        <f>IF(K19="", "", M19+N19)</f>
        <v>154</v>
      </c>
      <c r="Q19" s="10">
        <f>IF(K19="", "", O19-H19)</f>
        <v>12.999753898138291</v>
      </c>
      <c r="R19" s="10">
        <f t="shared" si="1"/>
        <v>12.999753898138291</v>
      </c>
      <c r="S19" s="9">
        <f t="shared" si="2"/>
        <v>6.4194391693461341</v>
      </c>
      <c r="T19" s="9">
        <f t="shared" si="3"/>
        <v>6.4194391693461341</v>
      </c>
      <c r="U19" s="9"/>
    </row>
    <row r="20" spans="1:21" x14ac:dyDescent="0.45">
      <c r="A20">
        <v>7</v>
      </c>
      <c r="B20" t="s">
        <v>31</v>
      </c>
      <c r="C20">
        <v>10</v>
      </c>
      <c r="D20" t="s">
        <v>12</v>
      </c>
      <c r="E20" t="str">
        <f>_xlfn.IFNA(VLOOKUP($B20&amp;$D20, 'NCAAT Simulations'!$C$2:$H$9999, 2,FALSE), "")</f>
        <v>Kansas</v>
      </c>
      <c r="F20" s="5">
        <f>_xlfn.IFNA(IF(VLOOKUP($B20&amp;$D20, 'NCAAT Simulations'!$C$2:$H$9999, 3,FALSE)&lt;50,1-VLOOKUP($B20&amp;$D20, 'NCAAT Simulations'!$C$2:$H$9999, 3,FALSE)/100, VLOOKUP($B20&amp;$D20, 'NCAAT Simulations'!$C$2:$H$9999, 3,FALSE)/100), "")</f>
        <v>0.82799999999999996</v>
      </c>
      <c r="G20" s="3">
        <f>_xlfn.IFNA(IF(ROUND(VLOOKUP($B20&amp;$D20, 'NCAAT Simulations'!$C$2:$H$9999, 4,FALSE), 1)&gt;0, _xlfn.CONCAT("+",ROUND(VLOOKUP($B20&amp;$D20, 'NCAAT Simulations'!$C$2:$H$9999, 4,FALSE), 1)), ROUND(VLOOKUP($B20&amp;$D20, 'NCAAT Simulations'!$C$2:$H$9999, 4,FALSE), 1)), "")</f>
        <v>-10.3</v>
      </c>
      <c r="H20" s="8">
        <f>IF(G20&lt;0,(VLOOKUP($B20&amp;$D20, 'NCAAT Simulations'!$C$2:$I$9999, 6,FALSE)/138.8)*G20, _xlfn.CONCAT("+", ROUND((VLOOKUP($B20&amp;$D20, 'NCAAT Simulations'!$C$2:$I$9999, 6,FALSE)/138.8)*G20, 1)))</f>
        <v>-10.404426655397272</v>
      </c>
      <c r="I20" s="4">
        <f>_xlfn.IFNA(IF(ABS(VLOOKUP($B20&amp;$D20, 'NCAAT Simulations'!$C$2:$H$9999, 5,FALSE))&gt;10000,_xlfn.FLOOR.MATH(VLOOKUP($B20&amp;$D20, 'NCAAT Simulations'!$C$2:$H$9999, 5,FALSE), 1000), IF(ABS(VLOOKUP($B20&amp;$D20, 'NCAAT Simulations'!$C$2:$H$9999, 5,FALSE))&gt;1000,_xlfn.FLOOR.MATH(VLOOKUP($B20&amp;$D20, 'NCAAT Simulations'!$C$2:$H$9999, 5,FALSE), 100), _xlfn.FLOOR.MATH(VLOOKUP($B20&amp;$D20, 'NCAAT Simulations'!$C$2:$H$9999, 5,FALSE), 10))), "")</f>
        <v>-490</v>
      </c>
      <c r="J20" s="1">
        <f>_xlfn.IFNA(VLOOKUP($B20&amp;$D20, 'NCAAT Simulations'!$C$2:$I$9999, 7,FALSE), "")</f>
        <v>158.85048866177749</v>
      </c>
      <c r="K20" t="str">
        <f>IF(M20&gt;N20,B20,IF(N20&gt;M20,D20,""))</f>
        <v>Arkansas</v>
      </c>
      <c r="L20">
        <f t="shared" si="0"/>
        <v>0</v>
      </c>
      <c r="M20">
        <v>72</v>
      </c>
      <c r="N20">
        <v>79</v>
      </c>
      <c r="O20">
        <f>IF(K20="", "",N20-M20)</f>
        <v>7</v>
      </c>
      <c r="P20">
        <f>IF(K20="", "", M20+N20)</f>
        <v>151</v>
      </c>
      <c r="Q20" s="10">
        <f>IF(K20="", "", O20-H20)</f>
        <v>17.404426655397273</v>
      </c>
      <c r="R20" s="10">
        <f t="shared" si="1"/>
        <v>17.404426655397273</v>
      </c>
      <c r="S20" s="9">
        <f t="shared" si="2"/>
        <v>-7.8504886617774901</v>
      </c>
      <c r="T20" s="9">
        <f t="shared" si="3"/>
        <v>7.8504886617774901</v>
      </c>
      <c r="U20" s="9"/>
    </row>
    <row r="21" spans="1:21" x14ac:dyDescent="0.45">
      <c r="A21">
        <v>2</v>
      </c>
      <c r="B21" t="s">
        <v>59</v>
      </c>
      <c r="C21">
        <v>15</v>
      </c>
      <c r="D21" t="s">
        <v>47</v>
      </c>
      <c r="E21" t="str">
        <f>_xlfn.IFNA(VLOOKUP($B21&amp;$D21, 'NCAAT Simulations'!$C$2:$H$9999, 2,FALSE), "")</f>
        <v>St. John's</v>
      </c>
      <c r="F21" s="5">
        <f>_xlfn.IFNA(IF(VLOOKUP($B21&amp;$D21, 'NCAAT Simulations'!$C$2:$H$9999, 3,FALSE)&lt;50,1-VLOOKUP($B21&amp;$D21, 'NCAAT Simulations'!$C$2:$H$9999, 3,FALSE)/100, VLOOKUP($B21&amp;$D21, 'NCAAT Simulations'!$C$2:$H$9999, 3,FALSE)/100), "")</f>
        <v>0.99400000000000011</v>
      </c>
      <c r="G21" s="3">
        <f>_xlfn.IFNA(IF(ROUND(VLOOKUP($B21&amp;$D21, 'NCAAT Simulations'!$C$2:$H$9999, 4,FALSE), 1)&gt;0, _xlfn.CONCAT("+",ROUND(VLOOKUP($B21&amp;$D21, 'NCAAT Simulations'!$C$2:$H$9999, 4,FALSE), 1)), ROUND(VLOOKUP($B21&amp;$D21, 'NCAAT Simulations'!$C$2:$H$9999, 4,FALSE), 1)), "")</f>
        <v>-33.299999999999997</v>
      </c>
      <c r="H21" s="8">
        <f>IF(G21&lt;0,(VLOOKUP($B21&amp;$D21, 'NCAAT Simulations'!$C$2:$I$9999, 6,FALSE)/138.8)*G21, _xlfn.CONCAT("+", ROUND((VLOOKUP($B21&amp;$D21, 'NCAAT Simulations'!$C$2:$I$9999, 6,FALSE)/138.8)*G21, 1)))</f>
        <v>-33.701206859710737</v>
      </c>
      <c r="I21" s="4">
        <f>_xlfn.IFNA(IF(ABS(VLOOKUP($B21&amp;$D21, 'NCAAT Simulations'!$C$2:$H$9999, 5,FALSE))&gt;10000,_xlfn.FLOOR.MATH(VLOOKUP($B21&amp;$D21, 'NCAAT Simulations'!$C$2:$H$9999, 5,FALSE), 1000), IF(ABS(VLOOKUP($B21&amp;$D21, 'NCAAT Simulations'!$C$2:$H$9999, 5,FALSE))&gt;1000,_xlfn.FLOOR.MATH(VLOOKUP($B21&amp;$D21, 'NCAAT Simulations'!$C$2:$H$9999, 5,FALSE), 100), _xlfn.FLOOR.MATH(VLOOKUP($B21&amp;$D21, 'NCAAT Simulations'!$C$2:$H$9999, 5,FALSE), 10))), "")</f>
        <v>-17000</v>
      </c>
      <c r="J21" s="1">
        <f>_xlfn.IFNA(VLOOKUP($B21&amp;$D21, 'NCAAT Simulations'!$C$2:$I$9999, 7,FALSE), "")</f>
        <v>162.57256049202698</v>
      </c>
      <c r="K21" t="str">
        <f>IF(M21&gt;N21,B21,IF(N21&gt;M21,D21,""))</f>
        <v>St. John's</v>
      </c>
      <c r="L21">
        <f t="shared" si="0"/>
        <v>1</v>
      </c>
      <c r="M21">
        <v>83</v>
      </c>
      <c r="N21">
        <v>53</v>
      </c>
      <c r="O21">
        <f>IF(K21="", "",N21-M21)</f>
        <v>-30</v>
      </c>
      <c r="P21">
        <f>IF(K21="", "", M21+N21)</f>
        <v>136</v>
      </c>
      <c r="Q21" s="10">
        <f>IF(K21="", "", O21-H21)</f>
        <v>3.7012068597107373</v>
      </c>
      <c r="R21" s="10">
        <f t="shared" si="1"/>
        <v>3.7012068597107373</v>
      </c>
      <c r="S21" s="9">
        <f t="shared" si="2"/>
        <v>-26.57256049202698</v>
      </c>
      <c r="T21" s="9">
        <f t="shared" si="3"/>
        <v>26.57256049202698</v>
      </c>
      <c r="U21" s="9"/>
    </row>
    <row r="22" spans="1:21" x14ac:dyDescent="0.45">
      <c r="A22">
        <v>1</v>
      </c>
      <c r="B22" t="s">
        <v>28</v>
      </c>
      <c r="C22">
        <v>16</v>
      </c>
      <c r="D22" t="s">
        <v>58</v>
      </c>
      <c r="E22" t="str">
        <f>_xlfn.IFNA(VLOOKUP($B22&amp;$D22, 'NCAAT Simulations'!$C$2:$H$9999, 2,FALSE), "")</f>
        <v>Houston</v>
      </c>
      <c r="F22" s="5">
        <f>_xlfn.IFNA(IF(VLOOKUP($B22&amp;$D22, 'NCAAT Simulations'!$C$2:$H$9999, 3,FALSE)&lt;50,1-VLOOKUP($B22&amp;$D22, 'NCAAT Simulations'!$C$2:$H$9999, 3,FALSE)/100, VLOOKUP($B22&amp;$D22, 'NCAAT Simulations'!$C$2:$H$9999, 3,FALSE)/100), "")</f>
        <v>0.99900000000000011</v>
      </c>
      <c r="G22" s="3">
        <f>_xlfn.IFNA(IF(ROUND(VLOOKUP($B22&amp;$D22, 'NCAAT Simulations'!$C$2:$H$9999, 4,FALSE), 1)&gt;0, _xlfn.CONCAT("+",ROUND(VLOOKUP($B22&amp;$D22, 'NCAAT Simulations'!$C$2:$H$9999, 4,FALSE), 1)), ROUND(VLOOKUP($B22&amp;$D22, 'NCAAT Simulations'!$C$2:$H$9999, 4,FALSE), 1)), "")</f>
        <v>-45</v>
      </c>
      <c r="H22" s="8">
        <f>IF(G22&lt;0,(VLOOKUP($B22&amp;$D22, 'NCAAT Simulations'!$C$2:$I$9999, 6,FALSE)/138.8)*G22, _xlfn.CONCAT("+", ROUND((VLOOKUP($B22&amp;$D22, 'NCAAT Simulations'!$C$2:$I$9999, 6,FALSE)/138.8)*G22, 1)))</f>
        <v>-45.786344052619448</v>
      </c>
      <c r="I22" s="4">
        <f>_xlfn.IFNA(IF(ABS(VLOOKUP($B22&amp;$D22, 'NCAAT Simulations'!$C$2:$H$9999, 5,FALSE))&gt;10000,_xlfn.FLOOR.MATH(VLOOKUP($B22&amp;$D22, 'NCAAT Simulations'!$C$2:$H$9999, 5,FALSE), 1000), IF(ABS(VLOOKUP($B22&amp;$D22, 'NCAAT Simulations'!$C$2:$H$9999, 5,FALSE))&gt;1000,_xlfn.FLOOR.MATH(VLOOKUP($B22&amp;$D22, 'NCAAT Simulations'!$C$2:$H$9999, 5,FALSE), 100), _xlfn.FLOOR.MATH(VLOOKUP($B22&amp;$D22, 'NCAAT Simulations'!$C$2:$H$9999, 5,FALSE), 10))), "")</f>
        <v>-97000</v>
      </c>
      <c r="J22" s="1">
        <f>_xlfn.IFNA(VLOOKUP($B22&amp;$D22, 'NCAAT Simulations'!$C$2:$I$9999, 7,FALSE), "")</f>
        <v>173.14789440463858</v>
      </c>
      <c r="K22" t="str">
        <f>IF(M22&gt;N22,B22,IF(N22&gt;M22,D22,""))</f>
        <v>Houston</v>
      </c>
      <c r="L22">
        <f t="shared" si="0"/>
        <v>1</v>
      </c>
      <c r="M22">
        <v>78</v>
      </c>
      <c r="N22">
        <v>48</v>
      </c>
      <c r="O22">
        <f>IF(K22="", "",N22-M22)</f>
        <v>-30</v>
      </c>
      <c r="P22">
        <f>IF(K22="", "", M22+N22)</f>
        <v>126</v>
      </c>
      <c r="Q22" s="10">
        <f>IF(K22="", "", O22-H22)</f>
        <v>15.786344052619448</v>
      </c>
      <c r="R22" s="10">
        <f t="shared" si="1"/>
        <v>15.786344052619448</v>
      </c>
      <c r="S22" s="9">
        <f t="shared" si="2"/>
        <v>-47.147894404638578</v>
      </c>
      <c r="T22" s="9">
        <f t="shared" si="3"/>
        <v>47.147894404638578</v>
      </c>
      <c r="U22" s="9"/>
    </row>
    <row r="23" spans="1:21" x14ac:dyDescent="0.45">
      <c r="A23">
        <v>8</v>
      </c>
      <c r="B23" t="s">
        <v>25</v>
      </c>
      <c r="C23">
        <v>9</v>
      </c>
      <c r="D23" t="s">
        <v>24</v>
      </c>
      <c r="E23" t="str">
        <f>_xlfn.IFNA(VLOOKUP($B23&amp;$D23, 'NCAAT Simulations'!$C$2:$H$9999, 2,FALSE), "")</f>
        <v>Gonzaga</v>
      </c>
      <c r="F23" s="5">
        <f>_xlfn.IFNA(IF(VLOOKUP($B23&amp;$D23, 'NCAAT Simulations'!$C$2:$H$9999, 3,FALSE)&lt;50,1-VLOOKUP($B23&amp;$D23, 'NCAAT Simulations'!$C$2:$H$9999, 3,FALSE)/100, VLOOKUP($B23&amp;$D23, 'NCAAT Simulations'!$C$2:$H$9999, 3,FALSE)/100), "")</f>
        <v>0.78</v>
      </c>
      <c r="G23" s="3">
        <f>_xlfn.IFNA(IF(ROUND(VLOOKUP($B23&amp;$D23, 'NCAAT Simulations'!$C$2:$H$9999, 4,FALSE), 1)&gt;0, _xlfn.CONCAT("+",ROUND(VLOOKUP($B23&amp;$D23, 'NCAAT Simulations'!$C$2:$H$9999, 4,FALSE), 1)), ROUND(VLOOKUP($B23&amp;$D23, 'NCAAT Simulations'!$C$2:$H$9999, 4,FALSE), 1)), "")</f>
        <v>-8.3000000000000007</v>
      </c>
      <c r="H23" s="8">
        <f>IF(G23&lt;0,(VLOOKUP($B23&amp;$D23, 'NCAAT Simulations'!$C$2:$I$9999, 6,FALSE)/138.8)*G23, _xlfn.CONCAT("+", ROUND((VLOOKUP($B23&amp;$D23, 'NCAAT Simulations'!$C$2:$I$9999, 6,FALSE)/138.8)*G23, 1)))</f>
        <v>-8.4168862991227034</v>
      </c>
      <c r="I23" s="4">
        <f>_xlfn.IFNA(IF(ABS(VLOOKUP($B23&amp;$D23, 'NCAAT Simulations'!$C$2:$H$9999, 5,FALSE))&gt;10000,_xlfn.FLOOR.MATH(VLOOKUP($B23&amp;$D23, 'NCAAT Simulations'!$C$2:$H$9999, 5,FALSE), 1000), IF(ABS(VLOOKUP($B23&amp;$D23, 'NCAAT Simulations'!$C$2:$H$9999, 5,FALSE))&gt;1000,_xlfn.FLOOR.MATH(VLOOKUP($B23&amp;$D23, 'NCAAT Simulations'!$C$2:$H$9999, 5,FALSE), 100), _xlfn.FLOOR.MATH(VLOOKUP($B23&amp;$D23, 'NCAAT Simulations'!$C$2:$H$9999, 5,FALSE), 10))), "")</f>
        <v>-360</v>
      </c>
      <c r="J23" s="1">
        <f>_xlfn.IFNA(VLOOKUP($B23&amp;$D23, 'NCAAT Simulations'!$C$2:$I$9999, 7,FALSE), "")</f>
        <v>166.53764952950604</v>
      </c>
      <c r="K23" t="str">
        <f>IF(M23&gt;N23,B23,IF(N23&gt;M23,D23,""))</f>
        <v>Gonzaga</v>
      </c>
      <c r="L23">
        <f t="shared" si="0"/>
        <v>1</v>
      </c>
      <c r="M23">
        <v>89</v>
      </c>
      <c r="N23">
        <v>68</v>
      </c>
      <c r="O23">
        <f>IF(K23="", "",N23-M23)</f>
        <v>-21</v>
      </c>
      <c r="P23">
        <f>IF(K23="", "", M23+N23)</f>
        <v>157</v>
      </c>
      <c r="Q23" s="10">
        <f>IF(K23="", "", O23-H23)</f>
        <v>-12.583113700877297</v>
      </c>
      <c r="R23" s="10">
        <f t="shared" si="1"/>
        <v>12.583113700877297</v>
      </c>
      <c r="S23" s="9">
        <f t="shared" si="2"/>
        <v>-9.5376495295060408</v>
      </c>
      <c r="T23" s="9">
        <f t="shared" si="3"/>
        <v>9.5376495295060408</v>
      </c>
      <c r="U23" s="9"/>
    </row>
    <row r="24" spans="1:21" x14ac:dyDescent="0.45">
      <c r="A24">
        <v>5</v>
      </c>
      <c r="B24" t="s">
        <v>17</v>
      </c>
      <c r="C24">
        <v>12</v>
      </c>
      <c r="D24" t="s">
        <v>38</v>
      </c>
      <c r="E24" t="str">
        <f>_xlfn.IFNA(VLOOKUP($B24&amp;$D24, 'NCAAT Simulations'!$C$2:$H$9999, 2,FALSE), "")</f>
        <v>Clemson</v>
      </c>
      <c r="F24" s="5">
        <f>_xlfn.IFNA(IF(VLOOKUP($B24&amp;$D24, 'NCAAT Simulations'!$C$2:$H$9999, 3,FALSE)&lt;50,1-VLOOKUP($B24&amp;$D24, 'NCAAT Simulations'!$C$2:$H$9999, 3,FALSE)/100, VLOOKUP($B24&amp;$D24, 'NCAAT Simulations'!$C$2:$H$9999, 3,FALSE)/100), "")</f>
        <v>0.80900000000000005</v>
      </c>
      <c r="G24" s="3">
        <f>_xlfn.IFNA(IF(ROUND(VLOOKUP($B24&amp;$D24, 'NCAAT Simulations'!$C$2:$H$9999, 4,FALSE), 1)&gt;0, _xlfn.CONCAT("+",ROUND(VLOOKUP($B24&amp;$D24, 'NCAAT Simulations'!$C$2:$H$9999, 4,FALSE), 1)), ROUND(VLOOKUP($B24&amp;$D24, 'NCAAT Simulations'!$C$2:$H$9999, 4,FALSE), 1)), "")</f>
        <v>-9.5</v>
      </c>
      <c r="H24" s="8">
        <f>IF(G24&lt;0,(VLOOKUP($B24&amp;$D24, 'NCAAT Simulations'!$C$2:$I$9999, 6,FALSE)/138.8)*G24, _xlfn.CONCAT("+", ROUND((VLOOKUP($B24&amp;$D24, 'NCAAT Simulations'!$C$2:$I$9999, 6,FALSE)/138.8)*G24, 1)))</f>
        <v>-9.4975800834238395</v>
      </c>
      <c r="I24" s="4">
        <f>_xlfn.IFNA(IF(ABS(VLOOKUP($B24&amp;$D24, 'NCAAT Simulations'!$C$2:$H$9999, 5,FALSE))&gt;10000,_xlfn.FLOOR.MATH(VLOOKUP($B24&amp;$D24, 'NCAAT Simulations'!$C$2:$H$9999, 5,FALSE), 1000), IF(ABS(VLOOKUP($B24&amp;$D24, 'NCAAT Simulations'!$C$2:$H$9999, 5,FALSE))&gt;1000,_xlfn.FLOOR.MATH(VLOOKUP($B24&amp;$D24, 'NCAAT Simulations'!$C$2:$H$9999, 5,FALSE), 100), _xlfn.FLOOR.MATH(VLOOKUP($B24&amp;$D24, 'NCAAT Simulations'!$C$2:$H$9999, 5,FALSE), 10))), "")</f>
        <v>-430</v>
      </c>
      <c r="J24" s="1">
        <f>_xlfn.IFNA(VLOOKUP($B24&amp;$D24, 'NCAAT Simulations'!$C$2:$I$9999, 7,FALSE), "")</f>
        <v>138.59416987115142</v>
      </c>
      <c r="K24" t="str">
        <f>IF(M24&gt;N24,B24,IF(N24&gt;M24,D24,""))</f>
        <v>McNeese St.</v>
      </c>
      <c r="L24">
        <f t="shared" si="0"/>
        <v>0</v>
      </c>
      <c r="M24">
        <v>67</v>
      </c>
      <c r="N24">
        <v>69</v>
      </c>
      <c r="O24">
        <f>IF(K24="", "",N24-M24)</f>
        <v>2</v>
      </c>
      <c r="P24">
        <f>IF(K24="", "", M24+N24)</f>
        <v>136</v>
      </c>
      <c r="Q24" s="10">
        <f>IF(K24="", "", O24-H24)</f>
        <v>11.49758008342384</v>
      </c>
      <c r="R24" s="10">
        <f t="shared" si="1"/>
        <v>11.49758008342384</v>
      </c>
      <c r="S24" s="9">
        <f t="shared" si="2"/>
        <v>-2.5941698711514221</v>
      </c>
      <c r="T24" s="9">
        <f t="shared" si="3"/>
        <v>2.5941698711514221</v>
      </c>
      <c r="U24" s="9"/>
    </row>
    <row r="25" spans="1:21" x14ac:dyDescent="0.45">
      <c r="A25">
        <v>4</v>
      </c>
      <c r="B25" t="s">
        <v>53</v>
      </c>
      <c r="C25">
        <v>13</v>
      </c>
      <c r="D25" t="s">
        <v>27</v>
      </c>
      <c r="E25" t="str">
        <f>_xlfn.IFNA(VLOOKUP($B25&amp;$D25, 'NCAAT Simulations'!$C$2:$H$9999, 2,FALSE), "")</f>
        <v>Purdue</v>
      </c>
      <c r="F25" s="5">
        <f>_xlfn.IFNA(IF(VLOOKUP($B25&amp;$D25, 'NCAAT Simulations'!$C$2:$H$9999, 3,FALSE)&lt;50,1-VLOOKUP($B25&amp;$D25, 'NCAAT Simulations'!$C$2:$H$9999, 3,FALSE)/100, VLOOKUP($B25&amp;$D25, 'NCAAT Simulations'!$C$2:$H$9999, 3,FALSE)/100), "")</f>
        <v>0.97799999999999998</v>
      </c>
      <c r="G25" s="3">
        <f>_xlfn.IFNA(IF(ROUND(VLOOKUP($B25&amp;$D25, 'NCAAT Simulations'!$C$2:$H$9999, 4,FALSE), 1)&gt;0, _xlfn.CONCAT("+",ROUND(VLOOKUP($B25&amp;$D25, 'NCAAT Simulations'!$C$2:$H$9999, 4,FALSE), 1)), ROUND(VLOOKUP($B25&amp;$D25, 'NCAAT Simulations'!$C$2:$H$9999, 4,FALSE), 1)), "")</f>
        <v>-24.8</v>
      </c>
      <c r="H25" s="8">
        <f>IF(G25&lt;0,(VLOOKUP($B25&amp;$D25, 'NCAAT Simulations'!$C$2:$I$9999, 6,FALSE)/138.8)*G25, _xlfn.CONCAT("+", ROUND((VLOOKUP($B25&amp;$D25, 'NCAAT Simulations'!$C$2:$I$9999, 6,FALSE)/138.8)*G25, 1)))</f>
        <v>-24.951959229369191</v>
      </c>
      <c r="I25" s="4">
        <f>_xlfn.IFNA(IF(ABS(VLOOKUP($B25&amp;$D25, 'NCAAT Simulations'!$C$2:$H$9999, 5,FALSE))&gt;10000,_xlfn.FLOOR.MATH(VLOOKUP($B25&amp;$D25, 'NCAAT Simulations'!$C$2:$H$9999, 5,FALSE), 1000), IF(ABS(VLOOKUP($B25&amp;$D25, 'NCAAT Simulations'!$C$2:$H$9999, 5,FALSE))&gt;1000,_xlfn.FLOOR.MATH(VLOOKUP($B25&amp;$D25, 'NCAAT Simulations'!$C$2:$H$9999, 5,FALSE), 100), _xlfn.FLOOR.MATH(VLOOKUP($B25&amp;$D25, 'NCAAT Simulations'!$C$2:$H$9999, 5,FALSE), 10))), "")</f>
        <v>-4400</v>
      </c>
      <c r="J25" s="1">
        <f>_xlfn.IFNA(VLOOKUP($B25&amp;$D25, 'NCAAT Simulations'!$C$2:$I$9999, 7,FALSE), "")</f>
        <v>151.03285159153447</v>
      </c>
      <c r="K25" t="str">
        <f>IF(M25&gt;N25,B25,IF(N25&gt;M25,D25,""))</f>
        <v>Purdue</v>
      </c>
      <c r="L25">
        <f t="shared" si="0"/>
        <v>1</v>
      </c>
      <c r="M25">
        <v>75</v>
      </c>
      <c r="N25">
        <v>63</v>
      </c>
      <c r="O25">
        <f>IF(K25="", "",N25-M25)</f>
        <v>-12</v>
      </c>
      <c r="P25">
        <f>IF(K25="", "", M25+N25)</f>
        <v>138</v>
      </c>
      <c r="Q25" s="10">
        <f>IF(K25="", "", O25-H25)</f>
        <v>12.951959229369191</v>
      </c>
      <c r="R25" s="10">
        <f t="shared" si="1"/>
        <v>12.951959229369191</v>
      </c>
      <c r="S25" s="9">
        <f t="shared" si="2"/>
        <v>-13.032851591534467</v>
      </c>
      <c r="T25" s="9">
        <f t="shared" si="3"/>
        <v>13.032851591534467</v>
      </c>
      <c r="U25" s="9"/>
    </row>
    <row r="26" spans="1:21" x14ac:dyDescent="0.45">
      <c r="A26">
        <v>6</v>
      </c>
      <c r="B26" t="s">
        <v>29</v>
      </c>
      <c r="C26">
        <v>11</v>
      </c>
      <c r="D26" t="s">
        <v>72</v>
      </c>
      <c r="E26" t="str">
        <f>_xlfn.IFNA(VLOOKUP($B26&amp;$D26, 'NCAAT Simulations'!$C$2:$H$9999, 2,FALSE), "")</f>
        <v>Illinois</v>
      </c>
      <c r="F26" s="5">
        <f>_xlfn.IFNA(IF(VLOOKUP($B26&amp;$D26, 'NCAAT Simulations'!$C$2:$H$9999, 3,FALSE)&lt;50,1-VLOOKUP($B26&amp;$D26, 'NCAAT Simulations'!$C$2:$H$9999, 3,FALSE)/100, VLOOKUP($B26&amp;$D26, 'NCAAT Simulations'!$C$2:$H$9999, 3,FALSE)/100), "")</f>
        <v>0.86799999999999999</v>
      </c>
      <c r="G26" s="3">
        <f>_xlfn.IFNA(IF(ROUND(VLOOKUP($B26&amp;$D26, 'NCAAT Simulations'!$C$2:$H$9999, 4,FALSE), 1)&gt;0, _xlfn.CONCAT("+",ROUND(VLOOKUP($B26&amp;$D26, 'NCAAT Simulations'!$C$2:$H$9999, 4,FALSE), 1)), ROUND(VLOOKUP($B26&amp;$D26, 'NCAAT Simulations'!$C$2:$H$9999, 4,FALSE), 1)), "")</f>
        <v>-12.3</v>
      </c>
      <c r="H26" s="8">
        <f>IF(G26&lt;0,(VLOOKUP($B26&amp;$D26, 'NCAAT Simulations'!$C$2:$I$9999, 6,FALSE)/138.8)*G26, _xlfn.CONCAT("+", ROUND((VLOOKUP($B26&amp;$D26, 'NCAAT Simulations'!$C$2:$I$9999, 6,FALSE)/138.8)*G26, 1)))</f>
        <v>-12.354999320832276</v>
      </c>
      <c r="I26" s="4">
        <f>_xlfn.IFNA(IF(ABS(VLOOKUP($B26&amp;$D26, 'NCAAT Simulations'!$C$2:$H$9999, 5,FALSE))&gt;10000,_xlfn.FLOOR.MATH(VLOOKUP($B26&amp;$D26, 'NCAAT Simulations'!$C$2:$H$9999, 5,FALSE), 1000), IF(ABS(VLOOKUP($B26&amp;$D26, 'NCAAT Simulations'!$C$2:$H$9999, 5,FALSE))&gt;1000,_xlfn.FLOOR.MATH(VLOOKUP($B26&amp;$D26, 'NCAAT Simulations'!$C$2:$H$9999, 5,FALSE), 100), _xlfn.FLOOR.MATH(VLOOKUP($B26&amp;$D26, 'NCAAT Simulations'!$C$2:$H$9999, 5,FALSE), 10))), "")</f>
        <v>-660</v>
      </c>
      <c r="J26" s="1">
        <f>_xlfn.IFNA(VLOOKUP($B26&amp;$D26, 'NCAAT Simulations'!$C$2:$I$9999, 7,FALSE), "")</f>
        <v>147.80552121811473</v>
      </c>
      <c r="K26" t="str">
        <f>IF(M26&gt;N26,B26,IF(N26&gt;M26,D26,""))</f>
        <v>Illinois</v>
      </c>
      <c r="L26">
        <f t="shared" si="0"/>
        <v>1</v>
      </c>
      <c r="M26">
        <v>86</v>
      </c>
      <c r="N26">
        <v>73</v>
      </c>
      <c r="O26">
        <f>IF(K26="", "",N26-M26)</f>
        <v>-13</v>
      </c>
      <c r="P26">
        <f>IF(K26="", "", M26+N26)</f>
        <v>159</v>
      </c>
      <c r="Q26" s="10">
        <f>IF(K26="", "", O26-H26)</f>
        <v>-0.6450006791677243</v>
      </c>
      <c r="R26" s="10">
        <f t="shared" si="1"/>
        <v>0.6450006791677243</v>
      </c>
      <c r="S26" s="9">
        <f t="shared" si="2"/>
        <v>11.194478781885266</v>
      </c>
      <c r="T26" s="9">
        <f t="shared" si="3"/>
        <v>11.194478781885266</v>
      </c>
      <c r="U26" s="9"/>
    </row>
    <row r="27" spans="1:21" x14ac:dyDescent="0.45">
      <c r="A27">
        <v>3</v>
      </c>
      <c r="B27" t="s">
        <v>32</v>
      </c>
      <c r="C27">
        <v>14</v>
      </c>
      <c r="D27" t="s">
        <v>64</v>
      </c>
      <c r="E27" t="str">
        <f>_xlfn.IFNA(VLOOKUP($B27&amp;$D27, 'NCAAT Simulations'!$C$2:$H$9999, 2,FALSE), "")</f>
        <v>Kentucky</v>
      </c>
      <c r="F27" s="5">
        <f>_xlfn.IFNA(IF(VLOOKUP($B27&amp;$D27, 'NCAAT Simulations'!$C$2:$H$9999, 3,FALSE)&lt;50,1-VLOOKUP($B27&amp;$D27, 'NCAAT Simulations'!$C$2:$H$9999, 3,FALSE)/100, VLOOKUP($B27&amp;$D27, 'NCAAT Simulations'!$C$2:$H$9999, 3,FALSE)/100), "")</f>
        <v>0.97400000000000009</v>
      </c>
      <c r="G27" s="3">
        <f>_xlfn.IFNA(IF(ROUND(VLOOKUP($B27&amp;$D27, 'NCAAT Simulations'!$C$2:$H$9999, 4,FALSE), 1)&gt;0, _xlfn.CONCAT("+",ROUND(VLOOKUP($B27&amp;$D27, 'NCAAT Simulations'!$C$2:$H$9999, 4,FALSE), 1)), ROUND(VLOOKUP($B27&amp;$D27, 'NCAAT Simulations'!$C$2:$H$9999, 4,FALSE), 1)), "")</f>
        <v>-23.7</v>
      </c>
      <c r="H27" s="8">
        <f>IF(G27&lt;0,(VLOOKUP($B27&amp;$D27, 'NCAAT Simulations'!$C$2:$I$9999, 6,FALSE)/138.8)*G27, _xlfn.CONCAT("+", ROUND((VLOOKUP($B27&amp;$D27, 'NCAAT Simulations'!$C$2:$I$9999, 6,FALSE)/138.8)*G27, 1)))</f>
        <v>-23.786902448407155</v>
      </c>
      <c r="I27" s="4">
        <f>_xlfn.IFNA(IF(ABS(VLOOKUP($B27&amp;$D27, 'NCAAT Simulations'!$C$2:$H$9999, 5,FALSE))&gt;10000,_xlfn.FLOOR.MATH(VLOOKUP($B27&amp;$D27, 'NCAAT Simulations'!$C$2:$H$9999, 5,FALSE), 1000), IF(ABS(VLOOKUP($B27&amp;$D27, 'NCAAT Simulations'!$C$2:$H$9999, 5,FALSE))&gt;1000,_xlfn.FLOOR.MATH(VLOOKUP($B27&amp;$D27, 'NCAAT Simulations'!$C$2:$H$9999, 5,FALSE), 100), _xlfn.FLOOR.MATH(VLOOKUP($B27&amp;$D27, 'NCAAT Simulations'!$C$2:$H$9999, 5,FALSE), 10))), "")</f>
        <v>-3700</v>
      </c>
      <c r="J27" s="1">
        <f>_xlfn.IFNA(VLOOKUP($B27&amp;$D27, 'NCAAT Simulations'!$C$2:$I$9999, 7,FALSE), "")</f>
        <v>146.23713081404742</v>
      </c>
      <c r="K27" t="str">
        <f>IF(M27&gt;N27,B27,IF(N27&gt;M27,D27,""))</f>
        <v>Kentucky</v>
      </c>
      <c r="L27">
        <f t="shared" si="0"/>
        <v>1</v>
      </c>
      <c r="M27">
        <v>76</v>
      </c>
      <c r="N27">
        <v>57</v>
      </c>
      <c r="O27">
        <f>IF(K27="", "",N27-M27)</f>
        <v>-19</v>
      </c>
      <c r="P27">
        <f>IF(K27="", "", M27+N27)</f>
        <v>133</v>
      </c>
      <c r="Q27" s="10">
        <f>IF(K27="", "", O27-H27)</f>
        <v>4.7869024484071545</v>
      </c>
      <c r="R27" s="10">
        <f t="shared" si="1"/>
        <v>4.7869024484071545</v>
      </c>
      <c r="S27" s="9">
        <f t="shared" si="2"/>
        <v>-13.237130814047418</v>
      </c>
      <c r="T27" s="9">
        <f t="shared" si="3"/>
        <v>13.237130814047418</v>
      </c>
      <c r="U27" s="9"/>
    </row>
    <row r="28" spans="1:21" x14ac:dyDescent="0.45">
      <c r="A28">
        <v>7</v>
      </c>
      <c r="B28" t="s">
        <v>66</v>
      </c>
      <c r="C28">
        <v>10</v>
      </c>
      <c r="D28" t="s">
        <v>68</v>
      </c>
      <c r="E28" t="str">
        <f>_xlfn.IFNA(VLOOKUP($B28&amp;$D28, 'NCAAT Simulations'!$C$2:$H$9999, 2,FALSE), "")</f>
        <v>Utah St.</v>
      </c>
      <c r="F28" s="5">
        <f>_xlfn.IFNA(IF(VLOOKUP($B28&amp;$D28, 'NCAAT Simulations'!$C$2:$H$9999, 3,FALSE)&lt;50,1-VLOOKUP($B28&amp;$D28, 'NCAAT Simulations'!$C$2:$H$9999, 3,FALSE)/100, VLOOKUP($B28&amp;$D28, 'NCAAT Simulations'!$C$2:$H$9999, 3,FALSE)/100), "")</f>
        <v>0.57400000000000007</v>
      </c>
      <c r="G28" s="3" t="str">
        <f>_xlfn.IFNA(IF(ROUND(VLOOKUP($B28&amp;$D28, 'NCAAT Simulations'!$C$2:$H$9999, 4,FALSE), 1)&gt;0, _xlfn.CONCAT("+",ROUND(VLOOKUP($B28&amp;$D28, 'NCAAT Simulations'!$C$2:$H$9999, 4,FALSE), 1)), ROUND(VLOOKUP($B28&amp;$D28, 'NCAAT Simulations'!$C$2:$H$9999, 4,FALSE), 1)), "")</f>
        <v>+2</v>
      </c>
      <c r="H28" s="8" t="str">
        <f>IF(G28&lt;0,(VLOOKUP($B28&amp;$D28, 'NCAAT Simulations'!$C$2:$I$9999, 6,FALSE)/138.8)*G28, _xlfn.CONCAT("+", ROUND((VLOOKUP($B28&amp;$D28, 'NCAAT Simulations'!$C$2:$I$9999, 6,FALSE)/138.8)*G28, 1)))</f>
        <v>+2</v>
      </c>
      <c r="I28" s="4">
        <f>_xlfn.IFNA(IF(ABS(VLOOKUP($B28&amp;$D28, 'NCAAT Simulations'!$C$2:$H$9999, 5,FALSE))&gt;10000,_xlfn.FLOOR.MATH(VLOOKUP($B28&amp;$D28, 'NCAAT Simulations'!$C$2:$H$9999, 5,FALSE), 1000), IF(ABS(VLOOKUP($B28&amp;$D28, 'NCAAT Simulations'!$C$2:$H$9999, 5,FALSE))&gt;1000,_xlfn.FLOOR.MATH(VLOOKUP($B28&amp;$D28, 'NCAAT Simulations'!$C$2:$H$9999, 5,FALSE), 100), _xlfn.FLOOR.MATH(VLOOKUP($B28&amp;$D28, 'NCAAT Simulations'!$C$2:$H$9999, 5,FALSE), 10))), "")</f>
        <v>130</v>
      </c>
      <c r="J28" s="1">
        <f>_xlfn.IFNA(VLOOKUP($B28&amp;$D28, 'NCAAT Simulations'!$C$2:$I$9999, 7,FALSE), "")</f>
        <v>126.66538199660604</v>
      </c>
      <c r="K28" t="str">
        <f>IF(M28&gt;N28,B28,IF(N28&gt;M28,D28,""))</f>
        <v>UCLA</v>
      </c>
      <c r="L28">
        <f t="shared" si="0"/>
        <v>0</v>
      </c>
      <c r="M28">
        <v>72</v>
      </c>
      <c r="N28">
        <v>47</v>
      </c>
      <c r="O28">
        <f>IF(K28="", "",N28-M28)</f>
        <v>-25</v>
      </c>
      <c r="P28">
        <f>IF(K28="", "", M28+N28)</f>
        <v>119</v>
      </c>
      <c r="Q28" s="10">
        <f>IF(K28="", "", O28-H28)</f>
        <v>-27</v>
      </c>
      <c r="R28" s="10">
        <f t="shared" si="1"/>
        <v>27</v>
      </c>
      <c r="S28" s="9">
        <f t="shared" si="2"/>
        <v>-7.6653819966060439</v>
      </c>
      <c r="T28" s="9">
        <f t="shared" si="3"/>
        <v>7.6653819966060439</v>
      </c>
      <c r="U28" s="9"/>
    </row>
    <row r="29" spans="1:21" x14ac:dyDescent="0.45">
      <c r="A29">
        <v>2</v>
      </c>
      <c r="B29" t="s">
        <v>60</v>
      </c>
      <c r="C29">
        <v>15</v>
      </c>
      <c r="D29" t="s">
        <v>80</v>
      </c>
      <c r="E29" t="str">
        <f>_xlfn.IFNA(VLOOKUP($B29&amp;$D29, 'NCAAT Simulations'!$C$2:$H$9999, 2,FALSE), "")</f>
        <v>Tennessee</v>
      </c>
      <c r="F29" s="5">
        <f>_xlfn.IFNA(IF(VLOOKUP($B29&amp;$D29, 'NCAAT Simulations'!$C$2:$H$9999, 3,FALSE)&lt;50,1-VLOOKUP($B29&amp;$D29, 'NCAAT Simulations'!$C$2:$H$9999, 3,FALSE)/100, VLOOKUP($B29&amp;$D29, 'NCAAT Simulations'!$C$2:$H$9999, 3,FALSE)/100), "")</f>
        <v>0.995</v>
      </c>
      <c r="G29" s="3">
        <f>_xlfn.IFNA(IF(ROUND(VLOOKUP($B29&amp;$D29, 'NCAAT Simulations'!$C$2:$H$9999, 4,FALSE), 1)&gt;0, _xlfn.CONCAT("+",ROUND(VLOOKUP($B29&amp;$D29, 'NCAAT Simulations'!$C$2:$H$9999, 4,FALSE), 1)), ROUND(VLOOKUP($B29&amp;$D29, 'NCAAT Simulations'!$C$2:$H$9999, 4,FALSE), 1)), "")</f>
        <v>-35.1</v>
      </c>
      <c r="H29" s="8">
        <f>IF(G29&lt;0,(VLOOKUP($B29&amp;$D29, 'NCAAT Simulations'!$C$2:$I$9999, 6,FALSE)/138.8)*G29, _xlfn.CONCAT("+", ROUND((VLOOKUP($B29&amp;$D29, 'NCAAT Simulations'!$C$2:$I$9999, 6,FALSE)/138.8)*G29, 1)))</f>
        <v>-35.724605661114822</v>
      </c>
      <c r="I29" s="4">
        <f>_xlfn.IFNA(IF(ABS(VLOOKUP($B29&amp;$D29, 'NCAAT Simulations'!$C$2:$H$9999, 5,FALSE))&gt;10000,_xlfn.FLOOR.MATH(VLOOKUP($B29&amp;$D29, 'NCAAT Simulations'!$C$2:$H$9999, 5,FALSE), 1000), IF(ABS(VLOOKUP($B29&amp;$D29, 'NCAAT Simulations'!$C$2:$H$9999, 5,FALSE))&gt;1000,_xlfn.FLOOR.MATH(VLOOKUP($B29&amp;$D29, 'NCAAT Simulations'!$C$2:$H$9999, 5,FALSE), 100), _xlfn.FLOOR.MATH(VLOOKUP($B29&amp;$D29, 'NCAAT Simulations'!$C$2:$H$9999, 5,FALSE), 10))), "")</f>
        <v>-22000</v>
      </c>
      <c r="J29" s="1">
        <f>_xlfn.IFNA(VLOOKUP($B29&amp;$D29, 'NCAAT Simulations'!$C$2:$I$9999, 7,FALSE), "")</f>
        <v>173.7729760759496</v>
      </c>
      <c r="K29" t="str">
        <f>IF(M29&gt;N29,B29,IF(N29&gt;M29,D29,""))</f>
        <v>Tennessee</v>
      </c>
      <c r="L29">
        <f t="shared" si="0"/>
        <v>1</v>
      </c>
      <c r="M29">
        <v>77</v>
      </c>
      <c r="N29">
        <v>62</v>
      </c>
      <c r="O29">
        <f>IF(K29="", "",N29-M29)</f>
        <v>-15</v>
      </c>
      <c r="P29">
        <f>IF(K29="", "", M29+N29)</f>
        <v>139</v>
      </c>
      <c r="Q29" s="10">
        <f>IF(K29="", "", O29-H29)</f>
        <v>20.724605661114822</v>
      </c>
      <c r="R29" s="10">
        <f t="shared" si="1"/>
        <v>20.724605661114822</v>
      </c>
      <c r="S29" s="9">
        <f t="shared" si="2"/>
        <v>-34.7729760759496</v>
      </c>
      <c r="T29" s="9">
        <f t="shared" si="3"/>
        <v>34.7729760759496</v>
      </c>
      <c r="U29" s="9"/>
    </row>
    <row r="30" spans="1:21" x14ac:dyDescent="0.45">
      <c r="A30">
        <v>1</v>
      </c>
      <c r="B30" t="s">
        <v>22</v>
      </c>
      <c r="C30">
        <v>16</v>
      </c>
      <c r="D30" t="s">
        <v>46</v>
      </c>
      <c r="E30" t="str">
        <f>_xlfn.IFNA(VLOOKUP($B30&amp;$D30, 'NCAAT Simulations'!$C$2:$H$9999, 2,FALSE), "")</f>
        <v>Duke</v>
      </c>
      <c r="F30" s="5">
        <f>_xlfn.IFNA(IF(VLOOKUP($B30&amp;$D30, 'NCAAT Simulations'!$C$2:$H$9999, 3,FALSE)&lt;50,1-VLOOKUP($B30&amp;$D30, 'NCAAT Simulations'!$C$2:$H$9999, 3,FALSE)/100, VLOOKUP($B30&amp;$D30, 'NCAAT Simulations'!$C$2:$H$9999, 3,FALSE)/100), "")</f>
        <v>0.99900000000000011</v>
      </c>
      <c r="G30" s="3">
        <f>_xlfn.IFNA(IF(ROUND(VLOOKUP($B30&amp;$D30, 'NCAAT Simulations'!$C$2:$H$9999, 4,FALSE), 1)&gt;0, _xlfn.CONCAT("+",ROUND(VLOOKUP($B30&amp;$D30, 'NCAAT Simulations'!$C$2:$H$9999, 4,FALSE), 1)), ROUND(VLOOKUP($B30&amp;$D30, 'NCAAT Simulations'!$C$2:$H$9999, 4,FALSE), 1)), "")</f>
        <v>-44.8</v>
      </c>
      <c r="H30" s="8">
        <f>IF(G30&lt;0,(VLOOKUP($B30&amp;$D30, 'NCAAT Simulations'!$C$2:$I$9999, 6,FALSE)/138.8)*G30, _xlfn.CONCAT("+", ROUND((VLOOKUP($B30&amp;$D30, 'NCAAT Simulations'!$C$2:$I$9999, 6,FALSE)/138.8)*G30, 1)))</f>
        <v>-45.645688745194043</v>
      </c>
      <c r="I30" s="4">
        <f>_xlfn.IFNA(IF(ABS(VLOOKUP($B30&amp;$D30, 'NCAAT Simulations'!$C$2:$H$9999, 5,FALSE))&gt;10000,_xlfn.FLOOR.MATH(VLOOKUP($B30&amp;$D30, 'NCAAT Simulations'!$C$2:$H$9999, 5,FALSE), 1000), IF(ABS(VLOOKUP($B30&amp;$D30, 'NCAAT Simulations'!$C$2:$H$9999, 5,FALSE))&gt;1000,_xlfn.FLOOR.MATH(VLOOKUP($B30&amp;$D30, 'NCAAT Simulations'!$C$2:$H$9999, 5,FALSE), 100), _xlfn.FLOOR.MATH(VLOOKUP($B30&amp;$D30, 'NCAAT Simulations'!$C$2:$H$9999, 5,FALSE), 10))), "")</f>
        <v>-94000</v>
      </c>
      <c r="J30" s="1">
        <f>_xlfn.IFNA(VLOOKUP($B30&amp;$D30, 'NCAAT Simulations'!$C$2:$I$9999, 7,FALSE), "")</f>
        <v>175.88168172950287</v>
      </c>
      <c r="K30" t="str">
        <f>IF(M30&gt;N30,B30,IF(N30&gt;M30,D30,""))</f>
        <v>Duke</v>
      </c>
      <c r="L30">
        <f t="shared" si="0"/>
        <v>1</v>
      </c>
      <c r="M30">
        <v>93</v>
      </c>
      <c r="N30">
        <v>49</v>
      </c>
      <c r="O30">
        <f>IF(K30="", "",N30-M30)</f>
        <v>-44</v>
      </c>
      <c r="P30">
        <f>IF(K30="", "", M30+N30)</f>
        <v>142</v>
      </c>
      <c r="Q30" s="10">
        <f>IF(K30="", "", O30-H30)</f>
        <v>1.6456887451940432</v>
      </c>
      <c r="R30" s="10">
        <f t="shared" si="1"/>
        <v>1.6456887451940432</v>
      </c>
      <c r="S30" s="9">
        <f t="shared" si="2"/>
        <v>-33.881681729502873</v>
      </c>
      <c r="T30" s="9">
        <f t="shared" si="3"/>
        <v>33.881681729502873</v>
      </c>
      <c r="U30" s="9"/>
    </row>
    <row r="31" spans="1:21" x14ac:dyDescent="0.45">
      <c r="A31">
        <v>8</v>
      </c>
      <c r="B31" t="s">
        <v>43</v>
      </c>
      <c r="C31">
        <v>9</v>
      </c>
      <c r="D31" t="s">
        <v>14</v>
      </c>
      <c r="E31" t="str">
        <f>_xlfn.IFNA(VLOOKUP($B31&amp;$D31, 'NCAAT Simulations'!$C$2:$H$9999, 2,FALSE), "")</f>
        <v>Baylor</v>
      </c>
      <c r="F31" s="5">
        <f>_xlfn.IFNA(IF(VLOOKUP($B31&amp;$D31, 'NCAAT Simulations'!$C$2:$H$9999, 3,FALSE)&lt;50,1-VLOOKUP($B31&amp;$D31, 'NCAAT Simulations'!$C$2:$H$9999, 3,FALSE)/100, VLOOKUP($B31&amp;$D31, 'NCAAT Simulations'!$C$2:$H$9999, 3,FALSE)/100), "")</f>
        <v>0.68700000000000006</v>
      </c>
      <c r="G31" s="3" t="str">
        <f>_xlfn.IFNA(IF(ROUND(VLOOKUP($B31&amp;$D31, 'NCAAT Simulations'!$C$2:$H$9999, 4,FALSE), 1)&gt;0, _xlfn.CONCAT("+",ROUND(VLOOKUP($B31&amp;$D31, 'NCAAT Simulations'!$C$2:$H$9999, 4,FALSE), 1)), ROUND(VLOOKUP($B31&amp;$D31, 'NCAAT Simulations'!$C$2:$H$9999, 4,FALSE), 1)), "")</f>
        <v>+5.2</v>
      </c>
      <c r="H31" s="8" t="str">
        <f>IF(G31&lt;0,(VLOOKUP($B31&amp;$D31, 'NCAAT Simulations'!$C$2:$I$9999, 6,FALSE)/138.8)*G31, _xlfn.CONCAT("+", ROUND((VLOOKUP($B31&amp;$D31, 'NCAAT Simulations'!$C$2:$I$9999, 6,FALSE)/138.8)*G31, 1)))</f>
        <v>+5.2</v>
      </c>
      <c r="I31" s="4">
        <f>_xlfn.IFNA(IF(ABS(VLOOKUP($B31&amp;$D31, 'NCAAT Simulations'!$C$2:$H$9999, 5,FALSE))&gt;10000,_xlfn.FLOOR.MATH(VLOOKUP($B31&amp;$D31, 'NCAAT Simulations'!$C$2:$H$9999, 5,FALSE), 1000), IF(ABS(VLOOKUP($B31&amp;$D31, 'NCAAT Simulations'!$C$2:$H$9999, 5,FALSE))&gt;1000,_xlfn.FLOOR.MATH(VLOOKUP($B31&amp;$D31, 'NCAAT Simulations'!$C$2:$H$9999, 5,FALSE), 100), _xlfn.FLOOR.MATH(VLOOKUP($B31&amp;$D31, 'NCAAT Simulations'!$C$2:$H$9999, 5,FALSE), 10))), "")</f>
        <v>210</v>
      </c>
      <c r="J31" s="1">
        <f>_xlfn.IFNA(VLOOKUP($B31&amp;$D31, 'NCAAT Simulations'!$C$2:$I$9999, 7,FALSE), "")</f>
        <v>128.62419076081471</v>
      </c>
      <c r="K31" t="str">
        <f>IF(M31&gt;N31,B31,IF(N31&gt;M31,D31,""))</f>
        <v>Baylor</v>
      </c>
      <c r="L31">
        <f t="shared" si="0"/>
        <v>1</v>
      </c>
      <c r="M31">
        <v>72</v>
      </c>
      <c r="N31">
        <v>75</v>
      </c>
      <c r="O31">
        <f>IF(K31="", "",N31-M31)</f>
        <v>3</v>
      </c>
      <c r="P31">
        <f>IF(K31="", "", M31+N31)</f>
        <v>147</v>
      </c>
      <c r="Q31" s="10">
        <f>IF(K31="", "", O31-H31)</f>
        <v>-2.2000000000000002</v>
      </c>
      <c r="R31" s="10">
        <f t="shared" si="1"/>
        <v>2.2000000000000002</v>
      </c>
      <c r="S31" s="9">
        <f t="shared" si="2"/>
        <v>18.375809239185287</v>
      </c>
      <c r="T31" s="9">
        <f t="shared" si="3"/>
        <v>18.375809239185287</v>
      </c>
      <c r="U31" s="9"/>
    </row>
    <row r="32" spans="1:21" x14ac:dyDescent="0.45">
      <c r="A32">
        <v>5</v>
      </c>
      <c r="B32" t="s">
        <v>52</v>
      </c>
      <c r="C32">
        <v>12</v>
      </c>
      <c r="D32" t="s">
        <v>33</v>
      </c>
      <c r="E32" t="str">
        <f>_xlfn.IFNA(VLOOKUP($B32&amp;$D32, 'NCAAT Simulations'!$C$2:$H$9999, 2,FALSE), "")</f>
        <v>Oregon</v>
      </c>
      <c r="F32" s="5">
        <f>_xlfn.IFNA(IF(VLOOKUP($B32&amp;$D32, 'NCAAT Simulations'!$C$2:$H$9999, 3,FALSE)&lt;50,1-VLOOKUP($B32&amp;$D32, 'NCAAT Simulations'!$C$2:$H$9999, 3,FALSE)/100, VLOOKUP($B32&amp;$D32, 'NCAAT Simulations'!$C$2:$H$9999, 3,FALSE)/100), "")</f>
        <v>0.91700000000000004</v>
      </c>
      <c r="G32" s="3">
        <f>_xlfn.IFNA(IF(ROUND(VLOOKUP($B32&amp;$D32, 'NCAAT Simulations'!$C$2:$H$9999, 4,FALSE), 1)&gt;0, _xlfn.CONCAT("+",ROUND(VLOOKUP($B32&amp;$D32, 'NCAAT Simulations'!$C$2:$H$9999, 4,FALSE), 1)), ROUND(VLOOKUP($B32&amp;$D32, 'NCAAT Simulations'!$C$2:$H$9999, 4,FALSE), 1)), "")</f>
        <v>-15.8</v>
      </c>
      <c r="H32" s="8">
        <f>IF(G32&lt;0,(VLOOKUP($B32&amp;$D32, 'NCAAT Simulations'!$C$2:$I$9999, 6,FALSE)/138.8)*G32, _xlfn.CONCAT("+", ROUND((VLOOKUP($B32&amp;$D32, 'NCAAT Simulations'!$C$2:$I$9999, 6,FALSE)/138.8)*G32, 1)))</f>
        <v>-15.795908233152106</v>
      </c>
      <c r="I32" s="4">
        <f>_xlfn.IFNA(IF(ABS(VLOOKUP($B32&amp;$D32, 'NCAAT Simulations'!$C$2:$H$9999, 5,FALSE))&gt;10000,_xlfn.FLOOR.MATH(VLOOKUP($B32&amp;$D32, 'NCAAT Simulations'!$C$2:$H$9999, 5,FALSE), 1000), IF(ABS(VLOOKUP($B32&amp;$D32, 'NCAAT Simulations'!$C$2:$H$9999, 5,FALSE))&gt;1000,_xlfn.FLOOR.MATH(VLOOKUP($B32&amp;$D32, 'NCAAT Simulations'!$C$2:$H$9999, 5,FALSE), 100), _xlfn.FLOOR.MATH(VLOOKUP($B32&amp;$D32, 'NCAAT Simulations'!$C$2:$H$9999, 5,FALSE), 10))), "")</f>
        <v>-1200</v>
      </c>
      <c r="J32" s="1">
        <f>_xlfn.IFNA(VLOOKUP($B32&amp;$D32, 'NCAAT Simulations'!$C$2:$I$9999, 7,FALSE), "")</f>
        <v>138.58589733450501</v>
      </c>
      <c r="K32" t="str">
        <f>IF(M32&gt;N32,B32,IF(N32&gt;M32,D32,""))</f>
        <v>Oregon</v>
      </c>
      <c r="L32">
        <f t="shared" si="0"/>
        <v>1</v>
      </c>
      <c r="M32">
        <v>81</v>
      </c>
      <c r="N32">
        <v>52</v>
      </c>
      <c r="O32">
        <f>IF(K32="", "",N32-M32)</f>
        <v>-29</v>
      </c>
      <c r="P32">
        <f>IF(K32="", "", M32+N32)</f>
        <v>133</v>
      </c>
      <c r="Q32" s="10">
        <f>IF(K32="", "", O32-H32)</f>
        <v>-13.204091766847894</v>
      </c>
      <c r="R32" s="10">
        <f t="shared" si="1"/>
        <v>13.204091766847894</v>
      </c>
      <c r="S32" s="9">
        <f t="shared" si="2"/>
        <v>-5.585897334505006</v>
      </c>
      <c r="T32" s="9">
        <f t="shared" si="3"/>
        <v>5.585897334505006</v>
      </c>
      <c r="U32" s="9"/>
    </row>
    <row r="33" spans="1:21" x14ac:dyDescent="0.45">
      <c r="A33">
        <v>4</v>
      </c>
      <c r="B33" t="s">
        <v>11</v>
      </c>
      <c r="C33">
        <v>13</v>
      </c>
      <c r="D33" t="s">
        <v>7</v>
      </c>
      <c r="E33" t="str">
        <f>_xlfn.IFNA(VLOOKUP($B33&amp;$D33, 'NCAAT Simulations'!$C$2:$H$9999, 2,FALSE), "")</f>
        <v>Arizona</v>
      </c>
      <c r="F33" s="5">
        <f>_xlfn.IFNA(IF(VLOOKUP($B33&amp;$D33, 'NCAAT Simulations'!$C$2:$H$9999, 3,FALSE)&lt;50,1-VLOOKUP($B33&amp;$D33, 'NCAAT Simulations'!$C$2:$H$9999, 3,FALSE)/100, VLOOKUP($B33&amp;$D33, 'NCAAT Simulations'!$C$2:$H$9999, 3,FALSE)/100), "")</f>
        <v>0.97199999999999998</v>
      </c>
      <c r="G33" s="3">
        <f>_xlfn.IFNA(IF(ROUND(VLOOKUP($B33&amp;$D33, 'NCAAT Simulations'!$C$2:$H$9999, 4,FALSE), 1)&gt;0, _xlfn.CONCAT("+",ROUND(VLOOKUP($B33&amp;$D33, 'NCAAT Simulations'!$C$2:$H$9999, 4,FALSE), 1)), ROUND(VLOOKUP($B33&amp;$D33, 'NCAAT Simulations'!$C$2:$H$9999, 4,FALSE), 1)), "")</f>
        <v>-23.3</v>
      </c>
      <c r="H33" s="8">
        <f>IF(G33&lt;0,(VLOOKUP($B33&amp;$D33, 'NCAAT Simulations'!$C$2:$I$9999, 6,FALSE)/138.8)*G33, _xlfn.CONCAT("+", ROUND((VLOOKUP($B33&amp;$D33, 'NCAAT Simulations'!$C$2:$I$9999, 6,FALSE)/138.8)*G33, 1)))</f>
        <v>-23.534310323355314</v>
      </c>
      <c r="I33" s="4">
        <f>_xlfn.IFNA(IF(ABS(VLOOKUP($B33&amp;$D33, 'NCAAT Simulations'!$C$2:$H$9999, 5,FALSE))&gt;10000,_xlfn.FLOOR.MATH(VLOOKUP($B33&amp;$D33, 'NCAAT Simulations'!$C$2:$H$9999, 5,FALSE), 1000), IF(ABS(VLOOKUP($B33&amp;$D33, 'NCAAT Simulations'!$C$2:$H$9999, 5,FALSE))&gt;1000,_xlfn.FLOOR.MATH(VLOOKUP($B33&amp;$D33, 'NCAAT Simulations'!$C$2:$H$9999, 5,FALSE), 100), _xlfn.FLOOR.MATH(VLOOKUP($B33&amp;$D33, 'NCAAT Simulations'!$C$2:$H$9999, 5,FALSE), 10))), "")</f>
        <v>-3500</v>
      </c>
      <c r="J33" s="1">
        <f>_xlfn.IFNA(VLOOKUP($B33&amp;$D33, 'NCAAT Simulations'!$C$2:$I$9999, 7,FALSE), "")</f>
        <v>158.69013904868885</v>
      </c>
      <c r="K33" t="str">
        <f>IF(M33&gt;N33,B33,IF(N33&gt;M33,D33,""))</f>
        <v>Arizona</v>
      </c>
      <c r="L33">
        <f t="shared" si="0"/>
        <v>1</v>
      </c>
      <c r="M33">
        <v>93</v>
      </c>
      <c r="N33">
        <v>65</v>
      </c>
      <c r="O33">
        <f>IF(K33="", "",N33-M33)</f>
        <v>-28</v>
      </c>
      <c r="P33">
        <f>IF(K33="", "", M33+N33)</f>
        <v>158</v>
      </c>
      <c r="Q33" s="10">
        <f>IF(K33="", "", O33-H33)</f>
        <v>-4.4656896766446863</v>
      </c>
      <c r="R33" s="10">
        <f t="shared" si="1"/>
        <v>4.4656896766446863</v>
      </c>
      <c r="S33" s="9">
        <f t="shared" si="2"/>
        <v>-0.69013904868884879</v>
      </c>
      <c r="T33" s="9">
        <f t="shared" si="3"/>
        <v>0.69013904868884879</v>
      </c>
      <c r="U33" s="9"/>
    </row>
    <row r="34" spans="1:21" x14ac:dyDescent="0.45">
      <c r="A34">
        <v>6</v>
      </c>
      <c r="B34" t="s">
        <v>16</v>
      </c>
      <c r="C34">
        <v>11</v>
      </c>
      <c r="D34" t="s">
        <v>70</v>
      </c>
      <c r="E34" t="str">
        <f>_xlfn.IFNA(VLOOKUP($B34&amp;$D34, 'NCAAT Simulations'!$C$2:$H$9999, 2,FALSE), "")</f>
        <v>BYU</v>
      </c>
      <c r="F34" s="5">
        <f>_xlfn.IFNA(IF(VLOOKUP($B34&amp;$D34, 'NCAAT Simulations'!$C$2:$H$9999, 3,FALSE)&lt;50,1-VLOOKUP($B34&amp;$D34, 'NCAAT Simulations'!$C$2:$H$9999, 3,FALSE)/100, VLOOKUP($B34&amp;$D34, 'NCAAT Simulations'!$C$2:$H$9999, 3,FALSE)/100), "")</f>
        <v>0.77</v>
      </c>
      <c r="G34" s="3">
        <f>_xlfn.IFNA(IF(ROUND(VLOOKUP($B34&amp;$D34, 'NCAAT Simulations'!$C$2:$H$9999, 4,FALSE), 1)&gt;0, _xlfn.CONCAT("+",ROUND(VLOOKUP($B34&amp;$D34, 'NCAAT Simulations'!$C$2:$H$9999, 4,FALSE), 1)), ROUND(VLOOKUP($B34&amp;$D34, 'NCAAT Simulations'!$C$2:$H$9999, 4,FALSE), 1)), "")</f>
        <v>-7.9</v>
      </c>
      <c r="H34" s="8">
        <f>IF(G34&lt;0,(VLOOKUP($B34&amp;$D34, 'NCAAT Simulations'!$C$2:$I$9999, 6,FALSE)/138.8)*G34, _xlfn.CONCAT("+", ROUND((VLOOKUP($B34&amp;$D34, 'NCAAT Simulations'!$C$2:$I$9999, 6,FALSE)/138.8)*G34, 1)))</f>
        <v>-7.8967591737042389</v>
      </c>
      <c r="I34" s="4">
        <f>_xlfn.IFNA(IF(ABS(VLOOKUP($B34&amp;$D34, 'NCAAT Simulations'!$C$2:$H$9999, 5,FALSE))&gt;10000,_xlfn.FLOOR.MATH(VLOOKUP($B34&amp;$D34, 'NCAAT Simulations'!$C$2:$H$9999, 5,FALSE), 1000), IF(ABS(VLOOKUP($B34&amp;$D34, 'NCAAT Simulations'!$C$2:$H$9999, 5,FALSE))&gt;1000,_xlfn.FLOOR.MATH(VLOOKUP($B34&amp;$D34, 'NCAAT Simulations'!$C$2:$H$9999, 5,FALSE), 100), _xlfn.FLOOR.MATH(VLOOKUP($B34&amp;$D34, 'NCAAT Simulations'!$C$2:$H$9999, 5,FALSE), 10))), "")</f>
        <v>-340</v>
      </c>
      <c r="J34" s="1">
        <f>_xlfn.IFNA(VLOOKUP($B34&amp;$D34, 'NCAAT Simulations'!$C$2:$I$9999, 7,FALSE), "")</f>
        <v>138.29109583375086</v>
      </c>
      <c r="K34" t="str">
        <f>IF(M34&gt;N34,B34,IF(N34&gt;M34,D34,""))</f>
        <v>BYU</v>
      </c>
      <c r="L34">
        <f t="shared" si="0"/>
        <v>1</v>
      </c>
      <c r="M34">
        <v>80</v>
      </c>
      <c r="N34">
        <v>71</v>
      </c>
      <c r="O34">
        <f>IF(K34="", "",N34-M34)</f>
        <v>-9</v>
      </c>
      <c r="P34">
        <f>IF(K34="", "", M34+N34)</f>
        <v>151</v>
      </c>
      <c r="Q34" s="10">
        <f>IF(K34="", "", O34-H34)</f>
        <v>-1.1032408262957611</v>
      </c>
      <c r="R34" s="10">
        <f t="shared" si="1"/>
        <v>1.1032408262957611</v>
      </c>
      <c r="S34" s="9">
        <f t="shared" si="2"/>
        <v>12.708904166249141</v>
      </c>
      <c r="T34" s="9">
        <f t="shared" si="3"/>
        <v>12.708904166249141</v>
      </c>
      <c r="U34" s="9"/>
    </row>
    <row r="35" spans="1:21" x14ac:dyDescent="0.45">
      <c r="A35">
        <v>3</v>
      </c>
      <c r="B35" t="s">
        <v>71</v>
      </c>
      <c r="C35">
        <v>14</v>
      </c>
      <c r="D35" t="s">
        <v>45</v>
      </c>
      <c r="E35" t="str">
        <f>_xlfn.IFNA(VLOOKUP($B35&amp;$D35, 'NCAAT Simulations'!$C$2:$H$9999, 2,FALSE), "")</f>
        <v>Wisconsin</v>
      </c>
      <c r="F35" s="5">
        <f>_xlfn.IFNA(IF(VLOOKUP($B35&amp;$D35, 'NCAAT Simulations'!$C$2:$H$9999, 3,FALSE)&lt;50,1-VLOOKUP($B35&amp;$D35, 'NCAAT Simulations'!$C$2:$H$9999, 3,FALSE)/100, VLOOKUP($B35&amp;$D35, 'NCAAT Simulations'!$C$2:$H$9999, 3,FALSE)/100), "")</f>
        <v>0.98599999999999999</v>
      </c>
      <c r="G35" s="3">
        <f>_xlfn.IFNA(IF(ROUND(VLOOKUP($B35&amp;$D35, 'NCAAT Simulations'!$C$2:$H$9999, 4,FALSE), 1)&gt;0, _xlfn.CONCAT("+",ROUND(VLOOKUP($B35&amp;$D35, 'NCAAT Simulations'!$C$2:$H$9999, 4,FALSE), 1)), ROUND(VLOOKUP($B35&amp;$D35, 'NCAAT Simulations'!$C$2:$H$9999, 4,FALSE), 1)), "")</f>
        <v>-28</v>
      </c>
      <c r="H35" s="8">
        <f>IF(G35&lt;0,(VLOOKUP($B35&amp;$D35, 'NCAAT Simulations'!$C$2:$I$9999, 6,FALSE)/138.8)*G35, _xlfn.CONCAT("+", ROUND((VLOOKUP($B35&amp;$D35, 'NCAAT Simulations'!$C$2:$I$9999, 6,FALSE)/138.8)*G35, 1)))</f>
        <v>-28.523832044237199</v>
      </c>
      <c r="I35" s="4">
        <f>_xlfn.IFNA(IF(ABS(VLOOKUP($B35&amp;$D35, 'NCAAT Simulations'!$C$2:$H$9999, 5,FALSE))&gt;10000,_xlfn.FLOOR.MATH(VLOOKUP($B35&amp;$D35, 'NCAAT Simulations'!$C$2:$H$9999, 5,FALSE), 1000), IF(ABS(VLOOKUP($B35&amp;$D35, 'NCAAT Simulations'!$C$2:$H$9999, 5,FALSE))&gt;1000,_xlfn.FLOOR.MATH(VLOOKUP($B35&amp;$D35, 'NCAAT Simulations'!$C$2:$H$9999, 5,FALSE), 100), _xlfn.FLOOR.MATH(VLOOKUP($B35&amp;$D35, 'NCAAT Simulations'!$C$2:$H$9999, 5,FALSE), 10))), "")</f>
        <v>-7300</v>
      </c>
      <c r="J35" s="1">
        <f>_xlfn.IFNA(VLOOKUP($B35&amp;$D35, 'NCAAT Simulations'!$C$2:$I$9999, 7,FALSE), "")</f>
        <v>175.55289951975735</v>
      </c>
      <c r="K35" t="str">
        <f>IF(M35&gt;N35,B35,IF(N35&gt;M35,D35,""))</f>
        <v>Wisconsin</v>
      </c>
      <c r="L35">
        <f t="shared" si="0"/>
        <v>1</v>
      </c>
      <c r="M35">
        <v>75</v>
      </c>
      <c r="N35">
        <v>66</v>
      </c>
      <c r="O35">
        <f>IF(K35="", "",N35-M35)</f>
        <v>-9</v>
      </c>
      <c r="P35">
        <f>IF(K35="", "", M35+N35)</f>
        <v>141</v>
      </c>
      <c r="Q35" s="10">
        <f>IF(K35="", "", O35-H35)</f>
        <v>19.523832044237199</v>
      </c>
      <c r="R35" s="10">
        <f t="shared" si="1"/>
        <v>19.523832044237199</v>
      </c>
      <c r="S35" s="9">
        <f t="shared" si="2"/>
        <v>-34.552899519757347</v>
      </c>
      <c r="T35" s="9">
        <f t="shared" si="3"/>
        <v>34.552899519757347</v>
      </c>
      <c r="U35" s="9"/>
    </row>
    <row r="36" spans="1:21" x14ac:dyDescent="0.45">
      <c r="A36">
        <v>7</v>
      </c>
      <c r="B36" t="s">
        <v>56</v>
      </c>
      <c r="C36">
        <v>10</v>
      </c>
      <c r="D36" t="s">
        <v>69</v>
      </c>
      <c r="E36" t="str">
        <f>_xlfn.IFNA(VLOOKUP($B36&amp;$D36, 'NCAAT Simulations'!$C$2:$H$9999, 2,FALSE), "")</f>
        <v>Saint Mary's</v>
      </c>
      <c r="F36" s="5">
        <f>_xlfn.IFNA(IF(VLOOKUP($B36&amp;$D36, 'NCAAT Simulations'!$C$2:$H$9999, 3,FALSE)&lt;50,1-VLOOKUP($B36&amp;$D36, 'NCAAT Simulations'!$C$2:$H$9999, 3,FALSE)/100, VLOOKUP($B36&amp;$D36, 'NCAAT Simulations'!$C$2:$H$9999, 3,FALSE)/100), "")</f>
        <v>0.91299999999999992</v>
      </c>
      <c r="G36" s="3">
        <f>_xlfn.IFNA(IF(ROUND(VLOOKUP($B36&amp;$D36, 'NCAAT Simulations'!$C$2:$H$9999, 4,FALSE), 1)&gt;0, _xlfn.CONCAT("+",ROUND(VLOOKUP($B36&amp;$D36, 'NCAAT Simulations'!$C$2:$H$9999, 4,FALSE), 1)), ROUND(VLOOKUP($B36&amp;$D36, 'NCAAT Simulations'!$C$2:$H$9999, 4,FALSE), 1)), "")</f>
        <v>-15.4</v>
      </c>
      <c r="H36" s="8">
        <f>IF(G36&lt;0,(VLOOKUP($B36&amp;$D36, 'NCAAT Simulations'!$C$2:$I$9999, 6,FALSE)/138.8)*G36, _xlfn.CONCAT("+", ROUND((VLOOKUP($B36&amp;$D36, 'NCAAT Simulations'!$C$2:$I$9999, 6,FALSE)/138.8)*G36, 1)))</f>
        <v>-15.650680666589823</v>
      </c>
      <c r="I36" s="4">
        <f>_xlfn.IFNA(IF(ABS(VLOOKUP($B36&amp;$D36, 'NCAAT Simulations'!$C$2:$H$9999, 5,FALSE))&gt;10000,_xlfn.FLOOR.MATH(VLOOKUP($B36&amp;$D36, 'NCAAT Simulations'!$C$2:$H$9999, 5,FALSE), 1000), IF(ABS(VLOOKUP($B36&amp;$D36, 'NCAAT Simulations'!$C$2:$H$9999, 5,FALSE))&gt;1000,_xlfn.FLOOR.MATH(VLOOKUP($B36&amp;$D36, 'NCAAT Simulations'!$C$2:$H$9999, 5,FALSE), 100), _xlfn.FLOOR.MATH(VLOOKUP($B36&amp;$D36, 'NCAAT Simulations'!$C$2:$H$9999, 5,FALSE), 10))), "")</f>
        <v>-1100</v>
      </c>
      <c r="J36" s="1">
        <f>_xlfn.IFNA(VLOOKUP($B36&amp;$D36, 'NCAAT Simulations'!$C$2:$I$9999, 7,FALSE), "")</f>
        <v>170.8162260775884</v>
      </c>
      <c r="K36" t="str">
        <f>IF(M36&gt;N36,B36,IF(N36&gt;M36,D36,""))</f>
        <v>Saint Mary's</v>
      </c>
      <c r="L36">
        <f t="shared" si="0"/>
        <v>1</v>
      </c>
      <c r="M36">
        <v>59</v>
      </c>
      <c r="N36">
        <v>56</v>
      </c>
      <c r="O36">
        <f t="shared" ref="O36:O75" si="4">IF(K36="", "",N36-M36)</f>
        <v>-3</v>
      </c>
      <c r="P36">
        <f t="shared" ref="P36:P75" si="5">IF(K36="", "", M36+N36)</f>
        <v>115</v>
      </c>
      <c r="Q36" s="10">
        <f t="shared" ref="Q36:Q75" si="6">IF(K36="", "", O36-H36)</f>
        <v>12.650680666589823</v>
      </c>
      <c r="R36" s="10">
        <f t="shared" si="1"/>
        <v>12.650680666589823</v>
      </c>
      <c r="S36" s="9">
        <f t="shared" si="2"/>
        <v>-55.816226077588396</v>
      </c>
      <c r="T36" s="9">
        <f t="shared" si="3"/>
        <v>55.816226077588396</v>
      </c>
      <c r="U36" s="9"/>
    </row>
    <row r="37" spans="1:21" x14ac:dyDescent="0.45">
      <c r="A37">
        <v>2</v>
      </c>
      <c r="B37" t="s">
        <v>8</v>
      </c>
      <c r="C37">
        <v>15</v>
      </c>
      <c r="D37" t="s">
        <v>54</v>
      </c>
      <c r="E37" t="str">
        <f>_xlfn.IFNA(VLOOKUP($B37&amp;$D37, 'NCAAT Simulations'!$C$2:$H$9999, 2,FALSE), "")</f>
        <v>Alabama</v>
      </c>
      <c r="F37" s="5">
        <f>_xlfn.IFNA(IF(VLOOKUP($B37&amp;$D37, 'NCAAT Simulations'!$C$2:$H$9999, 3,FALSE)&lt;50,1-VLOOKUP($B37&amp;$D37, 'NCAAT Simulations'!$C$2:$H$9999, 3,FALSE)/100, VLOOKUP($B37&amp;$D37, 'NCAAT Simulations'!$C$2:$H$9999, 3,FALSE)/100), "")</f>
        <v>0.998</v>
      </c>
      <c r="G37" s="3">
        <f>_xlfn.IFNA(IF(ROUND(VLOOKUP($B37&amp;$D37, 'NCAAT Simulations'!$C$2:$H$9999, 4,FALSE), 1)&gt;0, _xlfn.CONCAT("+",ROUND(VLOOKUP($B37&amp;$D37, 'NCAAT Simulations'!$C$2:$H$9999, 4,FALSE), 1)), ROUND(VLOOKUP($B37&amp;$D37, 'NCAAT Simulations'!$C$2:$H$9999, 4,FALSE), 1)), "")</f>
        <v>-39.700000000000003</v>
      </c>
      <c r="H37" s="8">
        <f>IF(G37&lt;0,(VLOOKUP($B37&amp;$D37, 'NCAAT Simulations'!$C$2:$I$9999, 6,FALSE)/138.8)*G37, _xlfn.CONCAT("+", ROUND((VLOOKUP($B37&amp;$D37, 'NCAAT Simulations'!$C$2:$I$9999, 6,FALSE)/138.8)*G37, 1)))</f>
        <v>-40.493750152614069</v>
      </c>
      <c r="I37" s="4">
        <f>_xlfn.IFNA(IF(ABS(VLOOKUP($B37&amp;$D37, 'NCAAT Simulations'!$C$2:$H$9999, 5,FALSE))&gt;10000,_xlfn.FLOOR.MATH(VLOOKUP($B37&amp;$D37, 'NCAAT Simulations'!$C$2:$H$9999, 5,FALSE), 1000), IF(ABS(VLOOKUP($B37&amp;$D37, 'NCAAT Simulations'!$C$2:$H$9999, 5,FALSE))&gt;1000,_xlfn.FLOOR.MATH(VLOOKUP($B37&amp;$D37, 'NCAAT Simulations'!$C$2:$H$9999, 5,FALSE), 100), _xlfn.FLOOR.MATH(VLOOKUP($B37&amp;$D37, 'NCAAT Simulations'!$C$2:$H$9999, 5,FALSE), 10))), "")</f>
        <v>-43000</v>
      </c>
      <c r="J37" s="1">
        <f>_xlfn.IFNA(VLOOKUP($B37&amp;$D37, 'NCAAT Simulations'!$C$2:$I$9999, 7,FALSE), "")</f>
        <v>178.05816908120499</v>
      </c>
      <c r="K37" t="str">
        <f>IF(M37&gt;N37,B37,IF(N37&gt;M37,D37,""))</f>
        <v>Alabama</v>
      </c>
      <c r="L37">
        <f t="shared" si="0"/>
        <v>1</v>
      </c>
      <c r="M37">
        <v>90</v>
      </c>
      <c r="N37">
        <v>81</v>
      </c>
      <c r="O37">
        <f t="shared" si="4"/>
        <v>-9</v>
      </c>
      <c r="P37">
        <f t="shared" si="5"/>
        <v>171</v>
      </c>
      <c r="Q37" s="10">
        <f t="shared" si="6"/>
        <v>31.493750152614069</v>
      </c>
      <c r="R37" s="10">
        <f t="shared" si="1"/>
        <v>31.493750152614069</v>
      </c>
      <c r="S37" s="9">
        <f t="shared" si="2"/>
        <v>-7.0581690812049942</v>
      </c>
      <c r="T37" s="9">
        <f t="shared" si="3"/>
        <v>7.0581690812049942</v>
      </c>
      <c r="U37" s="9"/>
    </row>
    <row r="38" spans="1:21" x14ac:dyDescent="0.45">
      <c r="A38">
        <v>1</v>
      </c>
      <c r="B38" t="s">
        <v>13</v>
      </c>
      <c r="C38">
        <v>9</v>
      </c>
      <c r="D38" t="s">
        <v>20</v>
      </c>
      <c r="E38" t="str">
        <f>_xlfn.IFNA(VLOOKUP($B38&amp;$D38, 'NCAAT Simulations'!$C$2:$H$9999, 2,FALSE), "")</f>
        <v>Auburn</v>
      </c>
      <c r="F38" s="5">
        <f>_xlfn.IFNA(IF(VLOOKUP($B38&amp;$D38, 'NCAAT Simulations'!$C$2:$H$9999, 3,FALSE)&lt;50,1-VLOOKUP($B38&amp;$D38, 'NCAAT Simulations'!$C$2:$H$9999, 3,FALSE)/100, VLOOKUP($B38&amp;$D38, 'NCAAT Simulations'!$C$2:$H$9999, 3,FALSE)/100), "")</f>
        <v>0.89800000000000002</v>
      </c>
      <c r="G38" s="3">
        <f>_xlfn.IFNA(IF(ROUND(VLOOKUP($B38&amp;$D38, 'NCAAT Simulations'!$C$2:$H$9999, 4,FALSE), 1)&gt;0, _xlfn.CONCAT("+",ROUND(VLOOKUP($B38&amp;$D38, 'NCAAT Simulations'!$C$2:$H$9999, 4,FALSE), 1)), ROUND(VLOOKUP($B38&amp;$D38, 'NCAAT Simulations'!$C$2:$H$9999, 4,FALSE), 1)), "")</f>
        <v>-14.2</v>
      </c>
      <c r="H38" s="8">
        <f>IF(G38&lt;0,(VLOOKUP($B38&amp;$D38, 'NCAAT Simulations'!$C$2:$I$9999, 6,FALSE)/138.8)*G38, _xlfn.CONCAT("+", ROUND((VLOOKUP($B38&amp;$D38, 'NCAAT Simulations'!$C$2:$I$9999, 6,FALSE)/138.8)*G38, 1)))</f>
        <v>-14.410016716885441</v>
      </c>
      <c r="I38" s="4">
        <f>_xlfn.IFNA(IF(ABS(VLOOKUP($B38&amp;$D38, 'NCAAT Simulations'!$C$2:$H$9999, 5,FALSE))&gt;10000,_xlfn.FLOOR.MATH(VLOOKUP($B38&amp;$D38, 'NCAAT Simulations'!$C$2:$H$9999, 5,FALSE), 1000), IF(ABS(VLOOKUP($B38&amp;$D38, 'NCAAT Simulations'!$C$2:$H$9999, 5,FALSE))&gt;1000,_xlfn.FLOOR.MATH(VLOOKUP($B38&amp;$D38, 'NCAAT Simulations'!$C$2:$H$9999, 5,FALSE), 100), _xlfn.FLOOR.MATH(VLOOKUP($B38&amp;$D38, 'NCAAT Simulations'!$C$2:$H$9999, 5,FALSE), 10))), "")</f>
        <v>-880</v>
      </c>
      <c r="J38" s="1">
        <f>_xlfn.IFNA(VLOOKUP($B38&amp;$D38, 'NCAAT Simulations'!$C$2:$I$9999, 7,FALSE), "")</f>
        <v>167.91602016913586</v>
      </c>
      <c r="K38" t="str">
        <f>IF(M38&gt;N38,B38,IF(N38&gt;M38,D38,""))</f>
        <v/>
      </c>
      <c r="L38" t="str">
        <f t="shared" si="0"/>
        <v/>
      </c>
      <c r="O38" t="str">
        <f t="shared" si="4"/>
        <v/>
      </c>
      <c r="P38" t="str">
        <f t="shared" si="5"/>
        <v/>
      </c>
      <c r="Q38" s="10" t="str">
        <f t="shared" si="6"/>
        <v/>
      </c>
      <c r="R38" s="10" t="str">
        <f t="shared" si="1"/>
        <v/>
      </c>
      <c r="S38" s="9" t="str">
        <f t="shared" si="2"/>
        <v/>
      </c>
      <c r="T38" s="9" t="str">
        <f t="shared" si="3"/>
        <v/>
      </c>
      <c r="U38" s="9"/>
    </row>
    <row r="39" spans="1:21" x14ac:dyDescent="0.45">
      <c r="A39">
        <v>4</v>
      </c>
      <c r="B39" t="s">
        <v>62</v>
      </c>
      <c r="C39">
        <v>5</v>
      </c>
      <c r="D39" t="s">
        <v>40</v>
      </c>
      <c r="E39" t="str">
        <f>_xlfn.IFNA(VLOOKUP($B39&amp;$D39, 'NCAAT Simulations'!$C$2:$H$9999, 2,FALSE), "")</f>
        <v>Texas A&amp;M</v>
      </c>
      <c r="F39" s="5">
        <f>_xlfn.IFNA(IF(VLOOKUP($B39&amp;$D39, 'NCAAT Simulations'!$C$2:$H$9999, 3,FALSE)&lt;50,1-VLOOKUP($B39&amp;$D39, 'NCAAT Simulations'!$C$2:$H$9999, 3,FALSE)/100, VLOOKUP($B39&amp;$D39, 'NCAAT Simulations'!$C$2:$H$9999, 3,FALSE)/100), "")</f>
        <v>0.78400000000000003</v>
      </c>
      <c r="G39" s="3">
        <f>_xlfn.IFNA(IF(ROUND(VLOOKUP($B39&amp;$D39, 'NCAAT Simulations'!$C$2:$H$9999, 4,FALSE), 1)&gt;0, _xlfn.CONCAT("+",ROUND(VLOOKUP($B39&amp;$D39, 'NCAAT Simulations'!$C$2:$H$9999, 4,FALSE), 1)), ROUND(VLOOKUP($B39&amp;$D39, 'NCAAT Simulations'!$C$2:$H$9999, 4,FALSE), 1)), "")</f>
        <v>-8.4</v>
      </c>
      <c r="H39" s="8">
        <f>IF(G39&lt;0,(VLOOKUP($B39&amp;$D39, 'NCAAT Simulations'!$C$2:$I$9999, 6,FALSE)/138.8)*G39, _xlfn.CONCAT("+", ROUND((VLOOKUP($B39&amp;$D39, 'NCAAT Simulations'!$C$2:$I$9999, 6,FALSE)/138.8)*G39, 1)))</f>
        <v>-8.4776057271114276</v>
      </c>
      <c r="I39" s="4">
        <f>_xlfn.IFNA(IF(ABS(VLOOKUP($B39&amp;$D39, 'NCAAT Simulations'!$C$2:$H$9999, 5,FALSE))&gt;10000,_xlfn.FLOOR.MATH(VLOOKUP($B39&amp;$D39, 'NCAAT Simulations'!$C$2:$H$9999, 5,FALSE), 1000), IF(ABS(VLOOKUP($B39&amp;$D39, 'NCAAT Simulations'!$C$2:$H$9999, 5,FALSE))&gt;1000,_xlfn.FLOOR.MATH(VLOOKUP($B39&amp;$D39, 'NCAAT Simulations'!$C$2:$H$9999, 5,FALSE), 100), _xlfn.FLOOR.MATH(VLOOKUP($B39&amp;$D39, 'NCAAT Simulations'!$C$2:$H$9999, 5,FALSE), 10))), "")</f>
        <v>-370</v>
      </c>
      <c r="J39" s="1">
        <f>_xlfn.IFNA(VLOOKUP($B39&amp;$D39, 'NCAAT Simulations'!$C$2:$I$9999, 7,FALSE), "")</f>
        <v>157.09691754914508</v>
      </c>
      <c r="K39" t="str">
        <f>IF(M39&gt;N39,B39,IF(N39&gt;M39,D39,""))</f>
        <v/>
      </c>
      <c r="L39" t="str">
        <f t="shared" si="0"/>
        <v/>
      </c>
      <c r="O39" t="str">
        <f t="shared" si="4"/>
        <v/>
      </c>
      <c r="P39" t="str">
        <f t="shared" si="5"/>
        <v/>
      </c>
      <c r="Q39" s="10" t="str">
        <f t="shared" si="6"/>
        <v/>
      </c>
      <c r="R39" s="10" t="str">
        <f t="shared" si="1"/>
        <v/>
      </c>
      <c r="S39" s="9" t="str">
        <f t="shared" si="2"/>
        <v/>
      </c>
      <c r="T39" s="9" t="str">
        <f t="shared" si="3"/>
        <v/>
      </c>
      <c r="U39" s="9"/>
    </row>
    <row r="40" spans="1:21" x14ac:dyDescent="0.45">
      <c r="A40">
        <v>3</v>
      </c>
      <c r="B40" t="s">
        <v>30</v>
      </c>
      <c r="C40">
        <v>11</v>
      </c>
      <c r="D40" t="s">
        <v>50</v>
      </c>
      <c r="E40" t="str">
        <f>_xlfn.IFNA(VLOOKUP($B40&amp;$D40, 'NCAAT Simulations'!$C$2:$H$9999, 2,FALSE), "")</f>
        <v>Iowa St.</v>
      </c>
      <c r="F40" s="5">
        <f>_xlfn.IFNA(IF(VLOOKUP($B40&amp;$D40, 'NCAAT Simulations'!$C$2:$H$9999, 3,FALSE)&lt;50,1-VLOOKUP($B40&amp;$D40, 'NCAAT Simulations'!$C$2:$H$9999, 3,FALSE)/100, VLOOKUP($B40&amp;$D40, 'NCAAT Simulations'!$C$2:$H$9999, 3,FALSE)/100), "")</f>
        <v>0.73799999999999999</v>
      </c>
      <c r="G40" s="3">
        <f>_xlfn.IFNA(IF(ROUND(VLOOKUP($B40&amp;$D40, 'NCAAT Simulations'!$C$2:$H$9999, 4,FALSE), 1)&gt;0, _xlfn.CONCAT("+",ROUND(VLOOKUP($B40&amp;$D40, 'NCAAT Simulations'!$C$2:$H$9999, 4,FALSE), 1)), ROUND(VLOOKUP($B40&amp;$D40, 'NCAAT Simulations'!$C$2:$H$9999, 4,FALSE), 1)), "")</f>
        <v>-6.8</v>
      </c>
      <c r="H40" s="8">
        <f>IF(G40&lt;0,(VLOOKUP($B40&amp;$D40, 'NCAAT Simulations'!$C$2:$I$9999, 6,FALSE)/138.8)*G40, _xlfn.CONCAT("+", ROUND((VLOOKUP($B40&amp;$D40, 'NCAAT Simulations'!$C$2:$I$9999, 6,FALSE)/138.8)*G40, 1)))</f>
        <v>-6.818413155544051</v>
      </c>
      <c r="I40" s="4">
        <f>_xlfn.IFNA(IF(ABS(VLOOKUP($B40&amp;$D40, 'NCAAT Simulations'!$C$2:$H$9999, 5,FALSE))&gt;10000,_xlfn.FLOOR.MATH(VLOOKUP($B40&amp;$D40, 'NCAAT Simulations'!$C$2:$H$9999, 5,FALSE), 1000), IF(ABS(VLOOKUP($B40&amp;$D40, 'NCAAT Simulations'!$C$2:$H$9999, 5,FALSE))&gt;1000,_xlfn.FLOOR.MATH(VLOOKUP($B40&amp;$D40, 'NCAAT Simulations'!$C$2:$H$9999, 5,FALSE), 100), _xlfn.FLOOR.MATH(VLOOKUP($B40&amp;$D40, 'NCAAT Simulations'!$C$2:$H$9999, 5,FALSE), 10))), "")</f>
        <v>-290</v>
      </c>
      <c r="J40" s="1">
        <f>_xlfn.IFNA(VLOOKUP($B40&amp;$D40, 'NCAAT Simulations'!$C$2:$I$9999, 7,FALSE), "")</f>
        <v>144.36814092034507</v>
      </c>
      <c r="K40" t="str">
        <f>IF(M40&gt;N40,B40,IF(N40&gt;M40,D40,""))</f>
        <v/>
      </c>
      <c r="L40" t="str">
        <f t="shared" si="0"/>
        <v/>
      </c>
      <c r="O40" t="str">
        <f t="shared" si="4"/>
        <v/>
      </c>
      <c r="P40" t="str">
        <f t="shared" si="5"/>
        <v/>
      </c>
      <c r="Q40" s="10" t="str">
        <f t="shared" si="6"/>
        <v/>
      </c>
      <c r="R40" s="10" t="str">
        <f t="shared" si="1"/>
        <v/>
      </c>
      <c r="S40" s="9" t="str">
        <f t="shared" si="2"/>
        <v/>
      </c>
      <c r="T40" s="9" t="str">
        <f t="shared" si="3"/>
        <v/>
      </c>
      <c r="U40" s="9"/>
    </row>
    <row r="41" spans="1:21" x14ac:dyDescent="0.45">
      <c r="A41">
        <v>2</v>
      </c>
      <c r="B41" t="s">
        <v>41</v>
      </c>
      <c r="C41">
        <v>7</v>
      </c>
      <c r="D41" t="s">
        <v>36</v>
      </c>
      <c r="E41" t="str">
        <f>_xlfn.IFNA(VLOOKUP($B41&amp;$D41, 'NCAAT Simulations'!$C$2:$H$9999, 2,FALSE), "")</f>
        <v>Michigan St.</v>
      </c>
      <c r="F41" s="5">
        <f>_xlfn.IFNA(IF(VLOOKUP($B41&amp;$D41, 'NCAAT Simulations'!$C$2:$H$9999, 3,FALSE)&lt;50,1-VLOOKUP($B41&amp;$D41, 'NCAAT Simulations'!$C$2:$H$9999, 3,FALSE)/100, VLOOKUP($B41&amp;$D41, 'NCAAT Simulations'!$C$2:$H$9999, 3,FALSE)/100), "")</f>
        <v>0.53299999999999992</v>
      </c>
      <c r="G41" s="3">
        <f>_xlfn.IFNA(IF(ROUND(VLOOKUP($B41&amp;$D41, 'NCAAT Simulations'!$C$2:$H$9999, 4,FALSE), 1)&gt;0, _xlfn.CONCAT("+",ROUND(VLOOKUP($B41&amp;$D41, 'NCAAT Simulations'!$C$2:$H$9999, 4,FALSE), 1)), ROUND(VLOOKUP($B41&amp;$D41, 'NCAAT Simulations'!$C$2:$H$9999, 4,FALSE), 1)), "")</f>
        <v>-0.9</v>
      </c>
      <c r="H41" s="8">
        <f>IF(G41&lt;0,(VLOOKUP($B41&amp;$D41, 'NCAAT Simulations'!$C$2:$I$9999, 6,FALSE)/138.8)*G41, _xlfn.CONCAT("+", ROUND((VLOOKUP($B41&amp;$D41, 'NCAAT Simulations'!$C$2:$I$9999, 6,FALSE)/138.8)*G41, 1)))</f>
        <v>-0.89853006280630976</v>
      </c>
      <c r="I41" s="4">
        <f>_xlfn.IFNA(IF(ABS(VLOOKUP($B41&amp;$D41, 'NCAAT Simulations'!$C$2:$H$9999, 5,FALSE))&gt;10000,_xlfn.FLOOR.MATH(VLOOKUP($B41&amp;$D41, 'NCAAT Simulations'!$C$2:$H$9999, 5,FALSE), 1000), IF(ABS(VLOOKUP($B41&amp;$D41, 'NCAAT Simulations'!$C$2:$H$9999, 5,FALSE))&gt;1000,_xlfn.FLOOR.MATH(VLOOKUP($B41&amp;$D41, 'NCAAT Simulations'!$C$2:$H$9999, 5,FALSE), 100), _xlfn.FLOOR.MATH(VLOOKUP($B41&amp;$D41, 'NCAAT Simulations'!$C$2:$H$9999, 5,FALSE), 10))), "")</f>
        <v>-120</v>
      </c>
      <c r="J41" s="1">
        <f>_xlfn.IFNA(VLOOKUP($B41&amp;$D41, 'NCAAT Simulations'!$C$2:$I$9999, 7,FALSE), "")</f>
        <v>135.9074178196017</v>
      </c>
      <c r="K41" t="str">
        <f>IF(M41&gt;N41,B41,IF(N41&gt;M41,D41,""))</f>
        <v/>
      </c>
      <c r="L41" t="str">
        <f t="shared" si="0"/>
        <v/>
      </c>
      <c r="O41" t="str">
        <f t="shared" si="4"/>
        <v/>
      </c>
      <c r="P41" t="str">
        <f t="shared" si="5"/>
        <v/>
      </c>
      <c r="Q41" s="10" t="str">
        <f t="shared" si="6"/>
        <v/>
      </c>
      <c r="R41" s="10" t="str">
        <f t="shared" si="1"/>
        <v/>
      </c>
      <c r="S41" s="9" t="str">
        <f t="shared" si="2"/>
        <v/>
      </c>
      <c r="T41" s="9" t="str">
        <f t="shared" si="3"/>
        <v/>
      </c>
      <c r="U41" s="9"/>
    </row>
    <row r="42" spans="1:21" x14ac:dyDescent="0.45">
      <c r="A42">
        <v>1</v>
      </c>
      <c r="B42" t="s">
        <v>23</v>
      </c>
      <c r="C42">
        <v>8</v>
      </c>
      <c r="D42" t="s">
        <v>19</v>
      </c>
      <c r="E42" t="str">
        <f>_xlfn.IFNA(VLOOKUP($B42&amp;$D42, 'NCAAT Simulations'!$C$2:$H$9999, 2,FALSE), "")</f>
        <v>Florida</v>
      </c>
      <c r="F42" s="5">
        <f>_xlfn.IFNA(IF(VLOOKUP($B42&amp;$D42, 'NCAAT Simulations'!$C$2:$H$9999, 3,FALSE)&lt;50,1-VLOOKUP($B42&amp;$D42, 'NCAAT Simulations'!$C$2:$H$9999, 3,FALSE)/100, VLOOKUP($B42&amp;$D42, 'NCAAT Simulations'!$C$2:$H$9999, 3,FALSE)/100), "")</f>
        <v>0.67799999999999994</v>
      </c>
      <c r="G42" s="3">
        <f>_xlfn.IFNA(IF(ROUND(VLOOKUP($B42&amp;$D42, 'NCAAT Simulations'!$C$2:$H$9999, 4,FALSE), 1)&gt;0, _xlfn.CONCAT("+",ROUND(VLOOKUP($B42&amp;$D42, 'NCAAT Simulations'!$C$2:$H$9999, 4,FALSE), 1)), ROUND(VLOOKUP($B42&amp;$D42, 'NCAAT Simulations'!$C$2:$H$9999, 4,FALSE), 1)), "")</f>
        <v>-4.9000000000000004</v>
      </c>
      <c r="H42" s="8">
        <f>IF(G42&lt;0,(VLOOKUP($B42&amp;$D42, 'NCAAT Simulations'!$C$2:$I$9999, 6,FALSE)/138.8)*G42, _xlfn.CONCAT("+", ROUND((VLOOKUP($B42&amp;$D42, 'NCAAT Simulations'!$C$2:$I$9999, 6,FALSE)/138.8)*G42, 1)))</f>
        <v>-4.9556608280611112</v>
      </c>
      <c r="I42" s="4">
        <f>_xlfn.IFNA(IF(ABS(VLOOKUP($B42&amp;$D42, 'NCAAT Simulations'!$C$2:$H$9999, 5,FALSE))&gt;10000,_xlfn.FLOOR.MATH(VLOOKUP($B42&amp;$D42, 'NCAAT Simulations'!$C$2:$H$9999, 5,FALSE), 1000), IF(ABS(VLOOKUP($B42&amp;$D42, 'NCAAT Simulations'!$C$2:$H$9999, 5,FALSE))&gt;1000,_xlfn.FLOOR.MATH(VLOOKUP($B42&amp;$D42, 'NCAAT Simulations'!$C$2:$H$9999, 5,FALSE), 100), _xlfn.FLOOR.MATH(VLOOKUP($B42&amp;$D42, 'NCAAT Simulations'!$C$2:$H$9999, 5,FALSE), 10))), "")</f>
        <v>-220</v>
      </c>
      <c r="J42" s="1">
        <f>_xlfn.IFNA(VLOOKUP($B42&amp;$D42, 'NCAAT Simulations'!$C$2:$I$9999, 7,FALSE), "")</f>
        <v>161.22989850629156</v>
      </c>
      <c r="K42" t="str">
        <f>IF(M42&gt;N42,B42,IF(N42&gt;M42,D42,""))</f>
        <v/>
      </c>
      <c r="L42" t="str">
        <f t="shared" si="0"/>
        <v/>
      </c>
      <c r="O42" t="str">
        <f t="shared" si="4"/>
        <v/>
      </c>
      <c r="P42" t="str">
        <f t="shared" si="5"/>
        <v/>
      </c>
      <c r="Q42" s="10" t="str">
        <f t="shared" si="6"/>
        <v/>
      </c>
      <c r="R42" s="10" t="str">
        <f t="shared" si="1"/>
        <v/>
      </c>
      <c r="S42" s="9" t="str">
        <f t="shared" si="2"/>
        <v/>
      </c>
      <c r="T42" s="9" t="str">
        <f t="shared" si="3"/>
        <v/>
      </c>
      <c r="U42" s="9"/>
    </row>
    <row r="43" spans="1:21" x14ac:dyDescent="0.45">
      <c r="A43">
        <v>4</v>
      </c>
      <c r="B43" t="s">
        <v>37</v>
      </c>
      <c r="C43">
        <v>5</v>
      </c>
      <c r="D43" t="s">
        <v>18</v>
      </c>
      <c r="E43" t="str">
        <f>_xlfn.IFNA(VLOOKUP($B43&amp;$D43, 'NCAAT Simulations'!$C$2:$H$9999, 2,FALSE), "")</f>
        <v>Maryland</v>
      </c>
      <c r="F43" s="5">
        <f>_xlfn.IFNA(IF(VLOOKUP($B43&amp;$D43, 'NCAAT Simulations'!$C$2:$H$9999, 3,FALSE)&lt;50,1-VLOOKUP($B43&amp;$D43, 'NCAAT Simulations'!$C$2:$H$9999, 3,FALSE)/100, VLOOKUP($B43&amp;$D43, 'NCAAT Simulations'!$C$2:$H$9999, 3,FALSE)/100), "")</f>
        <v>0.75</v>
      </c>
      <c r="G43" s="3">
        <f>_xlfn.IFNA(IF(ROUND(VLOOKUP($B43&amp;$D43, 'NCAAT Simulations'!$C$2:$H$9999, 4,FALSE), 1)&gt;0, _xlfn.CONCAT("+",ROUND(VLOOKUP($B43&amp;$D43, 'NCAAT Simulations'!$C$2:$H$9999, 4,FALSE), 1)), ROUND(VLOOKUP($B43&amp;$D43, 'NCAAT Simulations'!$C$2:$H$9999, 4,FALSE), 1)), "")</f>
        <v>-7.2</v>
      </c>
      <c r="H43" s="8">
        <f>IF(G43&lt;0,(VLOOKUP($B43&amp;$D43, 'NCAAT Simulations'!$C$2:$I$9999, 6,FALSE)/138.8)*G43, _xlfn.CONCAT("+", ROUND((VLOOKUP($B43&amp;$D43, 'NCAAT Simulations'!$C$2:$I$9999, 6,FALSE)/138.8)*G43, 1)))</f>
        <v>-7.2004118844900864</v>
      </c>
      <c r="I43" s="4">
        <f>_xlfn.IFNA(IF(ABS(VLOOKUP($B43&amp;$D43, 'NCAAT Simulations'!$C$2:$H$9999, 5,FALSE))&gt;10000,_xlfn.FLOOR.MATH(VLOOKUP($B43&amp;$D43, 'NCAAT Simulations'!$C$2:$H$9999, 5,FALSE), 1000), IF(ABS(VLOOKUP($B43&amp;$D43, 'NCAAT Simulations'!$C$2:$H$9999, 5,FALSE))&gt;1000,_xlfn.FLOOR.MATH(VLOOKUP($B43&amp;$D43, 'NCAAT Simulations'!$C$2:$H$9999, 5,FALSE), 100), _xlfn.FLOOR.MATH(VLOOKUP($B43&amp;$D43, 'NCAAT Simulations'!$C$2:$H$9999, 5,FALSE), 10))), "")</f>
        <v>-300</v>
      </c>
      <c r="J43" s="1">
        <f>_xlfn.IFNA(VLOOKUP($B43&amp;$D43, 'NCAAT Simulations'!$C$2:$I$9999, 7,FALSE), "")</f>
        <v>139.20212662392433</v>
      </c>
      <c r="K43" t="str">
        <f>IF(M43&gt;N43,B43,IF(N43&gt;M43,D43,""))</f>
        <v/>
      </c>
      <c r="L43" t="str">
        <f t="shared" si="0"/>
        <v/>
      </c>
      <c r="O43" t="str">
        <f t="shared" si="4"/>
        <v/>
      </c>
      <c r="P43" t="str">
        <f t="shared" si="5"/>
        <v/>
      </c>
      <c r="Q43" s="10" t="str">
        <f t="shared" si="6"/>
        <v/>
      </c>
      <c r="R43" s="10" t="str">
        <f t="shared" si="1"/>
        <v/>
      </c>
      <c r="S43" s="9" t="str">
        <f t="shared" si="2"/>
        <v/>
      </c>
      <c r="T43" s="9" t="str">
        <f t="shared" si="3"/>
        <v/>
      </c>
      <c r="U43" s="9"/>
    </row>
    <row r="44" spans="1:21" x14ac:dyDescent="0.45">
      <c r="A44">
        <v>3</v>
      </c>
      <c r="B44" t="s">
        <v>63</v>
      </c>
      <c r="C44">
        <v>11</v>
      </c>
      <c r="D44" t="s">
        <v>21</v>
      </c>
      <c r="E44" t="str">
        <f>_xlfn.IFNA(VLOOKUP($B44&amp;$D44, 'NCAAT Simulations'!$C$2:$H$9999, 2,FALSE), "")</f>
        <v>Texas Tech</v>
      </c>
      <c r="F44" s="5">
        <f>_xlfn.IFNA(IF(VLOOKUP($B44&amp;$D44, 'NCAAT Simulations'!$C$2:$H$9999, 3,FALSE)&lt;50,1-VLOOKUP($B44&amp;$D44, 'NCAAT Simulations'!$C$2:$H$9999, 3,FALSE)/100, VLOOKUP($B44&amp;$D44, 'NCAAT Simulations'!$C$2:$H$9999, 3,FALSE)/100), "")</f>
        <v>0.89599999999999991</v>
      </c>
      <c r="G44" s="3">
        <f>_xlfn.IFNA(IF(ROUND(VLOOKUP($B44&amp;$D44, 'NCAAT Simulations'!$C$2:$H$9999, 4,FALSE), 1)&gt;0, _xlfn.CONCAT("+",ROUND(VLOOKUP($B44&amp;$D44, 'NCAAT Simulations'!$C$2:$H$9999, 4,FALSE), 1)), ROUND(VLOOKUP($B44&amp;$D44, 'NCAAT Simulations'!$C$2:$H$9999, 4,FALSE), 1)), "")</f>
        <v>-14.1</v>
      </c>
      <c r="H44" s="8">
        <f>IF(G44&lt;0,(VLOOKUP($B44&amp;$D44, 'NCAAT Simulations'!$C$2:$I$9999, 6,FALSE)/138.8)*G44, _xlfn.CONCAT("+", ROUND((VLOOKUP($B44&amp;$D44, 'NCAAT Simulations'!$C$2:$I$9999, 6,FALSE)/138.8)*G44, 1)))</f>
        <v>-14.181126404281621</v>
      </c>
      <c r="I44" s="4">
        <f>_xlfn.IFNA(IF(ABS(VLOOKUP($B44&amp;$D44, 'NCAAT Simulations'!$C$2:$H$9999, 5,FALSE))&gt;10000,_xlfn.FLOOR.MATH(VLOOKUP($B44&amp;$D44, 'NCAAT Simulations'!$C$2:$H$9999, 5,FALSE), 1000), IF(ABS(VLOOKUP($B44&amp;$D44, 'NCAAT Simulations'!$C$2:$H$9999, 5,FALSE))&gt;1000,_xlfn.FLOOR.MATH(VLOOKUP($B44&amp;$D44, 'NCAAT Simulations'!$C$2:$H$9999, 5,FALSE), 100), _xlfn.FLOOR.MATH(VLOOKUP($B44&amp;$D44, 'NCAAT Simulations'!$C$2:$H$9999, 5,FALSE), 10))), "")</f>
        <v>-870</v>
      </c>
      <c r="J44" s="1">
        <f>_xlfn.IFNA(VLOOKUP($B44&amp;$D44, 'NCAAT Simulations'!$C$2:$I$9999, 7,FALSE), "")</f>
        <v>150.3044309799846</v>
      </c>
      <c r="K44" t="str">
        <f>IF(M44&gt;N44,B44,IF(N44&gt;M44,D44,""))</f>
        <v/>
      </c>
      <c r="L44" t="str">
        <f t="shared" si="0"/>
        <v/>
      </c>
      <c r="O44" t="str">
        <f t="shared" si="4"/>
        <v/>
      </c>
      <c r="P44" t="str">
        <f t="shared" si="5"/>
        <v/>
      </c>
      <c r="Q44" s="10" t="str">
        <f t="shared" si="6"/>
        <v/>
      </c>
      <c r="R44" s="10" t="str">
        <f t="shared" si="1"/>
        <v/>
      </c>
      <c r="S44" s="9" t="str">
        <f t="shared" si="2"/>
        <v/>
      </c>
      <c r="T44" s="9" t="str">
        <f t="shared" si="3"/>
        <v/>
      </c>
      <c r="U44" s="9"/>
    </row>
    <row r="45" spans="1:21" x14ac:dyDescent="0.45">
      <c r="A45">
        <v>2</v>
      </c>
      <c r="B45" t="s">
        <v>59</v>
      </c>
      <c r="C45">
        <v>7</v>
      </c>
      <c r="D45" t="s">
        <v>31</v>
      </c>
      <c r="E45" t="str">
        <f>_xlfn.IFNA(VLOOKUP($B45&amp;$D45, 'NCAAT Simulations'!$C$2:$H$9999, 2,FALSE), "")</f>
        <v>St. John's</v>
      </c>
      <c r="F45" s="5">
        <f>_xlfn.IFNA(IF(VLOOKUP($B45&amp;$D45, 'NCAAT Simulations'!$C$2:$H$9999, 3,FALSE)&lt;50,1-VLOOKUP($B45&amp;$D45, 'NCAAT Simulations'!$C$2:$H$9999, 3,FALSE)/100, VLOOKUP($B45&amp;$D45, 'NCAAT Simulations'!$C$2:$H$9999, 3,FALSE)/100), "")</f>
        <v>0.61199999999999999</v>
      </c>
      <c r="G45" s="3">
        <f>_xlfn.IFNA(IF(ROUND(VLOOKUP($B45&amp;$D45, 'NCAAT Simulations'!$C$2:$H$9999, 4,FALSE), 1)&gt;0, _xlfn.CONCAT("+",ROUND(VLOOKUP($B45&amp;$D45, 'NCAAT Simulations'!$C$2:$H$9999, 4,FALSE), 1)), ROUND(VLOOKUP($B45&amp;$D45, 'NCAAT Simulations'!$C$2:$H$9999, 4,FALSE), 1)), "")</f>
        <v>-3</v>
      </c>
      <c r="H45" s="8">
        <f>IF(G45&lt;0,(VLOOKUP($B45&amp;$D45, 'NCAAT Simulations'!$C$2:$I$9999, 6,FALSE)/138.8)*G45, _xlfn.CONCAT("+", ROUND((VLOOKUP($B45&amp;$D45, 'NCAAT Simulations'!$C$2:$I$9999, 6,FALSE)/138.8)*G45, 1)))</f>
        <v>-3.0074320958048988</v>
      </c>
      <c r="I45" s="4">
        <f>_xlfn.IFNA(IF(ABS(VLOOKUP($B45&amp;$D45, 'NCAAT Simulations'!$C$2:$H$9999, 5,FALSE))&gt;10000,_xlfn.FLOOR.MATH(VLOOKUP($B45&amp;$D45, 'NCAAT Simulations'!$C$2:$H$9999, 5,FALSE), 1000), IF(ABS(VLOOKUP($B45&amp;$D45, 'NCAAT Simulations'!$C$2:$H$9999, 5,FALSE))&gt;1000,_xlfn.FLOOR.MATH(VLOOKUP($B45&amp;$D45, 'NCAAT Simulations'!$C$2:$H$9999, 5,FALSE), 100), _xlfn.FLOOR.MATH(VLOOKUP($B45&amp;$D45, 'NCAAT Simulations'!$C$2:$H$9999, 5,FALSE), 10))), "")</f>
        <v>-160</v>
      </c>
      <c r="J45" s="1">
        <f>_xlfn.IFNA(VLOOKUP($B45&amp;$D45, 'NCAAT Simulations'!$C$2:$I$9999, 7,FALSE), "")</f>
        <v>143.91899278722903</v>
      </c>
      <c r="K45" t="str">
        <f>IF(M45&gt;N45,B45,IF(N45&gt;M45,D45,""))</f>
        <v/>
      </c>
      <c r="L45" t="str">
        <f t="shared" si="0"/>
        <v/>
      </c>
      <c r="O45" t="str">
        <f t="shared" si="4"/>
        <v/>
      </c>
      <c r="P45" t="str">
        <f t="shared" si="5"/>
        <v/>
      </c>
      <c r="Q45" s="10" t="str">
        <f t="shared" si="6"/>
        <v/>
      </c>
      <c r="R45" s="10" t="str">
        <f t="shared" si="1"/>
        <v/>
      </c>
      <c r="S45" s="9" t="str">
        <f t="shared" si="2"/>
        <v/>
      </c>
      <c r="T45" s="9" t="str">
        <f t="shared" si="3"/>
        <v/>
      </c>
      <c r="U45" s="9"/>
    </row>
    <row r="46" spans="1:21" x14ac:dyDescent="0.45">
      <c r="A46">
        <v>1</v>
      </c>
      <c r="B46" t="s">
        <v>28</v>
      </c>
      <c r="C46">
        <v>8</v>
      </c>
      <c r="D46" t="s">
        <v>25</v>
      </c>
      <c r="E46" t="str">
        <f>_xlfn.IFNA(VLOOKUP($B46&amp;$D46, 'NCAAT Simulations'!$C$2:$H$9999, 2,FALSE), "")</f>
        <v>Houston</v>
      </c>
      <c r="F46" s="5">
        <f>_xlfn.IFNA(IF(VLOOKUP($B46&amp;$D46, 'NCAAT Simulations'!$C$2:$H$9999, 3,FALSE)&lt;50,1-VLOOKUP($B46&amp;$D46, 'NCAAT Simulations'!$C$2:$H$9999, 3,FALSE)/100, VLOOKUP($B46&amp;$D46, 'NCAAT Simulations'!$C$2:$H$9999, 3,FALSE)/100), "")</f>
        <v>0.91200000000000003</v>
      </c>
      <c r="G46" s="3">
        <f>_xlfn.IFNA(IF(ROUND(VLOOKUP($B46&amp;$D46, 'NCAAT Simulations'!$C$2:$H$9999, 4,FALSE), 1)&gt;0, _xlfn.CONCAT("+",ROUND(VLOOKUP($B46&amp;$D46, 'NCAAT Simulations'!$C$2:$H$9999, 4,FALSE), 1)), ROUND(VLOOKUP($B46&amp;$D46, 'NCAAT Simulations'!$C$2:$H$9999, 4,FALSE), 1)), "")</f>
        <v>-15.3</v>
      </c>
      <c r="H46" s="8">
        <f>IF(G46&lt;0,(VLOOKUP($B46&amp;$D46, 'NCAAT Simulations'!$C$2:$I$9999, 6,FALSE)/138.8)*G46, _xlfn.CONCAT("+", ROUND((VLOOKUP($B46&amp;$D46, 'NCAAT Simulations'!$C$2:$I$9999, 6,FALSE)/138.8)*G46, 1)))</f>
        <v>-15.4212928866644</v>
      </c>
      <c r="I46" s="4">
        <f>_xlfn.IFNA(IF(ABS(VLOOKUP($B46&amp;$D46, 'NCAAT Simulations'!$C$2:$H$9999, 5,FALSE))&gt;10000,_xlfn.FLOOR.MATH(VLOOKUP($B46&amp;$D46, 'NCAAT Simulations'!$C$2:$H$9999, 5,FALSE), 1000), IF(ABS(VLOOKUP($B46&amp;$D46, 'NCAAT Simulations'!$C$2:$H$9999, 5,FALSE))&gt;1000,_xlfn.FLOOR.MATH(VLOOKUP($B46&amp;$D46, 'NCAAT Simulations'!$C$2:$H$9999, 5,FALSE), 100), _xlfn.FLOOR.MATH(VLOOKUP($B46&amp;$D46, 'NCAAT Simulations'!$C$2:$H$9999, 5,FALSE), 10))), "")</f>
        <v>-1100</v>
      </c>
      <c r="J46" s="1">
        <f>_xlfn.IFNA(VLOOKUP($B46&amp;$D46, 'NCAAT Simulations'!$C$2:$I$9999, 7,FALSE), "")</f>
        <v>154.54152373294676</v>
      </c>
      <c r="K46" t="str">
        <f>IF(M46&gt;N46,B46,IF(N46&gt;M46,D46,""))</f>
        <v/>
      </c>
      <c r="L46" t="str">
        <f t="shared" si="0"/>
        <v/>
      </c>
      <c r="O46" t="str">
        <f t="shared" si="4"/>
        <v/>
      </c>
      <c r="P46" t="str">
        <f t="shared" si="5"/>
        <v/>
      </c>
      <c r="Q46" s="10" t="str">
        <f t="shared" si="6"/>
        <v/>
      </c>
      <c r="R46" s="10" t="str">
        <f t="shared" si="1"/>
        <v/>
      </c>
      <c r="S46" s="9" t="str">
        <f t="shared" si="2"/>
        <v/>
      </c>
      <c r="T46" s="9" t="str">
        <f t="shared" si="3"/>
        <v/>
      </c>
      <c r="U46" s="9"/>
    </row>
    <row r="47" spans="1:21" x14ac:dyDescent="0.45">
      <c r="A47">
        <v>4</v>
      </c>
      <c r="B47" t="s">
        <v>53</v>
      </c>
      <c r="C47">
        <v>5</v>
      </c>
      <c r="D47" t="s">
        <v>17</v>
      </c>
      <c r="E47" t="str">
        <f>_xlfn.IFNA(VLOOKUP($B47&amp;$D47, 'NCAAT Simulations'!$C$2:$H$9999, 2,FALSE), "")</f>
        <v>Purdue</v>
      </c>
      <c r="F47" s="5">
        <f>_xlfn.IFNA(IF(VLOOKUP($B47&amp;$D47, 'NCAAT Simulations'!$C$2:$H$9999, 3,FALSE)&lt;50,1-VLOOKUP($B47&amp;$D47, 'NCAAT Simulations'!$C$2:$H$9999, 3,FALSE)/100, VLOOKUP($B47&amp;$D47, 'NCAAT Simulations'!$C$2:$H$9999, 3,FALSE)/100), "")</f>
        <v>0.73799999999999999</v>
      </c>
      <c r="G47" s="3">
        <f>_xlfn.IFNA(IF(ROUND(VLOOKUP($B47&amp;$D47, 'NCAAT Simulations'!$C$2:$H$9999, 4,FALSE), 1)&gt;0, _xlfn.CONCAT("+",ROUND(VLOOKUP($B47&amp;$D47, 'NCAAT Simulations'!$C$2:$H$9999, 4,FALSE), 1)), ROUND(VLOOKUP($B47&amp;$D47, 'NCAAT Simulations'!$C$2:$H$9999, 4,FALSE), 1)), "")</f>
        <v>-6.8</v>
      </c>
      <c r="H47" s="8">
        <f>IF(G47&lt;0,(VLOOKUP($B47&amp;$D47, 'NCAAT Simulations'!$C$2:$I$9999, 6,FALSE)/138.8)*G47, _xlfn.CONCAT("+", ROUND((VLOOKUP($B47&amp;$D47, 'NCAAT Simulations'!$C$2:$I$9999, 6,FALSE)/138.8)*G47, 1)))</f>
        <v>-6.8244855936712785</v>
      </c>
      <c r="I47" s="4">
        <f>_xlfn.IFNA(IF(ABS(VLOOKUP($B47&amp;$D47, 'NCAAT Simulations'!$C$2:$H$9999, 5,FALSE))&gt;10000,_xlfn.FLOOR.MATH(VLOOKUP($B47&amp;$D47, 'NCAAT Simulations'!$C$2:$H$9999, 5,FALSE), 1000), IF(ABS(VLOOKUP($B47&amp;$D47, 'NCAAT Simulations'!$C$2:$H$9999, 5,FALSE))&gt;1000,_xlfn.FLOOR.MATH(VLOOKUP($B47&amp;$D47, 'NCAAT Simulations'!$C$2:$H$9999, 5,FALSE), 100), _xlfn.FLOOR.MATH(VLOOKUP($B47&amp;$D47, 'NCAAT Simulations'!$C$2:$H$9999, 5,FALSE), 10))), "")</f>
        <v>-290</v>
      </c>
      <c r="J47" s="1">
        <f>_xlfn.IFNA(VLOOKUP($B47&amp;$D47, 'NCAAT Simulations'!$C$2:$I$9999, 7,FALSE), "")</f>
        <v>146.10860002899449</v>
      </c>
      <c r="K47" t="str">
        <f>IF(M47&gt;N47,B47,IF(N47&gt;M47,D47,""))</f>
        <v/>
      </c>
      <c r="L47" t="str">
        <f t="shared" si="0"/>
        <v/>
      </c>
      <c r="O47" t="str">
        <f t="shared" si="4"/>
        <v/>
      </c>
      <c r="P47" t="str">
        <f t="shared" si="5"/>
        <v/>
      </c>
      <c r="Q47" s="10" t="str">
        <f t="shared" si="6"/>
        <v/>
      </c>
      <c r="R47" s="10" t="str">
        <f t="shared" si="1"/>
        <v/>
      </c>
      <c r="S47" s="9" t="str">
        <f t="shared" si="2"/>
        <v/>
      </c>
      <c r="T47" s="9" t="str">
        <f t="shared" si="3"/>
        <v/>
      </c>
      <c r="U47" s="9"/>
    </row>
    <row r="48" spans="1:21" x14ac:dyDescent="0.45">
      <c r="A48">
        <v>3</v>
      </c>
      <c r="B48" t="s">
        <v>32</v>
      </c>
      <c r="C48">
        <v>6</v>
      </c>
      <c r="D48" t="s">
        <v>29</v>
      </c>
      <c r="E48" t="str">
        <f>_xlfn.IFNA(VLOOKUP($B48&amp;$D48, 'NCAAT Simulations'!$C$2:$H$9999, 2,FALSE), "")</f>
        <v>Illinois</v>
      </c>
      <c r="F48" s="5">
        <f>_xlfn.IFNA(IF(VLOOKUP($B48&amp;$D48, 'NCAAT Simulations'!$C$2:$H$9999, 3,FALSE)&lt;50,1-VLOOKUP($B48&amp;$D48, 'NCAAT Simulations'!$C$2:$H$9999, 3,FALSE)/100, VLOOKUP($B48&amp;$D48, 'NCAAT Simulations'!$C$2:$H$9999, 3,FALSE)/100), "")</f>
        <v>0.56899999999999995</v>
      </c>
      <c r="G48" s="3" t="str">
        <f>_xlfn.IFNA(IF(ROUND(VLOOKUP($B48&amp;$D48, 'NCAAT Simulations'!$C$2:$H$9999, 4,FALSE), 1)&gt;0, _xlfn.CONCAT("+",ROUND(VLOOKUP($B48&amp;$D48, 'NCAAT Simulations'!$C$2:$H$9999, 4,FALSE), 1)), ROUND(VLOOKUP($B48&amp;$D48, 'NCAAT Simulations'!$C$2:$H$9999, 4,FALSE), 1)), "")</f>
        <v>+1.8</v>
      </c>
      <c r="H48" s="8" t="str">
        <f>IF(G48&lt;0,(VLOOKUP($B48&amp;$D48, 'NCAAT Simulations'!$C$2:$I$9999, 6,FALSE)/138.8)*G48, _xlfn.CONCAT("+", ROUND((VLOOKUP($B48&amp;$D48, 'NCAAT Simulations'!$C$2:$I$9999, 6,FALSE)/138.8)*G48, 1)))</f>
        <v>+1.8</v>
      </c>
      <c r="I48" s="4">
        <f>_xlfn.IFNA(IF(ABS(VLOOKUP($B48&amp;$D48, 'NCAAT Simulations'!$C$2:$H$9999, 5,FALSE))&gt;10000,_xlfn.FLOOR.MATH(VLOOKUP($B48&amp;$D48, 'NCAAT Simulations'!$C$2:$H$9999, 5,FALSE), 1000), IF(ABS(VLOOKUP($B48&amp;$D48, 'NCAAT Simulations'!$C$2:$H$9999, 5,FALSE))&gt;1000,_xlfn.FLOOR.MATH(VLOOKUP($B48&amp;$D48, 'NCAAT Simulations'!$C$2:$H$9999, 5,FALSE), 100), _xlfn.FLOOR.MATH(VLOOKUP($B48&amp;$D48, 'NCAAT Simulations'!$C$2:$H$9999, 5,FALSE), 10))), "")</f>
        <v>130</v>
      </c>
      <c r="J48" s="1">
        <f>_xlfn.IFNA(VLOOKUP($B48&amp;$D48, 'NCAAT Simulations'!$C$2:$I$9999, 7,FALSE), "")</f>
        <v>137.112543404099</v>
      </c>
      <c r="K48" t="str">
        <f>IF(M48&gt;N48,B48,IF(N48&gt;M48,D48,""))</f>
        <v/>
      </c>
      <c r="L48" t="str">
        <f t="shared" si="0"/>
        <v/>
      </c>
      <c r="O48" t="str">
        <f t="shared" si="4"/>
        <v/>
      </c>
      <c r="P48" t="str">
        <f t="shared" si="5"/>
        <v/>
      </c>
      <c r="Q48" s="10" t="str">
        <f t="shared" si="6"/>
        <v/>
      </c>
      <c r="R48" s="10" t="str">
        <f t="shared" si="1"/>
        <v/>
      </c>
      <c r="S48" s="9" t="str">
        <f t="shared" si="2"/>
        <v/>
      </c>
      <c r="T48" s="9" t="str">
        <f t="shared" si="3"/>
        <v/>
      </c>
      <c r="U48" s="9"/>
    </row>
    <row r="49" spans="1:21" x14ac:dyDescent="0.45">
      <c r="A49">
        <v>2</v>
      </c>
      <c r="B49" t="s">
        <v>60</v>
      </c>
      <c r="C49">
        <v>10</v>
      </c>
      <c r="D49" t="s">
        <v>66</v>
      </c>
      <c r="E49" t="str">
        <f>_xlfn.IFNA(VLOOKUP($B49&amp;$D49, 'NCAAT Simulations'!$C$2:$H$9999, 2,FALSE), "")</f>
        <v>Tennessee</v>
      </c>
      <c r="F49" s="5">
        <f>_xlfn.IFNA(IF(VLOOKUP($B49&amp;$D49, 'NCAAT Simulations'!$C$2:$H$9999, 3,FALSE)&lt;50,1-VLOOKUP($B49&amp;$D49, 'NCAAT Simulations'!$C$2:$H$9999, 3,FALSE)/100, VLOOKUP($B49&amp;$D49, 'NCAAT Simulations'!$C$2:$H$9999, 3,FALSE)/100), "")</f>
        <v>0.92599999999999993</v>
      </c>
      <c r="G49" s="3">
        <f>_xlfn.IFNA(IF(ROUND(VLOOKUP($B49&amp;$D49, 'NCAAT Simulations'!$C$2:$H$9999, 4,FALSE), 1)&gt;0, _xlfn.CONCAT("+",ROUND(VLOOKUP($B49&amp;$D49, 'NCAAT Simulations'!$C$2:$H$9999, 4,FALSE), 1)), ROUND(VLOOKUP($B49&amp;$D49, 'NCAAT Simulations'!$C$2:$H$9999, 4,FALSE), 1)), "")</f>
        <v>-16.600000000000001</v>
      </c>
      <c r="H49" s="8">
        <f>IF(G49&lt;0,(VLOOKUP($B49&amp;$D49, 'NCAAT Simulations'!$C$2:$I$9999, 6,FALSE)/138.8)*G49, _xlfn.CONCAT("+", ROUND((VLOOKUP($B49&amp;$D49, 'NCAAT Simulations'!$C$2:$I$9999, 6,FALSE)/138.8)*G49, 1)))</f>
        <v>-16.892133931493468</v>
      </c>
      <c r="I49" s="4">
        <f>_xlfn.IFNA(IF(ABS(VLOOKUP($B49&amp;$D49, 'NCAAT Simulations'!$C$2:$H$9999, 5,FALSE))&gt;10000,_xlfn.FLOOR.MATH(VLOOKUP($B49&amp;$D49, 'NCAAT Simulations'!$C$2:$H$9999, 5,FALSE), 1000), IF(ABS(VLOOKUP($B49&amp;$D49, 'NCAAT Simulations'!$C$2:$H$9999, 5,FALSE))&gt;1000,_xlfn.FLOOR.MATH(VLOOKUP($B49&amp;$D49, 'NCAAT Simulations'!$C$2:$H$9999, 5,FALSE), 100), _xlfn.FLOOR.MATH(VLOOKUP($B49&amp;$D49, 'NCAAT Simulations'!$C$2:$H$9999, 5,FALSE), 10))), "")</f>
        <v>-1300</v>
      </c>
      <c r="J49" s="1">
        <f>_xlfn.IFNA(VLOOKUP($B49&amp;$D49, 'NCAAT Simulations'!$C$2:$I$9999, 7,FALSE), "")</f>
        <v>173.38979785036904</v>
      </c>
      <c r="K49" t="str">
        <f>IF(M49&gt;N49,B49,IF(N49&gt;M49,D49,""))</f>
        <v/>
      </c>
      <c r="L49" t="str">
        <f t="shared" si="0"/>
        <v/>
      </c>
      <c r="O49" t="str">
        <f t="shared" si="4"/>
        <v/>
      </c>
      <c r="P49" t="str">
        <f t="shared" si="5"/>
        <v/>
      </c>
      <c r="Q49" s="10" t="str">
        <f t="shared" si="6"/>
        <v/>
      </c>
      <c r="R49" s="10" t="str">
        <f t="shared" si="1"/>
        <v/>
      </c>
      <c r="S49" s="9" t="str">
        <f t="shared" si="2"/>
        <v/>
      </c>
      <c r="T49" s="9" t="str">
        <f t="shared" si="3"/>
        <v/>
      </c>
      <c r="U49" s="9"/>
    </row>
    <row r="50" spans="1:21" x14ac:dyDescent="0.45">
      <c r="A50">
        <v>1</v>
      </c>
      <c r="B50" t="s">
        <v>22</v>
      </c>
      <c r="C50">
        <v>9</v>
      </c>
      <c r="D50" t="s">
        <v>14</v>
      </c>
      <c r="E50" t="str">
        <f>_xlfn.IFNA(VLOOKUP($B50&amp;$D50, 'NCAAT Simulations'!$C$2:$H$9999, 2,FALSE), "")</f>
        <v>Duke</v>
      </c>
      <c r="F50" s="5">
        <f>_xlfn.IFNA(IF(VLOOKUP($B50&amp;$D50, 'NCAAT Simulations'!$C$2:$H$9999, 3,FALSE)&lt;50,1-VLOOKUP($B50&amp;$D50, 'NCAAT Simulations'!$C$2:$H$9999, 3,FALSE)/100, VLOOKUP($B50&amp;$D50, 'NCAAT Simulations'!$C$2:$H$9999, 3,FALSE)/100), "")</f>
        <v>0.90700000000000003</v>
      </c>
      <c r="G50" s="3">
        <f>_xlfn.IFNA(IF(ROUND(VLOOKUP($B50&amp;$D50, 'NCAAT Simulations'!$C$2:$H$9999, 4,FALSE), 1)&gt;0, _xlfn.CONCAT("+",ROUND(VLOOKUP($B50&amp;$D50, 'NCAAT Simulations'!$C$2:$H$9999, 4,FALSE), 1)), ROUND(VLOOKUP($B50&amp;$D50, 'NCAAT Simulations'!$C$2:$H$9999, 4,FALSE), 1)), "")</f>
        <v>-14.9</v>
      </c>
      <c r="H50" s="8">
        <f>IF(G50&lt;0,(VLOOKUP($B50&amp;$D50, 'NCAAT Simulations'!$C$2:$I$9999, 6,FALSE)/138.8)*G50, _xlfn.CONCAT("+", ROUND((VLOOKUP($B50&amp;$D50, 'NCAAT Simulations'!$C$2:$I$9999, 6,FALSE)/138.8)*G50, 1)))</f>
        <v>-15.088363612845422</v>
      </c>
      <c r="I50" s="4">
        <f>_xlfn.IFNA(IF(ABS(VLOOKUP($B50&amp;$D50, 'NCAAT Simulations'!$C$2:$H$9999, 5,FALSE))&gt;10000,_xlfn.FLOOR.MATH(VLOOKUP($B50&amp;$D50, 'NCAAT Simulations'!$C$2:$H$9999, 5,FALSE), 1000), IF(ABS(VLOOKUP($B50&amp;$D50, 'NCAAT Simulations'!$C$2:$H$9999, 5,FALSE))&gt;1000,_xlfn.FLOOR.MATH(VLOOKUP($B50&amp;$D50, 'NCAAT Simulations'!$C$2:$H$9999, 5,FALSE), 100), _xlfn.FLOOR.MATH(VLOOKUP($B50&amp;$D50, 'NCAAT Simulations'!$C$2:$H$9999, 5,FALSE), 10))), "")</f>
        <v>-980</v>
      </c>
      <c r="J50" s="1">
        <f>_xlfn.IFNA(VLOOKUP($B50&amp;$D50, 'NCAAT Simulations'!$C$2:$I$9999, 7,FALSE), "")</f>
        <v>163.72947940368294</v>
      </c>
      <c r="K50" t="str">
        <f>IF(M50&gt;N50,B50,IF(N50&gt;M50,D50,""))</f>
        <v/>
      </c>
      <c r="L50" t="str">
        <f t="shared" si="0"/>
        <v/>
      </c>
      <c r="O50" t="str">
        <f t="shared" si="4"/>
        <v/>
      </c>
      <c r="P50" t="str">
        <f t="shared" si="5"/>
        <v/>
      </c>
      <c r="Q50" s="10" t="str">
        <f t="shared" si="6"/>
        <v/>
      </c>
      <c r="R50" s="10" t="str">
        <f t="shared" si="1"/>
        <v/>
      </c>
      <c r="S50" s="9" t="str">
        <f t="shared" si="2"/>
        <v/>
      </c>
      <c r="T50" s="9" t="str">
        <f t="shared" si="3"/>
        <v/>
      </c>
      <c r="U50" s="9"/>
    </row>
    <row r="51" spans="1:21" x14ac:dyDescent="0.45">
      <c r="A51">
        <v>4</v>
      </c>
      <c r="B51" t="s">
        <v>11</v>
      </c>
      <c r="C51">
        <v>5</v>
      </c>
      <c r="D51" t="s">
        <v>52</v>
      </c>
      <c r="E51" t="str">
        <f>_xlfn.IFNA(VLOOKUP($B51&amp;$D51, 'NCAAT Simulations'!$C$2:$H$9999, 2,FALSE), "")</f>
        <v>Arizona</v>
      </c>
      <c r="F51" s="5">
        <f>_xlfn.IFNA(IF(VLOOKUP($B51&amp;$D51, 'NCAAT Simulations'!$C$2:$H$9999, 3,FALSE)&lt;50,1-VLOOKUP($B51&amp;$D51, 'NCAAT Simulations'!$C$2:$H$9999, 3,FALSE)/100, VLOOKUP($B51&amp;$D51, 'NCAAT Simulations'!$C$2:$H$9999, 3,FALSE)/100), "")</f>
        <v>0.66400000000000003</v>
      </c>
      <c r="G51" s="3">
        <f>_xlfn.IFNA(IF(ROUND(VLOOKUP($B51&amp;$D51, 'NCAAT Simulations'!$C$2:$H$9999, 4,FALSE), 1)&gt;0, _xlfn.CONCAT("+",ROUND(VLOOKUP($B51&amp;$D51, 'NCAAT Simulations'!$C$2:$H$9999, 4,FALSE), 1)), ROUND(VLOOKUP($B51&amp;$D51, 'NCAAT Simulations'!$C$2:$H$9999, 4,FALSE), 1)), "")</f>
        <v>-4.5</v>
      </c>
      <c r="H51" s="8">
        <f>IF(G51&lt;0,(VLOOKUP($B51&amp;$D51, 'NCAAT Simulations'!$C$2:$I$9999, 6,FALSE)/138.8)*G51, _xlfn.CONCAT("+", ROUND((VLOOKUP($B51&amp;$D51, 'NCAAT Simulations'!$C$2:$I$9999, 6,FALSE)/138.8)*G51, 1)))</f>
        <v>-4.5310155804084289</v>
      </c>
      <c r="I51" s="4">
        <f>_xlfn.IFNA(IF(ABS(VLOOKUP($B51&amp;$D51, 'NCAAT Simulations'!$C$2:$H$9999, 5,FALSE))&gt;10000,_xlfn.FLOOR.MATH(VLOOKUP($B51&amp;$D51, 'NCAAT Simulations'!$C$2:$H$9999, 5,FALSE), 1000), IF(ABS(VLOOKUP($B51&amp;$D51, 'NCAAT Simulations'!$C$2:$H$9999, 5,FALSE))&gt;1000,_xlfn.FLOOR.MATH(VLOOKUP($B51&amp;$D51, 'NCAAT Simulations'!$C$2:$H$9999, 5,FALSE), 100), _xlfn.FLOOR.MATH(VLOOKUP($B51&amp;$D51, 'NCAAT Simulations'!$C$2:$H$9999, 5,FALSE), 10))), "")</f>
        <v>-200</v>
      </c>
      <c r="J51" s="1">
        <f>_xlfn.IFNA(VLOOKUP($B51&amp;$D51, 'NCAAT Simulations'!$C$2:$I$9999, 7,FALSE), "")</f>
        <v>152.52375676954253</v>
      </c>
      <c r="K51" t="str">
        <f>IF(M51&gt;N51,B51,IF(N51&gt;M51,D51,""))</f>
        <v/>
      </c>
      <c r="L51" t="str">
        <f t="shared" si="0"/>
        <v/>
      </c>
      <c r="O51" t="str">
        <f t="shared" si="4"/>
        <v/>
      </c>
      <c r="P51" t="str">
        <f t="shared" si="5"/>
        <v/>
      </c>
      <c r="Q51" s="10" t="str">
        <f t="shared" si="6"/>
        <v/>
      </c>
      <c r="R51" s="10" t="str">
        <f t="shared" si="1"/>
        <v/>
      </c>
      <c r="S51" s="9" t="str">
        <f t="shared" si="2"/>
        <v/>
      </c>
      <c r="T51" s="9" t="str">
        <f t="shared" si="3"/>
        <v/>
      </c>
      <c r="U51" s="9"/>
    </row>
    <row r="52" spans="1:21" x14ac:dyDescent="0.45">
      <c r="A52">
        <v>3</v>
      </c>
      <c r="B52" t="s">
        <v>71</v>
      </c>
      <c r="C52">
        <v>6</v>
      </c>
      <c r="D52" t="s">
        <v>16</v>
      </c>
      <c r="E52" t="str">
        <f>_xlfn.IFNA(VLOOKUP($B52&amp;$D52, 'NCAAT Simulations'!$C$2:$H$9999, 2,FALSE), "")</f>
        <v>Wisconsin</v>
      </c>
      <c r="F52" s="5">
        <f>_xlfn.IFNA(IF(VLOOKUP($B52&amp;$D52, 'NCAAT Simulations'!$C$2:$H$9999, 3,FALSE)&lt;50,1-VLOOKUP($B52&amp;$D52, 'NCAAT Simulations'!$C$2:$H$9999, 3,FALSE)/100, VLOOKUP($B52&amp;$D52, 'NCAAT Simulations'!$C$2:$H$9999, 3,FALSE)/100), "")</f>
        <v>0.626</v>
      </c>
      <c r="G52" s="3">
        <f>_xlfn.IFNA(IF(ROUND(VLOOKUP($B52&amp;$D52, 'NCAAT Simulations'!$C$2:$H$9999, 4,FALSE), 1)&gt;0, _xlfn.CONCAT("+",ROUND(VLOOKUP($B52&amp;$D52, 'NCAAT Simulations'!$C$2:$H$9999, 4,FALSE), 1)), ROUND(VLOOKUP($B52&amp;$D52, 'NCAAT Simulations'!$C$2:$H$9999, 4,FALSE), 1)), "")</f>
        <v>-3.4</v>
      </c>
      <c r="H52" s="8">
        <f>IF(G52&lt;0,(VLOOKUP($B52&amp;$D52, 'NCAAT Simulations'!$C$2:$I$9999, 6,FALSE)/138.8)*G52, _xlfn.CONCAT("+", ROUND((VLOOKUP($B52&amp;$D52, 'NCAAT Simulations'!$C$2:$I$9999, 6,FALSE)/138.8)*G52, 1)))</f>
        <v>-3.4163049607874951</v>
      </c>
      <c r="I52" s="4">
        <f>_xlfn.IFNA(IF(ABS(VLOOKUP($B52&amp;$D52, 'NCAAT Simulations'!$C$2:$H$9999, 5,FALSE))&gt;10000,_xlfn.FLOOR.MATH(VLOOKUP($B52&amp;$D52, 'NCAAT Simulations'!$C$2:$H$9999, 5,FALSE), 1000), IF(ABS(VLOOKUP($B52&amp;$D52, 'NCAAT Simulations'!$C$2:$H$9999, 5,FALSE))&gt;1000,_xlfn.FLOOR.MATH(VLOOKUP($B52&amp;$D52, 'NCAAT Simulations'!$C$2:$H$9999, 5,FALSE), 100), _xlfn.FLOOR.MATH(VLOOKUP($B52&amp;$D52, 'NCAAT Simulations'!$C$2:$H$9999, 5,FALSE), 10))), "")</f>
        <v>-170</v>
      </c>
      <c r="J52" s="1">
        <f>_xlfn.IFNA(VLOOKUP($B52&amp;$D52, 'NCAAT Simulations'!$C$2:$I$9999, 7,FALSE), "")</f>
        <v>148.43716397734815</v>
      </c>
      <c r="K52" t="str">
        <f>IF(M52&gt;N52,B52,IF(N52&gt;M52,D52,""))</f>
        <v/>
      </c>
      <c r="L52" t="str">
        <f t="shared" si="0"/>
        <v/>
      </c>
      <c r="O52" t="str">
        <f t="shared" si="4"/>
        <v/>
      </c>
      <c r="P52" t="str">
        <f t="shared" si="5"/>
        <v/>
      </c>
      <c r="Q52" s="10" t="str">
        <f t="shared" si="6"/>
        <v/>
      </c>
      <c r="R52" s="10" t="str">
        <f t="shared" si="1"/>
        <v/>
      </c>
      <c r="S52" s="9" t="str">
        <f t="shared" si="2"/>
        <v/>
      </c>
      <c r="T52" s="9" t="str">
        <f t="shared" si="3"/>
        <v/>
      </c>
      <c r="U52" s="9"/>
    </row>
    <row r="53" spans="1:21" x14ac:dyDescent="0.45">
      <c r="A53">
        <v>2</v>
      </c>
      <c r="B53" t="s">
        <v>8</v>
      </c>
      <c r="C53">
        <v>7</v>
      </c>
      <c r="D53" t="s">
        <v>56</v>
      </c>
      <c r="E53" t="str">
        <f>_xlfn.IFNA(VLOOKUP($B53&amp;$D53, 'NCAAT Simulations'!$C$2:$H$9999, 2,FALSE), "")</f>
        <v>Alabama</v>
      </c>
      <c r="F53" s="5">
        <f>_xlfn.IFNA(IF(VLOOKUP($B53&amp;$D53, 'NCAAT Simulations'!$C$2:$H$9999, 3,FALSE)&lt;50,1-VLOOKUP($B53&amp;$D53, 'NCAAT Simulations'!$C$2:$H$9999, 3,FALSE)/100, VLOOKUP($B53&amp;$D53, 'NCAAT Simulations'!$C$2:$H$9999, 3,FALSE)/100), "")</f>
        <v>0.755</v>
      </c>
      <c r="G53" s="3">
        <f>_xlfn.IFNA(IF(ROUND(VLOOKUP($B53&amp;$D53, 'NCAAT Simulations'!$C$2:$H$9999, 4,FALSE), 1)&gt;0, _xlfn.CONCAT("+",ROUND(VLOOKUP($B53&amp;$D53, 'NCAAT Simulations'!$C$2:$H$9999, 4,FALSE), 1)), ROUND(VLOOKUP($B53&amp;$D53, 'NCAAT Simulations'!$C$2:$H$9999, 4,FALSE), 1)), "")</f>
        <v>-7.4</v>
      </c>
      <c r="H53" s="8">
        <f>IF(G53&lt;0,(VLOOKUP($B53&amp;$D53, 'NCAAT Simulations'!$C$2:$I$9999, 6,FALSE)/138.8)*G53, _xlfn.CONCAT("+", ROUND((VLOOKUP($B53&amp;$D53, 'NCAAT Simulations'!$C$2:$I$9999, 6,FALSE)/138.8)*G53, 1)))</f>
        <v>-7.4180773512483631</v>
      </c>
      <c r="I53" s="4">
        <f>_xlfn.IFNA(IF(ABS(VLOOKUP($B53&amp;$D53, 'NCAAT Simulations'!$C$2:$H$9999, 5,FALSE))&gt;10000,_xlfn.FLOOR.MATH(VLOOKUP($B53&amp;$D53, 'NCAAT Simulations'!$C$2:$H$9999, 5,FALSE), 1000), IF(ABS(VLOOKUP($B53&amp;$D53, 'NCAAT Simulations'!$C$2:$H$9999, 5,FALSE))&gt;1000,_xlfn.FLOOR.MATH(VLOOKUP($B53&amp;$D53, 'NCAAT Simulations'!$C$2:$H$9999, 5,FALSE), 100), _xlfn.FLOOR.MATH(VLOOKUP($B53&amp;$D53, 'NCAAT Simulations'!$C$2:$H$9999, 5,FALSE), 10))), "")</f>
        <v>-310</v>
      </c>
      <c r="J53" s="1">
        <f>_xlfn.IFNA(VLOOKUP($B53&amp;$D53, 'NCAAT Simulations'!$C$2:$I$9999, 7,FALSE), "")</f>
        <v>143.85179167700556</v>
      </c>
      <c r="K53" t="str">
        <f>IF(M53&gt;N53,B53,IF(N53&gt;M53,D53,""))</f>
        <v/>
      </c>
      <c r="L53" t="str">
        <f t="shared" si="0"/>
        <v/>
      </c>
      <c r="O53" t="str">
        <f t="shared" si="4"/>
        <v/>
      </c>
      <c r="P53" t="str">
        <f t="shared" si="5"/>
        <v/>
      </c>
      <c r="Q53" s="10" t="str">
        <f t="shared" si="6"/>
        <v/>
      </c>
      <c r="R53" s="10" t="str">
        <f t="shared" si="1"/>
        <v/>
      </c>
      <c r="S53" s="9" t="str">
        <f t="shared" si="2"/>
        <v/>
      </c>
      <c r="T53" s="9" t="str">
        <f t="shared" si="3"/>
        <v/>
      </c>
      <c r="U53" s="9"/>
    </row>
    <row r="54" spans="1:21" x14ac:dyDescent="0.45">
      <c r="A54">
        <v>1</v>
      </c>
      <c r="B54" t="s">
        <v>13</v>
      </c>
      <c r="C54">
        <v>4</v>
      </c>
      <c r="D54" t="s">
        <v>62</v>
      </c>
      <c r="E54" t="str">
        <f>_xlfn.IFNA(VLOOKUP($B54&amp;$D54, 'NCAAT Simulations'!$C$2:$H$9999, 2,FALSE), "")</f>
        <v>Auburn</v>
      </c>
      <c r="F54" s="5">
        <f>_xlfn.IFNA(IF(VLOOKUP($B54&amp;$D54, 'NCAAT Simulations'!$C$2:$H$9999, 3,FALSE)&lt;50,1-VLOOKUP($B54&amp;$D54, 'NCAAT Simulations'!$C$2:$H$9999, 3,FALSE)/100, VLOOKUP($B54&amp;$D54, 'NCAAT Simulations'!$C$2:$H$9999, 3,FALSE)/100), "")</f>
        <v>0.80500000000000005</v>
      </c>
      <c r="G54" s="3">
        <f>_xlfn.IFNA(IF(ROUND(VLOOKUP($B54&amp;$D54, 'NCAAT Simulations'!$C$2:$H$9999, 4,FALSE), 1)&gt;0, _xlfn.CONCAT("+",ROUND(VLOOKUP($B54&amp;$D54, 'NCAAT Simulations'!$C$2:$H$9999, 4,FALSE), 1)), ROUND(VLOOKUP($B54&amp;$D54, 'NCAAT Simulations'!$C$2:$H$9999, 4,FALSE), 1)), "")</f>
        <v>-9.3000000000000007</v>
      </c>
      <c r="H54" s="8">
        <f>IF(G54&lt;0,(VLOOKUP($B54&amp;$D54, 'NCAAT Simulations'!$C$2:$I$9999, 6,FALSE)/138.8)*G54, _xlfn.CONCAT("+", ROUND((VLOOKUP($B54&amp;$D54, 'NCAAT Simulations'!$C$2:$I$9999, 6,FALSE)/138.8)*G54, 1)))</f>
        <v>-9.4331873509976099</v>
      </c>
      <c r="I54" s="4">
        <f>_xlfn.IFNA(IF(ABS(VLOOKUP($B54&amp;$D54, 'NCAAT Simulations'!$C$2:$H$9999, 5,FALSE))&gt;10000,_xlfn.FLOOR.MATH(VLOOKUP($B54&amp;$D54, 'NCAAT Simulations'!$C$2:$H$9999, 5,FALSE), 1000), IF(ABS(VLOOKUP($B54&amp;$D54, 'NCAAT Simulations'!$C$2:$H$9999, 5,FALSE))&gt;1000,_xlfn.FLOOR.MATH(VLOOKUP($B54&amp;$D54, 'NCAAT Simulations'!$C$2:$H$9999, 5,FALSE), 100), _xlfn.FLOOR.MATH(VLOOKUP($B54&amp;$D54, 'NCAAT Simulations'!$C$2:$H$9999, 5,FALSE), 10))), "")</f>
        <v>-420</v>
      </c>
      <c r="J54" s="1">
        <f>_xlfn.IFNA(VLOOKUP($B54&amp;$D54, 'NCAAT Simulations'!$C$2:$I$9999, 7,FALSE), "")</f>
        <v>167.00254973723</v>
      </c>
      <c r="K54" t="str">
        <f>IF(M54&gt;N54,B54,IF(N54&gt;M54,D54,""))</f>
        <v/>
      </c>
      <c r="L54" t="str">
        <f t="shared" si="0"/>
        <v/>
      </c>
      <c r="O54" t="str">
        <f t="shared" si="4"/>
        <v/>
      </c>
      <c r="P54" t="str">
        <f t="shared" si="5"/>
        <v/>
      </c>
      <c r="Q54" s="10" t="str">
        <f t="shared" si="6"/>
        <v/>
      </c>
      <c r="R54" s="10" t="str">
        <f t="shared" si="1"/>
        <v/>
      </c>
      <c r="S54" s="9" t="str">
        <f t="shared" si="2"/>
        <v/>
      </c>
      <c r="T54" s="9" t="str">
        <f t="shared" si="3"/>
        <v/>
      </c>
      <c r="U54" s="9"/>
    </row>
    <row r="55" spans="1:21" x14ac:dyDescent="0.45">
      <c r="A55">
        <v>2</v>
      </c>
      <c r="B55" t="s">
        <v>41</v>
      </c>
      <c r="C55">
        <v>3</v>
      </c>
      <c r="D55" t="s">
        <v>30</v>
      </c>
      <c r="E55" t="str">
        <f>_xlfn.IFNA(VLOOKUP($B55&amp;$D55, 'NCAAT Simulations'!$C$2:$H$9999, 2,FALSE), "")</f>
        <v>Iowa St.</v>
      </c>
      <c r="F55" s="5">
        <f>_xlfn.IFNA(IF(VLOOKUP($B55&amp;$D55, 'NCAAT Simulations'!$C$2:$H$9999, 3,FALSE)&lt;50,1-VLOOKUP($B55&amp;$D55, 'NCAAT Simulations'!$C$2:$H$9999, 3,FALSE)/100, VLOOKUP($B55&amp;$D55, 'NCAAT Simulations'!$C$2:$H$9999, 3,FALSE)/100), "")</f>
        <v>0.68900000000000006</v>
      </c>
      <c r="G55" s="3" t="str">
        <f>_xlfn.IFNA(IF(ROUND(VLOOKUP($B55&amp;$D55, 'NCAAT Simulations'!$C$2:$H$9999, 4,FALSE), 1)&gt;0, _xlfn.CONCAT("+",ROUND(VLOOKUP($B55&amp;$D55, 'NCAAT Simulations'!$C$2:$H$9999, 4,FALSE), 1)), ROUND(VLOOKUP($B55&amp;$D55, 'NCAAT Simulations'!$C$2:$H$9999, 4,FALSE), 1)), "")</f>
        <v>+5.2</v>
      </c>
      <c r="H55" s="8" t="str">
        <f>IF(G55&lt;0,(VLOOKUP($B55&amp;$D55, 'NCAAT Simulations'!$C$2:$I$9999, 6,FALSE)/138.8)*G55, _xlfn.CONCAT("+", ROUND((VLOOKUP($B55&amp;$D55, 'NCAAT Simulations'!$C$2:$I$9999, 6,FALSE)/138.8)*G55, 1)))</f>
        <v>+5.2</v>
      </c>
      <c r="I55" s="4">
        <f>_xlfn.IFNA(IF(ABS(VLOOKUP($B55&amp;$D55, 'NCAAT Simulations'!$C$2:$H$9999, 5,FALSE))&gt;10000,_xlfn.FLOOR.MATH(VLOOKUP($B55&amp;$D55, 'NCAAT Simulations'!$C$2:$H$9999, 5,FALSE), 1000), IF(ABS(VLOOKUP($B55&amp;$D55, 'NCAAT Simulations'!$C$2:$H$9999, 5,FALSE))&gt;1000,_xlfn.FLOOR.MATH(VLOOKUP($B55&amp;$D55, 'NCAAT Simulations'!$C$2:$H$9999, 5,FALSE), 100), _xlfn.FLOOR.MATH(VLOOKUP($B55&amp;$D55, 'NCAAT Simulations'!$C$2:$H$9999, 5,FALSE), 10))), "")</f>
        <v>220</v>
      </c>
      <c r="J55" s="1">
        <f>_xlfn.IFNA(VLOOKUP($B55&amp;$D55, 'NCAAT Simulations'!$C$2:$I$9999, 7,FALSE), "")</f>
        <v>125.28746206728908</v>
      </c>
      <c r="K55" t="str">
        <f>IF(M55&gt;N55,B55,IF(N55&gt;M55,D55,""))</f>
        <v/>
      </c>
      <c r="L55" t="str">
        <f t="shared" si="0"/>
        <v/>
      </c>
      <c r="O55" t="str">
        <f t="shared" si="4"/>
        <v/>
      </c>
      <c r="P55" t="str">
        <f t="shared" si="5"/>
        <v/>
      </c>
      <c r="Q55" s="10" t="str">
        <f t="shared" si="6"/>
        <v/>
      </c>
      <c r="R55" s="10" t="str">
        <f t="shared" si="1"/>
        <v/>
      </c>
      <c r="S55" s="9" t="str">
        <f t="shared" si="2"/>
        <v/>
      </c>
      <c r="T55" s="9" t="str">
        <f t="shared" si="3"/>
        <v/>
      </c>
      <c r="U55" s="9"/>
    </row>
    <row r="56" spans="1:21" x14ac:dyDescent="0.45">
      <c r="A56">
        <v>1</v>
      </c>
      <c r="B56" t="s">
        <v>23</v>
      </c>
      <c r="C56">
        <v>4</v>
      </c>
      <c r="D56" t="s">
        <v>37</v>
      </c>
      <c r="E56" t="str">
        <f>_xlfn.IFNA(VLOOKUP($B56&amp;$D56, 'NCAAT Simulations'!$C$2:$H$9999, 2,FALSE), "")</f>
        <v>Florida</v>
      </c>
      <c r="F56" s="5">
        <f>_xlfn.IFNA(IF(VLOOKUP($B56&amp;$D56, 'NCAAT Simulations'!$C$2:$H$9999, 3,FALSE)&lt;50,1-VLOOKUP($B56&amp;$D56, 'NCAAT Simulations'!$C$2:$H$9999, 3,FALSE)/100, VLOOKUP($B56&amp;$D56, 'NCAAT Simulations'!$C$2:$H$9999, 3,FALSE)/100), "")</f>
        <v>0.82200000000000006</v>
      </c>
      <c r="G56" s="3">
        <f>_xlfn.IFNA(IF(ROUND(VLOOKUP($B56&amp;$D56, 'NCAAT Simulations'!$C$2:$H$9999, 4,FALSE), 1)&gt;0, _xlfn.CONCAT("+",ROUND(VLOOKUP($B56&amp;$D56, 'NCAAT Simulations'!$C$2:$H$9999, 4,FALSE), 1)), ROUND(VLOOKUP($B56&amp;$D56, 'NCAAT Simulations'!$C$2:$H$9999, 4,FALSE), 1)), "")</f>
        <v>-10</v>
      </c>
      <c r="H56" s="8">
        <f>IF(G56&lt;0,(VLOOKUP($B56&amp;$D56, 'NCAAT Simulations'!$C$2:$I$9999, 6,FALSE)/138.8)*G56, _xlfn.CONCAT("+", ROUND((VLOOKUP($B56&amp;$D56, 'NCAAT Simulations'!$C$2:$I$9999, 6,FALSE)/138.8)*G56, 1)))</f>
        <v>-10.141000933974421</v>
      </c>
      <c r="I56" s="4">
        <f>_xlfn.IFNA(IF(ABS(VLOOKUP($B56&amp;$D56, 'NCAAT Simulations'!$C$2:$H$9999, 5,FALSE))&gt;10000,_xlfn.FLOOR.MATH(VLOOKUP($B56&amp;$D56, 'NCAAT Simulations'!$C$2:$H$9999, 5,FALSE), 1000), IF(ABS(VLOOKUP($B56&amp;$D56, 'NCAAT Simulations'!$C$2:$H$9999, 5,FALSE))&gt;1000,_xlfn.FLOOR.MATH(VLOOKUP($B56&amp;$D56, 'NCAAT Simulations'!$C$2:$H$9999, 5,FALSE), 100), _xlfn.FLOOR.MATH(VLOOKUP($B56&amp;$D56, 'NCAAT Simulations'!$C$2:$H$9999, 5,FALSE), 10))), "")</f>
        <v>-470</v>
      </c>
      <c r="J56" s="1">
        <f>_xlfn.IFNA(VLOOKUP($B56&amp;$D56, 'NCAAT Simulations'!$C$2:$I$9999, 7,FALSE), "")</f>
        <v>166.57157512533897</v>
      </c>
      <c r="K56" t="str">
        <f>IF(M56&gt;N56,B56,IF(N56&gt;M56,D56,""))</f>
        <v/>
      </c>
      <c r="L56" t="str">
        <f t="shared" si="0"/>
        <v/>
      </c>
      <c r="O56" t="str">
        <f t="shared" si="4"/>
        <v/>
      </c>
      <c r="P56" t="str">
        <f t="shared" si="5"/>
        <v/>
      </c>
      <c r="Q56" s="10" t="str">
        <f t="shared" si="6"/>
        <v/>
      </c>
      <c r="R56" s="10" t="str">
        <f t="shared" si="1"/>
        <v/>
      </c>
      <c r="S56" s="9" t="str">
        <f t="shared" si="2"/>
        <v/>
      </c>
      <c r="T56" s="9" t="str">
        <f t="shared" si="3"/>
        <v/>
      </c>
      <c r="U56" s="9"/>
    </row>
    <row r="57" spans="1:21" x14ac:dyDescent="0.45">
      <c r="A57">
        <v>2</v>
      </c>
      <c r="B57" t="s">
        <v>59</v>
      </c>
      <c r="C57">
        <v>3</v>
      </c>
      <c r="D57" t="s">
        <v>63</v>
      </c>
      <c r="E57" t="str">
        <f>_xlfn.IFNA(VLOOKUP($B57&amp;$D57, 'NCAAT Simulations'!$C$2:$H$9999, 2,FALSE), "")</f>
        <v>Texas Tech</v>
      </c>
      <c r="F57" s="5">
        <f>_xlfn.IFNA(IF(VLOOKUP($B57&amp;$D57, 'NCAAT Simulations'!$C$2:$H$9999, 3,FALSE)&lt;50,1-VLOOKUP($B57&amp;$D57, 'NCAAT Simulations'!$C$2:$H$9999, 3,FALSE)/100, VLOOKUP($B57&amp;$D57, 'NCAAT Simulations'!$C$2:$H$9999, 3,FALSE)/100), "")</f>
        <v>0.58200000000000007</v>
      </c>
      <c r="G57" s="3" t="str">
        <f>_xlfn.IFNA(IF(ROUND(VLOOKUP($B57&amp;$D57, 'NCAAT Simulations'!$C$2:$H$9999, 4,FALSE), 1)&gt;0, _xlfn.CONCAT("+",ROUND(VLOOKUP($B57&amp;$D57, 'NCAAT Simulations'!$C$2:$H$9999, 4,FALSE), 1)), ROUND(VLOOKUP($B57&amp;$D57, 'NCAAT Simulations'!$C$2:$H$9999, 4,FALSE), 1)), "")</f>
        <v>+2.2</v>
      </c>
      <c r="H57" s="8" t="str">
        <f>IF(G57&lt;0,(VLOOKUP($B57&amp;$D57, 'NCAAT Simulations'!$C$2:$I$9999, 6,FALSE)/138.8)*G57, _xlfn.CONCAT("+", ROUND((VLOOKUP($B57&amp;$D57, 'NCAAT Simulations'!$C$2:$I$9999, 6,FALSE)/138.8)*G57, 1)))</f>
        <v>+2.2</v>
      </c>
      <c r="I57" s="4">
        <f>_xlfn.IFNA(IF(ABS(VLOOKUP($B57&amp;$D57, 'NCAAT Simulations'!$C$2:$H$9999, 5,FALSE))&gt;10000,_xlfn.FLOOR.MATH(VLOOKUP($B57&amp;$D57, 'NCAAT Simulations'!$C$2:$H$9999, 5,FALSE), 1000), IF(ABS(VLOOKUP($B57&amp;$D57, 'NCAAT Simulations'!$C$2:$H$9999, 5,FALSE))&gt;1000,_xlfn.FLOOR.MATH(VLOOKUP($B57&amp;$D57, 'NCAAT Simulations'!$C$2:$H$9999, 5,FALSE), 100), _xlfn.FLOOR.MATH(VLOOKUP($B57&amp;$D57, 'NCAAT Simulations'!$C$2:$H$9999, 5,FALSE), 10))), "")</f>
        <v>130</v>
      </c>
      <c r="J57" s="1">
        <f>_xlfn.IFNA(VLOOKUP($B57&amp;$D57, 'NCAAT Simulations'!$C$2:$I$9999, 7,FALSE), "")</f>
        <v>134.97799721834977</v>
      </c>
      <c r="K57" t="str">
        <f>IF(M57&gt;N57,B57,IF(N57&gt;M57,D57,""))</f>
        <v/>
      </c>
      <c r="L57" t="str">
        <f t="shared" si="0"/>
        <v/>
      </c>
      <c r="O57" t="str">
        <f t="shared" si="4"/>
        <v/>
      </c>
      <c r="P57" t="str">
        <f t="shared" si="5"/>
        <v/>
      </c>
      <c r="Q57" s="10" t="str">
        <f t="shared" si="6"/>
        <v/>
      </c>
      <c r="R57" s="10" t="str">
        <f t="shared" si="1"/>
        <v/>
      </c>
      <c r="S57" s="9" t="str">
        <f t="shared" si="2"/>
        <v/>
      </c>
      <c r="T57" s="9" t="str">
        <f t="shared" si="3"/>
        <v/>
      </c>
      <c r="U57" s="9"/>
    </row>
    <row r="58" spans="1:21" x14ac:dyDescent="0.45">
      <c r="A58">
        <v>1</v>
      </c>
      <c r="B58" t="s">
        <v>28</v>
      </c>
      <c r="C58">
        <v>4</v>
      </c>
      <c r="D58" t="s">
        <v>53</v>
      </c>
      <c r="E58" t="str">
        <f>_xlfn.IFNA(VLOOKUP($B58&amp;$D58, 'NCAAT Simulations'!$C$2:$H$9999, 2,FALSE), "")</f>
        <v>Houston</v>
      </c>
      <c r="F58" s="5">
        <f>_xlfn.IFNA(IF(VLOOKUP($B58&amp;$D58, 'NCAAT Simulations'!$C$2:$H$9999, 3,FALSE)&lt;50,1-VLOOKUP($B58&amp;$D58, 'NCAAT Simulations'!$C$2:$H$9999, 3,FALSE)/100, VLOOKUP($B58&amp;$D58, 'NCAAT Simulations'!$C$2:$H$9999, 3,FALSE)/100), "")</f>
        <v>0.71</v>
      </c>
      <c r="G58" s="3">
        <f>_xlfn.IFNA(IF(ROUND(VLOOKUP($B58&amp;$D58, 'NCAAT Simulations'!$C$2:$H$9999, 4,FALSE), 1)&gt;0, _xlfn.CONCAT("+",ROUND(VLOOKUP($B58&amp;$D58, 'NCAAT Simulations'!$C$2:$H$9999, 4,FALSE), 1)), ROUND(VLOOKUP($B58&amp;$D58, 'NCAAT Simulations'!$C$2:$H$9999, 4,FALSE), 1)), "")</f>
        <v>-5.9</v>
      </c>
      <c r="H58" s="8">
        <f>IF(G58&lt;0,(VLOOKUP($B58&amp;$D58, 'NCAAT Simulations'!$C$2:$I$9999, 6,FALSE)/138.8)*G58, _xlfn.CONCAT("+", ROUND((VLOOKUP($B58&amp;$D58, 'NCAAT Simulations'!$C$2:$I$9999, 6,FALSE)/138.8)*G58, 1)))</f>
        <v>-5.9517912547911616</v>
      </c>
      <c r="I58" s="4">
        <f>_xlfn.IFNA(IF(ABS(VLOOKUP($B58&amp;$D58, 'NCAAT Simulations'!$C$2:$H$9999, 5,FALSE))&gt;10000,_xlfn.FLOOR.MATH(VLOOKUP($B58&amp;$D58, 'NCAAT Simulations'!$C$2:$H$9999, 5,FALSE), 1000), IF(ABS(VLOOKUP($B58&amp;$D58, 'NCAAT Simulations'!$C$2:$H$9999, 5,FALSE))&gt;1000,_xlfn.FLOOR.MATH(VLOOKUP($B58&amp;$D58, 'NCAAT Simulations'!$C$2:$H$9999, 5,FALSE), 100), _xlfn.FLOOR.MATH(VLOOKUP($B58&amp;$D58, 'NCAAT Simulations'!$C$2:$H$9999, 5,FALSE), 10))), "")</f>
        <v>-250</v>
      </c>
      <c r="J58" s="1">
        <f>_xlfn.IFNA(VLOOKUP($B58&amp;$D58, 'NCAAT Simulations'!$C$2:$I$9999, 7,FALSE), "")</f>
        <v>156.19921609137518</v>
      </c>
      <c r="K58" t="str">
        <f>IF(M58&gt;N58,B58,IF(N58&gt;M58,D58,""))</f>
        <v/>
      </c>
      <c r="L58" t="str">
        <f t="shared" si="0"/>
        <v/>
      </c>
      <c r="O58" t="str">
        <f t="shared" si="4"/>
        <v/>
      </c>
      <c r="P58" t="str">
        <f t="shared" si="5"/>
        <v/>
      </c>
      <c r="Q58" s="10" t="str">
        <f t="shared" si="6"/>
        <v/>
      </c>
      <c r="R58" s="10" t="str">
        <f t="shared" si="1"/>
        <v/>
      </c>
      <c r="S58" s="9" t="str">
        <f t="shared" si="2"/>
        <v/>
      </c>
      <c r="T58" s="9" t="str">
        <f t="shared" si="3"/>
        <v/>
      </c>
      <c r="U58" s="9"/>
    </row>
    <row r="59" spans="1:21" x14ac:dyDescent="0.45">
      <c r="A59">
        <v>2</v>
      </c>
      <c r="B59" t="s">
        <v>60</v>
      </c>
      <c r="C59">
        <v>6</v>
      </c>
      <c r="D59" t="s">
        <v>29</v>
      </c>
      <c r="E59" t="str">
        <f>_xlfn.IFNA(VLOOKUP($B59&amp;$D59, 'NCAAT Simulations'!$C$2:$H$9999, 2,FALSE), "")</f>
        <v>Tennessee</v>
      </c>
      <c r="F59" s="5">
        <f>_xlfn.IFNA(IF(VLOOKUP($B59&amp;$D59, 'NCAAT Simulations'!$C$2:$H$9999, 3,FALSE)&lt;50,1-VLOOKUP($B59&amp;$D59, 'NCAAT Simulations'!$C$2:$H$9999, 3,FALSE)/100, VLOOKUP($B59&amp;$D59, 'NCAAT Simulations'!$C$2:$H$9999, 3,FALSE)/100), "")</f>
        <v>0.69400000000000006</v>
      </c>
      <c r="G59" s="3">
        <f>_xlfn.IFNA(IF(ROUND(VLOOKUP($B59&amp;$D59, 'NCAAT Simulations'!$C$2:$H$9999, 4,FALSE), 1)&gt;0, _xlfn.CONCAT("+",ROUND(VLOOKUP($B59&amp;$D59, 'NCAAT Simulations'!$C$2:$H$9999, 4,FALSE), 1)), ROUND(VLOOKUP($B59&amp;$D59, 'NCAAT Simulations'!$C$2:$H$9999, 4,FALSE), 1)), "")</f>
        <v>-5.4</v>
      </c>
      <c r="H59" s="8">
        <f>IF(G59&lt;0,(VLOOKUP($B59&amp;$D59, 'NCAAT Simulations'!$C$2:$I$9999, 6,FALSE)/138.8)*G59, _xlfn.CONCAT("+", ROUND((VLOOKUP($B59&amp;$D59, 'NCAAT Simulations'!$C$2:$I$9999, 6,FALSE)/138.8)*G59, 1)))</f>
        <v>-5.4421815029581815</v>
      </c>
      <c r="I59" s="4">
        <f>_xlfn.IFNA(IF(ABS(VLOOKUP($B59&amp;$D59, 'NCAAT Simulations'!$C$2:$H$9999, 5,FALSE))&gt;10000,_xlfn.FLOOR.MATH(VLOOKUP($B59&amp;$D59, 'NCAAT Simulations'!$C$2:$H$9999, 5,FALSE), 1000), IF(ABS(VLOOKUP($B59&amp;$D59, 'NCAAT Simulations'!$C$2:$H$9999, 5,FALSE))&gt;1000,_xlfn.FLOOR.MATH(VLOOKUP($B59&amp;$D59, 'NCAAT Simulations'!$C$2:$H$9999, 5,FALSE), 100), _xlfn.FLOOR.MATH(VLOOKUP($B59&amp;$D59, 'NCAAT Simulations'!$C$2:$H$9999, 5,FALSE), 10))), "")</f>
        <v>-230</v>
      </c>
      <c r="J59" s="1">
        <f>_xlfn.IFNA(VLOOKUP($B59&amp;$D59, 'NCAAT Simulations'!$C$2:$I$9999, 7,FALSE), "")</f>
        <v>154.31495321283677</v>
      </c>
      <c r="K59" t="str">
        <f>IF(M59&gt;N59,B59,IF(N59&gt;M59,D59,""))</f>
        <v/>
      </c>
      <c r="L59" t="str">
        <f t="shared" si="0"/>
        <v/>
      </c>
      <c r="O59" t="str">
        <f t="shared" si="4"/>
        <v/>
      </c>
      <c r="P59" t="str">
        <f t="shared" si="5"/>
        <v/>
      </c>
      <c r="Q59" s="10" t="str">
        <f t="shared" si="6"/>
        <v/>
      </c>
      <c r="R59" s="10" t="str">
        <f t="shared" si="1"/>
        <v/>
      </c>
      <c r="S59" s="9" t="str">
        <f t="shared" si="2"/>
        <v/>
      </c>
      <c r="T59" s="9" t="str">
        <f t="shared" si="3"/>
        <v/>
      </c>
      <c r="U59" s="9"/>
    </row>
    <row r="60" spans="1:21" x14ac:dyDescent="0.45">
      <c r="A60">
        <v>1</v>
      </c>
      <c r="B60" t="s">
        <v>22</v>
      </c>
      <c r="C60">
        <v>4</v>
      </c>
      <c r="D60" t="s">
        <v>11</v>
      </c>
      <c r="E60" t="str">
        <f>_xlfn.IFNA(VLOOKUP($B60&amp;$D60, 'NCAAT Simulations'!$C$2:$H$9999, 2,FALSE), "")</f>
        <v>Duke</v>
      </c>
      <c r="F60" s="5">
        <f>_xlfn.IFNA(IF(VLOOKUP($B60&amp;$D60, 'NCAAT Simulations'!$C$2:$H$9999, 3,FALSE)&lt;50,1-VLOOKUP($B60&amp;$D60, 'NCAAT Simulations'!$C$2:$H$9999, 3,FALSE)/100, VLOOKUP($B60&amp;$D60, 'NCAAT Simulations'!$C$2:$H$9999, 3,FALSE)/100), "")</f>
        <v>0.747</v>
      </c>
      <c r="G60" s="3">
        <f>_xlfn.IFNA(IF(ROUND(VLOOKUP($B60&amp;$D60, 'NCAAT Simulations'!$C$2:$H$9999, 4,FALSE), 1)&gt;0, _xlfn.CONCAT("+",ROUND(VLOOKUP($B60&amp;$D60, 'NCAAT Simulations'!$C$2:$H$9999, 4,FALSE), 1)), ROUND(VLOOKUP($B60&amp;$D60, 'NCAAT Simulations'!$C$2:$H$9999, 4,FALSE), 1)), "")</f>
        <v>-7.1</v>
      </c>
      <c r="H60" s="8">
        <f>IF(G60&lt;0,(VLOOKUP($B60&amp;$D60, 'NCAAT Simulations'!$C$2:$I$9999, 6,FALSE)/138.8)*G60, _xlfn.CONCAT("+", ROUND((VLOOKUP($B60&amp;$D60, 'NCAAT Simulations'!$C$2:$I$9999, 6,FALSE)/138.8)*G60, 1)))</f>
        <v>-7.1833453797435487</v>
      </c>
      <c r="I60" s="4">
        <f>_xlfn.IFNA(IF(ABS(VLOOKUP($B60&amp;$D60, 'NCAAT Simulations'!$C$2:$H$9999, 5,FALSE))&gt;10000,_xlfn.FLOOR.MATH(VLOOKUP($B60&amp;$D60, 'NCAAT Simulations'!$C$2:$H$9999, 5,FALSE), 1000), IF(ABS(VLOOKUP($B60&amp;$D60, 'NCAAT Simulations'!$C$2:$H$9999, 5,FALSE))&gt;1000,_xlfn.FLOOR.MATH(VLOOKUP($B60&amp;$D60, 'NCAAT Simulations'!$C$2:$H$9999, 5,FALSE), 100), _xlfn.FLOOR.MATH(VLOOKUP($B60&amp;$D60, 'NCAAT Simulations'!$C$2:$H$9999, 5,FALSE), 10))), "")</f>
        <v>-300</v>
      </c>
      <c r="J60" s="1">
        <f>_xlfn.IFNA(VLOOKUP($B60&amp;$D60, 'NCAAT Simulations'!$C$2:$I$9999, 7,FALSE), "")</f>
        <v>161.96941009279925</v>
      </c>
      <c r="K60" t="str">
        <f>IF(M60&gt;N60,B60,IF(N60&gt;M60,D60,""))</f>
        <v/>
      </c>
      <c r="L60" t="str">
        <f t="shared" si="0"/>
        <v/>
      </c>
      <c r="O60" t="str">
        <f t="shared" si="4"/>
        <v/>
      </c>
      <c r="P60" t="str">
        <f t="shared" si="5"/>
        <v/>
      </c>
      <c r="Q60" s="10" t="str">
        <f t="shared" si="6"/>
        <v/>
      </c>
      <c r="R60" s="10" t="str">
        <f t="shared" si="1"/>
        <v/>
      </c>
      <c r="S60" s="9" t="str">
        <f t="shared" si="2"/>
        <v/>
      </c>
      <c r="T60" s="9" t="str">
        <f t="shared" si="3"/>
        <v/>
      </c>
      <c r="U60" s="9"/>
    </row>
    <row r="61" spans="1:21" x14ac:dyDescent="0.45">
      <c r="A61">
        <v>2</v>
      </c>
      <c r="B61" t="s">
        <v>8</v>
      </c>
      <c r="C61">
        <v>3</v>
      </c>
      <c r="D61" t="s">
        <v>16</v>
      </c>
      <c r="E61" t="str">
        <f>_xlfn.IFNA(VLOOKUP($B61&amp;$D61, 'NCAAT Simulations'!$C$2:$H$9999, 2,FALSE), "")</f>
        <v>Alabama</v>
      </c>
      <c r="F61" s="5">
        <f>_xlfn.IFNA(IF(VLOOKUP($B61&amp;$D61, 'NCAAT Simulations'!$C$2:$H$9999, 3,FALSE)&lt;50,1-VLOOKUP($B61&amp;$D61, 'NCAAT Simulations'!$C$2:$H$9999, 3,FALSE)/100, VLOOKUP($B61&amp;$D61, 'NCAAT Simulations'!$C$2:$H$9999, 3,FALSE)/100), "")</f>
        <v>0.75</v>
      </c>
      <c r="G61" s="3">
        <f>_xlfn.IFNA(IF(ROUND(VLOOKUP($B61&amp;$D61, 'NCAAT Simulations'!$C$2:$H$9999, 4,FALSE), 1)&gt;0, _xlfn.CONCAT("+",ROUND(VLOOKUP($B61&amp;$D61, 'NCAAT Simulations'!$C$2:$H$9999, 4,FALSE), 1)), ROUND(VLOOKUP($B61&amp;$D61, 'NCAAT Simulations'!$C$2:$H$9999, 4,FALSE), 1)), "")</f>
        <v>-7.2</v>
      </c>
      <c r="H61" s="8">
        <f>IF(G61&lt;0,(VLOOKUP($B61&amp;$D61, 'NCAAT Simulations'!$C$2:$I$9999, 6,FALSE)/138.8)*G61, _xlfn.CONCAT("+", ROUND((VLOOKUP($B61&amp;$D61, 'NCAAT Simulations'!$C$2:$I$9999, 6,FALSE)/138.8)*G61, 1)))</f>
        <v>-7.2378789007270719</v>
      </c>
      <c r="I61" s="4">
        <f>_xlfn.IFNA(IF(ABS(VLOOKUP($B61&amp;$D61, 'NCAAT Simulations'!$C$2:$H$9999, 5,FALSE))&gt;10000,_xlfn.FLOOR.MATH(VLOOKUP($B61&amp;$D61, 'NCAAT Simulations'!$C$2:$H$9999, 5,FALSE), 1000), IF(ABS(VLOOKUP($B61&amp;$D61, 'NCAAT Simulations'!$C$2:$H$9999, 5,FALSE))&gt;1000,_xlfn.FLOOR.MATH(VLOOKUP($B61&amp;$D61, 'NCAAT Simulations'!$C$2:$H$9999, 5,FALSE), 100), _xlfn.FLOOR.MATH(VLOOKUP($B61&amp;$D61, 'NCAAT Simulations'!$C$2:$H$9999, 5,FALSE), 10))), "")</f>
        <v>-300</v>
      </c>
      <c r="J61" s="1">
        <f>_xlfn.IFNA(VLOOKUP($B61&amp;$D61, 'NCAAT Simulations'!$C$2:$I$9999, 7,FALSE), "")</f>
        <v>149.34418837714139</v>
      </c>
      <c r="K61" t="str">
        <f>IF(M61&gt;N61,B61,IF(N61&gt;M61,D61,""))</f>
        <v/>
      </c>
      <c r="L61" t="str">
        <f t="shared" si="0"/>
        <v/>
      </c>
      <c r="O61" t="str">
        <f t="shared" si="4"/>
        <v/>
      </c>
      <c r="P61" t="str">
        <f t="shared" si="5"/>
        <v/>
      </c>
      <c r="Q61" s="10" t="str">
        <f t="shared" si="6"/>
        <v/>
      </c>
      <c r="R61" s="10" t="str">
        <f t="shared" si="1"/>
        <v/>
      </c>
      <c r="S61" s="9" t="str">
        <f t="shared" si="2"/>
        <v/>
      </c>
      <c r="T61" s="9" t="str">
        <f t="shared" si="3"/>
        <v/>
      </c>
      <c r="U61" s="9"/>
    </row>
    <row r="62" spans="1:21" x14ac:dyDescent="0.45">
      <c r="A62">
        <v>1</v>
      </c>
      <c r="B62" t="s">
        <v>13</v>
      </c>
      <c r="C62">
        <v>3</v>
      </c>
      <c r="D62" t="s">
        <v>30</v>
      </c>
      <c r="E62" t="str">
        <f>_xlfn.IFNA(VLOOKUP($B62&amp;$D62, 'NCAAT Simulations'!$C$2:$H$9999, 2,FALSE), "")</f>
        <v>Auburn</v>
      </c>
      <c r="F62" s="5">
        <f>_xlfn.IFNA(IF(VLOOKUP($B62&amp;$D62, 'NCAAT Simulations'!$C$2:$H$9999, 3,FALSE)&lt;50,1-VLOOKUP($B62&amp;$D62, 'NCAAT Simulations'!$C$2:$H$9999, 3,FALSE)/100, VLOOKUP($B62&amp;$D62, 'NCAAT Simulations'!$C$2:$H$9999, 3,FALSE)/100), "")</f>
        <v>0.59200000000000008</v>
      </c>
      <c r="G62" s="3">
        <f>_xlfn.IFNA(IF(ROUND(VLOOKUP($B62&amp;$D62, 'NCAAT Simulations'!$C$2:$H$9999, 4,FALSE), 1)&gt;0, _xlfn.CONCAT("+",ROUND(VLOOKUP($B62&amp;$D62, 'NCAAT Simulations'!$C$2:$H$9999, 4,FALSE), 1)), ROUND(VLOOKUP($B62&amp;$D62, 'NCAAT Simulations'!$C$2:$H$9999, 4,FALSE), 1)), "")</f>
        <v>-2.4</v>
      </c>
      <c r="H62" s="8">
        <f>IF(G62&lt;0,(VLOOKUP($B62&amp;$D62, 'NCAAT Simulations'!$C$2:$I$9999, 6,FALSE)/138.8)*G62, _xlfn.CONCAT("+", ROUND((VLOOKUP($B62&amp;$D62, 'NCAAT Simulations'!$C$2:$I$9999, 6,FALSE)/138.8)*G62, 1)))</f>
        <v>-2.4118375665915734</v>
      </c>
      <c r="I62" s="4">
        <f>_xlfn.IFNA(IF(ABS(VLOOKUP($B62&amp;$D62, 'NCAAT Simulations'!$C$2:$H$9999, 5,FALSE))&gt;10000,_xlfn.FLOOR.MATH(VLOOKUP($B62&amp;$D62, 'NCAAT Simulations'!$C$2:$H$9999, 5,FALSE), 1000), IF(ABS(VLOOKUP($B62&amp;$D62, 'NCAAT Simulations'!$C$2:$H$9999, 5,FALSE))&gt;1000,_xlfn.FLOOR.MATH(VLOOKUP($B62&amp;$D62, 'NCAAT Simulations'!$C$2:$H$9999, 5,FALSE), 100), _xlfn.FLOOR.MATH(VLOOKUP($B62&amp;$D62, 'NCAAT Simulations'!$C$2:$H$9999, 5,FALSE), 10))), "")</f>
        <v>-150</v>
      </c>
      <c r="J62" s="1">
        <f>_xlfn.IFNA(VLOOKUP($B62&amp;$D62, 'NCAAT Simulations'!$C$2:$I$9999, 7,FALSE), "")</f>
        <v>148.70367417052626</v>
      </c>
      <c r="K62" t="str">
        <f>IF(M62&gt;N62,B62,IF(N62&gt;M62,D62,""))</f>
        <v/>
      </c>
      <c r="L62" t="str">
        <f t="shared" si="0"/>
        <v/>
      </c>
      <c r="O62" t="str">
        <f t="shared" si="4"/>
        <v/>
      </c>
      <c r="P62" t="str">
        <f t="shared" si="5"/>
        <v/>
      </c>
      <c r="Q62" s="10" t="str">
        <f t="shared" si="6"/>
        <v/>
      </c>
      <c r="R62" s="10" t="str">
        <f t="shared" si="1"/>
        <v/>
      </c>
      <c r="S62" s="9" t="str">
        <f t="shared" si="2"/>
        <v/>
      </c>
      <c r="T62" s="9" t="str">
        <f t="shared" si="3"/>
        <v/>
      </c>
      <c r="U62" s="9"/>
    </row>
    <row r="63" spans="1:21" x14ac:dyDescent="0.45">
      <c r="A63">
        <v>1</v>
      </c>
      <c r="B63" t="s">
        <v>23</v>
      </c>
      <c r="C63">
        <v>3</v>
      </c>
      <c r="D63" t="s">
        <v>63</v>
      </c>
      <c r="E63" t="str">
        <f>_xlfn.IFNA(VLOOKUP($B63&amp;$D63, 'NCAAT Simulations'!$C$2:$H$9999, 2,FALSE), "")</f>
        <v>Florida</v>
      </c>
      <c r="F63" s="5">
        <f>_xlfn.IFNA(IF(VLOOKUP($B63&amp;$D63, 'NCAAT Simulations'!$C$2:$H$9999, 3,FALSE)&lt;50,1-VLOOKUP($B63&amp;$D63, 'NCAAT Simulations'!$C$2:$H$9999, 3,FALSE)/100, VLOOKUP($B63&amp;$D63, 'NCAAT Simulations'!$C$2:$H$9999, 3,FALSE)/100), "")</f>
        <v>0.624</v>
      </c>
      <c r="G63" s="3">
        <f>_xlfn.IFNA(IF(ROUND(VLOOKUP($B63&amp;$D63, 'NCAAT Simulations'!$C$2:$H$9999, 4,FALSE), 1)&gt;0, _xlfn.CONCAT("+",ROUND(VLOOKUP($B63&amp;$D63, 'NCAAT Simulations'!$C$2:$H$9999, 4,FALSE), 1)), ROUND(VLOOKUP($B63&amp;$D63, 'NCAAT Simulations'!$C$2:$H$9999, 4,FALSE), 1)), "")</f>
        <v>-3.3</v>
      </c>
      <c r="H63" s="8">
        <f>IF(G63&lt;0,(VLOOKUP($B63&amp;$D63, 'NCAAT Simulations'!$C$2:$I$9999, 6,FALSE)/138.8)*G63, _xlfn.CONCAT("+", ROUND((VLOOKUP($B63&amp;$D63, 'NCAAT Simulations'!$C$2:$I$9999, 6,FALSE)/138.8)*G63, 1)))</f>
        <v>-3.3231051055963787</v>
      </c>
      <c r="I63" s="4">
        <f>_xlfn.IFNA(IF(ABS(VLOOKUP($B63&amp;$D63, 'NCAAT Simulations'!$C$2:$H$9999, 5,FALSE))&gt;10000,_xlfn.FLOOR.MATH(VLOOKUP($B63&amp;$D63, 'NCAAT Simulations'!$C$2:$H$9999, 5,FALSE), 1000), IF(ABS(VLOOKUP($B63&amp;$D63, 'NCAAT Simulations'!$C$2:$H$9999, 5,FALSE))&gt;1000,_xlfn.FLOOR.MATH(VLOOKUP($B63&amp;$D63, 'NCAAT Simulations'!$C$2:$H$9999, 5,FALSE), 100), _xlfn.FLOOR.MATH(VLOOKUP($B63&amp;$D63, 'NCAAT Simulations'!$C$2:$H$9999, 5,FALSE), 10))), "")</f>
        <v>-170</v>
      </c>
      <c r="J63" s="1">
        <f>_xlfn.IFNA(VLOOKUP($B63&amp;$D63, 'NCAAT Simulations'!$C$2:$I$9999, 7,FALSE), "")</f>
        <v>152.73657859484163</v>
      </c>
      <c r="K63" t="str">
        <f>IF(M63&gt;N63,B63,IF(N63&gt;M63,D63,""))</f>
        <v/>
      </c>
      <c r="L63" t="str">
        <f t="shared" si="0"/>
        <v/>
      </c>
      <c r="O63" t="str">
        <f t="shared" si="4"/>
        <v/>
      </c>
      <c r="P63" t="str">
        <f t="shared" si="5"/>
        <v/>
      </c>
      <c r="Q63" s="10" t="str">
        <f t="shared" si="6"/>
        <v/>
      </c>
      <c r="R63" s="10" t="str">
        <f t="shared" si="1"/>
        <v/>
      </c>
      <c r="S63" s="9" t="str">
        <f t="shared" si="2"/>
        <v/>
      </c>
      <c r="T63" s="9" t="str">
        <f t="shared" si="3"/>
        <v/>
      </c>
      <c r="U63" s="9"/>
    </row>
    <row r="64" spans="1:21" x14ac:dyDescent="0.45">
      <c r="A64">
        <v>1</v>
      </c>
      <c r="B64" t="s">
        <v>28</v>
      </c>
      <c r="C64">
        <v>2</v>
      </c>
      <c r="D64" t="s">
        <v>60</v>
      </c>
      <c r="E64" t="str">
        <f>_xlfn.IFNA(VLOOKUP($B64&amp;$D64, 'NCAAT Simulations'!$C$2:$H$9999, 2,FALSE), "")</f>
        <v>Houston</v>
      </c>
      <c r="F64" s="5">
        <f>_xlfn.IFNA(IF(VLOOKUP($B64&amp;$D64, 'NCAAT Simulations'!$C$2:$H$9999, 3,FALSE)&lt;50,1-VLOOKUP($B64&amp;$D64, 'NCAAT Simulations'!$C$2:$H$9999, 3,FALSE)/100, VLOOKUP($B64&amp;$D64, 'NCAAT Simulations'!$C$2:$H$9999, 3,FALSE)/100), "")</f>
        <v>0.68799999999999994</v>
      </c>
      <c r="G64" s="3">
        <f>_xlfn.IFNA(IF(ROUND(VLOOKUP($B64&amp;$D64, 'NCAAT Simulations'!$C$2:$H$9999, 4,FALSE), 1)&gt;0, _xlfn.CONCAT("+",ROUND(VLOOKUP($B64&amp;$D64, 'NCAAT Simulations'!$C$2:$H$9999, 4,FALSE), 1)), ROUND(VLOOKUP($B64&amp;$D64, 'NCAAT Simulations'!$C$2:$H$9999, 4,FALSE), 1)), "")</f>
        <v>-5.2</v>
      </c>
      <c r="H64" s="8">
        <f>IF(G64&lt;0,(VLOOKUP($B64&amp;$D64, 'NCAAT Simulations'!$C$2:$I$9999, 6,FALSE)/138.8)*G64, _xlfn.CONCAT("+", ROUND((VLOOKUP($B64&amp;$D64, 'NCAAT Simulations'!$C$2:$I$9999, 6,FALSE)/138.8)*G64, 1)))</f>
        <v>-5.2304486869851736</v>
      </c>
      <c r="I64" s="4">
        <f>_xlfn.IFNA(IF(ABS(VLOOKUP($B64&amp;$D64, 'NCAAT Simulations'!$C$2:$H$9999, 5,FALSE))&gt;10000,_xlfn.FLOOR.MATH(VLOOKUP($B64&amp;$D64, 'NCAAT Simulations'!$C$2:$H$9999, 5,FALSE), 1000), IF(ABS(VLOOKUP($B64&amp;$D64, 'NCAAT Simulations'!$C$2:$H$9999, 5,FALSE))&gt;1000,_xlfn.FLOOR.MATH(VLOOKUP($B64&amp;$D64, 'NCAAT Simulations'!$C$2:$H$9999, 5,FALSE), 100), _xlfn.FLOOR.MATH(VLOOKUP($B64&amp;$D64, 'NCAAT Simulations'!$C$2:$H$9999, 5,FALSE), 10))), "")</f>
        <v>-230</v>
      </c>
      <c r="J64" s="1">
        <f>_xlfn.IFNA(VLOOKUP($B64&amp;$D64, 'NCAAT Simulations'!$C$2:$I$9999, 7,FALSE), "")</f>
        <v>150.50297661953886</v>
      </c>
      <c r="K64" t="str">
        <f>IF(M64&gt;N64,B64,IF(N64&gt;M64,D64,""))</f>
        <v/>
      </c>
      <c r="L64" t="str">
        <f t="shared" si="0"/>
        <v/>
      </c>
      <c r="O64" t="str">
        <f t="shared" si="4"/>
        <v/>
      </c>
      <c r="P64" t="str">
        <f t="shared" si="5"/>
        <v/>
      </c>
      <c r="Q64" s="10" t="str">
        <f t="shared" si="6"/>
        <v/>
      </c>
      <c r="R64" s="10" t="str">
        <f t="shared" si="1"/>
        <v/>
      </c>
      <c r="S64" s="9" t="str">
        <f t="shared" si="2"/>
        <v/>
      </c>
      <c r="T64" s="9" t="str">
        <f t="shared" si="3"/>
        <v/>
      </c>
      <c r="U64" s="9"/>
    </row>
    <row r="65" spans="1:21" x14ac:dyDescent="0.45">
      <c r="A65">
        <v>1</v>
      </c>
      <c r="B65" t="s">
        <v>22</v>
      </c>
      <c r="C65">
        <v>2</v>
      </c>
      <c r="D65" t="s">
        <v>8</v>
      </c>
      <c r="E65" t="str">
        <f>_xlfn.IFNA(VLOOKUP($B65&amp;$D65, 'NCAAT Simulations'!$C$2:$H$9999, 2,FALSE), "")</f>
        <v>Duke</v>
      </c>
      <c r="F65" s="5">
        <f>_xlfn.IFNA(IF(VLOOKUP($B65&amp;$D65, 'NCAAT Simulations'!$C$2:$H$9999, 3,FALSE)&lt;50,1-VLOOKUP($B65&amp;$D65, 'NCAAT Simulations'!$C$2:$H$9999, 3,FALSE)/100, VLOOKUP($B65&amp;$D65, 'NCAAT Simulations'!$C$2:$H$9999, 3,FALSE)/100), "")</f>
        <v>0.65900000000000003</v>
      </c>
      <c r="G65" s="3">
        <f>_xlfn.IFNA(IF(ROUND(VLOOKUP($B65&amp;$D65, 'NCAAT Simulations'!$C$2:$H$9999, 4,FALSE), 1)&gt;0, _xlfn.CONCAT("+",ROUND(VLOOKUP($B65&amp;$D65, 'NCAAT Simulations'!$C$2:$H$9999, 4,FALSE), 1)), ROUND(VLOOKUP($B65&amp;$D65, 'NCAAT Simulations'!$C$2:$H$9999, 4,FALSE), 1)), "")</f>
        <v>-4.3</v>
      </c>
      <c r="H65" s="8">
        <f>IF(G65&lt;0,(VLOOKUP($B65&amp;$D65, 'NCAAT Simulations'!$C$2:$I$9999, 6,FALSE)/138.8)*G65, _xlfn.CONCAT("+", ROUND((VLOOKUP($B65&amp;$D65, 'NCAAT Simulations'!$C$2:$I$9999, 6,FALSE)/138.8)*G65, 1)))</f>
        <v>-4.3384094965922637</v>
      </c>
      <c r="I65" s="4">
        <f>_xlfn.IFNA(IF(ABS(VLOOKUP($B65&amp;$D65, 'NCAAT Simulations'!$C$2:$H$9999, 5,FALSE))&gt;10000,_xlfn.FLOOR.MATH(VLOOKUP($B65&amp;$D65, 'NCAAT Simulations'!$C$2:$H$9999, 5,FALSE), 1000), IF(ABS(VLOOKUP($B65&amp;$D65, 'NCAAT Simulations'!$C$2:$H$9999, 5,FALSE))&gt;1000,_xlfn.FLOOR.MATH(VLOOKUP($B65&amp;$D65, 'NCAAT Simulations'!$C$2:$H$9999, 5,FALSE), 100), _xlfn.FLOOR.MATH(VLOOKUP($B65&amp;$D65, 'NCAAT Simulations'!$C$2:$H$9999, 5,FALSE), 10))), "")</f>
        <v>-200</v>
      </c>
      <c r="J65" s="1">
        <f>_xlfn.IFNA(VLOOKUP($B65&amp;$D65, 'NCAAT Simulations'!$C$2:$I$9999, 7,FALSE), "")</f>
        <v>156.49987177071787</v>
      </c>
      <c r="K65" t="str">
        <f>IF(M65&gt;N65,B65,IF(N65&gt;M65,D65,""))</f>
        <v/>
      </c>
      <c r="L65" t="str">
        <f t="shared" si="0"/>
        <v/>
      </c>
      <c r="O65" t="str">
        <f t="shared" si="4"/>
        <v/>
      </c>
      <c r="P65" t="str">
        <f t="shared" si="5"/>
        <v/>
      </c>
      <c r="Q65" s="10" t="str">
        <f t="shared" si="6"/>
        <v/>
      </c>
      <c r="R65" s="10" t="str">
        <f t="shared" si="1"/>
        <v/>
      </c>
      <c r="S65" s="9" t="str">
        <f t="shared" si="2"/>
        <v/>
      </c>
      <c r="T65" s="9" t="str">
        <f t="shared" si="3"/>
        <v/>
      </c>
      <c r="U65" s="9"/>
    </row>
    <row r="66" spans="1:21" x14ac:dyDescent="0.45">
      <c r="A66">
        <v>1</v>
      </c>
      <c r="B66" t="s">
        <v>13</v>
      </c>
      <c r="C66">
        <v>1</v>
      </c>
      <c r="D66" t="s">
        <v>23</v>
      </c>
      <c r="E66" t="str">
        <f>_xlfn.IFNA(VLOOKUP($B66&amp;$D66, 'NCAAT Simulations'!$C$2:$H$9999, 2,FALSE), "")</f>
        <v>Florida</v>
      </c>
      <c r="F66" s="5">
        <f>_xlfn.IFNA(IF(VLOOKUP($B66&amp;$D66, 'NCAAT Simulations'!$C$2:$H$9999, 3,FALSE)&lt;50,1-VLOOKUP($B66&amp;$D66, 'NCAAT Simulations'!$C$2:$H$9999, 3,FALSE)/100, VLOOKUP($B66&amp;$D66, 'NCAAT Simulations'!$C$2:$H$9999, 3,FALSE)/100), "")</f>
        <v>0.52600000000000002</v>
      </c>
      <c r="G66" s="3" t="str">
        <f>_xlfn.IFNA(IF(ROUND(VLOOKUP($B66&amp;$D66, 'NCAAT Simulations'!$C$2:$H$9999, 4,FALSE), 1)&gt;0, _xlfn.CONCAT("+",ROUND(VLOOKUP($B66&amp;$D66, 'NCAAT Simulations'!$C$2:$H$9999, 4,FALSE), 1)), ROUND(VLOOKUP($B66&amp;$D66, 'NCAAT Simulations'!$C$2:$H$9999, 4,FALSE), 1)), "")</f>
        <v>+0.7</v>
      </c>
      <c r="H66" s="8" t="str">
        <f>IF(G66&lt;0,(VLOOKUP($B66&amp;$D66, 'NCAAT Simulations'!$C$2:$I$9999, 6,FALSE)/138.8)*G66, _xlfn.CONCAT("+", ROUND((VLOOKUP($B66&amp;$D66, 'NCAAT Simulations'!$C$2:$I$9999, 6,FALSE)/138.8)*G66, 1)))</f>
        <v>+0.7</v>
      </c>
      <c r="I66" s="4">
        <f>_xlfn.IFNA(IF(ABS(VLOOKUP($B66&amp;$D66, 'NCAAT Simulations'!$C$2:$H$9999, 5,FALSE))&gt;10000,_xlfn.FLOOR.MATH(VLOOKUP($B66&amp;$D66, 'NCAAT Simulations'!$C$2:$H$9999, 5,FALSE), 1000), IF(ABS(VLOOKUP($B66&amp;$D66, 'NCAAT Simulations'!$C$2:$H$9999, 5,FALSE))&gt;1000,_xlfn.FLOOR.MATH(VLOOKUP($B66&amp;$D66, 'NCAAT Simulations'!$C$2:$H$9999, 5,FALSE), 100), _xlfn.FLOOR.MATH(VLOOKUP($B66&amp;$D66, 'NCAAT Simulations'!$C$2:$H$9999, 5,FALSE), 10))), "")</f>
        <v>110</v>
      </c>
      <c r="J66" s="1">
        <f>_xlfn.IFNA(VLOOKUP($B66&amp;$D66, 'NCAAT Simulations'!$C$2:$I$9999, 7,FALSE), "")</f>
        <v>139.13519002554389</v>
      </c>
      <c r="K66" t="str">
        <f>IF(M66&gt;N66,B66,IF(N66&gt;M66,D66,""))</f>
        <v/>
      </c>
      <c r="L66" t="str">
        <f t="shared" si="0"/>
        <v/>
      </c>
      <c r="O66" t="str">
        <f t="shared" si="4"/>
        <v/>
      </c>
      <c r="P66" t="str">
        <f t="shared" si="5"/>
        <v/>
      </c>
      <c r="Q66" s="10" t="str">
        <f t="shared" si="6"/>
        <v/>
      </c>
      <c r="R66" s="10" t="str">
        <f t="shared" si="1"/>
        <v/>
      </c>
      <c r="S66" s="9" t="str">
        <f t="shared" si="2"/>
        <v/>
      </c>
      <c r="T66" s="9" t="str">
        <f t="shared" si="3"/>
        <v/>
      </c>
      <c r="U66" s="9"/>
    </row>
    <row r="67" spans="1:21" x14ac:dyDescent="0.45">
      <c r="A67">
        <v>1</v>
      </c>
      <c r="B67" t="s">
        <v>22</v>
      </c>
      <c r="C67">
        <v>1</v>
      </c>
      <c r="D67" t="s">
        <v>28</v>
      </c>
      <c r="E67" t="str">
        <f>_xlfn.IFNA(VLOOKUP($B67&amp;$D67, 'NCAAT Simulations'!$C$2:$H$9999, 2,FALSE), "")</f>
        <v>Houston</v>
      </c>
      <c r="F67" s="5">
        <f>_xlfn.IFNA(IF(VLOOKUP($B67&amp;$D67, 'NCAAT Simulations'!$C$2:$H$9999, 3,FALSE)&lt;50,1-VLOOKUP($B67&amp;$D67, 'NCAAT Simulations'!$C$2:$H$9999, 3,FALSE)/100, VLOOKUP($B67&amp;$D67, 'NCAAT Simulations'!$C$2:$H$9999, 3,FALSE)/100), "")</f>
        <v>0.70399999999999996</v>
      </c>
      <c r="G67" s="3" t="str">
        <f>_xlfn.IFNA(IF(ROUND(VLOOKUP($B67&amp;$D67, 'NCAAT Simulations'!$C$2:$H$9999, 4,FALSE), 1)&gt;0, _xlfn.CONCAT("+",ROUND(VLOOKUP($B67&amp;$D67, 'NCAAT Simulations'!$C$2:$H$9999, 4,FALSE), 1)), ROUND(VLOOKUP($B67&amp;$D67, 'NCAAT Simulations'!$C$2:$H$9999, 4,FALSE), 1)), "")</f>
        <v>+5.7</v>
      </c>
      <c r="H67" s="8" t="str">
        <f>IF(G67&lt;0,(VLOOKUP($B67&amp;$D67, 'NCAAT Simulations'!$C$2:$I$9999, 6,FALSE)/138.8)*G67, _xlfn.CONCAT("+", ROUND((VLOOKUP($B67&amp;$D67, 'NCAAT Simulations'!$C$2:$I$9999, 6,FALSE)/138.8)*G67, 1)))</f>
        <v>+5.7</v>
      </c>
      <c r="I67" s="4">
        <f>_xlfn.IFNA(IF(ABS(VLOOKUP($B67&amp;$D67, 'NCAAT Simulations'!$C$2:$H$9999, 5,FALSE))&gt;10000,_xlfn.FLOOR.MATH(VLOOKUP($B67&amp;$D67, 'NCAAT Simulations'!$C$2:$H$9999, 5,FALSE), 1000), IF(ABS(VLOOKUP($B67&amp;$D67, 'NCAAT Simulations'!$C$2:$H$9999, 5,FALSE))&gt;1000,_xlfn.FLOOR.MATH(VLOOKUP($B67&amp;$D67, 'NCAAT Simulations'!$C$2:$H$9999, 5,FALSE), 100), _xlfn.FLOOR.MATH(VLOOKUP($B67&amp;$D67, 'NCAAT Simulations'!$C$2:$H$9999, 5,FALSE), 10))), "")</f>
        <v>230</v>
      </c>
      <c r="J67" s="1">
        <f>_xlfn.IFNA(VLOOKUP($B67&amp;$D67, 'NCAAT Simulations'!$C$2:$I$9999, 7,FALSE), "")</f>
        <v>137.39865353667429</v>
      </c>
      <c r="K67" t="str">
        <f t="shared" ref="K67:K75" si="7">IF(M67&gt;N67,B67,IF(N67&gt;M67,D67,""))</f>
        <v/>
      </c>
      <c r="L67" t="str">
        <f t="shared" ref="L67:L81" si="8">IF(K67="", "", IF(K67=E67, 1, 0))</f>
        <v/>
      </c>
      <c r="O67" t="str">
        <f t="shared" si="4"/>
        <v/>
      </c>
      <c r="P67" t="str">
        <f t="shared" si="5"/>
        <v/>
      </c>
      <c r="Q67" s="10" t="str">
        <f t="shared" si="6"/>
        <v/>
      </c>
      <c r="R67" s="10" t="str">
        <f t="shared" ref="R67:R81" si="9">IFERROR(ABS(Q67), "")</f>
        <v/>
      </c>
      <c r="S67" s="9" t="str">
        <f t="shared" ref="S67:S81" si="10">IF(K67="", "", P67-J67)</f>
        <v/>
      </c>
      <c r="T67" s="9" t="str">
        <f t="shared" ref="T67:T81" si="11">IFERROR(ABS(S67), "")</f>
        <v/>
      </c>
      <c r="U67" s="9"/>
    </row>
    <row r="68" spans="1:21" x14ac:dyDescent="0.45">
      <c r="A68">
        <v>1</v>
      </c>
      <c r="B68" t="s">
        <v>28</v>
      </c>
      <c r="C68">
        <v>1</v>
      </c>
      <c r="D68" t="s">
        <v>23</v>
      </c>
      <c r="E68" t="str">
        <f>_xlfn.IFNA(VLOOKUP($B68&amp;$D68, 'NCAAT Simulations'!$C$2:$H$9999, 2,FALSE), "")</f>
        <v>Houston</v>
      </c>
      <c r="F68" s="5">
        <f>_xlfn.IFNA(IF(VLOOKUP($B68&amp;$D68, 'NCAAT Simulations'!$C$2:$H$9999, 3,FALSE)&lt;50,1-VLOOKUP($B68&amp;$D68, 'NCAAT Simulations'!$C$2:$H$9999, 3,FALSE)/100, VLOOKUP($B68&amp;$D68, 'NCAAT Simulations'!$C$2:$H$9999, 3,FALSE)/100), "")</f>
        <v>0.67799999999999994</v>
      </c>
      <c r="G68" s="3">
        <f>_xlfn.IFNA(IF(ROUND(VLOOKUP($B68&amp;$D68, 'NCAAT Simulations'!$C$2:$H$9999, 4,FALSE), 1)&gt;0, _xlfn.CONCAT("+",ROUND(VLOOKUP($B68&amp;$D68, 'NCAAT Simulations'!$C$2:$H$9999, 4,FALSE), 1)), ROUND(VLOOKUP($B68&amp;$D68, 'NCAAT Simulations'!$C$2:$H$9999, 4,FALSE), 1)), "")</f>
        <v>-4.9000000000000004</v>
      </c>
      <c r="H68" s="8">
        <f>IF(G68&lt;0,(VLOOKUP($B68&amp;$D68, 'NCAAT Simulations'!$C$2:$I$9999, 6,FALSE)/138.8)*G68, _xlfn.CONCAT("+", ROUND((VLOOKUP($B68&amp;$D68, 'NCAAT Simulations'!$C$2:$I$9999, 6,FALSE)/138.8)*G68, 1)))</f>
        <v>-4.9120479424416166</v>
      </c>
      <c r="I68" s="4">
        <f>_xlfn.IFNA(IF(ABS(VLOOKUP($B68&amp;$D68, 'NCAAT Simulations'!$C$2:$H$9999, 5,FALSE))&gt;10000,_xlfn.FLOOR.MATH(VLOOKUP($B68&amp;$D68, 'NCAAT Simulations'!$C$2:$H$9999, 5,FALSE), 1000), IF(ABS(VLOOKUP($B68&amp;$D68, 'NCAAT Simulations'!$C$2:$H$9999, 5,FALSE))&gt;1000,_xlfn.FLOOR.MATH(VLOOKUP($B68&amp;$D68, 'NCAAT Simulations'!$C$2:$H$9999, 5,FALSE), 100), _xlfn.FLOOR.MATH(VLOOKUP($B68&amp;$D68, 'NCAAT Simulations'!$C$2:$H$9999, 5,FALSE), 10))), "")</f>
        <v>-220</v>
      </c>
      <c r="J68" s="1">
        <f>_xlfn.IFNA(VLOOKUP($B68&amp;$D68, 'NCAAT Simulations'!$C$2:$I$9999, 7,FALSE), "")</f>
        <v>143.88273863826743</v>
      </c>
      <c r="K68" t="str">
        <f t="shared" si="7"/>
        <v/>
      </c>
      <c r="L68" t="str">
        <f t="shared" si="8"/>
        <v/>
      </c>
      <c r="O68" t="str">
        <f t="shared" si="4"/>
        <v/>
      </c>
      <c r="P68" t="str">
        <f t="shared" si="5"/>
        <v/>
      </c>
      <c r="Q68" s="10" t="str">
        <f t="shared" si="6"/>
        <v/>
      </c>
      <c r="R68" s="10" t="str">
        <f t="shared" si="9"/>
        <v/>
      </c>
      <c r="S68" s="9" t="str">
        <f t="shared" si="10"/>
        <v/>
      </c>
      <c r="T68" s="9" t="str">
        <f t="shared" si="11"/>
        <v/>
      </c>
      <c r="U68" s="9"/>
    </row>
    <row r="69" spans="1:21" x14ac:dyDescent="0.45">
      <c r="E69" t="str">
        <f>_xlfn.IFNA(VLOOKUP($B69&amp;$D69, 'NCAAT Simulations'!$C$2:$H$9999, 2,FALSE), "")</f>
        <v/>
      </c>
      <c r="F69" s="5" t="str">
        <f>_xlfn.IFNA(IF(VLOOKUP($B69&amp;$D69, 'NCAAT Simulations'!$C$2:$H$9999, 3,FALSE)&lt;50,1-VLOOKUP($B69&amp;$D69, 'NCAAT Simulations'!$C$2:$H$9999, 3,FALSE)/100, VLOOKUP($B69&amp;$D69, 'NCAAT Simulations'!$C$2:$H$9999, 3,FALSE)/100), "")</f>
        <v/>
      </c>
      <c r="G69" s="3" t="str">
        <f>_xlfn.IFNA(IF(ROUND(VLOOKUP($B69&amp;$D69, 'NCAAT Simulations'!$C$2:$H$9999, 4,FALSE), 1)&gt;0, _xlfn.CONCAT("+",ROUND(VLOOKUP($B69&amp;$D69, 'NCAAT Simulations'!$C$2:$H$9999, 4,FALSE), 1)), ROUND(VLOOKUP($B69&amp;$D69, 'NCAAT Simulations'!$C$2:$H$9999, 4,FALSE), 1)), "")</f>
        <v/>
      </c>
      <c r="H69" s="8"/>
      <c r="I69" s="4" t="str">
        <f>_xlfn.IFNA(IF(ABS(VLOOKUP($B69&amp;$D69, 'NCAAT Simulations'!$C$2:$H$9999, 5,FALSE))&gt;10000,_xlfn.FLOOR.MATH(VLOOKUP($B69&amp;$D69, 'NCAAT Simulations'!$C$2:$H$9999, 5,FALSE), 1000), IF(ABS(VLOOKUP($B69&amp;$D69, 'NCAAT Simulations'!$C$2:$H$9999, 5,FALSE))&gt;1000,_xlfn.FLOOR.MATH(VLOOKUP($B69&amp;$D69, 'NCAAT Simulations'!$C$2:$H$9999, 5,FALSE), 100), _xlfn.FLOOR.MATH(VLOOKUP($B69&amp;$D69, 'NCAAT Simulations'!$C$2:$H$9999, 5,FALSE), 10))), "")</f>
        <v/>
      </c>
      <c r="J69" s="1" t="str">
        <f>_xlfn.IFNA(VLOOKUP($B69&amp;$D69, 'NCAAT Simulations'!$C$2:$I$9999, 7,FALSE), "")</f>
        <v/>
      </c>
      <c r="K69" t="str">
        <f t="shared" si="7"/>
        <v/>
      </c>
      <c r="L69" t="str">
        <f t="shared" si="8"/>
        <v/>
      </c>
      <c r="O69" t="str">
        <f t="shared" si="4"/>
        <v/>
      </c>
      <c r="P69" t="str">
        <f t="shared" si="5"/>
        <v/>
      </c>
      <c r="Q69" s="10" t="str">
        <f t="shared" si="6"/>
        <v/>
      </c>
      <c r="R69" s="10" t="str">
        <f t="shared" si="9"/>
        <v/>
      </c>
      <c r="S69" s="9" t="str">
        <f t="shared" si="10"/>
        <v/>
      </c>
      <c r="T69" s="9" t="str">
        <f t="shared" si="11"/>
        <v/>
      </c>
      <c r="U69" s="9"/>
    </row>
    <row r="70" spans="1:21" x14ac:dyDescent="0.45">
      <c r="E70" t="str">
        <f>_xlfn.IFNA(VLOOKUP($B70&amp;$D70, 'NCAAT Simulations'!$C$2:$H$9999, 2,FALSE), "")</f>
        <v/>
      </c>
      <c r="F70" s="5" t="str">
        <f>_xlfn.IFNA(IF(VLOOKUP($B70&amp;$D70, 'NCAAT Simulations'!$C$2:$H$9999, 3,FALSE)&lt;50,1-VLOOKUP($B70&amp;$D70, 'NCAAT Simulations'!$C$2:$H$9999, 3,FALSE)/100, VLOOKUP($B70&amp;$D70, 'NCAAT Simulations'!$C$2:$H$9999, 3,FALSE)/100), "")</f>
        <v/>
      </c>
      <c r="G70" s="3" t="str">
        <f>_xlfn.IFNA(IF(ROUND(VLOOKUP($B70&amp;$D70, 'NCAAT Simulations'!$C$2:$H$9999, 4,FALSE), 1)&gt;0, _xlfn.CONCAT("+",ROUND(VLOOKUP($B70&amp;$D70, 'NCAAT Simulations'!$C$2:$H$9999, 4,FALSE), 1)), ROUND(VLOOKUP($B70&amp;$D70, 'NCAAT Simulations'!$C$2:$H$9999, 4,FALSE), 1)), "")</f>
        <v/>
      </c>
      <c r="H70" s="8"/>
      <c r="I70" s="4" t="str">
        <f>_xlfn.IFNA(IF(ABS(VLOOKUP($B70&amp;$D70, 'NCAAT Simulations'!$C$2:$H$9999, 5,FALSE))&gt;10000,_xlfn.FLOOR.MATH(VLOOKUP($B70&amp;$D70, 'NCAAT Simulations'!$C$2:$H$9999, 5,FALSE), 1000), IF(ABS(VLOOKUP($B70&amp;$D70, 'NCAAT Simulations'!$C$2:$H$9999, 5,FALSE))&gt;1000,_xlfn.FLOOR.MATH(VLOOKUP($B70&amp;$D70, 'NCAAT Simulations'!$C$2:$H$9999, 5,FALSE), 100), _xlfn.FLOOR.MATH(VLOOKUP($B70&amp;$D70, 'NCAAT Simulations'!$C$2:$H$9999, 5,FALSE), 10))), "")</f>
        <v/>
      </c>
      <c r="J70" s="1" t="str">
        <f>_xlfn.IFNA(VLOOKUP($B70&amp;$D70, 'NCAAT Simulations'!$C$2:$I$9999, 7,FALSE), "")</f>
        <v/>
      </c>
      <c r="K70" t="str">
        <f t="shared" si="7"/>
        <v/>
      </c>
      <c r="L70" t="str">
        <f t="shared" si="8"/>
        <v/>
      </c>
      <c r="O70" t="str">
        <f t="shared" si="4"/>
        <v/>
      </c>
      <c r="P70" t="str">
        <f t="shared" si="5"/>
        <v/>
      </c>
      <c r="Q70" s="10" t="str">
        <f t="shared" si="6"/>
        <v/>
      </c>
      <c r="R70" s="10" t="str">
        <f t="shared" si="9"/>
        <v/>
      </c>
      <c r="S70" s="9" t="str">
        <f t="shared" si="10"/>
        <v/>
      </c>
      <c r="T70" s="9" t="str">
        <f t="shared" si="11"/>
        <v/>
      </c>
      <c r="U70" s="9"/>
    </row>
    <row r="71" spans="1:21" x14ac:dyDescent="0.45">
      <c r="E71" t="str">
        <f>_xlfn.IFNA(VLOOKUP($B71&amp;$D71, 'NCAAT Simulations'!$C$2:$H$9999, 2,FALSE), "")</f>
        <v/>
      </c>
      <c r="F71" s="5" t="str">
        <f>_xlfn.IFNA(IF(VLOOKUP($B71&amp;$D71, 'NCAAT Simulations'!$C$2:$H$9999, 3,FALSE)&lt;50,1-VLOOKUP($B71&amp;$D71, 'NCAAT Simulations'!$C$2:$H$9999, 3,FALSE)/100, VLOOKUP($B71&amp;$D71, 'NCAAT Simulations'!$C$2:$H$9999, 3,FALSE)/100), "")</f>
        <v/>
      </c>
      <c r="G71" s="3" t="str">
        <f>_xlfn.IFNA(IF(ROUND(VLOOKUP($B71&amp;$D71, 'NCAAT Simulations'!$C$2:$H$9999, 4,FALSE), 1)&gt;0, _xlfn.CONCAT("+",ROUND(VLOOKUP($B71&amp;$D71, 'NCAAT Simulations'!$C$2:$H$9999, 4,FALSE), 1)), ROUND(VLOOKUP($B71&amp;$D71, 'NCAAT Simulations'!$C$2:$H$9999, 4,FALSE), 1)), "")</f>
        <v/>
      </c>
      <c r="H71" s="8"/>
      <c r="I71" s="4" t="str">
        <f>_xlfn.IFNA(IF(ABS(VLOOKUP($B71&amp;$D71, 'NCAAT Simulations'!$C$2:$H$9999, 5,FALSE))&gt;10000,_xlfn.FLOOR.MATH(VLOOKUP($B71&amp;$D71, 'NCAAT Simulations'!$C$2:$H$9999, 5,FALSE), 1000), IF(ABS(VLOOKUP($B71&amp;$D71, 'NCAAT Simulations'!$C$2:$H$9999, 5,FALSE))&gt;1000,_xlfn.FLOOR.MATH(VLOOKUP($B71&amp;$D71, 'NCAAT Simulations'!$C$2:$H$9999, 5,FALSE), 100), _xlfn.FLOOR.MATH(VLOOKUP($B71&amp;$D71, 'NCAAT Simulations'!$C$2:$H$9999, 5,FALSE), 10))), "")</f>
        <v/>
      </c>
      <c r="J71" s="1" t="str">
        <f>_xlfn.IFNA(VLOOKUP($B71&amp;$D71, 'NCAAT Simulations'!$C$2:$I$9999, 7,FALSE), "")</f>
        <v/>
      </c>
      <c r="K71" t="str">
        <f t="shared" si="7"/>
        <v/>
      </c>
      <c r="L71" t="str">
        <f t="shared" si="8"/>
        <v/>
      </c>
      <c r="O71" t="str">
        <f t="shared" si="4"/>
        <v/>
      </c>
      <c r="P71" t="str">
        <f t="shared" si="5"/>
        <v/>
      </c>
      <c r="Q71" s="10" t="str">
        <f t="shared" si="6"/>
        <v/>
      </c>
      <c r="R71" s="10" t="str">
        <f t="shared" si="9"/>
        <v/>
      </c>
      <c r="S71" s="9" t="str">
        <f t="shared" si="10"/>
        <v/>
      </c>
      <c r="T71" s="9" t="str">
        <f t="shared" si="11"/>
        <v/>
      </c>
      <c r="U71" s="9"/>
    </row>
    <row r="72" spans="1:21" x14ac:dyDescent="0.45">
      <c r="E72" t="str">
        <f>_xlfn.IFNA(VLOOKUP($B72&amp;$D72, 'NCAAT Simulations'!$C$2:$H$9999, 2,FALSE), "")</f>
        <v/>
      </c>
      <c r="F72" s="5" t="str">
        <f>_xlfn.IFNA(IF(VLOOKUP($B72&amp;$D72, 'NCAAT Simulations'!$C$2:$H$9999, 3,FALSE)&lt;50,1-VLOOKUP($B72&amp;$D72, 'NCAAT Simulations'!$C$2:$H$9999, 3,FALSE)/100, VLOOKUP($B72&amp;$D72, 'NCAAT Simulations'!$C$2:$H$9999, 3,FALSE)/100), "")</f>
        <v/>
      </c>
      <c r="G72" s="3" t="str">
        <f>_xlfn.IFNA(IF(ROUND(VLOOKUP($B72&amp;$D72, 'NCAAT Simulations'!$C$2:$H$9999, 4,FALSE), 1)&gt;0, _xlfn.CONCAT("+",ROUND(VLOOKUP($B72&amp;$D72, 'NCAAT Simulations'!$C$2:$H$9999, 4,FALSE), 1)), ROUND(VLOOKUP($B72&amp;$D72, 'NCAAT Simulations'!$C$2:$H$9999, 4,FALSE), 1)), "")</f>
        <v/>
      </c>
      <c r="H72" s="8"/>
      <c r="I72" s="4" t="str">
        <f>_xlfn.IFNA(IF(ABS(VLOOKUP($B72&amp;$D72, 'NCAAT Simulations'!$C$2:$H$9999, 5,FALSE))&gt;10000,_xlfn.FLOOR.MATH(VLOOKUP($B72&amp;$D72, 'NCAAT Simulations'!$C$2:$H$9999, 5,FALSE), 1000), IF(ABS(VLOOKUP($B72&amp;$D72, 'NCAAT Simulations'!$C$2:$H$9999, 5,FALSE))&gt;1000,_xlfn.FLOOR.MATH(VLOOKUP($B72&amp;$D72, 'NCAAT Simulations'!$C$2:$H$9999, 5,FALSE), 100), _xlfn.FLOOR.MATH(VLOOKUP($B72&amp;$D72, 'NCAAT Simulations'!$C$2:$H$9999, 5,FALSE), 10))), "")</f>
        <v/>
      </c>
      <c r="J72" s="1" t="str">
        <f>_xlfn.IFNA(VLOOKUP($B72&amp;$D72, 'NCAAT Simulations'!$C$2:$I$9999, 7,FALSE), "")</f>
        <v/>
      </c>
      <c r="K72" t="str">
        <f t="shared" si="7"/>
        <v/>
      </c>
      <c r="L72" t="str">
        <f t="shared" si="8"/>
        <v/>
      </c>
      <c r="O72" t="str">
        <f t="shared" si="4"/>
        <v/>
      </c>
      <c r="P72" t="str">
        <f t="shared" si="5"/>
        <v/>
      </c>
      <c r="Q72" s="10" t="str">
        <f t="shared" si="6"/>
        <v/>
      </c>
      <c r="R72" s="10" t="str">
        <f t="shared" si="9"/>
        <v/>
      </c>
      <c r="S72" s="9" t="str">
        <f t="shared" si="10"/>
        <v/>
      </c>
      <c r="T72" s="9" t="str">
        <f t="shared" si="11"/>
        <v/>
      </c>
      <c r="U72" s="9"/>
    </row>
    <row r="73" spans="1:21" x14ac:dyDescent="0.45">
      <c r="E73" t="str">
        <f>_xlfn.IFNA(VLOOKUP($B73&amp;$D73, 'NCAAT Simulations'!$C$2:$H$9999, 2,FALSE), "")</f>
        <v/>
      </c>
      <c r="F73" s="5" t="str">
        <f>_xlfn.IFNA(IF(VLOOKUP($B73&amp;$D73, 'NCAAT Simulations'!$C$2:$H$9999, 3,FALSE)&lt;50,1-VLOOKUP($B73&amp;$D73, 'NCAAT Simulations'!$C$2:$H$9999, 3,FALSE)/100, VLOOKUP($B73&amp;$D73, 'NCAAT Simulations'!$C$2:$H$9999, 3,FALSE)/100), "")</f>
        <v/>
      </c>
      <c r="G73" s="3" t="str">
        <f>_xlfn.IFNA(IF(ROUND(VLOOKUP($B73&amp;$D73, 'NCAAT Simulations'!$C$2:$H$9999, 4,FALSE), 1)&gt;0, _xlfn.CONCAT("+",ROUND(VLOOKUP($B73&amp;$D73, 'NCAAT Simulations'!$C$2:$H$9999, 4,FALSE), 1)), ROUND(VLOOKUP($B73&amp;$D73, 'NCAAT Simulations'!$C$2:$H$9999, 4,FALSE), 1)), "")</f>
        <v/>
      </c>
      <c r="H73" s="8"/>
      <c r="I73" s="4" t="str">
        <f>_xlfn.IFNA(IF(ABS(VLOOKUP($B73&amp;$D73, 'NCAAT Simulations'!$C$2:$H$9999, 5,FALSE))&gt;10000,_xlfn.FLOOR.MATH(VLOOKUP($B73&amp;$D73, 'NCAAT Simulations'!$C$2:$H$9999, 5,FALSE), 1000), IF(ABS(VLOOKUP($B73&amp;$D73, 'NCAAT Simulations'!$C$2:$H$9999, 5,FALSE))&gt;1000,_xlfn.FLOOR.MATH(VLOOKUP($B73&amp;$D73, 'NCAAT Simulations'!$C$2:$H$9999, 5,FALSE), 100), _xlfn.FLOOR.MATH(VLOOKUP($B73&amp;$D73, 'NCAAT Simulations'!$C$2:$H$9999, 5,FALSE), 10))), "")</f>
        <v/>
      </c>
      <c r="J73" s="1" t="str">
        <f>_xlfn.IFNA(VLOOKUP($B73&amp;$D73, 'NCAAT Simulations'!$C$2:$I$9999, 7,FALSE), "")</f>
        <v/>
      </c>
      <c r="K73" t="str">
        <f t="shared" si="7"/>
        <v/>
      </c>
      <c r="L73" t="str">
        <f t="shared" si="8"/>
        <v/>
      </c>
      <c r="O73" t="str">
        <f t="shared" si="4"/>
        <v/>
      </c>
      <c r="P73" t="str">
        <f t="shared" si="5"/>
        <v/>
      </c>
      <c r="Q73" s="10" t="str">
        <f t="shared" si="6"/>
        <v/>
      </c>
      <c r="R73" s="10" t="str">
        <f t="shared" si="9"/>
        <v/>
      </c>
      <c r="S73" s="9" t="str">
        <f t="shared" si="10"/>
        <v/>
      </c>
      <c r="T73" s="9" t="str">
        <f t="shared" si="11"/>
        <v/>
      </c>
      <c r="U73" s="9"/>
    </row>
    <row r="74" spans="1:21" x14ac:dyDescent="0.45">
      <c r="E74" t="str">
        <f>_xlfn.IFNA(VLOOKUP($B74&amp;$D74, 'NCAAT Simulations'!$C$2:$H$9999, 2,FALSE), "")</f>
        <v/>
      </c>
      <c r="F74" s="5" t="str">
        <f>_xlfn.IFNA(IF(VLOOKUP($B74&amp;$D74, 'NCAAT Simulations'!$C$2:$H$9999, 3,FALSE)&lt;50,1-VLOOKUP($B74&amp;$D74, 'NCAAT Simulations'!$C$2:$H$9999, 3,FALSE)/100, VLOOKUP($B74&amp;$D74, 'NCAAT Simulations'!$C$2:$H$9999, 3,FALSE)/100), "")</f>
        <v/>
      </c>
      <c r="G74" s="3" t="str">
        <f>_xlfn.IFNA(IF(ROUND(VLOOKUP($B74&amp;$D74, 'NCAAT Simulations'!$C$2:$H$9999, 4,FALSE), 1)&gt;0, _xlfn.CONCAT("+",ROUND(VLOOKUP($B74&amp;$D74, 'NCAAT Simulations'!$C$2:$H$9999, 4,FALSE), 1)), ROUND(VLOOKUP($B74&amp;$D74, 'NCAAT Simulations'!$C$2:$H$9999, 4,FALSE), 1)), "")</f>
        <v/>
      </c>
      <c r="H74" s="8"/>
      <c r="I74" s="4" t="str">
        <f>_xlfn.IFNA(IF(ABS(VLOOKUP($B74&amp;$D74, 'NCAAT Simulations'!$C$2:$H$9999, 5,FALSE))&gt;10000,_xlfn.FLOOR.MATH(VLOOKUP($B74&amp;$D74, 'NCAAT Simulations'!$C$2:$H$9999, 5,FALSE), 1000), IF(ABS(VLOOKUP($B74&amp;$D74, 'NCAAT Simulations'!$C$2:$H$9999, 5,FALSE))&gt;1000,_xlfn.FLOOR.MATH(VLOOKUP($B74&amp;$D74, 'NCAAT Simulations'!$C$2:$H$9999, 5,FALSE), 100), _xlfn.FLOOR.MATH(VLOOKUP($B74&amp;$D74, 'NCAAT Simulations'!$C$2:$H$9999, 5,FALSE), 10))), "")</f>
        <v/>
      </c>
      <c r="J74" s="1" t="str">
        <f>_xlfn.IFNA(VLOOKUP($B74&amp;$D74, 'NCAAT Simulations'!$C$2:$I$9999, 7,FALSE), "")</f>
        <v/>
      </c>
      <c r="K74" t="str">
        <f t="shared" si="7"/>
        <v/>
      </c>
      <c r="L74" t="str">
        <f t="shared" si="8"/>
        <v/>
      </c>
      <c r="O74" t="str">
        <f t="shared" si="4"/>
        <v/>
      </c>
      <c r="P74" t="str">
        <f t="shared" si="5"/>
        <v/>
      </c>
      <c r="Q74" s="10" t="str">
        <f t="shared" si="6"/>
        <v/>
      </c>
      <c r="R74" s="10" t="str">
        <f t="shared" si="9"/>
        <v/>
      </c>
      <c r="S74" s="9" t="str">
        <f t="shared" si="10"/>
        <v/>
      </c>
      <c r="T74" s="9" t="str">
        <f t="shared" si="11"/>
        <v/>
      </c>
      <c r="U74" s="9"/>
    </row>
    <row r="75" spans="1:21" x14ac:dyDescent="0.45">
      <c r="E75" t="str">
        <f>_xlfn.IFNA(VLOOKUP($B75&amp;$D75, 'NCAAT Simulations'!$C$2:$H$9999, 2,FALSE), "")</f>
        <v/>
      </c>
      <c r="F75" s="5" t="str">
        <f>_xlfn.IFNA(IF(VLOOKUP($B75&amp;$D75, 'NCAAT Simulations'!$C$2:$H$9999, 3,FALSE)&lt;50,1-VLOOKUP($B75&amp;$D75, 'NCAAT Simulations'!$C$2:$H$9999, 3,FALSE)/100, VLOOKUP($B75&amp;$D75, 'NCAAT Simulations'!$C$2:$H$9999, 3,FALSE)/100), "")</f>
        <v/>
      </c>
      <c r="G75" s="3" t="str">
        <f>_xlfn.IFNA(IF(ROUND(VLOOKUP($B75&amp;$D75, 'NCAAT Simulations'!$C$2:$H$9999, 4,FALSE), 1)&gt;0, _xlfn.CONCAT("+",ROUND(VLOOKUP($B75&amp;$D75, 'NCAAT Simulations'!$C$2:$H$9999, 4,FALSE), 1)), ROUND(VLOOKUP($B75&amp;$D75, 'NCAAT Simulations'!$C$2:$H$9999, 4,FALSE), 1)), "")</f>
        <v/>
      </c>
      <c r="H75" s="8"/>
      <c r="I75" s="4" t="str">
        <f>_xlfn.IFNA(IF(ABS(VLOOKUP($B75&amp;$D75, 'NCAAT Simulations'!$C$2:$H$9999, 5,FALSE))&gt;10000,_xlfn.FLOOR.MATH(VLOOKUP($B75&amp;$D75, 'NCAAT Simulations'!$C$2:$H$9999, 5,FALSE), 1000), IF(ABS(VLOOKUP($B75&amp;$D75, 'NCAAT Simulations'!$C$2:$H$9999, 5,FALSE))&gt;1000,_xlfn.FLOOR.MATH(VLOOKUP($B75&amp;$D75, 'NCAAT Simulations'!$C$2:$H$9999, 5,FALSE), 100), _xlfn.FLOOR.MATH(VLOOKUP($B75&amp;$D75, 'NCAAT Simulations'!$C$2:$H$9999, 5,FALSE), 10))), "")</f>
        <v/>
      </c>
      <c r="J75" s="1" t="str">
        <f>_xlfn.IFNA(VLOOKUP($B75&amp;$D75, 'NCAAT Simulations'!$C$2:$I$9999, 7,FALSE), "")</f>
        <v/>
      </c>
      <c r="K75" t="str">
        <f t="shared" si="7"/>
        <v/>
      </c>
      <c r="L75" t="str">
        <f t="shared" si="8"/>
        <v/>
      </c>
      <c r="O75" t="str">
        <f t="shared" si="4"/>
        <v/>
      </c>
      <c r="P75" t="str">
        <f t="shared" si="5"/>
        <v/>
      </c>
      <c r="Q75" s="10" t="str">
        <f t="shared" si="6"/>
        <v/>
      </c>
      <c r="R75" s="10" t="str">
        <f t="shared" si="9"/>
        <v/>
      </c>
      <c r="S75" s="9" t="str">
        <f t="shared" si="10"/>
        <v/>
      </c>
      <c r="T75" s="9" t="str">
        <f t="shared" si="11"/>
        <v/>
      </c>
      <c r="U75" s="9"/>
    </row>
    <row r="76" spans="1:21" x14ac:dyDescent="0.45">
      <c r="E76" t="str">
        <f>_xlfn.IFNA(VLOOKUP($B76&amp;$D76, 'NCAAT Simulations'!$C$2:$H$9999, 2,FALSE), "")</f>
        <v/>
      </c>
      <c r="F76" s="5" t="str">
        <f>_xlfn.IFNA(IF(VLOOKUP($B76&amp;$D76, 'NCAAT Simulations'!$C$2:$H$9999, 3,FALSE)&lt;50,1-VLOOKUP($B76&amp;$D76, 'NCAAT Simulations'!$C$2:$H$9999, 3,FALSE)/100, VLOOKUP($B76&amp;$D76, 'NCAAT Simulations'!$C$2:$H$9999, 3,FALSE)/100), "")</f>
        <v/>
      </c>
      <c r="G76" s="3" t="str">
        <f>_xlfn.IFNA(IF(ROUND(VLOOKUP($B76&amp;$D76, 'NCAAT Simulations'!$C$2:$H$9999, 4,FALSE), 1)&gt;0, _xlfn.CONCAT("+",ROUND(VLOOKUP($B76&amp;$D76, 'NCAAT Simulations'!$C$2:$H$9999, 4,FALSE), 1)), ROUND(VLOOKUP($B76&amp;$D76, 'NCAAT Simulations'!$C$2:$H$9999, 4,FALSE), 1)), "")</f>
        <v/>
      </c>
      <c r="H76" s="8"/>
      <c r="I76" s="4" t="str">
        <f>_xlfn.IFNA(IF(ABS(VLOOKUP($B76&amp;$D76, 'NCAAT Simulations'!$C$2:$H$9999, 5,FALSE))&gt;10000,_xlfn.FLOOR.MATH(VLOOKUP($B76&amp;$D76, 'NCAAT Simulations'!$C$2:$H$9999, 5,FALSE), 1000), IF(ABS(VLOOKUP($B76&amp;$D76, 'NCAAT Simulations'!$C$2:$H$9999, 5,FALSE))&gt;1000,_xlfn.FLOOR.MATH(VLOOKUP($B76&amp;$D76, 'NCAAT Simulations'!$C$2:$H$9999, 5,FALSE), 100), _xlfn.FLOOR.MATH(VLOOKUP($B76&amp;$D76, 'NCAAT Simulations'!$C$2:$H$9999, 5,FALSE), 10))), "")</f>
        <v/>
      </c>
      <c r="J76" s="1" t="str">
        <f>_xlfn.IFNA(VLOOKUP($B76&amp;$D76, 'NCAAT Simulations'!$C$2:$I$9999, 7,FALSE), "")</f>
        <v/>
      </c>
      <c r="L76" t="str">
        <f t="shared" si="8"/>
        <v/>
      </c>
      <c r="O76" t="str">
        <f>IF(K76="", "",N76-M76)</f>
        <v/>
      </c>
      <c r="P76" t="str">
        <f>IF(K76="", "", M76+N76)</f>
        <v/>
      </c>
      <c r="Q76" s="10" t="str">
        <f>IF(K76="", "", O76-H76)</f>
        <v/>
      </c>
      <c r="R76" s="10" t="str">
        <f t="shared" si="9"/>
        <v/>
      </c>
      <c r="S76" s="9" t="str">
        <f t="shared" si="10"/>
        <v/>
      </c>
      <c r="T76" s="9" t="str">
        <f t="shared" si="11"/>
        <v/>
      </c>
      <c r="U76" s="9"/>
    </row>
    <row r="77" spans="1:21" x14ac:dyDescent="0.45">
      <c r="E77" t="str">
        <f>_xlfn.IFNA(VLOOKUP($B77&amp;$D77, 'NCAAT Simulations'!$C$2:$H$9999, 2,FALSE), "")</f>
        <v/>
      </c>
      <c r="F77" s="5" t="str">
        <f>_xlfn.IFNA(IF(VLOOKUP($B77&amp;$D77, 'NCAAT Simulations'!$C$2:$H$9999, 3,FALSE)&lt;50,1-VLOOKUP($B77&amp;$D77, 'NCAAT Simulations'!$C$2:$H$9999, 3,FALSE)/100, VLOOKUP($B77&amp;$D77, 'NCAAT Simulations'!$C$2:$H$9999, 3,FALSE)/100), "")</f>
        <v/>
      </c>
      <c r="G77" s="3" t="str">
        <f>_xlfn.IFNA(IF(ROUND(VLOOKUP($B77&amp;$D77, 'NCAAT Simulations'!$C$2:$H$9999, 4,FALSE), 1)&gt;0, _xlfn.CONCAT("+",ROUND(VLOOKUP($B77&amp;$D77, 'NCAAT Simulations'!$C$2:$H$9999, 4,FALSE), 1)), ROUND(VLOOKUP($B77&amp;$D77, 'NCAAT Simulations'!$C$2:$H$9999, 4,FALSE), 1)), "")</f>
        <v/>
      </c>
      <c r="H77" s="8"/>
      <c r="I77" s="4" t="str">
        <f>_xlfn.IFNA(IF(ABS(VLOOKUP($B77&amp;$D77, 'NCAAT Simulations'!$C$2:$H$9999, 5,FALSE))&gt;10000,_xlfn.FLOOR.MATH(VLOOKUP($B77&amp;$D77, 'NCAAT Simulations'!$C$2:$H$9999, 5,FALSE), 1000), IF(ABS(VLOOKUP($B77&amp;$D77, 'NCAAT Simulations'!$C$2:$H$9999, 5,FALSE))&gt;1000,_xlfn.FLOOR.MATH(VLOOKUP($B77&amp;$D77, 'NCAAT Simulations'!$C$2:$H$9999, 5,FALSE), 100), _xlfn.FLOOR.MATH(VLOOKUP($B77&amp;$D77, 'NCAAT Simulations'!$C$2:$H$9999, 5,FALSE), 10))), "")</f>
        <v/>
      </c>
      <c r="J77" s="1" t="str">
        <f>_xlfn.IFNA(VLOOKUP($B77&amp;$D77, 'NCAAT Simulations'!$C$2:$I$9999, 7,FALSE), "")</f>
        <v/>
      </c>
      <c r="L77" t="str">
        <f t="shared" si="8"/>
        <v/>
      </c>
      <c r="O77" t="str">
        <f>IF(K77="", "",N77-M77)</f>
        <v/>
      </c>
      <c r="P77" t="str">
        <f>IF(K77="", "", M77+N77)</f>
        <v/>
      </c>
      <c r="Q77" s="10" t="str">
        <f>IF(K77="", "", O77-H77)</f>
        <v/>
      </c>
      <c r="R77" s="10" t="str">
        <f t="shared" si="9"/>
        <v/>
      </c>
      <c r="S77" s="9" t="str">
        <f t="shared" si="10"/>
        <v/>
      </c>
      <c r="T77" s="9" t="str">
        <f t="shared" si="11"/>
        <v/>
      </c>
      <c r="U77" s="9"/>
    </row>
    <row r="78" spans="1:21" x14ac:dyDescent="0.45">
      <c r="E78" t="str">
        <f>_xlfn.IFNA(VLOOKUP($B78&amp;$D78, 'NCAAT Simulations'!$C$2:$H$9999, 2,FALSE), "")</f>
        <v/>
      </c>
      <c r="F78" s="5"/>
      <c r="G78" s="3"/>
      <c r="H78" s="8"/>
      <c r="I78" s="4"/>
      <c r="J78" s="1"/>
      <c r="L78" t="str">
        <f t="shared" si="8"/>
        <v/>
      </c>
      <c r="O78" t="str">
        <f>IF(K78="", "",N78-M78)</f>
        <v/>
      </c>
      <c r="P78" t="str">
        <f>IF(K78="", "", M78+N78)</f>
        <v/>
      </c>
      <c r="Q78" s="10" t="str">
        <f>IF(K78="", "", O78-H78)</f>
        <v/>
      </c>
      <c r="R78" s="10" t="str">
        <f t="shared" si="9"/>
        <v/>
      </c>
      <c r="S78" s="9" t="str">
        <f t="shared" si="10"/>
        <v/>
      </c>
      <c r="T78" s="9" t="str">
        <f t="shared" si="11"/>
        <v/>
      </c>
      <c r="U78" s="9"/>
    </row>
    <row r="79" spans="1:21" x14ac:dyDescent="0.45">
      <c r="E79" t="str">
        <f>_xlfn.IFNA(VLOOKUP($B79&amp;$D79, 'NCAAT Simulations'!$C$2:$H$9999, 2,FALSE), "")</f>
        <v/>
      </c>
      <c r="F79" s="5"/>
      <c r="G79" s="3"/>
      <c r="H79" s="8"/>
      <c r="I79" s="4"/>
      <c r="J79" s="1"/>
      <c r="L79" t="str">
        <f t="shared" si="8"/>
        <v/>
      </c>
      <c r="O79" t="str">
        <f>IF(K79="", "",N79-M79)</f>
        <v/>
      </c>
      <c r="P79" t="str">
        <f>IF(K79="", "", M79+N79)</f>
        <v/>
      </c>
      <c r="Q79" s="10" t="str">
        <f>IF(K79="", "", O79-H79)</f>
        <v/>
      </c>
      <c r="R79" s="10" t="str">
        <f t="shared" si="9"/>
        <v/>
      </c>
      <c r="S79" s="9" t="str">
        <f t="shared" si="10"/>
        <v/>
      </c>
      <c r="T79" s="9" t="str">
        <f t="shared" si="11"/>
        <v/>
      </c>
      <c r="U79" s="9"/>
    </row>
    <row r="80" spans="1:21" x14ac:dyDescent="0.45">
      <c r="E80" t="str">
        <f>_xlfn.IFNA(VLOOKUP($B80&amp;$D80, 'NCAAT Simulations'!$C$2:$H$9999, 2,FALSE), "")</f>
        <v/>
      </c>
      <c r="F80" s="5"/>
      <c r="G80" s="3"/>
      <c r="H80" s="8"/>
      <c r="I80" s="4"/>
      <c r="J80" s="1"/>
      <c r="L80" t="str">
        <f t="shared" si="8"/>
        <v/>
      </c>
      <c r="Q80" s="10" t="str">
        <f>IF(K80="", "", O80-H80)</f>
        <v/>
      </c>
      <c r="R80" s="10" t="str">
        <f t="shared" si="9"/>
        <v/>
      </c>
      <c r="S80" s="9" t="str">
        <f t="shared" si="10"/>
        <v/>
      </c>
      <c r="T80" s="9" t="str">
        <f t="shared" si="11"/>
        <v/>
      </c>
      <c r="U80" s="9"/>
    </row>
    <row r="81" spans="5:21" x14ac:dyDescent="0.45">
      <c r="E81" t="str">
        <f>_xlfn.IFNA(VLOOKUP($B81&amp;$D81, 'NCAAT Simulations'!$C$2:$H$9999, 2,FALSE), "")</f>
        <v/>
      </c>
      <c r="F81" s="5"/>
      <c r="G81" s="3"/>
      <c r="H81" s="8"/>
      <c r="I81" s="4"/>
      <c r="J81" s="1"/>
      <c r="L81" t="str">
        <f t="shared" si="8"/>
        <v/>
      </c>
      <c r="Q81" s="10" t="str">
        <f>IF(K81="", "", O81-H81)</f>
        <v/>
      </c>
      <c r="R81" s="10" t="str">
        <f t="shared" si="9"/>
        <v/>
      </c>
      <c r="S81" s="9" t="str">
        <f t="shared" si="10"/>
        <v/>
      </c>
      <c r="T81" s="9" t="str">
        <f t="shared" si="11"/>
        <v/>
      </c>
      <c r="U81" s="9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BDD31A54-862F-4296-B9E6-A927CBF3FBDB}">
          <x14:formula1>
            <xm:f>'NCAAT Simulations'!$A$2:$A$4490</xm:f>
          </x14:formula1>
          <xm:sqref>B2:B81</xm:sqref>
        </x14:dataValidation>
        <x14:dataValidation type="list" allowBlank="1" showInputMessage="1" showErrorMessage="1" xr:uid="{70694E05-2BDA-41E3-BAD8-4E06816AD728}">
          <x14:formula1>
            <xm:f>'NCAAT Simulations'!$B$2:$B$4490</xm:f>
          </x14:formula1>
          <xm:sqref>D2:D81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25"/>
  <sheetViews>
    <sheetView workbookViewId="0">
      <selection activeCell="J3" sqref="J3"/>
    </sheetView>
  </sheetViews>
  <sheetFormatPr defaultColWidth="10.6640625" defaultRowHeight="14.25" x14ac:dyDescent="0.45"/>
  <cols>
    <col min="3" max="3" width="10.6640625" customWidth="1"/>
    <col min="5" max="5" width="15.19921875" customWidth="1"/>
    <col min="6" max="6" width="10.796875" bestFit="1" customWidth="1"/>
    <col min="7" max="7" width="12.86328125" bestFit="1" customWidth="1"/>
    <col min="9" max="9" width="11.59765625" bestFit="1" customWidth="1"/>
  </cols>
  <sheetData>
    <row r="1" spans="1:9" x14ac:dyDescent="0.45">
      <c r="A1" t="s">
        <v>0</v>
      </c>
      <c r="B1" t="s">
        <v>1</v>
      </c>
      <c r="C1" t="s">
        <v>74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84</v>
      </c>
    </row>
    <row r="2" spans="1:9" x14ac:dyDescent="0.45">
      <c r="A2" t="s">
        <v>7</v>
      </c>
      <c r="B2" t="s">
        <v>7</v>
      </c>
      <c r="C2" t="str">
        <f>A2&amp;B2</f>
        <v>AkronAkron</v>
      </c>
      <c r="D2" t="s">
        <v>7</v>
      </c>
      <c r="E2">
        <v>41.2</v>
      </c>
      <c r="F2" s="1">
        <v>2.3283018867924499</v>
      </c>
      <c r="G2" s="2">
        <v>142.64273539779199</v>
      </c>
      <c r="H2" s="1">
        <v>138.77771517530499</v>
      </c>
      <c r="I2" s="1">
        <f>18*(H2-AVERAGE($H$2:$H$4625))/_xlfn.STDEV.P($H$2:$H$4625)+AVERAGE($H$2:$H$4625)</f>
        <v>138.77771517530684</v>
      </c>
    </row>
    <row r="3" spans="1:9" x14ac:dyDescent="0.45">
      <c r="A3" t="s">
        <v>8</v>
      </c>
      <c r="B3" t="s">
        <v>7</v>
      </c>
      <c r="C3" t="str">
        <f t="shared" ref="C3:C66" si="0">A3&amp;B3</f>
        <v>AlabamaAkron</v>
      </c>
      <c r="D3" t="s">
        <v>8</v>
      </c>
      <c r="E3">
        <v>98.1</v>
      </c>
      <c r="F3" s="1">
        <v>-26.011320754717001</v>
      </c>
      <c r="G3" s="2">
        <v>-5287.87336215511</v>
      </c>
      <c r="H3" s="1">
        <v>140.58532636290099</v>
      </c>
      <c r="I3" s="1">
        <f t="shared" ref="I3:I66" si="1">18*(H3-AVERAGE($H$2:$H$4625))/_xlfn.STDEV.P($H$2:$H$4625)+AVERAGE($H$2:$H$4625)</f>
        <v>164.15967737076983</v>
      </c>
    </row>
    <row r="4" spans="1:9" x14ac:dyDescent="0.45">
      <c r="A4" t="s">
        <v>9</v>
      </c>
      <c r="B4" t="s">
        <v>7</v>
      </c>
      <c r="C4" t="str">
        <f t="shared" si="0"/>
        <v>Alabama St.Akron</v>
      </c>
      <c r="D4" t="s">
        <v>7</v>
      </c>
      <c r="E4">
        <v>9.6999999999999993</v>
      </c>
      <c r="F4" s="1">
        <v>14.6452830188679</v>
      </c>
      <c r="G4" s="2">
        <v>933.98387018059395</v>
      </c>
      <c r="H4" s="1">
        <v>138.964476934727</v>
      </c>
      <c r="I4" s="1">
        <f t="shared" si="1"/>
        <v>141.40017068439897</v>
      </c>
    </row>
    <row r="5" spans="1:9" x14ac:dyDescent="0.45">
      <c r="A5" t="s">
        <v>10</v>
      </c>
      <c r="B5" t="s">
        <v>7</v>
      </c>
      <c r="C5" t="str">
        <f t="shared" si="0"/>
        <v>AmericanAkron</v>
      </c>
      <c r="D5" t="s">
        <v>7</v>
      </c>
      <c r="E5">
        <v>10.7</v>
      </c>
      <c r="F5" s="1">
        <v>13.8905660377358</v>
      </c>
      <c r="G5" s="2">
        <v>832.13369121671303</v>
      </c>
      <c r="H5" s="1">
        <v>138.727766454489</v>
      </c>
      <c r="I5" s="1">
        <f t="shared" si="1"/>
        <v>138.07634944347083</v>
      </c>
    </row>
    <row r="6" spans="1:9" x14ac:dyDescent="0.45">
      <c r="A6" t="s">
        <v>11</v>
      </c>
      <c r="B6" t="s">
        <v>7</v>
      </c>
      <c r="C6" t="str">
        <f t="shared" si="0"/>
        <v>ArizonaAkron</v>
      </c>
      <c r="D6" t="s">
        <v>11</v>
      </c>
      <c r="E6">
        <v>97.2</v>
      </c>
      <c r="F6" s="1">
        <v>-23.256603773584899</v>
      </c>
      <c r="G6" s="2">
        <v>-3473.1765732263102</v>
      </c>
      <c r="H6" s="1">
        <v>140.19580570307801</v>
      </c>
      <c r="I6" s="1">
        <f t="shared" si="1"/>
        <v>158.69013904868885</v>
      </c>
    </row>
    <row r="7" spans="1:9" x14ac:dyDescent="0.45">
      <c r="A7" t="s">
        <v>12</v>
      </c>
      <c r="B7" t="s">
        <v>7</v>
      </c>
      <c r="C7" t="str">
        <f t="shared" si="0"/>
        <v>ArkansasAkron</v>
      </c>
      <c r="D7" t="s">
        <v>12</v>
      </c>
      <c r="E7">
        <v>69.400000000000006</v>
      </c>
      <c r="F7" s="1">
        <v>-5.3547169811320803</v>
      </c>
      <c r="G7" s="2">
        <v>-226.37437223150499</v>
      </c>
      <c r="H7" s="1">
        <v>138.521729680867</v>
      </c>
      <c r="I7" s="1">
        <f t="shared" si="1"/>
        <v>135.18323966696857</v>
      </c>
    </row>
    <row r="8" spans="1:9" x14ac:dyDescent="0.45">
      <c r="A8" t="s">
        <v>13</v>
      </c>
      <c r="B8" t="s">
        <v>7</v>
      </c>
      <c r="C8" t="str">
        <f t="shared" si="0"/>
        <v>AuburnAkron</v>
      </c>
      <c r="D8" t="s">
        <v>13</v>
      </c>
      <c r="E8">
        <v>99</v>
      </c>
      <c r="F8" s="1">
        <v>-30.452830188679201</v>
      </c>
      <c r="G8" s="2">
        <v>-10408.582022492001</v>
      </c>
      <c r="H8" s="1">
        <v>141.60754259625301</v>
      </c>
      <c r="I8" s="1">
        <f t="shared" si="1"/>
        <v>178.51334699207592</v>
      </c>
    </row>
    <row r="9" spans="1:9" x14ac:dyDescent="0.45">
      <c r="A9" t="s">
        <v>14</v>
      </c>
      <c r="B9" t="s">
        <v>7</v>
      </c>
      <c r="C9" t="str">
        <f t="shared" si="0"/>
        <v>BaylorAkron</v>
      </c>
      <c r="D9" t="s">
        <v>14</v>
      </c>
      <c r="E9">
        <v>91.3</v>
      </c>
      <c r="F9" s="1">
        <v>-15.4037735849057</v>
      </c>
      <c r="G9" s="2">
        <v>-1048.1643041669599</v>
      </c>
      <c r="H9" s="1">
        <v>140.070459957434</v>
      </c>
      <c r="I9" s="1">
        <f t="shared" si="1"/>
        <v>156.93006973780479</v>
      </c>
    </row>
    <row r="10" spans="1:9" x14ac:dyDescent="0.45">
      <c r="A10" t="s">
        <v>15</v>
      </c>
      <c r="B10" t="s">
        <v>7</v>
      </c>
      <c r="C10" t="str">
        <f t="shared" si="0"/>
        <v>BryantAkron</v>
      </c>
      <c r="D10" t="s">
        <v>7</v>
      </c>
      <c r="E10">
        <v>32.9</v>
      </c>
      <c r="F10" s="1">
        <v>4.6679245283018904</v>
      </c>
      <c r="G10" s="2">
        <v>203.836730829743</v>
      </c>
      <c r="H10" s="1">
        <v>139.66277983307899</v>
      </c>
      <c r="I10" s="1">
        <f t="shared" si="1"/>
        <v>151.2055413794788</v>
      </c>
    </row>
    <row r="11" spans="1:9" x14ac:dyDescent="0.45">
      <c r="A11" t="s">
        <v>16</v>
      </c>
      <c r="B11" t="s">
        <v>7</v>
      </c>
      <c r="C11" t="str">
        <f t="shared" si="0"/>
        <v>BYUAkron</v>
      </c>
      <c r="D11" t="s">
        <v>16</v>
      </c>
      <c r="E11">
        <v>92.5</v>
      </c>
      <c r="F11" s="1">
        <v>-16.498113207547199</v>
      </c>
      <c r="G11" s="2">
        <v>-1238.6229069745</v>
      </c>
      <c r="H11" s="1">
        <v>139.832820507523</v>
      </c>
      <c r="I11" s="1">
        <f t="shared" si="1"/>
        <v>153.5932041689357</v>
      </c>
    </row>
    <row r="12" spans="1:9" x14ac:dyDescent="0.45">
      <c r="A12" t="s">
        <v>17</v>
      </c>
      <c r="B12" t="s">
        <v>7</v>
      </c>
      <c r="C12" t="str">
        <f t="shared" si="0"/>
        <v>ClemsonAkron</v>
      </c>
      <c r="D12" t="s">
        <v>17</v>
      </c>
      <c r="E12">
        <v>94.5</v>
      </c>
      <c r="F12" s="1">
        <v>-18.7018867924528</v>
      </c>
      <c r="G12" s="2">
        <v>-1733.7252461647699</v>
      </c>
      <c r="H12" s="1">
        <v>140.182870729965</v>
      </c>
      <c r="I12" s="1">
        <f t="shared" si="1"/>
        <v>158.50850983505788</v>
      </c>
    </row>
    <row r="13" spans="1:9" x14ac:dyDescent="0.45">
      <c r="A13" t="s">
        <v>18</v>
      </c>
      <c r="B13" t="s">
        <v>7</v>
      </c>
      <c r="C13" t="str">
        <f t="shared" si="0"/>
        <v>Colorado St.Akron</v>
      </c>
      <c r="D13" t="s">
        <v>18</v>
      </c>
      <c r="E13">
        <v>74.2</v>
      </c>
      <c r="F13" s="1">
        <v>-6.9207547169811301</v>
      </c>
      <c r="G13" s="2">
        <v>-287.35342400250801</v>
      </c>
      <c r="H13" s="1">
        <v>139.57248170475901</v>
      </c>
      <c r="I13" s="1">
        <f t="shared" si="1"/>
        <v>149.93760074320363</v>
      </c>
    </row>
    <row r="14" spans="1:9" x14ac:dyDescent="0.45">
      <c r="A14" t="s">
        <v>19</v>
      </c>
      <c r="B14" t="s">
        <v>7</v>
      </c>
      <c r="C14" t="str">
        <f t="shared" si="0"/>
        <v>ConnecticutAkron</v>
      </c>
      <c r="D14" t="s">
        <v>19</v>
      </c>
      <c r="E14">
        <v>96.4</v>
      </c>
      <c r="F14" s="1">
        <v>-21.5962264150943</v>
      </c>
      <c r="G14" s="2">
        <v>-2695.6692320808802</v>
      </c>
      <c r="H14" s="1">
        <v>139.98312156071299</v>
      </c>
      <c r="I14" s="1">
        <f t="shared" si="1"/>
        <v>155.70368881086813</v>
      </c>
    </row>
    <row r="15" spans="1:9" x14ac:dyDescent="0.45">
      <c r="A15" t="s">
        <v>20</v>
      </c>
      <c r="B15" t="s">
        <v>7</v>
      </c>
      <c r="C15" t="str">
        <f t="shared" si="0"/>
        <v>CreightonAkron</v>
      </c>
      <c r="D15" t="s">
        <v>20</v>
      </c>
      <c r="E15">
        <v>89.3</v>
      </c>
      <c r="F15" s="1">
        <v>-13.8867924528302</v>
      </c>
      <c r="G15" s="2">
        <v>-831.82877914071696</v>
      </c>
      <c r="H15" s="1">
        <v>139.532418313552</v>
      </c>
      <c r="I15" s="1">
        <f t="shared" si="1"/>
        <v>149.37504199826088</v>
      </c>
    </row>
    <row r="16" spans="1:9" x14ac:dyDescent="0.45">
      <c r="A16" t="s">
        <v>21</v>
      </c>
      <c r="B16" t="s">
        <v>7</v>
      </c>
      <c r="C16" t="str">
        <f t="shared" si="0"/>
        <v>DrakeAkron</v>
      </c>
      <c r="D16" t="s">
        <v>21</v>
      </c>
      <c r="E16">
        <v>73.599999999999994</v>
      </c>
      <c r="F16" s="1">
        <v>-6.7132075471698096</v>
      </c>
      <c r="G16" s="2">
        <v>-278.51349830180902</v>
      </c>
      <c r="H16" s="1">
        <v>139.76709411922599</v>
      </c>
      <c r="I16" s="1">
        <f t="shared" si="1"/>
        <v>152.67029291764072</v>
      </c>
    </row>
    <row r="17" spans="1:9" x14ac:dyDescent="0.45">
      <c r="A17" t="s">
        <v>22</v>
      </c>
      <c r="B17" t="s">
        <v>7</v>
      </c>
      <c r="C17" t="str">
        <f t="shared" si="0"/>
        <v>DukeAkron</v>
      </c>
      <c r="D17" t="s">
        <v>22</v>
      </c>
      <c r="E17">
        <v>99.3</v>
      </c>
      <c r="F17" s="1">
        <v>-32.664150943396201</v>
      </c>
      <c r="G17" s="2">
        <v>-14591.457492400101</v>
      </c>
      <c r="H17" s="1">
        <v>141.84743400782901</v>
      </c>
      <c r="I17" s="1">
        <f t="shared" si="1"/>
        <v>181.88183396616688</v>
      </c>
    </row>
    <row r="18" spans="1:9" x14ac:dyDescent="0.45">
      <c r="A18" t="s">
        <v>23</v>
      </c>
      <c r="B18" t="s">
        <v>7</v>
      </c>
      <c r="C18" t="str">
        <f t="shared" si="0"/>
        <v>FloridaAkron</v>
      </c>
      <c r="D18" t="s">
        <v>23</v>
      </c>
      <c r="E18">
        <v>98.8</v>
      </c>
      <c r="F18" s="1">
        <v>-28.807547169811301</v>
      </c>
      <c r="G18" s="2">
        <v>-8101.5201060567097</v>
      </c>
      <c r="H18" s="1">
        <v>141.58208453538299</v>
      </c>
      <c r="I18" s="1">
        <f t="shared" si="1"/>
        <v>178.15587214183887</v>
      </c>
    </row>
    <row r="19" spans="1:9" x14ac:dyDescent="0.45">
      <c r="A19" t="s">
        <v>24</v>
      </c>
      <c r="B19" t="s">
        <v>7</v>
      </c>
      <c r="C19" t="str">
        <f t="shared" si="0"/>
        <v>GeorgiaAkron</v>
      </c>
      <c r="D19" t="s">
        <v>24</v>
      </c>
      <c r="E19">
        <v>76.5</v>
      </c>
      <c r="F19" s="1">
        <v>-7.7471698113207497</v>
      </c>
      <c r="G19" s="2">
        <v>-326.02506952791299</v>
      </c>
      <c r="H19" s="1">
        <v>138.846042831668</v>
      </c>
      <c r="I19" s="1">
        <f t="shared" si="1"/>
        <v>139.73715269296073</v>
      </c>
    </row>
    <row r="20" spans="1:9" x14ac:dyDescent="0.45">
      <c r="A20" t="s">
        <v>25</v>
      </c>
      <c r="B20" t="s">
        <v>7</v>
      </c>
      <c r="C20" t="str">
        <f t="shared" si="0"/>
        <v>GonzagaAkron</v>
      </c>
      <c r="D20" t="s">
        <v>25</v>
      </c>
      <c r="E20">
        <v>94.3</v>
      </c>
      <c r="F20" s="1">
        <v>-18.377358490565999</v>
      </c>
      <c r="G20" s="2">
        <v>-1650.02239544601</v>
      </c>
      <c r="H20" s="1">
        <v>140.82300456217399</v>
      </c>
      <c r="I20" s="1">
        <f t="shared" si="1"/>
        <v>167.49708704715954</v>
      </c>
    </row>
    <row r="21" spans="1:9" x14ac:dyDescent="0.45">
      <c r="A21" t="s">
        <v>26</v>
      </c>
      <c r="B21" t="s">
        <v>7</v>
      </c>
      <c r="C21" t="str">
        <f t="shared" si="0"/>
        <v>Grand CanyonAkron</v>
      </c>
      <c r="D21" t="s">
        <v>26</v>
      </c>
      <c r="E21">
        <v>64.2</v>
      </c>
      <c r="F21" s="1">
        <v>-3.82641509433962</v>
      </c>
      <c r="G21" s="2">
        <v>-179.271397444949</v>
      </c>
      <c r="H21" s="1">
        <v>139.64097627971401</v>
      </c>
      <c r="I21" s="1">
        <f t="shared" si="1"/>
        <v>150.89938208425306</v>
      </c>
    </row>
    <row r="22" spans="1:9" x14ac:dyDescent="0.45">
      <c r="A22" t="s">
        <v>27</v>
      </c>
      <c r="B22" t="s">
        <v>7</v>
      </c>
      <c r="C22" t="str">
        <f t="shared" si="0"/>
        <v>High PointAkron</v>
      </c>
      <c r="D22" t="s">
        <v>27</v>
      </c>
      <c r="E22">
        <v>52.8</v>
      </c>
      <c r="F22" s="1">
        <v>-0.73584905660377398</v>
      </c>
      <c r="G22" s="2">
        <v>-111.899705267934</v>
      </c>
      <c r="H22" s="1">
        <v>139.83218341326199</v>
      </c>
      <c r="I22" s="1">
        <f t="shared" si="1"/>
        <v>153.5842582725179</v>
      </c>
    </row>
    <row r="23" spans="1:9" x14ac:dyDescent="0.45">
      <c r="A23" t="s">
        <v>28</v>
      </c>
      <c r="B23" t="s">
        <v>7</v>
      </c>
      <c r="C23" t="str">
        <f t="shared" si="0"/>
        <v>HoustonAkron</v>
      </c>
      <c r="D23" t="s">
        <v>28</v>
      </c>
      <c r="E23">
        <v>99.6</v>
      </c>
      <c r="F23" s="1">
        <v>-36.018867924528301</v>
      </c>
      <c r="G23" s="2">
        <v>-24340.462989952601</v>
      </c>
      <c r="H23" s="1">
        <v>141.94564577046501</v>
      </c>
      <c r="I23" s="1">
        <f t="shared" si="1"/>
        <v>183.26089560479946</v>
      </c>
    </row>
    <row r="24" spans="1:9" x14ac:dyDescent="0.45">
      <c r="A24" t="s">
        <v>29</v>
      </c>
      <c r="B24" t="s">
        <v>7</v>
      </c>
      <c r="C24" t="str">
        <f t="shared" si="0"/>
        <v>IllinoisAkron</v>
      </c>
      <c r="D24" t="s">
        <v>29</v>
      </c>
      <c r="E24">
        <v>96</v>
      </c>
      <c r="F24" s="1">
        <v>-20.8301886792453</v>
      </c>
      <c r="G24" s="2">
        <v>-2399.4696160151002</v>
      </c>
      <c r="H24" s="1">
        <v>140.00410954542701</v>
      </c>
      <c r="I24" s="1">
        <f t="shared" si="1"/>
        <v>155.99839612305226</v>
      </c>
    </row>
    <row r="25" spans="1:9" x14ac:dyDescent="0.45">
      <c r="A25" t="s">
        <v>30</v>
      </c>
      <c r="B25" t="s">
        <v>7</v>
      </c>
      <c r="C25" t="str">
        <f t="shared" si="0"/>
        <v>Iowa St.Akron</v>
      </c>
      <c r="D25" t="s">
        <v>30</v>
      </c>
      <c r="E25">
        <v>98.1</v>
      </c>
      <c r="F25" s="1">
        <v>-25.6943396226415</v>
      </c>
      <c r="G25" s="2">
        <v>-5036.9926159839197</v>
      </c>
      <c r="H25" s="1">
        <v>140.90065183701299</v>
      </c>
      <c r="I25" s="1">
        <f t="shared" si="1"/>
        <v>168.58738799687052</v>
      </c>
    </row>
    <row r="26" spans="1:9" x14ac:dyDescent="0.45">
      <c r="A26" t="s">
        <v>31</v>
      </c>
      <c r="B26" t="s">
        <v>7</v>
      </c>
      <c r="C26" t="str">
        <f t="shared" si="0"/>
        <v>KansasAkron</v>
      </c>
      <c r="D26" t="s">
        <v>31</v>
      </c>
      <c r="E26">
        <v>93.9</v>
      </c>
      <c r="F26" s="1">
        <v>-17.977358490566001</v>
      </c>
      <c r="G26" s="2">
        <v>-1552.2811309748599</v>
      </c>
      <c r="H26" s="1">
        <v>139.951239725867</v>
      </c>
      <c r="I26" s="1">
        <f t="shared" si="1"/>
        <v>155.25601315343923</v>
      </c>
    </row>
    <row r="27" spans="1:9" x14ac:dyDescent="0.45">
      <c r="A27" t="s">
        <v>32</v>
      </c>
      <c r="B27" t="s">
        <v>7</v>
      </c>
      <c r="C27" t="str">
        <f t="shared" si="0"/>
        <v>KentuckyAkron</v>
      </c>
      <c r="D27" t="s">
        <v>32</v>
      </c>
      <c r="E27">
        <v>96.3</v>
      </c>
      <c r="F27" s="1">
        <v>-21.339622641509401</v>
      </c>
      <c r="G27" s="2">
        <v>-2593.3212645468998</v>
      </c>
      <c r="H27" s="1">
        <v>139.88552205799201</v>
      </c>
      <c r="I27" s="1">
        <f t="shared" si="1"/>
        <v>154.33322435183004</v>
      </c>
    </row>
    <row r="28" spans="1:9" x14ac:dyDescent="0.45">
      <c r="A28" t="s">
        <v>33</v>
      </c>
      <c r="B28" t="s">
        <v>7</v>
      </c>
      <c r="C28" t="str">
        <f t="shared" si="0"/>
        <v>LibertyAkron</v>
      </c>
      <c r="D28" t="s">
        <v>7</v>
      </c>
      <c r="E28">
        <v>43.8</v>
      </c>
      <c r="F28" s="1">
        <v>1.6452830188679199</v>
      </c>
      <c r="G28" s="2">
        <v>128.52025950237501</v>
      </c>
      <c r="H28" s="1">
        <v>139.23052310170999</v>
      </c>
      <c r="I28" s="1">
        <f t="shared" si="1"/>
        <v>145.13591529526894</v>
      </c>
    </row>
    <row r="29" spans="1:9" x14ac:dyDescent="0.45">
      <c r="A29" t="s">
        <v>34</v>
      </c>
      <c r="B29" t="s">
        <v>7</v>
      </c>
      <c r="C29" t="str">
        <f t="shared" si="0"/>
        <v>LipscombAkron</v>
      </c>
      <c r="D29" t="s">
        <v>7</v>
      </c>
      <c r="E29">
        <v>36.9</v>
      </c>
      <c r="F29" s="1">
        <v>3.5094339622641502</v>
      </c>
      <c r="G29" s="2">
        <v>170.832263162933</v>
      </c>
      <c r="H29" s="1">
        <v>139.63684129930101</v>
      </c>
      <c r="I29" s="1">
        <f t="shared" si="1"/>
        <v>150.84131986531909</v>
      </c>
    </row>
    <row r="30" spans="1:9" x14ac:dyDescent="0.45">
      <c r="A30" t="s">
        <v>35</v>
      </c>
      <c r="B30" t="s">
        <v>7</v>
      </c>
      <c r="C30" t="str">
        <f t="shared" si="0"/>
        <v>LouisvilleAkron</v>
      </c>
      <c r="D30" t="s">
        <v>35</v>
      </c>
      <c r="E30">
        <v>59.6</v>
      </c>
      <c r="F30" s="1">
        <v>-2.5396226415094301</v>
      </c>
      <c r="G30" s="2">
        <v>-147.288195221233</v>
      </c>
      <c r="H30" s="1">
        <v>138.88220330511899</v>
      </c>
      <c r="I30" s="1">
        <f t="shared" si="1"/>
        <v>140.24490777679807</v>
      </c>
    </row>
    <row r="31" spans="1:9" x14ac:dyDescent="0.45">
      <c r="A31" t="s">
        <v>36</v>
      </c>
      <c r="B31" t="s">
        <v>7</v>
      </c>
      <c r="C31" t="str">
        <f t="shared" si="0"/>
        <v>MarquetteAkron</v>
      </c>
      <c r="D31" t="s">
        <v>36</v>
      </c>
      <c r="E31">
        <v>95.2</v>
      </c>
      <c r="F31" s="1">
        <v>-19.607547169811301</v>
      </c>
      <c r="G31" s="2">
        <v>-1990.2665229424399</v>
      </c>
      <c r="H31" s="1">
        <v>140.144337148581</v>
      </c>
      <c r="I31" s="1">
        <f t="shared" si="1"/>
        <v>157.9674322445583</v>
      </c>
    </row>
    <row r="32" spans="1:9" x14ac:dyDescent="0.45">
      <c r="A32" t="s">
        <v>37</v>
      </c>
      <c r="B32" t="s">
        <v>7</v>
      </c>
      <c r="C32" t="str">
        <f t="shared" si="0"/>
        <v>MarylandAkron</v>
      </c>
      <c r="D32" t="s">
        <v>37</v>
      </c>
      <c r="E32">
        <v>92.5</v>
      </c>
      <c r="F32" s="1">
        <v>-16.437735849056601</v>
      </c>
      <c r="G32" s="2">
        <v>-1227.6580229798999</v>
      </c>
      <c r="H32" s="1">
        <v>139.60270674712399</v>
      </c>
      <c r="I32" s="1">
        <f t="shared" si="1"/>
        <v>150.36201219182072</v>
      </c>
    </row>
    <row r="33" spans="1:9" x14ac:dyDescent="0.45">
      <c r="A33" t="s">
        <v>38</v>
      </c>
      <c r="B33" t="s">
        <v>7</v>
      </c>
      <c r="C33" t="str">
        <f t="shared" si="0"/>
        <v>McNeese St.Akron</v>
      </c>
      <c r="D33" t="s">
        <v>38</v>
      </c>
      <c r="E33">
        <v>74.099999999999994</v>
      </c>
      <c r="F33" s="1">
        <v>-6.8981132075471701</v>
      </c>
      <c r="G33" s="2">
        <v>-286.422896799461</v>
      </c>
      <c r="H33" s="1">
        <v>140.19594216008801</v>
      </c>
      <c r="I33" s="1">
        <f t="shared" si="1"/>
        <v>158.69205513921369</v>
      </c>
    </row>
    <row r="34" spans="1:9" x14ac:dyDescent="0.45">
      <c r="A34" t="s">
        <v>39</v>
      </c>
      <c r="B34" t="s">
        <v>7</v>
      </c>
      <c r="C34" t="str">
        <f t="shared" si="0"/>
        <v>MemphisAkron</v>
      </c>
      <c r="D34" t="s">
        <v>39</v>
      </c>
      <c r="E34">
        <v>87.4</v>
      </c>
      <c r="F34" s="1">
        <v>-12.675471698113199</v>
      </c>
      <c r="G34" s="2">
        <v>-691.31668652013605</v>
      </c>
      <c r="H34" s="1">
        <v>138.73022398661399</v>
      </c>
      <c r="I34" s="1">
        <f t="shared" si="1"/>
        <v>138.11085741062593</v>
      </c>
    </row>
    <row r="35" spans="1:9" x14ac:dyDescent="0.45">
      <c r="A35" t="s">
        <v>40</v>
      </c>
      <c r="B35" t="s">
        <v>7</v>
      </c>
      <c r="C35" t="str">
        <f t="shared" si="0"/>
        <v>MichiganAkron</v>
      </c>
      <c r="D35" t="s">
        <v>40</v>
      </c>
      <c r="E35">
        <v>77.3</v>
      </c>
      <c r="F35" s="1">
        <v>-8.0490566037735896</v>
      </c>
      <c r="G35" s="2">
        <v>-341.41484879882597</v>
      </c>
      <c r="H35" s="1">
        <v>138.29284528353099</v>
      </c>
      <c r="I35" s="1">
        <f t="shared" si="1"/>
        <v>131.96931005634249</v>
      </c>
    </row>
    <row r="36" spans="1:9" x14ac:dyDescent="0.45">
      <c r="A36" t="s">
        <v>41</v>
      </c>
      <c r="B36" t="s">
        <v>7</v>
      </c>
      <c r="C36" t="str">
        <f t="shared" si="0"/>
        <v>Michigan St.Akron</v>
      </c>
      <c r="D36" t="s">
        <v>41</v>
      </c>
      <c r="E36">
        <v>97</v>
      </c>
      <c r="F36" s="1">
        <v>-22.796226415094299</v>
      </c>
      <c r="G36" s="2">
        <v>-3237.7070202478699</v>
      </c>
      <c r="H36" s="1">
        <v>139.93992499273801</v>
      </c>
      <c r="I36" s="1">
        <f t="shared" si="1"/>
        <v>155.09713488885316</v>
      </c>
    </row>
    <row r="37" spans="1:9" x14ac:dyDescent="0.45">
      <c r="A37" t="s">
        <v>42</v>
      </c>
      <c r="B37" t="s">
        <v>7</v>
      </c>
      <c r="C37" t="str">
        <f t="shared" si="0"/>
        <v>MississippiAkron</v>
      </c>
      <c r="D37" t="s">
        <v>42</v>
      </c>
      <c r="E37">
        <v>89.9</v>
      </c>
      <c r="F37" s="1">
        <v>-14.2981132075472</v>
      </c>
      <c r="G37" s="2">
        <v>-885.86212085724799</v>
      </c>
      <c r="H37" s="1">
        <v>139.20761634262701</v>
      </c>
      <c r="I37" s="1">
        <f t="shared" si="1"/>
        <v>144.81426509911248</v>
      </c>
    </row>
    <row r="38" spans="1:9" x14ac:dyDescent="0.45">
      <c r="A38" t="s">
        <v>43</v>
      </c>
      <c r="B38" t="s">
        <v>7</v>
      </c>
      <c r="C38" t="str">
        <f t="shared" si="0"/>
        <v>Mississippi St.Akron</v>
      </c>
      <c r="D38" t="s">
        <v>43</v>
      </c>
      <c r="E38">
        <v>87.2</v>
      </c>
      <c r="F38" s="1">
        <v>-12.577358490566001</v>
      </c>
      <c r="G38" s="2">
        <v>-681.065397318907</v>
      </c>
      <c r="H38" s="1">
        <v>139.347362815304</v>
      </c>
      <c r="I38" s="1">
        <f t="shared" si="1"/>
        <v>146.77654532329828</v>
      </c>
    </row>
    <row r="39" spans="1:9" x14ac:dyDescent="0.45">
      <c r="A39" t="s">
        <v>44</v>
      </c>
      <c r="B39" t="s">
        <v>7</v>
      </c>
      <c r="C39" t="str">
        <f t="shared" si="0"/>
        <v>MissouriAkron</v>
      </c>
      <c r="D39" t="s">
        <v>44</v>
      </c>
      <c r="E39">
        <v>76.2</v>
      </c>
      <c r="F39" s="1">
        <v>-7.64150943396226</v>
      </c>
      <c r="G39" s="2">
        <v>-320.85627253719099</v>
      </c>
      <c r="H39" s="1">
        <v>138.76502471395</v>
      </c>
      <c r="I39" s="1">
        <f t="shared" si="1"/>
        <v>138.59951932624054</v>
      </c>
    </row>
    <row r="40" spans="1:9" x14ac:dyDescent="0.45">
      <c r="A40" t="s">
        <v>45</v>
      </c>
      <c r="B40" t="s">
        <v>7</v>
      </c>
      <c r="C40" t="str">
        <f t="shared" si="0"/>
        <v>MontanaAkron</v>
      </c>
      <c r="D40" t="s">
        <v>7</v>
      </c>
      <c r="E40">
        <v>22.4</v>
      </c>
      <c r="F40" s="1">
        <v>8.1622641509434004</v>
      </c>
      <c r="G40" s="2">
        <v>347.40431528057599</v>
      </c>
      <c r="H40" s="1">
        <v>137.90173627735601</v>
      </c>
      <c r="I40" s="1">
        <f t="shared" si="1"/>
        <v>126.47746862652649</v>
      </c>
    </row>
    <row r="41" spans="1:9" x14ac:dyDescent="0.45">
      <c r="A41" t="s">
        <v>46</v>
      </c>
      <c r="B41" t="s">
        <v>7</v>
      </c>
      <c r="C41" t="str">
        <f t="shared" si="0"/>
        <v>Mount St. Mary'sAkron</v>
      </c>
      <c r="D41" t="s">
        <v>7</v>
      </c>
      <c r="E41">
        <v>9.9</v>
      </c>
      <c r="F41" s="1">
        <v>14.498113207547201</v>
      </c>
      <c r="G41" s="2">
        <v>912.97597084065603</v>
      </c>
      <c r="H41" s="1">
        <v>139.205024231507</v>
      </c>
      <c r="I41" s="1">
        <f t="shared" si="1"/>
        <v>144.77786741198483</v>
      </c>
    </row>
    <row r="42" spans="1:9" x14ac:dyDescent="0.45">
      <c r="A42" t="s">
        <v>47</v>
      </c>
      <c r="B42" t="s">
        <v>7</v>
      </c>
      <c r="C42" t="str">
        <f t="shared" si="0"/>
        <v>Nebraska OmahaAkron</v>
      </c>
      <c r="D42" t="s">
        <v>7</v>
      </c>
      <c r="E42">
        <v>13.3</v>
      </c>
      <c r="F42" s="1">
        <v>12.3056603773585</v>
      </c>
      <c r="G42" s="2">
        <v>653.667399529617</v>
      </c>
      <c r="H42" s="1">
        <v>138.62280036361</v>
      </c>
      <c r="I42" s="1">
        <f t="shared" si="1"/>
        <v>136.60244544864125</v>
      </c>
    </row>
    <row r="43" spans="1:9" x14ac:dyDescent="0.45">
      <c r="A43" t="s">
        <v>48</v>
      </c>
      <c r="B43" t="s">
        <v>7</v>
      </c>
      <c r="C43" t="str">
        <f t="shared" si="0"/>
        <v>New MexicoAkron</v>
      </c>
      <c r="D43" t="s">
        <v>48</v>
      </c>
      <c r="E43">
        <v>78.599999999999994</v>
      </c>
      <c r="F43" s="1">
        <v>-8.5245283018867894</v>
      </c>
      <c r="G43" s="2">
        <v>-367.05096299655202</v>
      </c>
      <c r="H43" s="1">
        <v>139.39279029542701</v>
      </c>
      <c r="I43" s="1">
        <f t="shared" si="1"/>
        <v>147.41442507920465</v>
      </c>
    </row>
    <row r="44" spans="1:9" x14ac:dyDescent="0.45">
      <c r="A44" t="s">
        <v>49</v>
      </c>
      <c r="B44" t="s">
        <v>7</v>
      </c>
      <c r="C44" t="str">
        <f t="shared" si="0"/>
        <v>Norfolk St.Akron</v>
      </c>
      <c r="D44" t="s">
        <v>7</v>
      </c>
      <c r="E44">
        <v>17.8</v>
      </c>
      <c r="F44" s="1">
        <v>10.0415094339623</v>
      </c>
      <c r="G44" s="2">
        <v>462.70478362886598</v>
      </c>
      <c r="H44" s="1">
        <v>138.42891605939101</v>
      </c>
      <c r="I44" s="1">
        <f t="shared" si="1"/>
        <v>133.87997719122541</v>
      </c>
    </row>
    <row r="45" spans="1:9" x14ac:dyDescent="0.45">
      <c r="A45" t="s">
        <v>50</v>
      </c>
      <c r="B45" t="s">
        <v>7</v>
      </c>
      <c r="C45" t="str">
        <f t="shared" si="0"/>
        <v>North CarolinaAkron</v>
      </c>
      <c r="D45" t="s">
        <v>50</v>
      </c>
      <c r="E45">
        <v>92.6</v>
      </c>
      <c r="F45" s="1">
        <v>-16.5735849056604</v>
      </c>
      <c r="G45" s="2">
        <v>-1253.38176620028</v>
      </c>
      <c r="H45" s="1">
        <v>140.50252201385999</v>
      </c>
      <c r="I45" s="1">
        <f t="shared" si="1"/>
        <v>162.99696225183226</v>
      </c>
    </row>
    <row r="46" spans="1:9" x14ac:dyDescent="0.45">
      <c r="A46" t="s">
        <v>51</v>
      </c>
      <c r="B46" t="s">
        <v>7</v>
      </c>
      <c r="C46" t="str">
        <f t="shared" si="0"/>
        <v>OklahomaAkron</v>
      </c>
      <c r="D46" t="s">
        <v>51</v>
      </c>
      <c r="E46">
        <v>81.400000000000006</v>
      </c>
      <c r="F46" s="1">
        <v>-9.6905660377358505</v>
      </c>
      <c r="G46" s="2">
        <v>-438.63789884222001</v>
      </c>
      <c r="H46" s="1">
        <v>138.926145140035</v>
      </c>
      <c r="I46" s="1">
        <f t="shared" si="1"/>
        <v>140.86192652523854</v>
      </c>
    </row>
    <row r="47" spans="1:9" x14ac:dyDescent="0.45">
      <c r="A47" t="s">
        <v>52</v>
      </c>
      <c r="B47" t="s">
        <v>7</v>
      </c>
      <c r="C47" t="str">
        <f t="shared" si="0"/>
        <v>OregonAkron</v>
      </c>
      <c r="D47" t="s">
        <v>52</v>
      </c>
      <c r="E47">
        <v>92.5</v>
      </c>
      <c r="F47" s="1">
        <v>-16.456603773584899</v>
      </c>
      <c r="G47" s="2">
        <v>-1231.3241527369601</v>
      </c>
      <c r="H47" s="1">
        <v>139.216862531564</v>
      </c>
      <c r="I47" s="1">
        <f t="shared" si="1"/>
        <v>144.94409745446711</v>
      </c>
    </row>
    <row r="48" spans="1:9" x14ac:dyDescent="0.45">
      <c r="A48" t="s">
        <v>53</v>
      </c>
      <c r="B48" t="s">
        <v>7</v>
      </c>
      <c r="C48" t="str">
        <f t="shared" si="0"/>
        <v>PurdueAkron</v>
      </c>
      <c r="D48" t="s">
        <v>53</v>
      </c>
      <c r="E48">
        <v>98.6</v>
      </c>
      <c r="F48" s="1">
        <v>-27.8301886792453</v>
      </c>
      <c r="G48" s="2">
        <v>-6978.6596505077796</v>
      </c>
      <c r="H48" s="1">
        <v>140.70494973136201</v>
      </c>
      <c r="I48" s="1">
        <f t="shared" si="1"/>
        <v>165.8393946887455</v>
      </c>
    </row>
    <row r="49" spans="1:9" x14ac:dyDescent="0.45">
      <c r="A49" t="s">
        <v>54</v>
      </c>
      <c r="B49" t="s">
        <v>7</v>
      </c>
      <c r="C49" t="str">
        <f t="shared" si="0"/>
        <v>Robert MorrisAkron</v>
      </c>
      <c r="D49" t="s">
        <v>7</v>
      </c>
      <c r="E49">
        <v>7.9</v>
      </c>
      <c r="F49" s="1">
        <v>16.0566037735849</v>
      </c>
      <c r="G49" s="2">
        <v>1158.41155847407</v>
      </c>
      <c r="H49" s="1">
        <v>137.78791506004899</v>
      </c>
      <c r="I49" s="1">
        <f t="shared" si="1"/>
        <v>124.8792234648717</v>
      </c>
    </row>
    <row r="50" spans="1:9" x14ac:dyDescent="0.45">
      <c r="A50" t="s">
        <v>55</v>
      </c>
      <c r="B50" t="s">
        <v>7</v>
      </c>
      <c r="C50" t="str">
        <f t="shared" si="0"/>
        <v>Saint FrancisAkron</v>
      </c>
      <c r="D50" t="s">
        <v>7</v>
      </c>
      <c r="E50">
        <v>4.9000000000000004</v>
      </c>
      <c r="F50" s="1">
        <v>19.422641509434001</v>
      </c>
      <c r="G50" s="2">
        <v>1934.8400866418599</v>
      </c>
      <c r="H50" s="1">
        <v>138.494762942092</v>
      </c>
      <c r="I50" s="1">
        <f t="shared" si="1"/>
        <v>134.80458039067128</v>
      </c>
    </row>
    <row r="51" spans="1:9" x14ac:dyDescent="0.45">
      <c r="A51" t="s">
        <v>56</v>
      </c>
      <c r="B51" t="s">
        <v>7</v>
      </c>
      <c r="C51" t="str">
        <f t="shared" si="0"/>
        <v>Saint Mary'sAkron</v>
      </c>
      <c r="D51" t="s">
        <v>56</v>
      </c>
      <c r="E51">
        <v>92.3</v>
      </c>
      <c r="F51" s="1">
        <v>-16.313207547169799</v>
      </c>
      <c r="G51" s="2">
        <v>-1204.53409726322</v>
      </c>
      <c r="H51" s="1">
        <v>140.22396905803399</v>
      </c>
      <c r="I51" s="1">
        <f t="shared" si="1"/>
        <v>159.0856008690711</v>
      </c>
    </row>
    <row r="52" spans="1:9" x14ac:dyDescent="0.45">
      <c r="A52" t="s">
        <v>57</v>
      </c>
      <c r="B52" t="s">
        <v>7</v>
      </c>
      <c r="C52" t="str">
        <f t="shared" si="0"/>
        <v>San Diego St.Akron</v>
      </c>
      <c r="D52" t="s">
        <v>57</v>
      </c>
      <c r="E52">
        <v>78.900000000000006</v>
      </c>
      <c r="F52" s="1">
        <v>-8.6415094339622591</v>
      </c>
      <c r="G52" s="2">
        <v>-373.61089488454002</v>
      </c>
      <c r="H52" s="1">
        <v>139.43866822106301</v>
      </c>
      <c r="I52" s="1">
        <f t="shared" si="1"/>
        <v>148.05862986289381</v>
      </c>
    </row>
    <row r="53" spans="1:9" x14ac:dyDescent="0.45">
      <c r="A53" t="s">
        <v>58</v>
      </c>
      <c r="B53" t="s">
        <v>7</v>
      </c>
      <c r="C53" t="str">
        <f t="shared" si="0"/>
        <v>SIU EdwardsvilleAkron</v>
      </c>
      <c r="D53" t="s">
        <v>7</v>
      </c>
      <c r="E53">
        <v>15.1</v>
      </c>
      <c r="F53" s="1">
        <v>11.332075471698101</v>
      </c>
      <c r="G53" s="2">
        <v>563.45695919005198</v>
      </c>
      <c r="H53" s="1">
        <v>139.49792640124701</v>
      </c>
      <c r="I53" s="1">
        <f t="shared" si="1"/>
        <v>148.89071637548207</v>
      </c>
    </row>
    <row r="54" spans="1:9" x14ac:dyDescent="0.45">
      <c r="A54" t="s">
        <v>59</v>
      </c>
      <c r="B54" t="s">
        <v>7</v>
      </c>
      <c r="C54" t="str">
        <f t="shared" si="0"/>
        <v>St. John'sAkron</v>
      </c>
      <c r="D54" t="s">
        <v>59</v>
      </c>
      <c r="E54">
        <v>97.2</v>
      </c>
      <c r="F54" s="1">
        <v>-23.2981132075472</v>
      </c>
      <c r="G54" s="2">
        <v>-3495.1735695870998</v>
      </c>
      <c r="H54" s="1">
        <v>140.31738284980099</v>
      </c>
      <c r="I54" s="1">
        <f t="shared" si="1"/>
        <v>160.39729076534704</v>
      </c>
    </row>
    <row r="55" spans="1:9" x14ac:dyDescent="0.45">
      <c r="A55" t="s">
        <v>60</v>
      </c>
      <c r="B55" t="s">
        <v>7</v>
      </c>
      <c r="C55" t="str">
        <f t="shared" si="0"/>
        <v>TennesseeAkron</v>
      </c>
      <c r="D55" t="s">
        <v>60</v>
      </c>
      <c r="E55">
        <v>98.7</v>
      </c>
      <c r="F55" s="1">
        <v>-28.513207547169799</v>
      </c>
      <c r="G55" s="2">
        <v>-7745.0859228134696</v>
      </c>
      <c r="H55" s="1">
        <v>141.11061522393501</v>
      </c>
      <c r="I55" s="1">
        <f t="shared" si="1"/>
        <v>171.53563416056784</v>
      </c>
    </row>
    <row r="56" spans="1:9" x14ac:dyDescent="0.45">
      <c r="A56" t="s">
        <v>61</v>
      </c>
      <c r="B56" t="s">
        <v>7</v>
      </c>
      <c r="C56" t="str">
        <f t="shared" si="0"/>
        <v>TexasAkron</v>
      </c>
      <c r="D56" t="s">
        <v>61</v>
      </c>
      <c r="E56">
        <v>75.599999999999994</v>
      </c>
      <c r="F56" s="1">
        <v>-7.4188679245282998</v>
      </c>
      <c r="G56" s="2">
        <v>-310.01407838809303</v>
      </c>
      <c r="H56" s="1">
        <v>138.81049705157301</v>
      </c>
      <c r="I56" s="1">
        <f t="shared" si="1"/>
        <v>139.23802895840407</v>
      </c>
    </row>
    <row r="57" spans="1:9" x14ac:dyDescent="0.45">
      <c r="A57" t="s">
        <v>62</v>
      </c>
      <c r="B57" t="s">
        <v>7</v>
      </c>
      <c r="C57" t="str">
        <f t="shared" si="0"/>
        <v>Texas A&amp;MAkron</v>
      </c>
      <c r="D57" t="s">
        <v>62</v>
      </c>
      <c r="E57">
        <v>94.6</v>
      </c>
      <c r="F57" s="1">
        <v>-18.818867924528298</v>
      </c>
      <c r="G57" s="2">
        <v>-1764.9633667261701</v>
      </c>
      <c r="H57" s="1">
        <v>139.59747236097101</v>
      </c>
      <c r="I57" s="1">
        <f t="shared" si="1"/>
        <v>150.28851243016678</v>
      </c>
    </row>
    <row r="58" spans="1:9" x14ac:dyDescent="0.45">
      <c r="A58" t="s">
        <v>63</v>
      </c>
      <c r="B58" t="s">
        <v>7</v>
      </c>
      <c r="C58" t="str">
        <f t="shared" si="0"/>
        <v>Texas TechAkron</v>
      </c>
      <c r="D58" t="s">
        <v>63</v>
      </c>
      <c r="E58">
        <v>97.2</v>
      </c>
      <c r="F58" s="1">
        <v>-23.150943396226399</v>
      </c>
      <c r="G58" s="2">
        <v>-3418.6224253897199</v>
      </c>
      <c r="H58" s="1">
        <v>140.587984966211</v>
      </c>
      <c r="I58" s="1">
        <f t="shared" si="1"/>
        <v>164.19700872231849</v>
      </c>
    </row>
    <row r="59" spans="1:9" x14ac:dyDescent="0.45">
      <c r="A59" t="s">
        <v>64</v>
      </c>
      <c r="B59" t="s">
        <v>7</v>
      </c>
      <c r="C59" t="str">
        <f t="shared" si="0"/>
        <v>TroyAkron</v>
      </c>
      <c r="D59" t="s">
        <v>7</v>
      </c>
      <c r="E59">
        <v>33</v>
      </c>
      <c r="F59" s="1">
        <v>4.6566037735849104</v>
      </c>
      <c r="G59" s="2">
        <v>203.465193979075</v>
      </c>
      <c r="H59" s="1">
        <v>139.35428956076899</v>
      </c>
      <c r="I59" s="1">
        <f t="shared" si="1"/>
        <v>146.87380871308949</v>
      </c>
    </row>
    <row r="60" spans="1:9" x14ac:dyDescent="0.45">
      <c r="A60" t="s">
        <v>65</v>
      </c>
      <c r="B60" t="s">
        <v>7</v>
      </c>
      <c r="C60" t="str">
        <f t="shared" si="0"/>
        <v>UC San DiegoAkron</v>
      </c>
      <c r="D60" t="s">
        <v>65</v>
      </c>
      <c r="E60">
        <v>55.8</v>
      </c>
      <c r="F60" s="1">
        <v>-1.5245283018867899</v>
      </c>
      <c r="G60" s="2">
        <v>-126.19373243933801</v>
      </c>
      <c r="H60" s="1">
        <v>139.42440979043201</v>
      </c>
      <c r="I60" s="1">
        <f t="shared" si="1"/>
        <v>147.85841703519824</v>
      </c>
    </row>
    <row r="61" spans="1:9" x14ac:dyDescent="0.45">
      <c r="A61" t="s">
        <v>66</v>
      </c>
      <c r="B61" t="s">
        <v>7</v>
      </c>
      <c r="C61" t="str">
        <f t="shared" si="0"/>
        <v>UCLAAkron</v>
      </c>
      <c r="D61" t="s">
        <v>66</v>
      </c>
      <c r="E61">
        <v>81.3</v>
      </c>
      <c r="F61" s="1">
        <v>-9.6264150943396203</v>
      </c>
      <c r="G61" s="2">
        <v>-434.23941135611398</v>
      </c>
      <c r="H61" s="1">
        <v>138.645668369644</v>
      </c>
      <c r="I61" s="1">
        <f t="shared" si="1"/>
        <v>136.92355148550564</v>
      </c>
    </row>
    <row r="62" spans="1:9" x14ac:dyDescent="0.45">
      <c r="A62" t="s">
        <v>67</v>
      </c>
      <c r="B62" t="s">
        <v>7</v>
      </c>
      <c r="C62" t="str">
        <f t="shared" si="0"/>
        <v>UNC WilmingtonAkron</v>
      </c>
      <c r="D62" t="s">
        <v>7</v>
      </c>
      <c r="E62">
        <v>42.2</v>
      </c>
      <c r="F62" s="1">
        <v>2.0679245283018899</v>
      </c>
      <c r="G62" s="2">
        <v>137.06456882073201</v>
      </c>
      <c r="H62" s="1">
        <v>139.96107826109699</v>
      </c>
      <c r="I62" s="1">
        <f t="shared" si="1"/>
        <v>155.39416306697146</v>
      </c>
    </row>
    <row r="63" spans="1:9" x14ac:dyDescent="0.45">
      <c r="A63" t="s">
        <v>68</v>
      </c>
      <c r="B63" t="s">
        <v>7</v>
      </c>
      <c r="C63" t="str">
        <f t="shared" si="0"/>
        <v>Utah St.Akron</v>
      </c>
      <c r="D63" t="s">
        <v>68</v>
      </c>
      <c r="E63">
        <v>80.400000000000006</v>
      </c>
      <c r="F63" s="1">
        <v>-9.2603773584905706</v>
      </c>
      <c r="G63" s="2">
        <v>-410.68891812285199</v>
      </c>
      <c r="H63" s="1">
        <v>139.508264759676</v>
      </c>
      <c r="I63" s="1">
        <f t="shared" si="1"/>
        <v>149.03588466422039</v>
      </c>
    </row>
    <row r="64" spans="1:9" x14ac:dyDescent="0.45">
      <c r="A64" t="s">
        <v>69</v>
      </c>
      <c r="B64" t="s">
        <v>7</v>
      </c>
      <c r="C64" t="str">
        <f t="shared" si="0"/>
        <v>VanderbiltAkron</v>
      </c>
      <c r="D64" t="s">
        <v>7</v>
      </c>
      <c r="E64">
        <v>44.7</v>
      </c>
      <c r="F64" s="1">
        <v>1.3886792452830199</v>
      </c>
      <c r="G64" s="2">
        <v>123.56799058240701</v>
      </c>
      <c r="H64" s="1">
        <v>137.94230264095901</v>
      </c>
      <c r="I64" s="1">
        <f t="shared" si="1"/>
        <v>127.04708996680391</v>
      </c>
    </row>
    <row r="65" spans="1:9" x14ac:dyDescent="0.45">
      <c r="A65" t="s">
        <v>70</v>
      </c>
      <c r="B65" t="s">
        <v>7</v>
      </c>
      <c r="C65" t="str">
        <f t="shared" si="0"/>
        <v>VCUAkron</v>
      </c>
      <c r="D65" t="s">
        <v>70</v>
      </c>
      <c r="E65">
        <v>72.2</v>
      </c>
      <c r="F65" s="1">
        <v>-6.25660377358491</v>
      </c>
      <c r="G65" s="2">
        <v>-259.78601348517998</v>
      </c>
      <c r="H65" s="1">
        <v>139.867475770152</v>
      </c>
      <c r="I65" s="1">
        <f t="shared" si="1"/>
        <v>154.07982351050603</v>
      </c>
    </row>
    <row r="66" spans="1:9" x14ac:dyDescent="0.45">
      <c r="A66" t="s">
        <v>71</v>
      </c>
      <c r="B66" t="s">
        <v>7</v>
      </c>
      <c r="C66" t="str">
        <f t="shared" si="0"/>
        <v>WisconsinAkron</v>
      </c>
      <c r="D66" t="s">
        <v>71</v>
      </c>
      <c r="E66">
        <v>96.7</v>
      </c>
      <c r="F66" s="1">
        <v>-22.211320754717001</v>
      </c>
      <c r="G66" s="2">
        <v>-2961.4295417099502</v>
      </c>
      <c r="H66" s="1">
        <v>140.52073137848399</v>
      </c>
      <c r="I66" s="1">
        <f t="shared" si="1"/>
        <v>163.25265297097661</v>
      </c>
    </row>
    <row r="67" spans="1:9" x14ac:dyDescent="0.45">
      <c r="A67" t="s">
        <v>80</v>
      </c>
      <c r="B67" t="s">
        <v>7</v>
      </c>
      <c r="C67" t="str">
        <f t="shared" ref="C67:C130" si="2">A67&amp;B67</f>
        <v>WoffordAkron</v>
      </c>
      <c r="D67" t="s">
        <v>7</v>
      </c>
      <c r="E67">
        <v>20.3</v>
      </c>
      <c r="F67" s="1">
        <v>8.9622641509433993</v>
      </c>
      <c r="G67" s="2">
        <v>392.45031241823602</v>
      </c>
      <c r="H67" s="1">
        <v>138.61837980771</v>
      </c>
      <c r="I67" s="1">
        <f t="shared" ref="I67:I130" si="3">18*(H67-AVERAGE($H$2:$H$4625))/_xlfn.STDEV.P($H$2:$H$4625)+AVERAGE($H$2:$H$4625)</f>
        <v>136.54037325993906</v>
      </c>
    </row>
    <row r="68" spans="1:9" x14ac:dyDescent="0.45">
      <c r="A68" t="s">
        <v>72</v>
      </c>
      <c r="B68" t="s">
        <v>7</v>
      </c>
      <c r="C68" t="str">
        <f t="shared" si="2"/>
        <v>XavierAkron</v>
      </c>
      <c r="D68" t="s">
        <v>72</v>
      </c>
      <c r="E68">
        <v>72</v>
      </c>
      <c r="F68" s="1">
        <v>-6.1849056603773596</v>
      </c>
      <c r="G68" s="2">
        <v>-256.90335751464102</v>
      </c>
      <c r="H68" s="1">
        <v>139.36118197833201</v>
      </c>
      <c r="I68" s="1">
        <f t="shared" si="3"/>
        <v>146.97059008024436</v>
      </c>
    </row>
    <row r="69" spans="1:9" x14ac:dyDescent="0.45">
      <c r="A69" t="s">
        <v>73</v>
      </c>
      <c r="B69" t="s">
        <v>7</v>
      </c>
      <c r="C69" t="str">
        <f t="shared" si="2"/>
        <v>YaleAkron</v>
      </c>
      <c r="D69" t="s">
        <v>73</v>
      </c>
      <c r="E69">
        <v>57.3</v>
      </c>
      <c r="F69" s="1">
        <v>-1.93584905660377</v>
      </c>
      <c r="G69" s="2">
        <v>-134.34586029629099</v>
      </c>
      <c r="H69" s="1">
        <v>139.960888114726</v>
      </c>
      <c r="I69" s="1">
        <f t="shared" si="3"/>
        <v>155.39149308570944</v>
      </c>
    </row>
    <row r="70" spans="1:9" x14ac:dyDescent="0.45">
      <c r="A70" t="s">
        <v>7</v>
      </c>
      <c r="B70" t="s">
        <v>8</v>
      </c>
      <c r="C70" t="str">
        <f t="shared" si="2"/>
        <v>AkronAlabama</v>
      </c>
      <c r="D70" t="s">
        <v>8</v>
      </c>
      <c r="E70">
        <v>0.9</v>
      </c>
      <c r="F70" s="1">
        <v>30.667924528301899</v>
      </c>
      <c r="G70" s="2">
        <v>10759.209470391799</v>
      </c>
      <c r="H70" s="1">
        <v>136.97010398770999</v>
      </c>
      <c r="I70" s="1">
        <f t="shared" si="3"/>
        <v>113.39575297985783</v>
      </c>
    </row>
    <row r="71" spans="1:9" x14ac:dyDescent="0.45">
      <c r="A71" t="s">
        <v>8</v>
      </c>
      <c r="B71" t="s">
        <v>8</v>
      </c>
      <c r="C71" t="str">
        <f t="shared" si="2"/>
        <v>AlabamaAlabama</v>
      </c>
      <c r="D71" t="s">
        <v>8</v>
      </c>
      <c r="E71">
        <v>41.2</v>
      </c>
      <c r="F71" s="1">
        <v>2.3283018867924499</v>
      </c>
      <c r="G71" s="2">
        <v>142.64273539779199</v>
      </c>
      <c r="H71" s="1">
        <v>138.77771517530499</v>
      </c>
      <c r="I71" s="1">
        <f t="shared" si="3"/>
        <v>138.77771517530684</v>
      </c>
    </row>
    <row r="72" spans="1:9" x14ac:dyDescent="0.45">
      <c r="A72" t="s">
        <v>9</v>
      </c>
      <c r="B72" t="s">
        <v>8</v>
      </c>
      <c r="C72" t="str">
        <f t="shared" si="2"/>
        <v>Alabama St.Alabama</v>
      </c>
      <c r="D72" t="s">
        <v>8</v>
      </c>
      <c r="E72">
        <v>0.1</v>
      </c>
      <c r="F72" s="1">
        <v>42.9849056603774</v>
      </c>
      <c r="G72" s="2">
        <v>70448.229089385495</v>
      </c>
      <c r="H72" s="1">
        <v>137.156865747132</v>
      </c>
      <c r="I72" s="1">
        <f t="shared" si="3"/>
        <v>116.01820848894994</v>
      </c>
    </row>
    <row r="73" spans="1:9" x14ac:dyDescent="0.45">
      <c r="A73" t="s">
        <v>10</v>
      </c>
      <c r="B73" t="s">
        <v>8</v>
      </c>
      <c r="C73" t="str">
        <f t="shared" si="2"/>
        <v>AmericanAlabama</v>
      </c>
      <c r="D73" t="s">
        <v>8</v>
      </c>
      <c r="E73">
        <v>0.2</v>
      </c>
      <c r="F73" s="1">
        <v>42.230188679245302</v>
      </c>
      <c r="G73" s="2">
        <v>62765.907189056597</v>
      </c>
      <c r="H73" s="1">
        <v>136.920155266893</v>
      </c>
      <c r="I73" s="1">
        <f t="shared" si="3"/>
        <v>112.69438724800786</v>
      </c>
    </row>
    <row r="74" spans="1:9" x14ac:dyDescent="0.45">
      <c r="A74" t="s">
        <v>11</v>
      </c>
      <c r="B74" t="s">
        <v>8</v>
      </c>
      <c r="C74" t="str">
        <f t="shared" si="2"/>
        <v>ArizonaAlabama</v>
      </c>
      <c r="D74" t="s">
        <v>8</v>
      </c>
      <c r="E74">
        <v>31.5</v>
      </c>
      <c r="F74" s="1">
        <v>5.0830188679245296</v>
      </c>
      <c r="G74" s="2">
        <v>217.172005198188</v>
      </c>
      <c r="H74" s="1">
        <v>138.38819451548301</v>
      </c>
      <c r="I74" s="1">
        <f t="shared" si="3"/>
        <v>133.30817685323981</v>
      </c>
    </row>
    <row r="75" spans="1:9" x14ac:dyDescent="0.45">
      <c r="A75" t="s">
        <v>12</v>
      </c>
      <c r="B75" t="s">
        <v>8</v>
      </c>
      <c r="C75" t="str">
        <f t="shared" si="2"/>
        <v>ArkansasAlabama</v>
      </c>
      <c r="D75" t="s">
        <v>8</v>
      </c>
      <c r="E75">
        <v>2.9</v>
      </c>
      <c r="F75" s="1">
        <v>22.9849056603774</v>
      </c>
      <c r="G75" s="2">
        <v>3331.98812824783</v>
      </c>
      <c r="H75" s="1">
        <v>136.714118493272</v>
      </c>
      <c r="I75" s="1">
        <f t="shared" si="3"/>
        <v>109.80127747151955</v>
      </c>
    </row>
    <row r="76" spans="1:9" x14ac:dyDescent="0.45">
      <c r="A76" t="s">
        <v>13</v>
      </c>
      <c r="B76" t="s">
        <v>8</v>
      </c>
      <c r="C76" t="str">
        <f t="shared" si="2"/>
        <v>AuburnAlabama</v>
      </c>
      <c r="D76" t="s">
        <v>13</v>
      </c>
      <c r="E76">
        <v>58</v>
      </c>
      <c r="F76" s="1">
        <v>-2.1094339622641498</v>
      </c>
      <c r="G76" s="2">
        <v>-137.99421001945501</v>
      </c>
      <c r="H76" s="1">
        <v>139.79993140865801</v>
      </c>
      <c r="I76" s="1">
        <f t="shared" si="3"/>
        <v>153.13138479662692</v>
      </c>
    </row>
    <row r="77" spans="1:9" x14ac:dyDescent="0.45">
      <c r="A77" t="s">
        <v>14</v>
      </c>
      <c r="B77" t="s">
        <v>8</v>
      </c>
      <c r="C77" t="str">
        <f t="shared" si="2"/>
        <v>BaylorAlabama</v>
      </c>
      <c r="D77" t="s">
        <v>8</v>
      </c>
      <c r="E77">
        <v>12.2</v>
      </c>
      <c r="F77" s="1">
        <v>12.9358490566038</v>
      </c>
      <c r="G77" s="2">
        <v>719.61687477460805</v>
      </c>
      <c r="H77" s="1">
        <v>138.262848769838</v>
      </c>
      <c r="I77" s="1">
        <f t="shared" si="3"/>
        <v>131.5481075423418</v>
      </c>
    </row>
    <row r="78" spans="1:9" x14ac:dyDescent="0.45">
      <c r="A78" t="s">
        <v>15</v>
      </c>
      <c r="B78" t="s">
        <v>8</v>
      </c>
      <c r="C78" t="str">
        <f t="shared" si="2"/>
        <v>BryantAlabama</v>
      </c>
      <c r="D78" t="s">
        <v>8</v>
      </c>
      <c r="E78">
        <v>0.6</v>
      </c>
      <c r="F78" s="1">
        <v>33.007547169811303</v>
      </c>
      <c r="G78" s="2">
        <v>15374.930091189401</v>
      </c>
      <c r="H78" s="1">
        <v>137.85516864548401</v>
      </c>
      <c r="I78" s="1">
        <f t="shared" si="3"/>
        <v>125.82357918403019</v>
      </c>
    </row>
    <row r="79" spans="1:9" x14ac:dyDescent="0.45">
      <c r="A79" t="s">
        <v>16</v>
      </c>
      <c r="B79" t="s">
        <v>8</v>
      </c>
      <c r="C79" t="str">
        <f t="shared" si="2"/>
        <v>BYUAlabama</v>
      </c>
      <c r="D79" t="s">
        <v>8</v>
      </c>
      <c r="E79">
        <v>14.1</v>
      </c>
      <c r="F79" s="1">
        <v>11.841509433962299</v>
      </c>
      <c r="G79" s="2">
        <v>608.96396842631304</v>
      </c>
      <c r="H79" s="1">
        <v>138.025209319928</v>
      </c>
      <c r="I79" s="1">
        <f t="shared" si="3"/>
        <v>128.21124197348666</v>
      </c>
    </row>
    <row r="80" spans="1:9" x14ac:dyDescent="0.45">
      <c r="A80" t="s">
        <v>17</v>
      </c>
      <c r="B80" t="s">
        <v>8</v>
      </c>
      <c r="C80" t="str">
        <f t="shared" si="2"/>
        <v>ClemsonAlabama</v>
      </c>
      <c r="D80" t="s">
        <v>8</v>
      </c>
      <c r="E80">
        <v>18.7</v>
      </c>
      <c r="F80" s="1">
        <v>9.6377358490566003</v>
      </c>
      <c r="G80" s="2">
        <v>435.06127772176501</v>
      </c>
      <c r="H80" s="1">
        <v>138.37525954237</v>
      </c>
      <c r="I80" s="1">
        <f t="shared" si="3"/>
        <v>133.12654763960884</v>
      </c>
    </row>
    <row r="81" spans="1:9" x14ac:dyDescent="0.45">
      <c r="A81" t="s">
        <v>18</v>
      </c>
      <c r="B81" t="s">
        <v>8</v>
      </c>
      <c r="C81" t="str">
        <f t="shared" si="2"/>
        <v>Colorado St.Alabama</v>
      </c>
      <c r="D81" t="s">
        <v>8</v>
      </c>
      <c r="E81">
        <v>3.7</v>
      </c>
      <c r="F81" s="1">
        <v>21.4188679245283</v>
      </c>
      <c r="G81" s="2">
        <v>2624.9094592599899</v>
      </c>
      <c r="H81" s="1">
        <v>137.76487051716401</v>
      </c>
      <c r="I81" s="1">
        <f t="shared" si="3"/>
        <v>124.55563854775463</v>
      </c>
    </row>
    <row r="82" spans="1:9" x14ac:dyDescent="0.45">
      <c r="A82" t="s">
        <v>19</v>
      </c>
      <c r="B82" t="s">
        <v>8</v>
      </c>
      <c r="C82" t="str">
        <f t="shared" si="2"/>
        <v>ConnecticutAlabama</v>
      </c>
      <c r="D82" t="s">
        <v>8</v>
      </c>
      <c r="E82">
        <v>26.3</v>
      </c>
      <c r="F82" s="1">
        <v>6.74339622641509</v>
      </c>
      <c r="G82" s="2">
        <v>279.810561265589</v>
      </c>
      <c r="H82" s="1">
        <v>138.17551037311799</v>
      </c>
      <c r="I82" s="1">
        <f t="shared" si="3"/>
        <v>130.32172661541912</v>
      </c>
    </row>
    <row r="83" spans="1:9" x14ac:dyDescent="0.45">
      <c r="A83" t="s">
        <v>20</v>
      </c>
      <c r="B83" t="s">
        <v>8</v>
      </c>
      <c r="C83" t="str">
        <f t="shared" si="2"/>
        <v>CreightonAlabama</v>
      </c>
      <c r="D83" t="s">
        <v>8</v>
      </c>
      <c r="E83">
        <v>9.9</v>
      </c>
      <c r="F83" s="1">
        <v>14.452830188679201</v>
      </c>
      <c r="G83" s="2">
        <v>906.76920506898</v>
      </c>
      <c r="H83" s="1">
        <v>137.724807125957</v>
      </c>
      <c r="I83" s="1">
        <f t="shared" si="3"/>
        <v>123.99307980281188</v>
      </c>
    </row>
    <row r="84" spans="1:9" x14ac:dyDescent="0.45">
      <c r="A84" t="s">
        <v>21</v>
      </c>
      <c r="B84" t="s">
        <v>8</v>
      </c>
      <c r="C84" t="str">
        <f t="shared" si="2"/>
        <v>DrakeAlabama</v>
      </c>
      <c r="D84" t="s">
        <v>8</v>
      </c>
      <c r="E84">
        <v>3.6</v>
      </c>
      <c r="F84" s="1">
        <v>21.626415094339599</v>
      </c>
      <c r="G84" s="2">
        <v>2708.22321149247</v>
      </c>
      <c r="H84" s="1">
        <v>137.95948293163099</v>
      </c>
      <c r="I84" s="1">
        <f t="shared" si="3"/>
        <v>127.2883307221917</v>
      </c>
    </row>
    <row r="85" spans="1:9" x14ac:dyDescent="0.45">
      <c r="A85" t="s">
        <v>22</v>
      </c>
      <c r="B85" t="s">
        <v>8</v>
      </c>
      <c r="C85" t="str">
        <f t="shared" si="2"/>
        <v>DukeAlabama</v>
      </c>
      <c r="D85" t="s">
        <v>22</v>
      </c>
      <c r="E85">
        <v>65.900000000000006</v>
      </c>
      <c r="F85" s="1">
        <v>-4.3245283018867902</v>
      </c>
      <c r="G85" s="2">
        <v>-193.449659650576</v>
      </c>
      <c r="H85" s="1">
        <v>140.03982282023401</v>
      </c>
      <c r="I85" s="1">
        <f t="shared" si="3"/>
        <v>156.49987177071787</v>
      </c>
    </row>
    <row r="86" spans="1:9" x14ac:dyDescent="0.45">
      <c r="A86" t="s">
        <v>23</v>
      </c>
      <c r="B86" t="s">
        <v>8</v>
      </c>
      <c r="C86" t="str">
        <f t="shared" si="2"/>
        <v>FloridaAlabama</v>
      </c>
      <c r="D86" t="s">
        <v>23</v>
      </c>
      <c r="E86">
        <v>51.8</v>
      </c>
      <c r="F86" s="1">
        <v>-0.46792452830188702</v>
      </c>
      <c r="G86" s="2">
        <v>-107.40779719813899</v>
      </c>
      <c r="H86" s="1">
        <v>139.77447334778799</v>
      </c>
      <c r="I86" s="1">
        <f t="shared" si="3"/>
        <v>152.77390994638986</v>
      </c>
    </row>
    <row r="87" spans="1:9" x14ac:dyDescent="0.45">
      <c r="A87" t="s">
        <v>24</v>
      </c>
      <c r="B87" t="s">
        <v>8</v>
      </c>
      <c r="C87" t="str">
        <f t="shared" si="2"/>
        <v>GeorgiaAlabama</v>
      </c>
      <c r="D87" t="s">
        <v>8</v>
      </c>
      <c r="E87">
        <v>4.0999999999999996</v>
      </c>
      <c r="F87" s="1">
        <v>20.592452830188702</v>
      </c>
      <c r="G87" s="2">
        <v>2313.5543592004401</v>
      </c>
      <c r="H87" s="1">
        <v>137.038431644073</v>
      </c>
      <c r="I87" s="1">
        <f t="shared" si="3"/>
        <v>114.35519049751173</v>
      </c>
    </row>
    <row r="88" spans="1:9" x14ac:dyDescent="0.45">
      <c r="A88" t="s">
        <v>25</v>
      </c>
      <c r="B88" t="s">
        <v>8</v>
      </c>
      <c r="C88" t="str">
        <f t="shared" si="2"/>
        <v>GonzagaAlabama</v>
      </c>
      <c r="D88" t="s">
        <v>8</v>
      </c>
      <c r="E88">
        <v>17.899999999999999</v>
      </c>
      <c r="F88" s="1">
        <v>9.9622641509433993</v>
      </c>
      <c r="G88" s="2">
        <v>457.13120191380301</v>
      </c>
      <c r="H88" s="1">
        <v>139.01539337457899</v>
      </c>
      <c r="I88" s="1">
        <f t="shared" si="3"/>
        <v>142.1151248517105</v>
      </c>
    </row>
    <row r="89" spans="1:9" x14ac:dyDescent="0.45">
      <c r="A89" t="s">
        <v>26</v>
      </c>
      <c r="B89" t="s">
        <v>8</v>
      </c>
      <c r="C89" t="str">
        <f t="shared" si="2"/>
        <v>Grand CanyonAlabama</v>
      </c>
      <c r="D89" t="s">
        <v>8</v>
      </c>
      <c r="E89">
        <v>2.2999999999999998</v>
      </c>
      <c r="F89" s="1">
        <v>24.513207547169799</v>
      </c>
      <c r="G89" s="2">
        <v>4207.4571379773697</v>
      </c>
      <c r="H89" s="1">
        <v>137.83336509211799</v>
      </c>
      <c r="I89" s="1">
        <f t="shared" si="3"/>
        <v>125.51741988878969</v>
      </c>
    </row>
    <row r="90" spans="1:9" x14ac:dyDescent="0.45">
      <c r="A90" t="s">
        <v>27</v>
      </c>
      <c r="B90" t="s">
        <v>8</v>
      </c>
      <c r="C90" t="str">
        <f t="shared" si="2"/>
        <v>High PointAlabama</v>
      </c>
      <c r="D90" t="s">
        <v>8</v>
      </c>
      <c r="E90">
        <v>1.5</v>
      </c>
      <c r="F90" s="1">
        <v>27.603773584905699</v>
      </c>
      <c r="G90" s="2">
        <v>6740.6497542498701</v>
      </c>
      <c r="H90" s="1">
        <v>138.02457222566699</v>
      </c>
      <c r="I90" s="1">
        <f t="shared" si="3"/>
        <v>128.20229607706887</v>
      </c>
    </row>
    <row r="91" spans="1:9" x14ac:dyDescent="0.45">
      <c r="A91" t="s">
        <v>28</v>
      </c>
      <c r="B91" t="s">
        <v>8</v>
      </c>
      <c r="C91" t="str">
        <f t="shared" si="2"/>
        <v>HoustonAlabama</v>
      </c>
      <c r="D91" t="s">
        <v>28</v>
      </c>
      <c r="E91">
        <v>76.3</v>
      </c>
      <c r="F91" s="1">
        <v>-7.6792452830188704</v>
      </c>
      <c r="G91" s="2">
        <v>-322.69937966075901</v>
      </c>
      <c r="H91" s="1">
        <v>140.13803458287001</v>
      </c>
      <c r="I91" s="1">
        <f t="shared" si="3"/>
        <v>157.87893340935045</v>
      </c>
    </row>
    <row r="92" spans="1:9" x14ac:dyDescent="0.45">
      <c r="A92" t="s">
        <v>29</v>
      </c>
      <c r="B92" t="s">
        <v>8</v>
      </c>
      <c r="C92" t="str">
        <f t="shared" si="2"/>
        <v>IllinoisAlabama</v>
      </c>
      <c r="D92" t="s">
        <v>8</v>
      </c>
      <c r="E92">
        <v>24.1</v>
      </c>
      <c r="F92" s="1">
        <v>7.5094339622641497</v>
      </c>
      <c r="G92" s="2">
        <v>314.35143657604999</v>
      </c>
      <c r="H92" s="1">
        <v>138.19649835783201</v>
      </c>
      <c r="I92" s="1">
        <f t="shared" si="3"/>
        <v>130.61643392760325</v>
      </c>
    </row>
    <row r="93" spans="1:9" x14ac:dyDescent="0.45">
      <c r="A93" t="s">
        <v>30</v>
      </c>
      <c r="B93" t="s">
        <v>8</v>
      </c>
      <c r="C93" t="str">
        <f t="shared" si="2"/>
        <v>Iowa St.Alabama</v>
      </c>
      <c r="D93" t="s">
        <v>8</v>
      </c>
      <c r="E93">
        <v>40</v>
      </c>
      <c r="F93" s="1">
        <v>2.6452830188679202</v>
      </c>
      <c r="G93" s="2">
        <v>149.74743429668399</v>
      </c>
      <c r="H93" s="1">
        <v>139.09304064941799</v>
      </c>
      <c r="I93" s="1">
        <f t="shared" si="3"/>
        <v>143.20542580142148</v>
      </c>
    </row>
    <row r="94" spans="1:9" x14ac:dyDescent="0.45">
      <c r="A94" t="s">
        <v>31</v>
      </c>
      <c r="B94" t="s">
        <v>8</v>
      </c>
      <c r="C94" t="str">
        <f t="shared" si="2"/>
        <v>KansasAlabama</v>
      </c>
      <c r="D94" t="s">
        <v>8</v>
      </c>
      <c r="E94">
        <v>17.100000000000001</v>
      </c>
      <c r="F94" s="1">
        <v>10.3622641509434</v>
      </c>
      <c r="G94" s="2">
        <v>485.915022584361</v>
      </c>
      <c r="H94" s="1">
        <v>138.143628538272</v>
      </c>
      <c r="I94" s="1">
        <f t="shared" si="3"/>
        <v>129.87405095799019</v>
      </c>
    </row>
    <row r="95" spans="1:9" x14ac:dyDescent="0.45">
      <c r="A95" t="s">
        <v>32</v>
      </c>
      <c r="B95" t="s">
        <v>8</v>
      </c>
      <c r="C95" t="str">
        <f t="shared" si="2"/>
        <v>KentuckyAlabama</v>
      </c>
      <c r="D95" t="s">
        <v>8</v>
      </c>
      <c r="E95">
        <v>25.6</v>
      </c>
      <c r="F95" s="1">
        <v>7</v>
      </c>
      <c r="G95" s="2">
        <v>290.85355953640902</v>
      </c>
      <c r="H95" s="1">
        <v>138.07791087039701</v>
      </c>
      <c r="I95" s="1">
        <f t="shared" si="3"/>
        <v>128.95126215638103</v>
      </c>
    </row>
    <row r="96" spans="1:9" x14ac:dyDescent="0.45">
      <c r="A96" t="s">
        <v>33</v>
      </c>
      <c r="B96" t="s">
        <v>8</v>
      </c>
      <c r="C96" t="str">
        <f t="shared" si="2"/>
        <v>LibertyAlabama</v>
      </c>
      <c r="D96" t="s">
        <v>8</v>
      </c>
      <c r="E96">
        <v>1</v>
      </c>
      <c r="F96" s="1">
        <v>29.9849056603774</v>
      </c>
      <c r="G96" s="2">
        <v>9693.9839895735004</v>
      </c>
      <c r="H96" s="1">
        <v>137.42291191411499</v>
      </c>
      <c r="I96" s="1">
        <f t="shared" si="3"/>
        <v>119.75395309981994</v>
      </c>
    </row>
    <row r="97" spans="1:9" x14ac:dyDescent="0.45">
      <c r="A97" t="s">
        <v>34</v>
      </c>
      <c r="B97" t="s">
        <v>8</v>
      </c>
      <c r="C97" t="str">
        <f t="shared" si="2"/>
        <v>LipscombAlabama</v>
      </c>
      <c r="D97" t="s">
        <v>8</v>
      </c>
      <c r="E97">
        <v>0.8</v>
      </c>
      <c r="F97" s="1">
        <v>31.849056603773601</v>
      </c>
      <c r="G97" s="2">
        <v>12885.479926792999</v>
      </c>
      <c r="H97" s="1">
        <v>137.82923011170601</v>
      </c>
      <c r="I97" s="1">
        <f t="shared" si="3"/>
        <v>125.45935766987006</v>
      </c>
    </row>
    <row r="98" spans="1:9" x14ac:dyDescent="0.45">
      <c r="A98" t="s">
        <v>35</v>
      </c>
      <c r="B98" t="s">
        <v>8</v>
      </c>
      <c r="C98" t="str">
        <f t="shared" si="2"/>
        <v>LouisvilleAlabama</v>
      </c>
      <c r="D98" t="s">
        <v>8</v>
      </c>
      <c r="E98">
        <v>1.9</v>
      </c>
      <c r="F98" s="1">
        <v>25.8</v>
      </c>
      <c r="G98" s="2">
        <v>5121.0941900806902</v>
      </c>
      <c r="H98" s="1">
        <v>137.07459211752399</v>
      </c>
      <c r="I98" s="1">
        <f t="shared" si="3"/>
        <v>114.86294558134905</v>
      </c>
    </row>
    <row r="99" spans="1:9" x14ac:dyDescent="0.45">
      <c r="A99" t="s">
        <v>36</v>
      </c>
      <c r="B99" t="s">
        <v>8</v>
      </c>
      <c r="C99" t="str">
        <f t="shared" si="2"/>
        <v>MarquetteAlabama</v>
      </c>
      <c r="D99" t="s">
        <v>8</v>
      </c>
      <c r="E99">
        <v>20.9</v>
      </c>
      <c r="F99" s="1">
        <v>8.7320754716981099</v>
      </c>
      <c r="G99" s="2">
        <v>378.98277045819702</v>
      </c>
      <c r="H99" s="1">
        <v>138.336725960986</v>
      </c>
      <c r="I99" s="1">
        <f t="shared" si="3"/>
        <v>132.58547004910926</v>
      </c>
    </row>
    <row r="100" spans="1:9" x14ac:dyDescent="0.45">
      <c r="A100" t="s">
        <v>37</v>
      </c>
      <c r="B100" t="s">
        <v>8</v>
      </c>
      <c r="C100" t="str">
        <f t="shared" si="2"/>
        <v>MarylandAlabama</v>
      </c>
      <c r="D100" t="s">
        <v>8</v>
      </c>
      <c r="E100">
        <v>14</v>
      </c>
      <c r="F100" s="1">
        <v>11.9018867924528</v>
      </c>
      <c r="G100" s="2">
        <v>614.40295806813401</v>
      </c>
      <c r="H100" s="1">
        <v>137.79509555952899</v>
      </c>
      <c r="I100" s="1">
        <f t="shared" si="3"/>
        <v>124.9800499963717</v>
      </c>
    </row>
    <row r="101" spans="1:9" x14ac:dyDescent="0.45">
      <c r="A101" t="s">
        <v>38</v>
      </c>
      <c r="B101" t="s">
        <v>8</v>
      </c>
      <c r="C101" t="str">
        <f t="shared" si="2"/>
        <v>McNeese St.Alabama</v>
      </c>
      <c r="D101" t="s">
        <v>8</v>
      </c>
      <c r="E101">
        <v>3.7</v>
      </c>
      <c r="F101" s="1">
        <v>21.441509433962299</v>
      </c>
      <c r="G101" s="2">
        <v>2633.4372329982998</v>
      </c>
      <c r="H101" s="1">
        <v>138.38833097249301</v>
      </c>
      <c r="I101" s="1">
        <f t="shared" si="3"/>
        <v>133.31009294376466</v>
      </c>
    </row>
    <row r="102" spans="1:9" x14ac:dyDescent="0.45">
      <c r="A102" t="s">
        <v>39</v>
      </c>
      <c r="B102" t="s">
        <v>8</v>
      </c>
      <c r="C102" t="str">
        <f t="shared" si="2"/>
        <v>MemphisAlabama</v>
      </c>
      <c r="D102" t="s">
        <v>8</v>
      </c>
      <c r="E102">
        <v>8.4</v>
      </c>
      <c r="F102" s="1">
        <v>15.6641509433962</v>
      </c>
      <c r="G102" s="2">
        <v>1091.0726379421201</v>
      </c>
      <c r="H102" s="1">
        <v>136.92261279901899</v>
      </c>
      <c r="I102" s="1">
        <f t="shared" si="3"/>
        <v>112.72889521517689</v>
      </c>
    </row>
    <row r="103" spans="1:9" x14ac:dyDescent="0.45">
      <c r="A103" t="s">
        <v>40</v>
      </c>
      <c r="B103" t="s">
        <v>8</v>
      </c>
      <c r="C103" t="str">
        <f t="shared" si="2"/>
        <v>MichiganAlabama</v>
      </c>
      <c r="D103" t="s">
        <v>8</v>
      </c>
      <c r="E103">
        <v>4.3</v>
      </c>
      <c r="F103" s="1">
        <v>20.2905660377359</v>
      </c>
      <c r="G103" s="2">
        <v>2209.2674746533198</v>
      </c>
      <c r="H103" s="1">
        <v>136.48523409593599</v>
      </c>
      <c r="I103" s="1">
        <f t="shared" si="3"/>
        <v>106.58734786089346</v>
      </c>
    </row>
    <row r="104" spans="1:9" x14ac:dyDescent="0.45">
      <c r="A104" t="s">
        <v>41</v>
      </c>
      <c r="B104" t="s">
        <v>8</v>
      </c>
      <c r="C104" t="str">
        <f t="shared" si="2"/>
        <v>Michigan St.Alabama</v>
      </c>
      <c r="D104" t="s">
        <v>8</v>
      </c>
      <c r="E104">
        <v>30</v>
      </c>
      <c r="F104" s="1">
        <v>5.5433962264150898</v>
      </c>
      <c r="G104" s="2">
        <v>232.96632959618</v>
      </c>
      <c r="H104" s="1">
        <v>138.13231380514301</v>
      </c>
      <c r="I104" s="1">
        <f t="shared" si="3"/>
        <v>129.71517269340413</v>
      </c>
    </row>
    <row r="105" spans="1:9" x14ac:dyDescent="0.45">
      <c r="A105" t="s">
        <v>42</v>
      </c>
      <c r="B105" t="s">
        <v>8</v>
      </c>
      <c r="C105" t="str">
        <f t="shared" si="2"/>
        <v>MississippiAlabama</v>
      </c>
      <c r="D105" t="s">
        <v>8</v>
      </c>
      <c r="E105">
        <v>10.5</v>
      </c>
      <c r="F105" s="1">
        <v>14.0415094339623</v>
      </c>
      <c r="G105" s="2">
        <v>851.460631463749</v>
      </c>
      <c r="H105" s="1">
        <v>137.40000515503201</v>
      </c>
      <c r="I105" s="1">
        <f t="shared" si="3"/>
        <v>119.43230290366344</v>
      </c>
    </row>
    <row r="106" spans="1:9" x14ac:dyDescent="0.45">
      <c r="A106" t="s">
        <v>43</v>
      </c>
      <c r="B106" t="s">
        <v>8</v>
      </c>
      <c r="C106" t="str">
        <f t="shared" si="2"/>
        <v>Mississippi St.Alabama</v>
      </c>
      <c r="D106" t="s">
        <v>8</v>
      </c>
      <c r="E106">
        <v>8.3000000000000007</v>
      </c>
      <c r="F106" s="1">
        <v>15.7622641509434</v>
      </c>
      <c r="G106" s="2">
        <v>1107.49529161844</v>
      </c>
      <c r="H106" s="1">
        <v>137.53975162770899</v>
      </c>
      <c r="I106" s="1">
        <f t="shared" si="3"/>
        <v>121.39458312784926</v>
      </c>
    </row>
    <row r="107" spans="1:9" x14ac:dyDescent="0.45">
      <c r="A107" t="s">
        <v>44</v>
      </c>
      <c r="B107" t="s">
        <v>8</v>
      </c>
      <c r="C107" t="str">
        <f t="shared" si="2"/>
        <v>MissouriAlabama</v>
      </c>
      <c r="D107" t="s">
        <v>8</v>
      </c>
      <c r="E107">
        <v>4.0999999999999996</v>
      </c>
      <c r="F107" s="1">
        <v>20.698113207547198</v>
      </c>
      <c r="G107" s="2">
        <v>2350.8242954093998</v>
      </c>
      <c r="H107" s="1">
        <v>136.957413526354</v>
      </c>
      <c r="I107" s="1">
        <f t="shared" si="3"/>
        <v>113.21755713077756</v>
      </c>
    </row>
    <row r="108" spans="1:9" x14ac:dyDescent="0.45">
      <c r="A108" t="s">
        <v>45</v>
      </c>
      <c r="B108" t="s">
        <v>8</v>
      </c>
      <c r="C108" t="str">
        <f t="shared" si="2"/>
        <v>MontanaAlabama</v>
      </c>
      <c r="D108" t="s">
        <v>8</v>
      </c>
      <c r="E108">
        <v>0.4</v>
      </c>
      <c r="F108" s="1">
        <v>36.501886792452801</v>
      </c>
      <c r="G108" s="2">
        <v>26203.8987726788</v>
      </c>
      <c r="H108" s="1">
        <v>136.09412508976101</v>
      </c>
      <c r="I108" s="1">
        <f t="shared" si="3"/>
        <v>101.09550643107747</v>
      </c>
    </row>
    <row r="109" spans="1:9" x14ac:dyDescent="0.45">
      <c r="A109" t="s">
        <v>46</v>
      </c>
      <c r="B109" t="s">
        <v>8</v>
      </c>
      <c r="C109" t="str">
        <f t="shared" si="2"/>
        <v>Mount St. Mary'sAlabama</v>
      </c>
      <c r="D109" t="s">
        <v>8</v>
      </c>
      <c r="E109">
        <v>0.1</v>
      </c>
      <c r="F109" s="1">
        <v>42.8377358490566</v>
      </c>
      <c r="G109" s="2">
        <v>68863.6521468516</v>
      </c>
      <c r="H109" s="1">
        <v>137.397413043911</v>
      </c>
      <c r="I109" s="1">
        <f t="shared" si="3"/>
        <v>119.39590521652185</v>
      </c>
    </row>
    <row r="110" spans="1:9" x14ac:dyDescent="0.45">
      <c r="A110" t="s">
        <v>47</v>
      </c>
      <c r="B110" t="s">
        <v>8</v>
      </c>
      <c r="C110" t="str">
        <f t="shared" si="2"/>
        <v>Nebraska OmahaAlabama</v>
      </c>
      <c r="D110" t="s">
        <v>8</v>
      </c>
      <c r="E110">
        <v>0.2</v>
      </c>
      <c r="F110" s="1">
        <v>40.649056603773602</v>
      </c>
      <c r="G110" s="2">
        <v>49304.610262082198</v>
      </c>
      <c r="H110" s="1">
        <v>136.815189176015</v>
      </c>
      <c r="I110" s="1">
        <f t="shared" si="3"/>
        <v>111.22048325319224</v>
      </c>
    </row>
    <row r="111" spans="1:9" x14ac:dyDescent="0.45">
      <c r="A111" t="s">
        <v>48</v>
      </c>
      <c r="B111" t="s">
        <v>8</v>
      </c>
      <c r="C111" t="str">
        <f t="shared" si="2"/>
        <v>New MexicoAlabama</v>
      </c>
      <c r="D111" t="s">
        <v>8</v>
      </c>
      <c r="E111">
        <v>4.5999999999999996</v>
      </c>
      <c r="F111" s="1">
        <v>19.8150943396226</v>
      </c>
      <c r="G111" s="2">
        <v>2054.9645603899799</v>
      </c>
      <c r="H111" s="1">
        <v>137.585179107832</v>
      </c>
      <c r="I111" s="1">
        <f t="shared" si="3"/>
        <v>122.03246288375564</v>
      </c>
    </row>
    <row r="112" spans="1:9" x14ac:dyDescent="0.45">
      <c r="A112" t="s">
        <v>49</v>
      </c>
      <c r="B112" t="s">
        <v>8</v>
      </c>
      <c r="C112" t="str">
        <f t="shared" si="2"/>
        <v>Norfolk St.Alabama</v>
      </c>
      <c r="D112" t="s">
        <v>8</v>
      </c>
      <c r="E112">
        <v>0.3</v>
      </c>
      <c r="F112" s="1">
        <v>38.381132075471697</v>
      </c>
      <c r="G112" s="2">
        <v>34900.744690096202</v>
      </c>
      <c r="H112" s="1">
        <v>136.62130487179601</v>
      </c>
      <c r="I112" s="1">
        <f t="shared" si="3"/>
        <v>108.49801499577639</v>
      </c>
    </row>
    <row r="113" spans="1:9" x14ac:dyDescent="0.45">
      <c r="A113" t="s">
        <v>50</v>
      </c>
      <c r="B113" t="s">
        <v>8</v>
      </c>
      <c r="C113" t="str">
        <f t="shared" si="2"/>
        <v>North CarolinaAlabama</v>
      </c>
      <c r="D113" t="s">
        <v>8</v>
      </c>
      <c r="E113">
        <v>14.2</v>
      </c>
      <c r="F113" s="1">
        <v>11.7660377358491</v>
      </c>
      <c r="G113" s="2">
        <v>601.79327732010802</v>
      </c>
      <c r="H113" s="1">
        <v>138.69491082626499</v>
      </c>
      <c r="I113" s="1">
        <f t="shared" si="3"/>
        <v>137.61500005638325</v>
      </c>
    </row>
    <row r="114" spans="1:9" x14ac:dyDescent="0.45">
      <c r="A114" t="s">
        <v>51</v>
      </c>
      <c r="B114" t="s">
        <v>8</v>
      </c>
      <c r="C114" t="str">
        <f t="shared" si="2"/>
        <v>OklahomaAlabama</v>
      </c>
      <c r="D114" t="s">
        <v>8</v>
      </c>
      <c r="E114">
        <v>5.5</v>
      </c>
      <c r="F114" s="1">
        <v>18.649056603773602</v>
      </c>
      <c r="G114" s="2">
        <v>1719.58857820046</v>
      </c>
      <c r="H114" s="1">
        <v>137.11853395244</v>
      </c>
      <c r="I114" s="1">
        <f t="shared" si="3"/>
        <v>115.47996432978954</v>
      </c>
    </row>
    <row r="115" spans="1:9" x14ac:dyDescent="0.45">
      <c r="A115" t="s">
        <v>52</v>
      </c>
      <c r="B115" t="s">
        <v>8</v>
      </c>
      <c r="C115" t="str">
        <f t="shared" si="2"/>
        <v>OregonAlabama</v>
      </c>
      <c r="D115" t="s">
        <v>8</v>
      </c>
      <c r="E115">
        <v>14</v>
      </c>
      <c r="F115" s="1">
        <v>11.8830188679245</v>
      </c>
      <c r="G115" s="2">
        <v>612.573642073325</v>
      </c>
      <c r="H115" s="1">
        <v>137.40925134396801</v>
      </c>
      <c r="I115" s="1">
        <f t="shared" si="3"/>
        <v>119.56213525900412</v>
      </c>
    </row>
    <row r="116" spans="1:9" x14ac:dyDescent="0.45">
      <c r="A116" t="s">
        <v>53</v>
      </c>
      <c r="B116" t="s">
        <v>8</v>
      </c>
      <c r="C116" t="str">
        <f t="shared" si="2"/>
        <v>PurdueAlabama</v>
      </c>
      <c r="D116" t="s">
        <v>8</v>
      </c>
      <c r="E116">
        <v>48.1</v>
      </c>
      <c r="F116" s="1">
        <v>0.50943396226415105</v>
      </c>
      <c r="G116" s="2">
        <v>108.08332238412601</v>
      </c>
      <c r="H116" s="1">
        <v>138.89733854376701</v>
      </c>
      <c r="I116" s="1">
        <f t="shared" si="3"/>
        <v>140.45743249329649</v>
      </c>
    </row>
    <row r="117" spans="1:9" x14ac:dyDescent="0.45">
      <c r="A117" t="s">
        <v>54</v>
      </c>
      <c r="B117" t="s">
        <v>8</v>
      </c>
      <c r="C117" t="str">
        <f t="shared" si="2"/>
        <v>Robert MorrisAlabama</v>
      </c>
      <c r="D117" t="s">
        <v>8</v>
      </c>
      <c r="E117">
        <v>0.1</v>
      </c>
      <c r="F117" s="1">
        <v>44.4</v>
      </c>
      <c r="G117" s="2">
        <v>87376.2871679932</v>
      </c>
      <c r="H117" s="1">
        <v>135.98030387245399</v>
      </c>
      <c r="I117" s="1">
        <f t="shared" si="3"/>
        <v>99.49726126942268</v>
      </c>
    </row>
    <row r="118" spans="1:9" x14ac:dyDescent="0.45">
      <c r="A118" t="s">
        <v>55</v>
      </c>
      <c r="B118" t="s">
        <v>8</v>
      </c>
      <c r="C118" t="str">
        <f t="shared" si="2"/>
        <v>Saint FrancisAlabama</v>
      </c>
      <c r="D118" t="s">
        <v>8</v>
      </c>
      <c r="E118">
        <v>0.1</v>
      </c>
      <c r="F118" s="1">
        <v>47.762264150943402</v>
      </c>
      <c r="G118" s="2">
        <v>145940.48358535001</v>
      </c>
      <c r="H118" s="1">
        <v>136.68715175449699</v>
      </c>
      <c r="I118" s="1">
        <f t="shared" si="3"/>
        <v>109.42261819522224</v>
      </c>
    </row>
    <row r="119" spans="1:9" x14ac:dyDescent="0.45">
      <c r="A119" t="s">
        <v>56</v>
      </c>
      <c r="B119" t="s">
        <v>8</v>
      </c>
      <c r="C119" t="str">
        <f t="shared" si="2"/>
        <v>Saint Mary'sAlabama</v>
      </c>
      <c r="D119" t="s">
        <v>8</v>
      </c>
      <c r="E119">
        <v>13.8</v>
      </c>
      <c r="F119" s="1">
        <v>12.026415094339599</v>
      </c>
      <c r="G119" s="2">
        <v>626.19789886288402</v>
      </c>
      <c r="H119" s="1">
        <v>138.41635787043899</v>
      </c>
      <c r="I119" s="1">
        <f t="shared" si="3"/>
        <v>133.70363867362209</v>
      </c>
    </row>
    <row r="120" spans="1:9" x14ac:dyDescent="0.45">
      <c r="A120" t="s">
        <v>57</v>
      </c>
      <c r="B120" t="s">
        <v>8</v>
      </c>
      <c r="C120" t="str">
        <f t="shared" si="2"/>
        <v>San Diego St.Alabama</v>
      </c>
      <c r="D120" t="s">
        <v>8</v>
      </c>
      <c r="E120">
        <v>4.7</v>
      </c>
      <c r="F120" s="1">
        <v>19.698113207547198</v>
      </c>
      <c r="G120" s="2">
        <v>2018.8830977427201</v>
      </c>
      <c r="H120" s="1">
        <v>137.63105703346699</v>
      </c>
      <c r="I120" s="1">
        <f t="shared" si="3"/>
        <v>122.67666766743042</v>
      </c>
    </row>
    <row r="121" spans="1:9" x14ac:dyDescent="0.45">
      <c r="A121" t="s">
        <v>58</v>
      </c>
      <c r="B121" t="s">
        <v>8</v>
      </c>
      <c r="C121" t="str">
        <f t="shared" si="2"/>
        <v>SIU EdwardsvilleAlabama</v>
      </c>
      <c r="D121" t="s">
        <v>8</v>
      </c>
      <c r="E121">
        <v>0.2</v>
      </c>
      <c r="F121" s="1">
        <v>39.675471698113199</v>
      </c>
      <c r="G121" s="2">
        <v>42500.246749822298</v>
      </c>
      <c r="H121" s="1">
        <v>137.69031521365099</v>
      </c>
      <c r="I121" s="1">
        <f t="shared" si="3"/>
        <v>123.5087541800187</v>
      </c>
    </row>
    <row r="122" spans="1:9" x14ac:dyDescent="0.45">
      <c r="A122" t="s">
        <v>59</v>
      </c>
      <c r="B122" t="s">
        <v>8</v>
      </c>
      <c r="C122" t="str">
        <f t="shared" si="2"/>
        <v>St. John'sAlabama</v>
      </c>
      <c r="D122" t="s">
        <v>8</v>
      </c>
      <c r="E122">
        <v>31.7</v>
      </c>
      <c r="F122" s="1">
        <v>5.0415094339622604</v>
      </c>
      <c r="G122" s="2">
        <v>215.80522563405401</v>
      </c>
      <c r="H122" s="1">
        <v>138.50977166220599</v>
      </c>
      <c r="I122" s="1">
        <f t="shared" si="3"/>
        <v>135.015328569898</v>
      </c>
    </row>
    <row r="123" spans="1:9" x14ac:dyDescent="0.45">
      <c r="A123" t="s">
        <v>60</v>
      </c>
      <c r="B123" t="s">
        <v>8</v>
      </c>
      <c r="C123" t="str">
        <f t="shared" si="2"/>
        <v>TennesseeAlabama</v>
      </c>
      <c r="D123" t="s">
        <v>60</v>
      </c>
      <c r="E123">
        <v>50.7</v>
      </c>
      <c r="F123" s="1">
        <v>-0.17358490566037699</v>
      </c>
      <c r="G123" s="2">
        <v>-102.682287668187</v>
      </c>
      <c r="H123" s="1">
        <v>139.30300403634001</v>
      </c>
      <c r="I123" s="1">
        <f t="shared" si="3"/>
        <v>146.1536719651188</v>
      </c>
    </row>
    <row r="124" spans="1:9" x14ac:dyDescent="0.45">
      <c r="A124" t="s">
        <v>61</v>
      </c>
      <c r="B124" t="s">
        <v>8</v>
      </c>
      <c r="C124" t="str">
        <f t="shared" si="2"/>
        <v>TexasAlabama</v>
      </c>
      <c r="D124" t="s">
        <v>8</v>
      </c>
      <c r="E124">
        <v>3.9</v>
      </c>
      <c r="F124" s="1">
        <v>20.924528301886799</v>
      </c>
      <c r="G124" s="2">
        <v>2433.0402178403101</v>
      </c>
      <c r="H124" s="1">
        <v>137.00288586397801</v>
      </c>
      <c r="I124" s="1">
        <f t="shared" si="3"/>
        <v>113.85606676295505</v>
      </c>
    </row>
    <row r="125" spans="1:9" x14ac:dyDescent="0.45">
      <c r="A125" t="s">
        <v>62</v>
      </c>
      <c r="B125" t="s">
        <v>8</v>
      </c>
      <c r="C125" t="str">
        <f t="shared" si="2"/>
        <v>Texas A&amp;MAlabama</v>
      </c>
      <c r="D125" t="s">
        <v>8</v>
      </c>
      <c r="E125">
        <v>19</v>
      </c>
      <c r="F125" s="1">
        <v>9.5207547169811306</v>
      </c>
      <c r="G125" s="2">
        <v>427.36111980274899</v>
      </c>
      <c r="H125" s="1">
        <v>137.78986117337601</v>
      </c>
      <c r="I125" s="1">
        <f t="shared" si="3"/>
        <v>124.90655023471774</v>
      </c>
    </row>
    <row r="126" spans="1:9" x14ac:dyDescent="0.45">
      <c r="A126" t="s">
        <v>63</v>
      </c>
      <c r="B126" t="s">
        <v>8</v>
      </c>
      <c r="C126" t="str">
        <f t="shared" si="2"/>
        <v>Texas TechAlabama</v>
      </c>
      <c r="D126" t="s">
        <v>8</v>
      </c>
      <c r="E126">
        <v>31.2</v>
      </c>
      <c r="F126" s="1">
        <v>5.1886792452830202</v>
      </c>
      <c r="G126" s="2">
        <v>220.63762152058899</v>
      </c>
      <c r="H126" s="1">
        <v>138.780373778615</v>
      </c>
      <c r="I126" s="1">
        <f t="shared" si="3"/>
        <v>138.8150465268555</v>
      </c>
    </row>
    <row r="127" spans="1:9" x14ac:dyDescent="0.45">
      <c r="A127" t="s">
        <v>64</v>
      </c>
      <c r="B127" t="s">
        <v>8</v>
      </c>
      <c r="C127" t="str">
        <f t="shared" si="2"/>
        <v>TroyAlabama</v>
      </c>
      <c r="D127" t="s">
        <v>8</v>
      </c>
      <c r="E127">
        <v>0.6</v>
      </c>
      <c r="F127" s="1">
        <v>32.996226415094299</v>
      </c>
      <c r="G127" s="2">
        <v>15346.905931451</v>
      </c>
      <c r="H127" s="1">
        <v>137.54667837317399</v>
      </c>
      <c r="I127" s="1">
        <f t="shared" si="3"/>
        <v>121.49184651764045</v>
      </c>
    </row>
    <row r="128" spans="1:9" x14ac:dyDescent="0.45">
      <c r="A128" t="s">
        <v>65</v>
      </c>
      <c r="B128" t="s">
        <v>8</v>
      </c>
      <c r="C128" t="str">
        <f t="shared" si="2"/>
        <v>UC San DiegoAlabama</v>
      </c>
      <c r="D128" t="s">
        <v>8</v>
      </c>
      <c r="E128">
        <v>1.6</v>
      </c>
      <c r="F128" s="1">
        <v>26.8150943396226</v>
      </c>
      <c r="G128" s="2">
        <v>5977.1329862005005</v>
      </c>
      <c r="H128" s="1">
        <v>137.61679860283701</v>
      </c>
      <c r="I128" s="1">
        <f t="shared" si="3"/>
        <v>122.47645483974922</v>
      </c>
    </row>
    <row r="129" spans="1:9" x14ac:dyDescent="0.45">
      <c r="A129" t="s">
        <v>66</v>
      </c>
      <c r="B129" t="s">
        <v>8</v>
      </c>
      <c r="C129" t="str">
        <f t="shared" si="2"/>
        <v>UCLAAlabama</v>
      </c>
      <c r="D129" t="s">
        <v>8</v>
      </c>
      <c r="E129">
        <v>5.4</v>
      </c>
      <c r="F129" s="1">
        <v>18.713207547169802</v>
      </c>
      <c r="G129" s="2">
        <v>1737.00659380352</v>
      </c>
      <c r="H129" s="1">
        <v>136.838057182049</v>
      </c>
      <c r="I129" s="1">
        <f t="shared" si="3"/>
        <v>111.54158929005662</v>
      </c>
    </row>
    <row r="130" spans="1:9" x14ac:dyDescent="0.45">
      <c r="A130" t="s">
        <v>67</v>
      </c>
      <c r="B130" t="s">
        <v>8</v>
      </c>
      <c r="C130" t="str">
        <f t="shared" si="2"/>
        <v>UNC WilmingtonAlabama</v>
      </c>
      <c r="D130" t="s">
        <v>8</v>
      </c>
      <c r="E130">
        <v>1</v>
      </c>
      <c r="F130" s="1">
        <v>30.407547169811298</v>
      </c>
      <c r="G130" s="2">
        <v>10338.461351001401</v>
      </c>
      <c r="H130" s="1">
        <v>138.15346707350199</v>
      </c>
      <c r="I130" s="1">
        <f t="shared" si="3"/>
        <v>130.01220087152245</v>
      </c>
    </row>
    <row r="131" spans="1:9" x14ac:dyDescent="0.45">
      <c r="A131" t="s">
        <v>68</v>
      </c>
      <c r="B131" t="s">
        <v>8</v>
      </c>
      <c r="C131" t="str">
        <f t="shared" ref="C131:C194" si="4">A131&amp;B131</f>
        <v>Utah St.Alabama</v>
      </c>
      <c r="D131" t="s">
        <v>8</v>
      </c>
      <c r="E131">
        <v>5.2</v>
      </c>
      <c r="F131" s="1">
        <v>19.079245283018899</v>
      </c>
      <c r="G131" s="2">
        <v>1836.61327961447</v>
      </c>
      <c r="H131" s="1">
        <v>137.70065357208099</v>
      </c>
      <c r="I131" s="1">
        <f t="shared" ref="I131:I194" si="5">18*(H131-AVERAGE($H$2:$H$4625))/_xlfn.STDEV.P($H$2:$H$4625)+AVERAGE($H$2:$H$4625)</f>
        <v>123.65392246877138</v>
      </c>
    </row>
    <row r="132" spans="1:9" x14ac:dyDescent="0.45">
      <c r="A132" t="s">
        <v>69</v>
      </c>
      <c r="B132" t="s">
        <v>8</v>
      </c>
      <c r="C132" t="str">
        <f t="shared" si="4"/>
        <v>VanderbiltAlabama</v>
      </c>
      <c r="D132" t="s">
        <v>8</v>
      </c>
      <c r="E132">
        <v>1.1000000000000001</v>
      </c>
      <c r="F132" s="1">
        <v>29.728301886792501</v>
      </c>
      <c r="G132" s="2">
        <v>9320.4458734188192</v>
      </c>
      <c r="H132" s="1">
        <v>136.13469145336299</v>
      </c>
      <c r="I132" s="1">
        <f t="shared" si="5"/>
        <v>101.66512777134052</v>
      </c>
    </row>
    <row r="133" spans="1:9" x14ac:dyDescent="0.45">
      <c r="A133" t="s">
        <v>70</v>
      </c>
      <c r="B133" t="s">
        <v>8</v>
      </c>
      <c r="C133" t="str">
        <f t="shared" si="4"/>
        <v>VCUAlabama</v>
      </c>
      <c r="D133" t="s">
        <v>8</v>
      </c>
      <c r="E133">
        <v>3.3</v>
      </c>
      <c r="F133" s="1">
        <v>22.083018867924501</v>
      </c>
      <c r="G133" s="2">
        <v>2903.4539261597301</v>
      </c>
      <c r="H133" s="1">
        <v>138.059864582557</v>
      </c>
      <c r="I133" s="1">
        <f t="shared" si="5"/>
        <v>128.69786131505703</v>
      </c>
    </row>
    <row r="134" spans="1:9" x14ac:dyDescent="0.45">
      <c r="A134" t="s">
        <v>71</v>
      </c>
      <c r="B134" t="s">
        <v>8</v>
      </c>
      <c r="C134" t="str">
        <f t="shared" si="4"/>
        <v>WisconsinAlabama</v>
      </c>
      <c r="D134" t="s">
        <v>8</v>
      </c>
      <c r="E134">
        <v>28.2</v>
      </c>
      <c r="F134" s="1">
        <v>6.1283018867924497</v>
      </c>
      <c r="G134" s="2">
        <v>254.700208190469</v>
      </c>
      <c r="H134" s="1">
        <v>138.71312019088799</v>
      </c>
      <c r="I134" s="1">
        <f t="shared" si="5"/>
        <v>137.87069077551362</v>
      </c>
    </row>
    <row r="135" spans="1:9" x14ac:dyDescent="0.45">
      <c r="A135" t="s">
        <v>80</v>
      </c>
      <c r="B135" t="s">
        <v>8</v>
      </c>
      <c r="C135" t="str">
        <f t="shared" si="4"/>
        <v>WoffordAlabama</v>
      </c>
      <c r="D135" t="s">
        <v>8</v>
      </c>
      <c r="E135">
        <v>0.3</v>
      </c>
      <c r="F135" s="1">
        <v>37.301886792452798</v>
      </c>
      <c r="G135" s="2">
        <v>29601.6134733621</v>
      </c>
      <c r="H135" s="1">
        <v>136.810768620115</v>
      </c>
      <c r="I135" s="1">
        <f t="shared" si="5"/>
        <v>111.15841106449004</v>
      </c>
    </row>
    <row r="136" spans="1:9" x14ac:dyDescent="0.45">
      <c r="A136" t="s">
        <v>72</v>
      </c>
      <c r="B136" t="s">
        <v>8</v>
      </c>
      <c r="C136" t="str">
        <f t="shared" si="4"/>
        <v>XavierAlabama</v>
      </c>
      <c r="D136" t="s">
        <v>8</v>
      </c>
      <c r="E136">
        <v>3.3</v>
      </c>
      <c r="F136" s="1">
        <v>22.154716981132101</v>
      </c>
      <c r="G136" s="2">
        <v>2936.0329429402</v>
      </c>
      <c r="H136" s="1">
        <v>137.55357079073701</v>
      </c>
      <c r="I136" s="1">
        <f t="shared" si="5"/>
        <v>121.58862788479534</v>
      </c>
    </row>
    <row r="137" spans="1:9" x14ac:dyDescent="0.45">
      <c r="A137" t="s">
        <v>73</v>
      </c>
      <c r="B137" t="s">
        <v>8</v>
      </c>
      <c r="C137" t="str">
        <f t="shared" si="4"/>
        <v>YaleAlabama</v>
      </c>
      <c r="D137" t="s">
        <v>8</v>
      </c>
      <c r="E137">
        <v>1.7</v>
      </c>
      <c r="F137" s="1">
        <v>26.4037735849057</v>
      </c>
      <c r="G137" s="2">
        <v>5614.4396198842296</v>
      </c>
      <c r="H137" s="1">
        <v>138.153276927131</v>
      </c>
      <c r="I137" s="1">
        <f t="shared" si="5"/>
        <v>130.00953089026044</v>
      </c>
    </row>
    <row r="138" spans="1:9" x14ac:dyDescent="0.45">
      <c r="A138" t="s">
        <v>7</v>
      </c>
      <c r="B138" t="s">
        <v>9</v>
      </c>
      <c r="C138" t="str">
        <f t="shared" si="4"/>
        <v>AkronAlabama St.</v>
      </c>
      <c r="D138" t="s">
        <v>7</v>
      </c>
      <c r="E138">
        <v>82.1</v>
      </c>
      <c r="F138" s="1">
        <v>-9.98867924528302</v>
      </c>
      <c r="G138" s="2">
        <v>-459.02893157732098</v>
      </c>
      <c r="H138" s="1">
        <v>138.590953415884</v>
      </c>
      <c r="I138" s="1">
        <f t="shared" si="5"/>
        <v>136.15525966622909</v>
      </c>
    </row>
    <row r="139" spans="1:9" x14ac:dyDescent="0.45">
      <c r="A139" t="s">
        <v>8</v>
      </c>
      <c r="B139" t="s">
        <v>9</v>
      </c>
      <c r="C139" t="str">
        <f t="shared" si="4"/>
        <v>AlabamaAlabama St.</v>
      </c>
      <c r="D139" t="s">
        <v>8</v>
      </c>
      <c r="E139">
        <v>99.7</v>
      </c>
      <c r="F139" s="1">
        <v>-38.328301886792502</v>
      </c>
      <c r="G139" s="2">
        <v>-34623.483726932398</v>
      </c>
      <c r="H139" s="1">
        <v>140.398564603479</v>
      </c>
      <c r="I139" s="1">
        <f t="shared" si="5"/>
        <v>161.53722186167812</v>
      </c>
    </row>
    <row r="140" spans="1:9" x14ac:dyDescent="0.45">
      <c r="A140" t="s">
        <v>9</v>
      </c>
      <c r="B140" t="s">
        <v>9</v>
      </c>
      <c r="C140" t="str">
        <f t="shared" si="4"/>
        <v>Alabama St.Alabama St.</v>
      </c>
      <c r="D140" t="s">
        <v>9</v>
      </c>
      <c r="E140">
        <v>41.2</v>
      </c>
      <c r="F140" s="1">
        <v>2.3283018867924499</v>
      </c>
      <c r="G140" s="2">
        <v>142.64273539779199</v>
      </c>
      <c r="H140" s="1">
        <v>138.77771517530499</v>
      </c>
      <c r="I140" s="1">
        <f t="shared" si="5"/>
        <v>138.77771517530684</v>
      </c>
    </row>
    <row r="141" spans="1:9" x14ac:dyDescent="0.45">
      <c r="A141" t="s">
        <v>10</v>
      </c>
      <c r="B141" t="s">
        <v>9</v>
      </c>
      <c r="C141" t="str">
        <f t="shared" si="4"/>
        <v>AmericanAlabama St.</v>
      </c>
      <c r="D141" t="s">
        <v>9</v>
      </c>
      <c r="E141">
        <v>44</v>
      </c>
      <c r="F141" s="1">
        <v>1.56981132075472</v>
      </c>
      <c r="G141" s="2">
        <v>127.087661491266</v>
      </c>
      <c r="H141" s="1">
        <v>138.54100469506699</v>
      </c>
      <c r="I141" s="1">
        <f t="shared" si="5"/>
        <v>135.45389393437873</v>
      </c>
    </row>
    <row r="142" spans="1:9" x14ac:dyDescent="0.45">
      <c r="A142" t="s">
        <v>11</v>
      </c>
      <c r="B142" t="s">
        <v>9</v>
      </c>
      <c r="C142" t="str">
        <f t="shared" si="4"/>
        <v>ArizonaAlabama St.</v>
      </c>
      <c r="D142" t="s">
        <v>11</v>
      </c>
      <c r="E142">
        <v>99.6</v>
      </c>
      <c r="F142" s="1">
        <v>-35.573584905660397</v>
      </c>
      <c r="G142" s="2">
        <v>-22741.367715896198</v>
      </c>
      <c r="H142" s="1">
        <v>140.009043943656</v>
      </c>
      <c r="I142" s="1">
        <f t="shared" si="5"/>
        <v>156.06768353959671</v>
      </c>
    </row>
    <row r="143" spans="1:9" x14ac:dyDescent="0.45">
      <c r="A143" t="s">
        <v>12</v>
      </c>
      <c r="B143" t="s">
        <v>9</v>
      </c>
      <c r="C143" t="str">
        <f t="shared" si="4"/>
        <v>ArkansasAlabama St.</v>
      </c>
      <c r="D143" t="s">
        <v>12</v>
      </c>
      <c r="E143">
        <v>93.7</v>
      </c>
      <c r="F143" s="1">
        <v>-17.675471698113199</v>
      </c>
      <c r="G143" s="2">
        <v>-1482.2347012405701</v>
      </c>
      <c r="H143" s="1">
        <v>138.33496792144501</v>
      </c>
      <c r="I143" s="1">
        <f t="shared" si="5"/>
        <v>132.56078415787687</v>
      </c>
    </row>
    <row r="144" spans="1:9" x14ac:dyDescent="0.45">
      <c r="A144" t="s">
        <v>13</v>
      </c>
      <c r="B144" t="s">
        <v>9</v>
      </c>
      <c r="C144" t="str">
        <f t="shared" si="4"/>
        <v>AuburnAlabama St.</v>
      </c>
      <c r="D144" t="s">
        <v>13</v>
      </c>
      <c r="E144">
        <v>99.9</v>
      </c>
      <c r="F144" s="1">
        <v>-42.769811320754698</v>
      </c>
      <c r="G144" s="2">
        <v>-68152.420754894003</v>
      </c>
      <c r="H144" s="1">
        <v>141.42078083683199</v>
      </c>
      <c r="I144" s="1">
        <f t="shared" si="5"/>
        <v>175.8908914829978</v>
      </c>
    </row>
    <row r="145" spans="1:9" x14ac:dyDescent="0.45">
      <c r="A145" t="s">
        <v>14</v>
      </c>
      <c r="B145" t="s">
        <v>9</v>
      </c>
      <c r="C145" t="str">
        <f t="shared" si="4"/>
        <v>BaylorAlabama St.</v>
      </c>
      <c r="D145" t="s">
        <v>14</v>
      </c>
      <c r="E145">
        <v>98.6</v>
      </c>
      <c r="F145" s="1">
        <v>-27.720754716981101</v>
      </c>
      <c r="G145" s="2">
        <v>-6863.0803430748301</v>
      </c>
      <c r="H145" s="1">
        <v>139.88369819801201</v>
      </c>
      <c r="I145" s="1">
        <f t="shared" si="5"/>
        <v>154.30761422871305</v>
      </c>
    </row>
    <row r="146" spans="1:9" x14ac:dyDescent="0.45">
      <c r="A146" t="s">
        <v>15</v>
      </c>
      <c r="B146" t="s">
        <v>9</v>
      </c>
      <c r="C146" t="str">
        <f t="shared" si="4"/>
        <v>BryantAlabama St.</v>
      </c>
      <c r="D146" t="s">
        <v>15</v>
      </c>
      <c r="E146">
        <v>76.3</v>
      </c>
      <c r="F146" s="1">
        <v>-7.6490566037735803</v>
      </c>
      <c r="G146" s="2">
        <v>-321.22347214057999</v>
      </c>
      <c r="H146" s="1">
        <v>139.476018073658</v>
      </c>
      <c r="I146" s="1">
        <f t="shared" si="5"/>
        <v>148.58308587040108</v>
      </c>
    </row>
    <row r="147" spans="1:9" x14ac:dyDescent="0.45">
      <c r="A147" t="s">
        <v>16</v>
      </c>
      <c r="B147" t="s">
        <v>9</v>
      </c>
      <c r="C147" t="str">
        <f t="shared" si="4"/>
        <v>BYUAlabama St.</v>
      </c>
      <c r="D147" t="s">
        <v>16</v>
      </c>
      <c r="E147">
        <v>98.8</v>
      </c>
      <c r="F147" s="1">
        <v>-28.8150943396226</v>
      </c>
      <c r="G147" s="2">
        <v>-8110.1488493208899</v>
      </c>
      <c r="H147" s="1">
        <v>139.64605874810101</v>
      </c>
      <c r="I147" s="1">
        <f t="shared" si="5"/>
        <v>150.97074865984396</v>
      </c>
    </row>
    <row r="148" spans="1:9" x14ac:dyDescent="0.45">
      <c r="A148" t="s">
        <v>17</v>
      </c>
      <c r="B148" t="s">
        <v>9</v>
      </c>
      <c r="C148" t="str">
        <f t="shared" si="4"/>
        <v>ClemsonAlabama St.</v>
      </c>
      <c r="D148" t="s">
        <v>17</v>
      </c>
      <c r="E148">
        <v>99.1</v>
      </c>
      <c r="F148" s="1">
        <v>-31.018867924528301</v>
      </c>
      <c r="G148" s="2">
        <v>-11351.9374872267</v>
      </c>
      <c r="H148" s="1">
        <v>139.99610897054299</v>
      </c>
      <c r="I148" s="1">
        <f t="shared" si="5"/>
        <v>155.88605432596574</v>
      </c>
    </row>
    <row r="149" spans="1:9" x14ac:dyDescent="0.45">
      <c r="A149" t="s">
        <v>18</v>
      </c>
      <c r="B149" t="s">
        <v>9</v>
      </c>
      <c r="C149" t="str">
        <f t="shared" si="4"/>
        <v>Colorado St.Alabama St.</v>
      </c>
      <c r="D149" t="s">
        <v>18</v>
      </c>
      <c r="E149">
        <v>95</v>
      </c>
      <c r="F149" s="1">
        <v>-19.237735849056602</v>
      </c>
      <c r="G149" s="2">
        <v>-1881.50810702739</v>
      </c>
      <c r="H149" s="1">
        <v>139.385719945338</v>
      </c>
      <c r="I149" s="1">
        <f t="shared" si="5"/>
        <v>147.31514523412548</v>
      </c>
    </row>
    <row r="150" spans="1:9" x14ac:dyDescent="0.45">
      <c r="A150" t="s">
        <v>19</v>
      </c>
      <c r="B150" t="s">
        <v>9</v>
      </c>
      <c r="C150" t="str">
        <f t="shared" si="4"/>
        <v>ConnecticutAlabama St.</v>
      </c>
      <c r="D150" t="s">
        <v>19</v>
      </c>
      <c r="E150">
        <v>99.4</v>
      </c>
      <c r="F150" s="1">
        <v>-33.913207547169797</v>
      </c>
      <c r="G150" s="2">
        <v>-17650.471824481199</v>
      </c>
      <c r="H150" s="1">
        <v>139.796359801292</v>
      </c>
      <c r="I150" s="1">
        <f t="shared" si="5"/>
        <v>153.08123330179041</v>
      </c>
    </row>
    <row r="151" spans="1:9" x14ac:dyDescent="0.45">
      <c r="A151" t="s">
        <v>20</v>
      </c>
      <c r="B151" t="s">
        <v>9</v>
      </c>
      <c r="C151" t="str">
        <f t="shared" si="4"/>
        <v>CreightonAlabama St.</v>
      </c>
      <c r="D151" t="s">
        <v>20</v>
      </c>
      <c r="E151">
        <v>98.2</v>
      </c>
      <c r="F151" s="1">
        <v>-26.203773584905701</v>
      </c>
      <c r="G151" s="2">
        <v>-5446.5771446603603</v>
      </c>
      <c r="H151" s="1">
        <v>139.34565655413101</v>
      </c>
      <c r="I151" s="1">
        <f t="shared" si="5"/>
        <v>146.75258648918316</v>
      </c>
    </row>
    <row r="152" spans="1:9" x14ac:dyDescent="0.45">
      <c r="A152" t="s">
        <v>21</v>
      </c>
      <c r="B152" t="s">
        <v>9</v>
      </c>
      <c r="C152" t="str">
        <f t="shared" si="4"/>
        <v>DrakeAlabama St.</v>
      </c>
      <c r="D152" t="s">
        <v>21</v>
      </c>
      <c r="E152">
        <v>94.8</v>
      </c>
      <c r="F152" s="1">
        <v>-19.033962264150901</v>
      </c>
      <c r="G152" s="2">
        <v>-1823.62679961258</v>
      </c>
      <c r="H152" s="1">
        <v>139.580332359805</v>
      </c>
      <c r="I152" s="1">
        <f t="shared" si="5"/>
        <v>150.04783740856297</v>
      </c>
    </row>
    <row r="153" spans="1:9" x14ac:dyDescent="0.45">
      <c r="A153" t="s">
        <v>22</v>
      </c>
      <c r="B153" t="s">
        <v>9</v>
      </c>
      <c r="C153" t="str">
        <f t="shared" si="4"/>
        <v>DukeAlabama St.</v>
      </c>
      <c r="D153" t="s">
        <v>22</v>
      </c>
      <c r="E153">
        <v>99.9</v>
      </c>
      <c r="F153" s="1">
        <v>-44.9849056603774</v>
      </c>
      <c r="G153" s="2">
        <v>-95540.694044616204</v>
      </c>
      <c r="H153" s="1">
        <v>141.66067224840799</v>
      </c>
      <c r="I153" s="1">
        <f t="shared" si="5"/>
        <v>179.25937845708876</v>
      </c>
    </row>
    <row r="154" spans="1:9" x14ac:dyDescent="0.45">
      <c r="A154" t="s">
        <v>23</v>
      </c>
      <c r="B154" t="s">
        <v>9</v>
      </c>
      <c r="C154" t="str">
        <f t="shared" si="4"/>
        <v>FloridaAlabama St.</v>
      </c>
      <c r="D154" t="s">
        <v>23</v>
      </c>
      <c r="E154">
        <v>99.8</v>
      </c>
      <c r="F154" s="1">
        <v>-41.128301886792499</v>
      </c>
      <c r="G154" s="2">
        <v>-53046.438585878997</v>
      </c>
      <c r="H154" s="1">
        <v>141.395322775962</v>
      </c>
      <c r="I154" s="1">
        <f t="shared" si="5"/>
        <v>175.53341663276115</v>
      </c>
    </row>
    <row r="155" spans="1:9" x14ac:dyDescent="0.45">
      <c r="A155" t="s">
        <v>24</v>
      </c>
      <c r="B155" t="s">
        <v>9</v>
      </c>
      <c r="C155" t="str">
        <f t="shared" si="4"/>
        <v>GeorgiaAlabama St.</v>
      </c>
      <c r="D155" t="s">
        <v>24</v>
      </c>
      <c r="E155">
        <v>95.5</v>
      </c>
      <c r="F155" s="1">
        <v>-20.0641509433962</v>
      </c>
      <c r="G155" s="2">
        <v>-2134.7189912223798</v>
      </c>
      <c r="H155" s="1">
        <v>138.65928107224701</v>
      </c>
      <c r="I155" s="1">
        <f t="shared" si="5"/>
        <v>137.11469718388298</v>
      </c>
    </row>
    <row r="156" spans="1:9" x14ac:dyDescent="0.45">
      <c r="A156" t="s">
        <v>25</v>
      </c>
      <c r="B156" t="s">
        <v>9</v>
      </c>
      <c r="C156" t="str">
        <f t="shared" si="4"/>
        <v>GonzagaAlabama St.</v>
      </c>
      <c r="D156" t="s">
        <v>25</v>
      </c>
      <c r="E156">
        <v>99.1</v>
      </c>
      <c r="F156" s="1">
        <v>-30.6943396226415</v>
      </c>
      <c r="G156" s="2">
        <v>-10803.8751394217</v>
      </c>
      <c r="H156" s="1">
        <v>140.636242802753</v>
      </c>
      <c r="I156" s="1">
        <f t="shared" si="5"/>
        <v>164.87463153808179</v>
      </c>
    </row>
    <row r="157" spans="1:9" x14ac:dyDescent="0.45">
      <c r="A157" t="s">
        <v>26</v>
      </c>
      <c r="B157" t="s">
        <v>9</v>
      </c>
      <c r="C157" t="str">
        <f t="shared" si="4"/>
        <v>Grand CanyonAlabama St.</v>
      </c>
      <c r="D157" t="s">
        <v>26</v>
      </c>
      <c r="E157">
        <v>92.1</v>
      </c>
      <c r="F157" s="1">
        <v>-16.143396226415099</v>
      </c>
      <c r="G157" s="2">
        <v>-1173.8178823574999</v>
      </c>
      <c r="H157" s="1">
        <v>139.454214520292</v>
      </c>
      <c r="I157" s="1">
        <f t="shared" si="5"/>
        <v>148.27692657516096</v>
      </c>
    </row>
    <row r="158" spans="1:9" x14ac:dyDescent="0.45">
      <c r="A158" t="s">
        <v>27</v>
      </c>
      <c r="B158" t="s">
        <v>9</v>
      </c>
      <c r="C158" t="str">
        <f t="shared" si="4"/>
        <v>High PointAlabama St.</v>
      </c>
      <c r="D158" t="s">
        <v>27</v>
      </c>
      <c r="E158">
        <v>88</v>
      </c>
      <c r="F158" s="1">
        <v>-13.0566037735849</v>
      </c>
      <c r="G158" s="2">
        <v>-732.68729393582703</v>
      </c>
      <c r="H158" s="1">
        <v>139.645421653841</v>
      </c>
      <c r="I158" s="1">
        <f t="shared" si="5"/>
        <v>150.96180276344015</v>
      </c>
    </row>
    <row r="159" spans="1:9" x14ac:dyDescent="0.45">
      <c r="A159" t="s">
        <v>28</v>
      </c>
      <c r="B159" t="s">
        <v>9</v>
      </c>
      <c r="C159" t="str">
        <f t="shared" si="4"/>
        <v>HoustonAlabama St.</v>
      </c>
      <c r="D159" t="s">
        <v>28</v>
      </c>
      <c r="E159">
        <v>99.9</v>
      </c>
      <c r="F159" s="1">
        <v>-48.339622641509401</v>
      </c>
      <c r="G159" s="2">
        <v>-159374.39619300701</v>
      </c>
      <c r="H159" s="1">
        <v>141.75888401104399</v>
      </c>
      <c r="I159" s="1">
        <f t="shared" si="5"/>
        <v>180.63844009572131</v>
      </c>
    </row>
    <row r="160" spans="1:9" x14ac:dyDescent="0.45">
      <c r="A160" t="s">
        <v>29</v>
      </c>
      <c r="B160" t="s">
        <v>9</v>
      </c>
      <c r="C160" t="str">
        <f t="shared" si="4"/>
        <v>IllinoisAlabama St.</v>
      </c>
      <c r="D160" t="s">
        <v>29</v>
      </c>
      <c r="E160">
        <v>99.4</v>
      </c>
      <c r="F160" s="1">
        <v>-33.150943396226403</v>
      </c>
      <c r="G160" s="2">
        <v>-15711.0413796875</v>
      </c>
      <c r="H160" s="1">
        <v>139.817347786005</v>
      </c>
      <c r="I160" s="1">
        <f t="shared" si="5"/>
        <v>153.37594061396015</v>
      </c>
    </row>
    <row r="161" spans="1:9" x14ac:dyDescent="0.45">
      <c r="A161" t="s">
        <v>30</v>
      </c>
      <c r="B161" t="s">
        <v>9</v>
      </c>
      <c r="C161" t="str">
        <f t="shared" si="4"/>
        <v>Iowa St.Alabama St.</v>
      </c>
      <c r="D161" t="s">
        <v>30</v>
      </c>
      <c r="E161">
        <v>99.7</v>
      </c>
      <c r="F161" s="1">
        <v>-38.011320754716998</v>
      </c>
      <c r="G161" s="2">
        <v>-32980.788292008903</v>
      </c>
      <c r="H161" s="1">
        <v>140.713890077591</v>
      </c>
      <c r="I161" s="1">
        <f t="shared" si="5"/>
        <v>165.96493248777878</v>
      </c>
    </row>
    <row r="162" spans="1:9" x14ac:dyDescent="0.45">
      <c r="A162" t="s">
        <v>31</v>
      </c>
      <c r="B162" t="s">
        <v>9</v>
      </c>
      <c r="C162" t="str">
        <f t="shared" si="4"/>
        <v>KansasAlabama St.</v>
      </c>
      <c r="D162" t="s">
        <v>31</v>
      </c>
      <c r="E162">
        <v>99</v>
      </c>
      <c r="F162" s="1">
        <v>-30.294339622641498</v>
      </c>
      <c r="G162" s="2">
        <v>-10163.8932699453</v>
      </c>
      <c r="H162" s="1">
        <v>139.76447796644501</v>
      </c>
      <c r="I162" s="1">
        <f t="shared" si="5"/>
        <v>152.63355764434749</v>
      </c>
    </row>
    <row r="163" spans="1:9" x14ac:dyDescent="0.45">
      <c r="A163" t="s">
        <v>32</v>
      </c>
      <c r="B163" t="s">
        <v>9</v>
      </c>
      <c r="C163" t="str">
        <f t="shared" si="4"/>
        <v>KentuckyAlabama St.</v>
      </c>
      <c r="D163" t="s">
        <v>32</v>
      </c>
      <c r="E163">
        <v>99.4</v>
      </c>
      <c r="F163" s="1">
        <v>-33.660377358490599</v>
      </c>
      <c r="G163" s="2">
        <v>-16980.3265797483</v>
      </c>
      <c r="H163" s="1">
        <v>139.69876029857099</v>
      </c>
      <c r="I163" s="1">
        <f t="shared" si="5"/>
        <v>151.71076884275189</v>
      </c>
    </row>
    <row r="164" spans="1:9" x14ac:dyDescent="0.45">
      <c r="A164" t="s">
        <v>33</v>
      </c>
      <c r="B164" t="s">
        <v>9</v>
      </c>
      <c r="C164" t="str">
        <f t="shared" si="4"/>
        <v>LibertyAlabama St.</v>
      </c>
      <c r="D164" t="s">
        <v>33</v>
      </c>
      <c r="E164">
        <v>83.6</v>
      </c>
      <c r="F164" s="1">
        <v>-10.6716981132075</v>
      </c>
      <c r="G164" s="2">
        <v>-509.469422801039</v>
      </c>
      <c r="H164" s="1">
        <v>139.04376134228801</v>
      </c>
      <c r="I164" s="1">
        <f t="shared" si="5"/>
        <v>142.51345978617724</v>
      </c>
    </row>
    <row r="165" spans="1:9" x14ac:dyDescent="0.45">
      <c r="A165" t="s">
        <v>34</v>
      </c>
      <c r="B165" t="s">
        <v>9</v>
      </c>
      <c r="C165" t="str">
        <f t="shared" si="4"/>
        <v>LipscombAlabama St.</v>
      </c>
      <c r="D165" t="s">
        <v>34</v>
      </c>
      <c r="E165">
        <v>79.3</v>
      </c>
      <c r="F165" s="1">
        <v>-8.8075471698113201</v>
      </c>
      <c r="G165" s="2">
        <v>-383.28323476265899</v>
      </c>
      <c r="H165" s="1">
        <v>139.45007953987999</v>
      </c>
      <c r="I165" s="1">
        <f t="shared" si="5"/>
        <v>148.21886435624094</v>
      </c>
    </row>
    <row r="166" spans="1:9" x14ac:dyDescent="0.45">
      <c r="A166" t="s">
        <v>35</v>
      </c>
      <c r="B166" t="s">
        <v>9</v>
      </c>
      <c r="C166" t="str">
        <f t="shared" si="4"/>
        <v>LouisvilleAlabama St.</v>
      </c>
      <c r="D166" t="s">
        <v>35</v>
      </c>
      <c r="E166">
        <v>90.6</v>
      </c>
      <c r="F166" s="1">
        <v>-14.856603773584901</v>
      </c>
      <c r="G166" s="2">
        <v>-964.40101363039196</v>
      </c>
      <c r="H166" s="1">
        <v>138.695441545698</v>
      </c>
      <c r="I166" s="1">
        <f t="shared" si="5"/>
        <v>137.62245226772032</v>
      </c>
    </row>
    <row r="167" spans="1:9" x14ac:dyDescent="0.45">
      <c r="A167" t="s">
        <v>36</v>
      </c>
      <c r="B167" t="s">
        <v>9</v>
      </c>
      <c r="C167" t="str">
        <f t="shared" si="4"/>
        <v>MarquetteAlabama St.</v>
      </c>
      <c r="D167" t="s">
        <v>36</v>
      </c>
      <c r="E167">
        <v>99.2</v>
      </c>
      <c r="F167" s="1">
        <v>-31.924528301886799</v>
      </c>
      <c r="G167" s="2">
        <v>-13031.6964590223</v>
      </c>
      <c r="H167" s="1">
        <v>139.95757538916001</v>
      </c>
      <c r="I167" s="1">
        <f t="shared" si="5"/>
        <v>155.34497673548054</v>
      </c>
    </row>
    <row r="168" spans="1:9" x14ac:dyDescent="0.45">
      <c r="A168" t="s">
        <v>37</v>
      </c>
      <c r="B168" t="s">
        <v>9</v>
      </c>
      <c r="C168" t="str">
        <f t="shared" si="4"/>
        <v>MarylandAlabama St.</v>
      </c>
      <c r="D168" t="s">
        <v>37</v>
      </c>
      <c r="E168">
        <v>98.8</v>
      </c>
      <c r="F168" s="1">
        <v>-28.7584905660377</v>
      </c>
      <c r="G168" s="2">
        <v>-8038.3539222199397</v>
      </c>
      <c r="H168" s="1">
        <v>139.41594498770201</v>
      </c>
      <c r="I168" s="1">
        <f t="shared" si="5"/>
        <v>147.73955668272902</v>
      </c>
    </row>
    <row r="169" spans="1:9" x14ac:dyDescent="0.45">
      <c r="A169" t="s">
        <v>38</v>
      </c>
      <c r="B169" t="s">
        <v>9</v>
      </c>
      <c r="C169" t="str">
        <f t="shared" si="4"/>
        <v>McNeese St.Alabama St.</v>
      </c>
      <c r="D169" t="s">
        <v>38</v>
      </c>
      <c r="E169">
        <v>94.9</v>
      </c>
      <c r="F169" s="1">
        <v>-19.215094339622599</v>
      </c>
      <c r="G169" s="2">
        <v>-1875.4152808067799</v>
      </c>
      <c r="H169" s="1">
        <v>140.00918040066699</v>
      </c>
      <c r="I169" s="1">
        <f t="shared" si="5"/>
        <v>156.06959963013554</v>
      </c>
    </row>
    <row r="170" spans="1:9" x14ac:dyDescent="0.45">
      <c r="A170" t="s">
        <v>39</v>
      </c>
      <c r="B170" t="s">
        <v>9</v>
      </c>
      <c r="C170" t="str">
        <f t="shared" si="4"/>
        <v>MemphisAlabama St.</v>
      </c>
      <c r="D170" t="s">
        <v>39</v>
      </c>
      <c r="E170">
        <v>97.8</v>
      </c>
      <c r="F170" s="1">
        <v>-24.9924528301887</v>
      </c>
      <c r="G170" s="2">
        <v>-4526.5441145382101</v>
      </c>
      <c r="H170" s="1">
        <v>138.543462227193</v>
      </c>
      <c r="I170" s="1">
        <f t="shared" si="5"/>
        <v>135.48840190154817</v>
      </c>
    </row>
    <row r="171" spans="1:9" x14ac:dyDescent="0.45">
      <c r="A171" t="s">
        <v>40</v>
      </c>
      <c r="B171" t="s">
        <v>9</v>
      </c>
      <c r="C171" t="str">
        <f t="shared" si="4"/>
        <v>MichiganAlabama St.</v>
      </c>
      <c r="D171" t="s">
        <v>40</v>
      </c>
      <c r="E171">
        <v>95.7</v>
      </c>
      <c r="F171" s="1">
        <v>-20.366037735849101</v>
      </c>
      <c r="G171" s="2">
        <v>-2235.48686814643</v>
      </c>
      <c r="H171" s="1">
        <v>138.10608352410901</v>
      </c>
      <c r="I171" s="1">
        <f t="shared" si="5"/>
        <v>129.34685454725076</v>
      </c>
    </row>
    <row r="172" spans="1:9" x14ac:dyDescent="0.45">
      <c r="A172" t="s">
        <v>41</v>
      </c>
      <c r="B172" t="s">
        <v>9</v>
      </c>
      <c r="C172" t="str">
        <f t="shared" si="4"/>
        <v>Michigan St.Alabama St.</v>
      </c>
      <c r="D172" t="s">
        <v>41</v>
      </c>
      <c r="E172">
        <v>99.5</v>
      </c>
      <c r="F172" s="1">
        <v>-35.1132075471698</v>
      </c>
      <c r="G172" s="2">
        <v>-21199.580370138901</v>
      </c>
      <c r="H172" s="1">
        <v>139.753163233316</v>
      </c>
      <c r="I172" s="1">
        <f t="shared" si="5"/>
        <v>152.47467937976103</v>
      </c>
    </row>
    <row r="173" spans="1:9" x14ac:dyDescent="0.45">
      <c r="A173" t="s">
        <v>42</v>
      </c>
      <c r="B173" t="s">
        <v>9</v>
      </c>
      <c r="C173" t="str">
        <f t="shared" si="4"/>
        <v>MississippiAlabama St.</v>
      </c>
      <c r="D173" t="s">
        <v>42</v>
      </c>
      <c r="E173">
        <v>98.3</v>
      </c>
      <c r="F173" s="1">
        <v>-26.618867924528299</v>
      </c>
      <c r="G173" s="2">
        <v>-5800.3720257979103</v>
      </c>
      <c r="H173" s="1">
        <v>139.02085458320499</v>
      </c>
      <c r="I173" s="1">
        <f t="shared" si="5"/>
        <v>142.19180959002034</v>
      </c>
    </row>
    <row r="174" spans="1:9" x14ac:dyDescent="0.45">
      <c r="A174" t="s">
        <v>43</v>
      </c>
      <c r="B174" t="s">
        <v>9</v>
      </c>
      <c r="C174" t="str">
        <f t="shared" si="4"/>
        <v>Mississippi St.Alabama St.</v>
      </c>
      <c r="D174" t="s">
        <v>43</v>
      </c>
      <c r="E174">
        <v>97.8</v>
      </c>
      <c r="F174" s="1">
        <v>-24.8943396226415</v>
      </c>
      <c r="G174" s="2">
        <v>-4459.4216022293604</v>
      </c>
      <c r="H174" s="1">
        <v>139.16060105588201</v>
      </c>
      <c r="I174" s="1">
        <f t="shared" si="5"/>
        <v>144.15408981420657</v>
      </c>
    </row>
    <row r="175" spans="1:9" x14ac:dyDescent="0.45">
      <c r="A175" t="s">
        <v>44</v>
      </c>
      <c r="B175" t="s">
        <v>9</v>
      </c>
      <c r="C175" t="str">
        <f t="shared" si="4"/>
        <v>MissouriAlabama St.</v>
      </c>
      <c r="D175" t="s">
        <v>44</v>
      </c>
      <c r="E175">
        <v>95.5</v>
      </c>
      <c r="F175" s="1">
        <v>-19.962264150943401</v>
      </c>
      <c r="G175" s="2">
        <v>-2100.8751855486698</v>
      </c>
      <c r="H175" s="1">
        <v>138.57826295452799</v>
      </c>
      <c r="I175" s="1">
        <f t="shared" si="5"/>
        <v>135.97706381714843</v>
      </c>
    </row>
    <row r="176" spans="1:9" x14ac:dyDescent="0.45">
      <c r="A176" t="s">
        <v>45</v>
      </c>
      <c r="B176" t="s">
        <v>9</v>
      </c>
      <c r="C176" t="str">
        <f t="shared" si="4"/>
        <v>MontanaAlabama St.</v>
      </c>
      <c r="D176" t="s">
        <v>45</v>
      </c>
      <c r="E176">
        <v>65.3</v>
      </c>
      <c r="F176" s="1">
        <v>-4.1547169811320801</v>
      </c>
      <c r="G176" s="2">
        <v>-188.47532844844801</v>
      </c>
      <c r="H176" s="1">
        <v>137.714974517934</v>
      </c>
      <c r="I176" s="1">
        <f t="shared" si="5"/>
        <v>123.85501311743437</v>
      </c>
    </row>
    <row r="177" spans="1:9" x14ac:dyDescent="0.45">
      <c r="A177" t="s">
        <v>46</v>
      </c>
      <c r="B177" t="s">
        <v>9</v>
      </c>
      <c r="C177" t="str">
        <f t="shared" si="4"/>
        <v>Mount St. Mary'sAlabama St.</v>
      </c>
      <c r="D177" t="s">
        <v>9</v>
      </c>
      <c r="E177">
        <v>41.8</v>
      </c>
      <c r="F177" s="1">
        <v>2.1773584905660401</v>
      </c>
      <c r="G177" s="2">
        <v>139.43430287290201</v>
      </c>
      <c r="H177" s="1">
        <v>139.01826247208501</v>
      </c>
      <c r="I177" s="1">
        <f t="shared" si="5"/>
        <v>142.15541190289312</v>
      </c>
    </row>
    <row r="178" spans="1:9" x14ac:dyDescent="0.45">
      <c r="A178" t="s">
        <v>47</v>
      </c>
      <c r="B178" t="s">
        <v>9</v>
      </c>
      <c r="C178" t="str">
        <f t="shared" si="4"/>
        <v>Nebraska OmahaAlabama St.</v>
      </c>
      <c r="D178" t="s">
        <v>47</v>
      </c>
      <c r="E178">
        <v>50</v>
      </c>
      <c r="F178" s="1">
        <v>-1.13207547169811E-2</v>
      </c>
      <c r="G178" s="2">
        <v>-100.16889701709501</v>
      </c>
      <c r="H178" s="1">
        <v>138.43603860418801</v>
      </c>
      <c r="I178" s="1">
        <f t="shared" si="5"/>
        <v>133.97998993954954</v>
      </c>
    </row>
    <row r="179" spans="1:9" x14ac:dyDescent="0.45">
      <c r="A179" t="s">
        <v>48</v>
      </c>
      <c r="B179" t="s">
        <v>9</v>
      </c>
      <c r="C179" t="str">
        <f t="shared" si="4"/>
        <v>New MexicoAlabama St.</v>
      </c>
      <c r="D179" t="s">
        <v>48</v>
      </c>
      <c r="E179">
        <v>96</v>
      </c>
      <c r="F179" s="1">
        <v>-20.841509433962301</v>
      </c>
      <c r="G179" s="2">
        <v>-2403.3448182061502</v>
      </c>
      <c r="H179" s="1">
        <v>139.20602853600499</v>
      </c>
      <c r="I179" s="1">
        <f t="shared" si="5"/>
        <v>144.79196957011254</v>
      </c>
    </row>
    <row r="180" spans="1:9" x14ac:dyDescent="0.45">
      <c r="A180" t="s">
        <v>49</v>
      </c>
      <c r="B180" t="s">
        <v>9</v>
      </c>
      <c r="C180" t="str">
        <f t="shared" si="4"/>
        <v>Norfolk St.Alabama St.</v>
      </c>
      <c r="D180" t="s">
        <v>49</v>
      </c>
      <c r="E180">
        <v>58.6</v>
      </c>
      <c r="F180" s="1">
        <v>-2.2754716981132099</v>
      </c>
      <c r="G180" s="2">
        <v>-141.509542895571</v>
      </c>
      <c r="H180" s="1">
        <v>138.242154299969</v>
      </c>
      <c r="I180" s="1">
        <f t="shared" si="5"/>
        <v>131.25752168213327</v>
      </c>
    </row>
    <row r="181" spans="1:9" x14ac:dyDescent="0.45">
      <c r="A181" t="s">
        <v>50</v>
      </c>
      <c r="B181" t="s">
        <v>9</v>
      </c>
      <c r="C181" t="str">
        <f t="shared" si="4"/>
        <v>North CarolinaAlabama St.</v>
      </c>
      <c r="D181" t="s">
        <v>50</v>
      </c>
      <c r="E181">
        <v>98.8</v>
      </c>
      <c r="F181" s="1">
        <v>-28.8943396226415</v>
      </c>
      <c r="G181" s="2">
        <v>-8206.7856420793105</v>
      </c>
      <c r="H181" s="1">
        <v>140.315760254439</v>
      </c>
      <c r="I181" s="1">
        <f t="shared" si="5"/>
        <v>160.37450674275453</v>
      </c>
    </row>
    <row r="182" spans="1:9" x14ac:dyDescent="0.45">
      <c r="A182" t="s">
        <v>51</v>
      </c>
      <c r="B182" t="s">
        <v>9</v>
      </c>
      <c r="C182" t="str">
        <f t="shared" si="4"/>
        <v>OklahomaAlabama St.</v>
      </c>
      <c r="D182" t="s">
        <v>51</v>
      </c>
      <c r="E182">
        <v>96.6</v>
      </c>
      <c r="F182" s="1">
        <v>-22.011320754717001</v>
      </c>
      <c r="G182" s="2">
        <v>-2872.0756176334698</v>
      </c>
      <c r="H182" s="1">
        <v>138.73938338061299</v>
      </c>
      <c r="I182" s="1">
        <f t="shared" si="5"/>
        <v>138.23947101614644</v>
      </c>
    </row>
    <row r="183" spans="1:9" x14ac:dyDescent="0.45">
      <c r="A183" t="s">
        <v>52</v>
      </c>
      <c r="B183" t="s">
        <v>9</v>
      </c>
      <c r="C183" t="str">
        <f t="shared" si="4"/>
        <v>OregonAlabama St.</v>
      </c>
      <c r="D183" t="s">
        <v>52</v>
      </c>
      <c r="E183">
        <v>98.8</v>
      </c>
      <c r="F183" s="1">
        <v>-28.777358490566002</v>
      </c>
      <c r="G183" s="2">
        <v>-8062.3586922458499</v>
      </c>
      <c r="H183" s="1">
        <v>139.03010077214199</v>
      </c>
      <c r="I183" s="1">
        <f t="shared" si="5"/>
        <v>142.32164194537501</v>
      </c>
    </row>
    <row r="184" spans="1:9" x14ac:dyDescent="0.45">
      <c r="A184" t="s">
        <v>53</v>
      </c>
      <c r="B184" t="s">
        <v>9</v>
      </c>
      <c r="C184" t="str">
        <f t="shared" si="4"/>
        <v>PurdueAlabama St.</v>
      </c>
      <c r="D184" t="s">
        <v>53</v>
      </c>
      <c r="E184">
        <v>99.8</v>
      </c>
      <c r="F184" s="1">
        <v>-40.147169811320801</v>
      </c>
      <c r="G184" s="2">
        <v>-45694.269188527098</v>
      </c>
      <c r="H184" s="1">
        <v>140.51818797193999</v>
      </c>
      <c r="I184" s="1">
        <f t="shared" si="5"/>
        <v>163.21693917965339</v>
      </c>
    </row>
    <row r="185" spans="1:9" x14ac:dyDescent="0.45">
      <c r="A185" t="s">
        <v>54</v>
      </c>
      <c r="B185" t="s">
        <v>9</v>
      </c>
      <c r="C185" t="str">
        <f t="shared" si="4"/>
        <v>Robert MorrisAlabama St.</v>
      </c>
      <c r="D185" t="s">
        <v>9</v>
      </c>
      <c r="E185">
        <v>36.1</v>
      </c>
      <c r="F185" s="1">
        <v>3.7396226415094298</v>
      </c>
      <c r="G185" s="2">
        <v>176.918465824479</v>
      </c>
      <c r="H185" s="1">
        <v>137.601153300627</v>
      </c>
      <c r="I185" s="1">
        <f t="shared" si="5"/>
        <v>122.25676795577998</v>
      </c>
    </row>
    <row r="186" spans="1:9" x14ac:dyDescent="0.45">
      <c r="A186" t="s">
        <v>55</v>
      </c>
      <c r="B186" t="s">
        <v>9</v>
      </c>
      <c r="C186" t="str">
        <f t="shared" si="4"/>
        <v>Saint FrancisAlabama St.</v>
      </c>
      <c r="D186" t="s">
        <v>9</v>
      </c>
      <c r="E186">
        <v>25.3</v>
      </c>
      <c r="F186" s="1">
        <v>7.1018867924528299</v>
      </c>
      <c r="G186" s="2">
        <v>295.49855337708402</v>
      </c>
      <c r="H186" s="1">
        <v>138.30800118267101</v>
      </c>
      <c r="I186" s="1">
        <f t="shared" si="5"/>
        <v>132.18212488159352</v>
      </c>
    </row>
    <row r="187" spans="1:9" x14ac:dyDescent="0.45">
      <c r="A187" t="s">
        <v>56</v>
      </c>
      <c r="B187" t="s">
        <v>9</v>
      </c>
      <c r="C187" t="str">
        <f t="shared" si="4"/>
        <v>Saint Mary'sAlabama St.</v>
      </c>
      <c r="D187" t="s">
        <v>56</v>
      </c>
      <c r="E187">
        <v>98.7</v>
      </c>
      <c r="F187" s="1">
        <v>-28.633962264150899</v>
      </c>
      <c r="G187" s="2">
        <v>-7886.9450644579301</v>
      </c>
      <c r="H187" s="1">
        <v>140.037207298613</v>
      </c>
      <c r="I187" s="1">
        <f t="shared" si="5"/>
        <v>156.46314535999335</v>
      </c>
    </row>
    <row r="188" spans="1:9" x14ac:dyDescent="0.45">
      <c r="A188" t="s">
        <v>57</v>
      </c>
      <c r="B188" t="s">
        <v>9</v>
      </c>
      <c r="C188" t="str">
        <f t="shared" si="4"/>
        <v>San Diego St.Alabama St.</v>
      </c>
      <c r="D188" t="s">
        <v>57</v>
      </c>
      <c r="E188">
        <v>96.1</v>
      </c>
      <c r="F188" s="1">
        <v>-20.9584905660377</v>
      </c>
      <c r="G188" s="2">
        <v>-2446.2973776602098</v>
      </c>
      <c r="H188" s="1">
        <v>139.251906461641</v>
      </c>
      <c r="I188" s="1">
        <f t="shared" si="5"/>
        <v>145.4361743538017</v>
      </c>
    </row>
    <row r="189" spans="1:9" x14ac:dyDescent="0.45">
      <c r="A189" t="s">
        <v>58</v>
      </c>
      <c r="B189" t="s">
        <v>9</v>
      </c>
      <c r="C189" t="str">
        <f t="shared" si="4"/>
        <v>SIU EdwardsvilleAlabama St.</v>
      </c>
      <c r="D189" t="s">
        <v>58</v>
      </c>
      <c r="E189">
        <v>53.7</v>
      </c>
      <c r="F189" s="1">
        <v>-0.98490566037735805</v>
      </c>
      <c r="G189" s="2">
        <v>-116.20611185819</v>
      </c>
      <c r="H189" s="1">
        <v>139.311164641825</v>
      </c>
      <c r="I189" s="1">
        <f t="shared" si="5"/>
        <v>146.26826086638997</v>
      </c>
    </row>
    <row r="190" spans="1:9" x14ac:dyDescent="0.45">
      <c r="A190" t="s">
        <v>59</v>
      </c>
      <c r="B190" t="s">
        <v>9</v>
      </c>
      <c r="C190" t="str">
        <f t="shared" si="4"/>
        <v>St. John'sAlabama St.</v>
      </c>
      <c r="D190" t="s">
        <v>59</v>
      </c>
      <c r="E190">
        <v>99.6</v>
      </c>
      <c r="F190" s="1">
        <v>-35.615094339622601</v>
      </c>
      <c r="G190" s="2">
        <v>-22885.397762264402</v>
      </c>
      <c r="H190" s="1">
        <v>140.13062109037901</v>
      </c>
      <c r="I190" s="1">
        <f t="shared" si="5"/>
        <v>157.7748352562553</v>
      </c>
    </row>
    <row r="191" spans="1:9" x14ac:dyDescent="0.45">
      <c r="A191" t="s">
        <v>60</v>
      </c>
      <c r="B191" t="s">
        <v>9</v>
      </c>
      <c r="C191" t="str">
        <f t="shared" si="4"/>
        <v>TennesseeAlabama St.</v>
      </c>
      <c r="D191" t="s">
        <v>60</v>
      </c>
      <c r="E191">
        <v>99.8</v>
      </c>
      <c r="F191" s="1">
        <v>-40.830188679245303</v>
      </c>
      <c r="G191" s="2">
        <v>-50712.6094076792</v>
      </c>
      <c r="H191" s="1">
        <v>140.923853464514</v>
      </c>
      <c r="I191" s="1">
        <f t="shared" si="5"/>
        <v>168.91317865148969</v>
      </c>
    </row>
    <row r="192" spans="1:9" x14ac:dyDescent="0.45">
      <c r="A192" t="s">
        <v>61</v>
      </c>
      <c r="B192" t="s">
        <v>9</v>
      </c>
      <c r="C192" t="str">
        <f t="shared" si="4"/>
        <v>TexasAlabama St.</v>
      </c>
      <c r="D192" t="s">
        <v>61</v>
      </c>
      <c r="E192">
        <v>95.3</v>
      </c>
      <c r="F192" s="1">
        <v>-19.735849056603801</v>
      </c>
      <c r="G192" s="2">
        <v>-2029.8835964965899</v>
      </c>
      <c r="H192" s="1">
        <v>138.62373529215199</v>
      </c>
      <c r="I192" s="1">
        <f t="shared" si="5"/>
        <v>136.61557344932592</v>
      </c>
    </row>
    <row r="193" spans="1:9" x14ac:dyDescent="0.45">
      <c r="A193" t="s">
        <v>62</v>
      </c>
      <c r="B193" t="s">
        <v>9</v>
      </c>
      <c r="C193" t="str">
        <f t="shared" si="4"/>
        <v>Texas A&amp;MAlabama St.</v>
      </c>
      <c r="D193" t="s">
        <v>62</v>
      </c>
      <c r="E193">
        <v>99.1</v>
      </c>
      <c r="F193" s="1">
        <v>-31.135849056603799</v>
      </c>
      <c r="G193" s="2">
        <v>-11556.4757741417</v>
      </c>
      <c r="H193" s="1">
        <v>139.41071060154999</v>
      </c>
      <c r="I193" s="1">
        <f t="shared" si="5"/>
        <v>147.66605692108863</v>
      </c>
    </row>
    <row r="194" spans="1:9" x14ac:dyDescent="0.45">
      <c r="A194" t="s">
        <v>63</v>
      </c>
      <c r="B194" t="s">
        <v>9</v>
      </c>
      <c r="C194" t="str">
        <f t="shared" si="4"/>
        <v>Texas TechAlabama St.</v>
      </c>
      <c r="D194" t="s">
        <v>63</v>
      </c>
      <c r="E194">
        <v>99.6</v>
      </c>
      <c r="F194" s="1">
        <v>-35.471698113207502</v>
      </c>
      <c r="G194" s="2">
        <v>-22384.162745108701</v>
      </c>
      <c r="H194" s="1">
        <v>140.40122320678901</v>
      </c>
      <c r="I194" s="1">
        <f t="shared" si="5"/>
        <v>161.57455321322675</v>
      </c>
    </row>
    <row r="195" spans="1:9" x14ac:dyDescent="0.45">
      <c r="A195" t="s">
        <v>64</v>
      </c>
      <c r="B195" t="s">
        <v>9</v>
      </c>
      <c r="C195" t="str">
        <f t="shared" ref="C195:C258" si="6">A195&amp;B195</f>
        <v>TroyAlabama St.</v>
      </c>
      <c r="D195" t="s">
        <v>64</v>
      </c>
      <c r="E195">
        <v>76.3</v>
      </c>
      <c r="F195" s="1">
        <v>-7.6603773584905701</v>
      </c>
      <c r="G195" s="2">
        <v>-321.81004105129</v>
      </c>
      <c r="H195" s="1">
        <v>139.167527801348</v>
      </c>
      <c r="I195" s="1">
        <f t="shared" ref="I195:I258" si="7">18*(H195-AVERAGE($H$2:$H$4625))/_xlfn.STDEV.P($H$2:$H$4625)+AVERAGE($H$2:$H$4625)</f>
        <v>144.25135320401174</v>
      </c>
    </row>
    <row r="196" spans="1:9" x14ac:dyDescent="0.45">
      <c r="A196" t="s">
        <v>65</v>
      </c>
      <c r="B196" t="s">
        <v>9</v>
      </c>
      <c r="C196" t="str">
        <f t="shared" si="6"/>
        <v>UC San DiegoAlabama St.</v>
      </c>
      <c r="D196" t="s">
        <v>65</v>
      </c>
      <c r="E196">
        <v>89.2</v>
      </c>
      <c r="F196" s="1">
        <v>-13.845283018867899</v>
      </c>
      <c r="G196" s="2">
        <v>-826.28049923145204</v>
      </c>
      <c r="H196" s="1">
        <v>139.23764803101099</v>
      </c>
      <c r="I196" s="1">
        <f t="shared" si="7"/>
        <v>145.23596152612009</v>
      </c>
    </row>
    <row r="197" spans="1:9" x14ac:dyDescent="0.45">
      <c r="A197" t="s">
        <v>66</v>
      </c>
      <c r="B197" t="s">
        <v>9</v>
      </c>
      <c r="C197" t="str">
        <f t="shared" si="6"/>
        <v>UCLAAlabama St.</v>
      </c>
      <c r="D197" t="s">
        <v>66</v>
      </c>
      <c r="E197">
        <v>96.6</v>
      </c>
      <c r="F197" s="1">
        <v>-21.9433962264151</v>
      </c>
      <c r="G197" s="2">
        <v>-2843.2755784743899</v>
      </c>
      <c r="H197" s="1">
        <v>138.45890661022301</v>
      </c>
      <c r="I197" s="1">
        <f t="shared" si="7"/>
        <v>134.30109597642789</v>
      </c>
    </row>
    <row r="198" spans="1:9" x14ac:dyDescent="0.45">
      <c r="A198" t="s">
        <v>67</v>
      </c>
      <c r="B198" t="s">
        <v>9</v>
      </c>
      <c r="C198" t="str">
        <f t="shared" si="6"/>
        <v>UNC WilmingtonAlabama St.</v>
      </c>
      <c r="D198" t="s">
        <v>67</v>
      </c>
      <c r="E198">
        <v>82.7</v>
      </c>
      <c r="F198" s="1">
        <v>-10.2528301886792</v>
      </c>
      <c r="G198" s="2">
        <v>-477.71019885199399</v>
      </c>
      <c r="H198" s="1">
        <v>139.774316501675</v>
      </c>
      <c r="I198" s="1">
        <f t="shared" si="7"/>
        <v>152.77170755787975</v>
      </c>
    </row>
    <row r="199" spans="1:9" x14ac:dyDescent="0.45">
      <c r="A199" t="s">
        <v>68</v>
      </c>
      <c r="B199" t="s">
        <v>9</v>
      </c>
      <c r="C199" t="str">
        <f t="shared" si="6"/>
        <v>Utah St.Alabama St.</v>
      </c>
      <c r="D199" t="s">
        <v>68</v>
      </c>
      <c r="E199">
        <v>96.4</v>
      </c>
      <c r="F199" s="1">
        <v>-21.577358490565999</v>
      </c>
      <c r="G199" s="2">
        <v>-2689.0736785085501</v>
      </c>
      <c r="H199" s="1">
        <v>139.32150300025401</v>
      </c>
      <c r="I199" s="1">
        <f t="shared" si="7"/>
        <v>146.41342915512868</v>
      </c>
    </row>
    <row r="200" spans="1:9" x14ac:dyDescent="0.45">
      <c r="A200" t="s">
        <v>69</v>
      </c>
      <c r="B200" t="s">
        <v>9</v>
      </c>
      <c r="C200" t="str">
        <f t="shared" si="6"/>
        <v>VanderbiltAlabama St.</v>
      </c>
      <c r="D200" t="s">
        <v>69</v>
      </c>
      <c r="E200">
        <v>84.1</v>
      </c>
      <c r="F200" s="1">
        <v>-10.9320754716981</v>
      </c>
      <c r="G200" s="2">
        <v>-529.88757135488197</v>
      </c>
      <c r="H200" s="1">
        <v>137.755540881537</v>
      </c>
      <c r="I200" s="1">
        <f t="shared" si="7"/>
        <v>124.42463445771179</v>
      </c>
    </row>
    <row r="201" spans="1:9" x14ac:dyDescent="0.45">
      <c r="A201" t="s">
        <v>70</v>
      </c>
      <c r="B201" t="s">
        <v>9</v>
      </c>
      <c r="C201" t="str">
        <f t="shared" si="6"/>
        <v>VCUAlabama St.</v>
      </c>
      <c r="D201" t="s">
        <v>70</v>
      </c>
      <c r="E201">
        <v>94.4</v>
      </c>
      <c r="F201" s="1">
        <v>-18.577358490565999</v>
      </c>
      <c r="G201" s="2">
        <v>-1701.0045805489499</v>
      </c>
      <c r="H201" s="1">
        <v>139.68071401072999</v>
      </c>
      <c r="I201" s="1">
        <f t="shared" si="7"/>
        <v>151.45736800141393</v>
      </c>
    </row>
    <row r="202" spans="1:9" x14ac:dyDescent="0.45">
      <c r="A202" t="s">
        <v>71</v>
      </c>
      <c r="B202" t="s">
        <v>9</v>
      </c>
      <c r="C202" t="str">
        <f t="shared" si="6"/>
        <v>WisconsinAlabama St.</v>
      </c>
      <c r="D202" t="s">
        <v>71</v>
      </c>
      <c r="E202">
        <v>99.5</v>
      </c>
      <c r="F202" s="1">
        <v>-34.528301886792498</v>
      </c>
      <c r="G202" s="2">
        <v>-19390.594388980899</v>
      </c>
      <c r="H202" s="1">
        <v>140.333969619062</v>
      </c>
      <c r="I202" s="1">
        <f t="shared" si="7"/>
        <v>160.63019746188488</v>
      </c>
    </row>
    <row r="203" spans="1:9" x14ac:dyDescent="0.45">
      <c r="A203" t="s">
        <v>80</v>
      </c>
      <c r="B203" t="s">
        <v>9</v>
      </c>
      <c r="C203" t="str">
        <f t="shared" si="6"/>
        <v>WoffordAlabama St.</v>
      </c>
      <c r="D203" t="s">
        <v>80</v>
      </c>
      <c r="E203">
        <v>62.5</v>
      </c>
      <c r="F203" s="1">
        <v>-3.3547169811320798</v>
      </c>
      <c r="G203" s="2">
        <v>-166.84186597649</v>
      </c>
      <c r="H203" s="1">
        <v>138.43161804828901</v>
      </c>
      <c r="I203" s="1">
        <f t="shared" si="7"/>
        <v>133.91791775086131</v>
      </c>
    </row>
    <row r="204" spans="1:9" x14ac:dyDescent="0.45">
      <c r="A204" t="s">
        <v>72</v>
      </c>
      <c r="B204" t="s">
        <v>9</v>
      </c>
      <c r="C204" t="str">
        <f t="shared" si="6"/>
        <v>XavierAlabama St.</v>
      </c>
      <c r="D204" t="s">
        <v>72</v>
      </c>
      <c r="E204">
        <v>94.4</v>
      </c>
      <c r="F204" s="1">
        <v>-18.501886792452801</v>
      </c>
      <c r="G204" s="2">
        <v>-1682.1297729938699</v>
      </c>
      <c r="H204" s="1">
        <v>139.17442021891</v>
      </c>
      <c r="I204" s="1">
        <f t="shared" si="7"/>
        <v>144.34813457115223</v>
      </c>
    </row>
    <row r="205" spans="1:9" x14ac:dyDescent="0.45">
      <c r="A205" t="s">
        <v>73</v>
      </c>
      <c r="B205" t="s">
        <v>9</v>
      </c>
      <c r="C205" t="str">
        <f t="shared" si="6"/>
        <v>YaleAlabama St.</v>
      </c>
      <c r="D205" t="s">
        <v>73</v>
      </c>
      <c r="E205">
        <v>89.8</v>
      </c>
      <c r="F205" s="1">
        <v>-14.2528301886792</v>
      </c>
      <c r="G205" s="2">
        <v>-879.65830290866495</v>
      </c>
      <c r="H205" s="1">
        <v>139.77412635530399</v>
      </c>
      <c r="I205" s="1">
        <f t="shared" si="7"/>
        <v>152.76903757661734</v>
      </c>
    </row>
    <row r="206" spans="1:9" x14ac:dyDescent="0.45">
      <c r="A206" t="s">
        <v>7</v>
      </c>
      <c r="B206" t="s">
        <v>10</v>
      </c>
      <c r="C206" t="str">
        <f t="shared" si="6"/>
        <v>AkronAmerican</v>
      </c>
      <c r="D206" t="s">
        <v>7</v>
      </c>
      <c r="E206">
        <v>80.400000000000006</v>
      </c>
      <c r="F206" s="1">
        <v>-9.2339622641509393</v>
      </c>
      <c r="G206" s="2">
        <v>-408.97220113109802</v>
      </c>
      <c r="H206" s="1">
        <v>138.827663896122</v>
      </c>
      <c r="I206" s="1">
        <f t="shared" si="7"/>
        <v>139.47908090715723</v>
      </c>
    </row>
    <row r="207" spans="1:9" x14ac:dyDescent="0.45">
      <c r="A207" t="s">
        <v>8</v>
      </c>
      <c r="B207" t="s">
        <v>10</v>
      </c>
      <c r="C207" t="str">
        <f t="shared" si="6"/>
        <v>AlabamaAmerican</v>
      </c>
      <c r="D207" t="s">
        <v>8</v>
      </c>
      <c r="E207">
        <v>99.7</v>
      </c>
      <c r="F207" s="1">
        <v>-37.573584905660397</v>
      </c>
      <c r="G207" s="2">
        <v>-30847.821077361801</v>
      </c>
      <c r="H207" s="1">
        <v>140.635275083717</v>
      </c>
      <c r="I207" s="1">
        <f t="shared" si="7"/>
        <v>164.86104310260623</v>
      </c>
    </row>
    <row r="208" spans="1:9" x14ac:dyDescent="0.45">
      <c r="A208" t="s">
        <v>9</v>
      </c>
      <c r="B208" t="s">
        <v>10</v>
      </c>
      <c r="C208" t="str">
        <f t="shared" si="6"/>
        <v>Alabama St.American</v>
      </c>
      <c r="D208" t="s">
        <v>10</v>
      </c>
      <c r="E208">
        <v>38.4</v>
      </c>
      <c r="F208" s="1">
        <v>3.0867924528301902</v>
      </c>
      <c r="G208" s="2">
        <v>160.101694554847</v>
      </c>
      <c r="H208" s="1">
        <v>139.01442565554399</v>
      </c>
      <c r="I208" s="1">
        <f t="shared" si="7"/>
        <v>142.10153641624893</v>
      </c>
    </row>
    <row r="209" spans="1:9" x14ac:dyDescent="0.45">
      <c r="A209" t="s">
        <v>10</v>
      </c>
      <c r="B209" t="s">
        <v>10</v>
      </c>
      <c r="C209" t="str">
        <f t="shared" si="6"/>
        <v>AmericanAmerican</v>
      </c>
      <c r="D209" t="s">
        <v>10</v>
      </c>
      <c r="E209">
        <v>41.2</v>
      </c>
      <c r="F209" s="1">
        <v>2.3283018867924499</v>
      </c>
      <c r="G209" s="2">
        <v>142.64273539779199</v>
      </c>
      <c r="H209" s="1">
        <v>138.77771517530499</v>
      </c>
      <c r="I209" s="1">
        <f t="shared" si="7"/>
        <v>138.77771517530684</v>
      </c>
    </row>
    <row r="210" spans="1:9" x14ac:dyDescent="0.45">
      <c r="A210" t="s">
        <v>11</v>
      </c>
      <c r="B210" t="s">
        <v>10</v>
      </c>
      <c r="C210" t="str">
        <f t="shared" si="6"/>
        <v>ArizonaAmerican</v>
      </c>
      <c r="D210" t="s">
        <v>11</v>
      </c>
      <c r="E210">
        <v>99.5</v>
      </c>
      <c r="F210" s="1">
        <v>-34.818867924528298</v>
      </c>
      <c r="G210" s="2">
        <v>-20261.440122179301</v>
      </c>
      <c r="H210" s="1">
        <v>140.24575442389499</v>
      </c>
      <c r="I210" s="1">
        <f t="shared" si="7"/>
        <v>159.39150478053881</v>
      </c>
    </row>
    <row r="211" spans="1:9" x14ac:dyDescent="0.45">
      <c r="A211" t="s">
        <v>12</v>
      </c>
      <c r="B211" t="s">
        <v>10</v>
      </c>
      <c r="C211" t="str">
        <f t="shared" si="6"/>
        <v>ArkansasAmerican</v>
      </c>
      <c r="D211" t="s">
        <v>12</v>
      </c>
      <c r="E211">
        <v>93</v>
      </c>
      <c r="F211" s="1">
        <v>-16.916981132075499</v>
      </c>
      <c r="G211" s="2">
        <v>-1320.5982164920299</v>
      </c>
      <c r="H211" s="1">
        <v>138.57167840168401</v>
      </c>
      <c r="I211" s="1">
        <f t="shared" si="7"/>
        <v>135.88460539881893</v>
      </c>
    </row>
    <row r="212" spans="1:9" x14ac:dyDescent="0.45">
      <c r="A212" t="s">
        <v>13</v>
      </c>
      <c r="B212" t="s">
        <v>10</v>
      </c>
      <c r="C212" t="str">
        <f t="shared" si="6"/>
        <v>AuburnAmerican</v>
      </c>
      <c r="D212" t="s">
        <v>13</v>
      </c>
      <c r="E212">
        <v>99.8</v>
      </c>
      <c r="F212" s="1">
        <v>-42.011320754716998</v>
      </c>
      <c r="G212" s="2">
        <v>-60720.454880190402</v>
      </c>
      <c r="H212" s="1">
        <v>141.65749131707</v>
      </c>
      <c r="I212" s="1">
        <f t="shared" si="7"/>
        <v>179.21471272392591</v>
      </c>
    </row>
    <row r="213" spans="1:9" x14ac:dyDescent="0.45">
      <c r="A213" t="s">
        <v>14</v>
      </c>
      <c r="B213" t="s">
        <v>10</v>
      </c>
      <c r="C213" t="str">
        <f t="shared" si="6"/>
        <v>BaylorAmerican</v>
      </c>
      <c r="D213" t="s">
        <v>14</v>
      </c>
      <c r="E213">
        <v>98.4</v>
      </c>
      <c r="F213" s="1">
        <v>-26.962264150943401</v>
      </c>
      <c r="G213" s="2">
        <v>-6114.6670315574402</v>
      </c>
      <c r="H213" s="1">
        <v>140.12040867824999</v>
      </c>
      <c r="I213" s="1">
        <f t="shared" si="7"/>
        <v>157.63143546964076</v>
      </c>
    </row>
    <row r="214" spans="1:9" x14ac:dyDescent="0.45">
      <c r="A214" t="s">
        <v>15</v>
      </c>
      <c r="B214" t="s">
        <v>10</v>
      </c>
      <c r="C214" t="str">
        <f t="shared" si="6"/>
        <v>BryantAmerican</v>
      </c>
      <c r="D214" t="s">
        <v>15</v>
      </c>
      <c r="E214">
        <v>74.099999999999994</v>
      </c>
      <c r="F214" s="1">
        <v>-6.8943396226415103</v>
      </c>
      <c r="G214" s="2">
        <v>-286.194314604282</v>
      </c>
      <c r="H214" s="1">
        <v>139.712728553896</v>
      </c>
      <c r="I214" s="1">
        <f t="shared" si="7"/>
        <v>151.90690711132919</v>
      </c>
    </row>
    <row r="215" spans="1:9" x14ac:dyDescent="0.45">
      <c r="A215" t="s">
        <v>16</v>
      </c>
      <c r="B215" t="s">
        <v>10</v>
      </c>
      <c r="C215" t="str">
        <f t="shared" si="6"/>
        <v>BYUAmerican</v>
      </c>
      <c r="D215" t="s">
        <v>16</v>
      </c>
      <c r="E215">
        <v>98.6</v>
      </c>
      <c r="F215" s="1">
        <v>-28.060377358490602</v>
      </c>
      <c r="G215" s="2">
        <v>-7225.7437347365103</v>
      </c>
      <c r="H215" s="1">
        <v>139.88276922834001</v>
      </c>
      <c r="I215" s="1">
        <f t="shared" si="7"/>
        <v>154.29456990078606</v>
      </c>
    </row>
    <row r="216" spans="1:9" x14ac:dyDescent="0.45">
      <c r="A216" t="s">
        <v>17</v>
      </c>
      <c r="B216" t="s">
        <v>10</v>
      </c>
      <c r="C216" t="str">
        <f t="shared" si="6"/>
        <v>ClemsonAmerican</v>
      </c>
      <c r="D216" t="s">
        <v>17</v>
      </c>
      <c r="E216">
        <v>99</v>
      </c>
      <c r="F216" s="1">
        <v>-30.264150943396199</v>
      </c>
      <c r="G216" s="2">
        <v>-10114.0179667996</v>
      </c>
      <c r="H216" s="1">
        <v>140.23281945078199</v>
      </c>
      <c r="I216" s="1">
        <f t="shared" si="7"/>
        <v>159.20987556690784</v>
      </c>
    </row>
    <row r="217" spans="1:9" x14ac:dyDescent="0.45">
      <c r="A217" t="s">
        <v>18</v>
      </c>
      <c r="B217" t="s">
        <v>10</v>
      </c>
      <c r="C217" t="str">
        <f t="shared" si="6"/>
        <v>Colorado St.American</v>
      </c>
      <c r="D217" t="s">
        <v>18</v>
      </c>
      <c r="E217">
        <v>94.4</v>
      </c>
      <c r="F217" s="1">
        <v>-18.479245283018901</v>
      </c>
      <c r="G217" s="2">
        <v>-1676.33118316287</v>
      </c>
      <c r="H217" s="1">
        <v>139.622430425576</v>
      </c>
      <c r="I217" s="1">
        <f t="shared" si="7"/>
        <v>150.63896647505362</v>
      </c>
    </row>
    <row r="218" spans="1:9" x14ac:dyDescent="0.45">
      <c r="A218" t="s">
        <v>19</v>
      </c>
      <c r="B218" t="s">
        <v>10</v>
      </c>
      <c r="C218" t="str">
        <f t="shared" si="6"/>
        <v>ConnecticutAmerican</v>
      </c>
      <c r="D218" t="s">
        <v>19</v>
      </c>
      <c r="E218">
        <v>99.4</v>
      </c>
      <c r="F218" s="1">
        <v>-33.154716981132097</v>
      </c>
      <c r="G218" s="2">
        <v>-15725.7022738331</v>
      </c>
      <c r="H218" s="1">
        <v>140.03307028153</v>
      </c>
      <c r="I218" s="1">
        <f t="shared" si="7"/>
        <v>156.40505454271852</v>
      </c>
    </row>
    <row r="219" spans="1:9" x14ac:dyDescent="0.45">
      <c r="A219" t="s">
        <v>20</v>
      </c>
      <c r="B219" t="s">
        <v>10</v>
      </c>
      <c r="C219" t="str">
        <f t="shared" si="6"/>
        <v>CreightonAmerican</v>
      </c>
      <c r="D219" t="s">
        <v>20</v>
      </c>
      <c r="E219">
        <v>98</v>
      </c>
      <c r="F219" s="1">
        <v>-25.449056603773599</v>
      </c>
      <c r="G219" s="2">
        <v>-4852.6323511416203</v>
      </c>
      <c r="H219" s="1">
        <v>139.58236703436901</v>
      </c>
      <c r="I219" s="1">
        <f t="shared" si="7"/>
        <v>150.07640773011127</v>
      </c>
    </row>
    <row r="220" spans="1:9" x14ac:dyDescent="0.45">
      <c r="A220" t="s">
        <v>21</v>
      </c>
      <c r="B220" t="s">
        <v>10</v>
      </c>
      <c r="C220" t="str">
        <f t="shared" si="6"/>
        <v>DrakeAmerican</v>
      </c>
      <c r="D220" t="s">
        <v>21</v>
      </c>
      <c r="E220">
        <v>94.2</v>
      </c>
      <c r="F220" s="1">
        <v>-18.275471698113201</v>
      </c>
      <c r="G220" s="2">
        <v>-1624.7617850936899</v>
      </c>
      <c r="H220" s="1">
        <v>139.817042840043</v>
      </c>
      <c r="I220" s="1">
        <f t="shared" si="7"/>
        <v>153.37165864949108</v>
      </c>
    </row>
    <row r="221" spans="1:9" x14ac:dyDescent="0.45">
      <c r="A221" t="s">
        <v>22</v>
      </c>
      <c r="B221" t="s">
        <v>10</v>
      </c>
      <c r="C221" t="str">
        <f t="shared" si="6"/>
        <v>DukeAmerican</v>
      </c>
      <c r="D221" t="s">
        <v>22</v>
      </c>
      <c r="E221">
        <v>99.9</v>
      </c>
      <c r="F221" s="1">
        <v>-44.2264150943396</v>
      </c>
      <c r="G221" s="2">
        <v>-85122.059314989005</v>
      </c>
      <c r="H221" s="1">
        <v>141.89738272864599</v>
      </c>
      <c r="I221" s="1">
        <f t="shared" si="7"/>
        <v>182.58319969801687</v>
      </c>
    </row>
    <row r="222" spans="1:9" x14ac:dyDescent="0.45">
      <c r="A222" t="s">
        <v>23</v>
      </c>
      <c r="B222" t="s">
        <v>10</v>
      </c>
      <c r="C222" t="str">
        <f t="shared" si="6"/>
        <v>FloridaAmerican</v>
      </c>
      <c r="D222" t="s">
        <v>23</v>
      </c>
      <c r="E222">
        <v>99.8</v>
      </c>
      <c r="F222" s="1">
        <v>-40.3698113207547</v>
      </c>
      <c r="G222" s="2">
        <v>-47261.767741056501</v>
      </c>
      <c r="H222" s="1">
        <v>141.6320332562</v>
      </c>
      <c r="I222" s="1">
        <f t="shared" si="7"/>
        <v>178.85723787368926</v>
      </c>
    </row>
    <row r="223" spans="1:9" x14ac:dyDescent="0.45">
      <c r="A223" t="s">
        <v>24</v>
      </c>
      <c r="B223" t="s">
        <v>10</v>
      </c>
      <c r="C223" t="str">
        <f t="shared" si="6"/>
        <v>GeorgiaAmerican</v>
      </c>
      <c r="D223" t="s">
        <v>24</v>
      </c>
      <c r="E223">
        <v>95</v>
      </c>
      <c r="F223" s="1">
        <v>-19.309433962264201</v>
      </c>
      <c r="G223" s="2">
        <v>-1901.92962704252</v>
      </c>
      <c r="H223" s="1">
        <v>138.89599155248499</v>
      </c>
      <c r="I223" s="1">
        <f t="shared" si="7"/>
        <v>140.4385184248107</v>
      </c>
    </row>
    <row r="224" spans="1:9" x14ac:dyDescent="0.45">
      <c r="A224" t="s">
        <v>25</v>
      </c>
      <c r="B224" t="s">
        <v>10</v>
      </c>
      <c r="C224" t="str">
        <f t="shared" si="6"/>
        <v>GonzagaAmerican</v>
      </c>
      <c r="D224" t="s">
        <v>25</v>
      </c>
      <c r="E224">
        <v>99</v>
      </c>
      <c r="F224" s="1">
        <v>-29.939622641509398</v>
      </c>
      <c r="G224" s="2">
        <v>-9625.7213708338895</v>
      </c>
      <c r="H224" s="1">
        <v>140.87295328299101</v>
      </c>
      <c r="I224" s="1">
        <f t="shared" si="7"/>
        <v>168.1984527790099</v>
      </c>
    </row>
    <row r="225" spans="1:9" x14ac:dyDescent="0.45">
      <c r="A225" t="s">
        <v>26</v>
      </c>
      <c r="B225" t="s">
        <v>10</v>
      </c>
      <c r="C225" t="str">
        <f t="shared" si="6"/>
        <v>Grand CanyonAmerican</v>
      </c>
      <c r="D225" t="s">
        <v>26</v>
      </c>
      <c r="E225">
        <v>91.3</v>
      </c>
      <c r="F225" s="1">
        <v>-15.388679245283001</v>
      </c>
      <c r="G225" s="2">
        <v>-1045.81400005705</v>
      </c>
      <c r="H225" s="1">
        <v>139.69092500053</v>
      </c>
      <c r="I225" s="1">
        <f t="shared" si="7"/>
        <v>151.60074781608907</v>
      </c>
    </row>
    <row r="226" spans="1:9" x14ac:dyDescent="0.45">
      <c r="A226" t="s">
        <v>27</v>
      </c>
      <c r="B226" t="s">
        <v>10</v>
      </c>
      <c r="C226" t="str">
        <f t="shared" si="6"/>
        <v>High PointAmerican</v>
      </c>
      <c r="D226" t="s">
        <v>27</v>
      </c>
      <c r="E226">
        <v>86.7</v>
      </c>
      <c r="F226" s="1">
        <v>-12.2981132075472</v>
      </c>
      <c r="G226" s="2">
        <v>-652.78834236453702</v>
      </c>
      <c r="H226" s="1">
        <v>139.882132134079</v>
      </c>
      <c r="I226" s="1">
        <f t="shared" si="7"/>
        <v>154.28562400436826</v>
      </c>
    </row>
    <row r="227" spans="1:9" x14ac:dyDescent="0.45">
      <c r="A227" t="s">
        <v>28</v>
      </c>
      <c r="B227" t="s">
        <v>10</v>
      </c>
      <c r="C227" t="str">
        <f t="shared" si="6"/>
        <v>HoustonAmerican</v>
      </c>
      <c r="D227" t="s">
        <v>28</v>
      </c>
      <c r="E227">
        <v>99.9</v>
      </c>
      <c r="F227" s="1">
        <v>-47.5811320754717</v>
      </c>
      <c r="G227" s="2">
        <v>-141994.74832886001</v>
      </c>
      <c r="H227" s="1">
        <v>141.99559449128199</v>
      </c>
      <c r="I227" s="1">
        <f t="shared" si="7"/>
        <v>183.96226133664942</v>
      </c>
    </row>
    <row r="228" spans="1:9" x14ac:dyDescent="0.45">
      <c r="A228" t="s">
        <v>29</v>
      </c>
      <c r="B228" t="s">
        <v>10</v>
      </c>
      <c r="C228" t="str">
        <f t="shared" si="6"/>
        <v>IllinoisAmerican</v>
      </c>
      <c r="D228" t="s">
        <v>29</v>
      </c>
      <c r="E228">
        <v>99.3</v>
      </c>
      <c r="F228" s="1">
        <v>-32.392452830188702</v>
      </c>
      <c r="G228" s="2">
        <v>-13997.765136575599</v>
      </c>
      <c r="H228" s="1">
        <v>140.054058266244</v>
      </c>
      <c r="I228" s="1">
        <f t="shared" si="7"/>
        <v>156.69976185490222</v>
      </c>
    </row>
    <row r="229" spans="1:9" x14ac:dyDescent="0.45">
      <c r="A229" t="s">
        <v>30</v>
      </c>
      <c r="B229" t="s">
        <v>10</v>
      </c>
      <c r="C229" t="str">
        <f t="shared" si="6"/>
        <v>Iowa St.American</v>
      </c>
      <c r="D229" t="s">
        <v>30</v>
      </c>
      <c r="E229">
        <v>99.7</v>
      </c>
      <c r="F229" s="1">
        <v>-37.252830188679198</v>
      </c>
      <c r="G229" s="2">
        <v>-29384.260239270301</v>
      </c>
      <c r="H229" s="1">
        <v>140.95060055783</v>
      </c>
      <c r="I229" s="1">
        <f t="shared" si="7"/>
        <v>169.28875372872088</v>
      </c>
    </row>
    <row r="230" spans="1:9" x14ac:dyDescent="0.45">
      <c r="A230" t="s">
        <v>31</v>
      </c>
      <c r="B230" t="s">
        <v>10</v>
      </c>
      <c r="C230" t="str">
        <f t="shared" si="6"/>
        <v>KansasAmerican</v>
      </c>
      <c r="D230" t="s">
        <v>31</v>
      </c>
      <c r="E230">
        <v>98.9</v>
      </c>
      <c r="F230" s="1">
        <v>-29.5396226415094</v>
      </c>
      <c r="G230" s="2">
        <v>-9055.5290020340308</v>
      </c>
      <c r="H230" s="1">
        <v>140.00118844668401</v>
      </c>
      <c r="I230" s="1">
        <f t="shared" si="7"/>
        <v>155.95737888528959</v>
      </c>
    </row>
    <row r="231" spans="1:9" x14ac:dyDescent="0.45">
      <c r="A231" t="s">
        <v>32</v>
      </c>
      <c r="B231" t="s">
        <v>10</v>
      </c>
      <c r="C231" t="str">
        <f t="shared" si="6"/>
        <v>KentuckyAmerican</v>
      </c>
      <c r="D231" t="s">
        <v>32</v>
      </c>
      <c r="E231">
        <v>99.3</v>
      </c>
      <c r="F231" s="1">
        <v>-32.9018867924528</v>
      </c>
      <c r="G231" s="2">
        <v>-15128.6358212368</v>
      </c>
      <c r="H231" s="1">
        <v>139.93547077880899</v>
      </c>
      <c r="I231" s="1">
        <f t="shared" si="7"/>
        <v>155.03459008368003</v>
      </c>
    </row>
    <row r="232" spans="1:9" x14ac:dyDescent="0.45">
      <c r="A232" t="s">
        <v>33</v>
      </c>
      <c r="B232" t="s">
        <v>10</v>
      </c>
      <c r="C232" t="str">
        <f t="shared" si="6"/>
        <v>LibertyAmerican</v>
      </c>
      <c r="D232" t="s">
        <v>33</v>
      </c>
      <c r="E232">
        <v>81.900000000000006</v>
      </c>
      <c r="F232" s="1">
        <v>-9.9169811320754704</v>
      </c>
      <c r="G232" s="2">
        <v>-453.91219794352997</v>
      </c>
      <c r="H232" s="1">
        <v>139.28047182252701</v>
      </c>
      <c r="I232" s="1">
        <f t="shared" si="7"/>
        <v>145.83728102711933</v>
      </c>
    </row>
    <row r="233" spans="1:9" x14ac:dyDescent="0.45">
      <c r="A233" t="s">
        <v>34</v>
      </c>
      <c r="B233" t="s">
        <v>10</v>
      </c>
      <c r="C233" t="str">
        <f t="shared" si="6"/>
        <v>LipscombAmerican</v>
      </c>
      <c r="D233" t="s">
        <v>34</v>
      </c>
      <c r="E233">
        <v>77.3</v>
      </c>
      <c r="F233" s="1">
        <v>-8.0490566037735896</v>
      </c>
      <c r="G233" s="2">
        <v>-341.48651074976601</v>
      </c>
      <c r="H233" s="1">
        <v>139.686790020118</v>
      </c>
      <c r="I233" s="1">
        <f t="shared" si="7"/>
        <v>151.54268559716905</v>
      </c>
    </row>
    <row r="234" spans="1:9" x14ac:dyDescent="0.45">
      <c r="A234" t="s">
        <v>35</v>
      </c>
      <c r="B234" t="s">
        <v>10</v>
      </c>
      <c r="C234" t="str">
        <f t="shared" si="6"/>
        <v>LouisvilleAmerican</v>
      </c>
      <c r="D234" t="s">
        <v>35</v>
      </c>
      <c r="E234">
        <v>89.6</v>
      </c>
      <c r="F234" s="1">
        <v>-14.0981132075472</v>
      </c>
      <c r="G234" s="2">
        <v>-859.23386999202205</v>
      </c>
      <c r="H234" s="1">
        <v>138.93215202593601</v>
      </c>
      <c r="I234" s="1">
        <f t="shared" si="7"/>
        <v>140.94627350864843</v>
      </c>
    </row>
    <row r="235" spans="1:9" x14ac:dyDescent="0.45">
      <c r="A235" t="s">
        <v>36</v>
      </c>
      <c r="B235" t="s">
        <v>10</v>
      </c>
      <c r="C235" t="str">
        <f t="shared" si="6"/>
        <v>MarquetteAmerican</v>
      </c>
      <c r="D235" t="s">
        <v>36</v>
      </c>
      <c r="E235">
        <v>99.1</v>
      </c>
      <c r="F235" s="1">
        <v>-31.166037735849098</v>
      </c>
      <c r="G235" s="2">
        <v>-11610.600593311099</v>
      </c>
      <c r="H235" s="1">
        <v>140.19428586939799</v>
      </c>
      <c r="I235" s="1">
        <f t="shared" si="7"/>
        <v>158.66879797640826</v>
      </c>
    </row>
    <row r="236" spans="1:9" x14ac:dyDescent="0.45">
      <c r="A236" t="s">
        <v>37</v>
      </c>
      <c r="B236" t="s">
        <v>10</v>
      </c>
      <c r="C236" t="str">
        <f t="shared" si="6"/>
        <v>MarylandAmerican</v>
      </c>
      <c r="D236" t="s">
        <v>37</v>
      </c>
      <c r="E236">
        <v>98.6</v>
      </c>
      <c r="F236" s="1">
        <v>-28</v>
      </c>
      <c r="G236" s="2">
        <v>-7161.7779858551403</v>
      </c>
      <c r="H236" s="1">
        <v>139.652655467941</v>
      </c>
      <c r="I236" s="1">
        <f t="shared" si="7"/>
        <v>151.06337792367108</v>
      </c>
    </row>
    <row r="237" spans="1:9" x14ac:dyDescent="0.45">
      <c r="A237" t="s">
        <v>38</v>
      </c>
      <c r="B237" t="s">
        <v>10</v>
      </c>
      <c r="C237" t="str">
        <f t="shared" si="6"/>
        <v>McNeese St.American</v>
      </c>
      <c r="D237" t="s">
        <v>38</v>
      </c>
      <c r="E237">
        <v>94.4</v>
      </c>
      <c r="F237" s="1">
        <v>-18.4603773584906</v>
      </c>
      <c r="G237" s="2">
        <v>-1670.90277467021</v>
      </c>
      <c r="H237" s="1">
        <v>140.24589088090499</v>
      </c>
      <c r="I237" s="1">
        <f t="shared" si="7"/>
        <v>159.39342087106365</v>
      </c>
    </row>
    <row r="238" spans="1:9" x14ac:dyDescent="0.45">
      <c r="A238" t="s">
        <v>39</v>
      </c>
      <c r="B238" t="s">
        <v>10</v>
      </c>
      <c r="C238" t="str">
        <f t="shared" si="6"/>
        <v>MemphisAmerican</v>
      </c>
      <c r="D238" t="s">
        <v>39</v>
      </c>
      <c r="E238">
        <v>97.6</v>
      </c>
      <c r="F238" s="1">
        <v>-24.2339622641509</v>
      </c>
      <c r="G238" s="2">
        <v>-4032.9281722580599</v>
      </c>
      <c r="H238" s="1">
        <v>138.78017270743101</v>
      </c>
      <c r="I238" s="1">
        <f t="shared" si="7"/>
        <v>138.81222314247628</v>
      </c>
    </row>
    <row r="239" spans="1:9" x14ac:dyDescent="0.45">
      <c r="A239" t="s">
        <v>40</v>
      </c>
      <c r="B239" t="s">
        <v>10</v>
      </c>
      <c r="C239" t="str">
        <f t="shared" si="6"/>
        <v>MichiganAmerican</v>
      </c>
      <c r="D239" t="s">
        <v>40</v>
      </c>
      <c r="E239">
        <v>95.2</v>
      </c>
      <c r="F239" s="1">
        <v>-19.611320754716999</v>
      </c>
      <c r="G239" s="2">
        <v>-1991.7088492090199</v>
      </c>
      <c r="H239" s="1">
        <v>138.34279400434801</v>
      </c>
      <c r="I239" s="1">
        <f t="shared" si="7"/>
        <v>132.67067578819285</v>
      </c>
    </row>
    <row r="240" spans="1:9" x14ac:dyDescent="0.45">
      <c r="A240" t="s">
        <v>41</v>
      </c>
      <c r="B240" t="s">
        <v>10</v>
      </c>
      <c r="C240" t="str">
        <f t="shared" si="6"/>
        <v>Michigan St.American</v>
      </c>
      <c r="D240" t="s">
        <v>41</v>
      </c>
      <c r="E240">
        <v>99.5</v>
      </c>
      <c r="F240" s="1">
        <v>-34.358490566037702</v>
      </c>
      <c r="G240" s="2">
        <v>-18887.783428463699</v>
      </c>
      <c r="H240" s="1">
        <v>139.989873713555</v>
      </c>
      <c r="I240" s="1">
        <f t="shared" si="7"/>
        <v>155.79850062070312</v>
      </c>
    </row>
    <row r="241" spans="1:9" x14ac:dyDescent="0.45">
      <c r="A241" t="s">
        <v>42</v>
      </c>
      <c r="B241" t="s">
        <v>10</v>
      </c>
      <c r="C241" t="str">
        <f t="shared" si="6"/>
        <v>MississippiAmerican</v>
      </c>
      <c r="D241" t="s">
        <v>42</v>
      </c>
      <c r="E241">
        <v>98.1</v>
      </c>
      <c r="F241" s="1">
        <v>-25.860377358490599</v>
      </c>
      <c r="G241" s="2">
        <v>-5167.84618916821</v>
      </c>
      <c r="H241" s="1">
        <v>139.25756506344399</v>
      </c>
      <c r="I241" s="1">
        <f t="shared" si="7"/>
        <v>145.51563083096244</v>
      </c>
    </row>
    <row r="242" spans="1:9" x14ac:dyDescent="0.45">
      <c r="A242" t="s">
        <v>43</v>
      </c>
      <c r="B242" t="s">
        <v>10</v>
      </c>
      <c r="C242" t="str">
        <f t="shared" si="6"/>
        <v>Mississippi St.American</v>
      </c>
      <c r="D242" t="s">
        <v>43</v>
      </c>
      <c r="E242">
        <v>97.5</v>
      </c>
      <c r="F242" s="1">
        <v>-24.139622641509401</v>
      </c>
      <c r="G242" s="2">
        <v>-3973.1253151482701</v>
      </c>
      <c r="H242" s="1">
        <v>139.39731153612101</v>
      </c>
      <c r="I242" s="1">
        <f t="shared" si="7"/>
        <v>147.47791105514864</v>
      </c>
    </row>
    <row r="243" spans="1:9" x14ac:dyDescent="0.45">
      <c r="A243" t="s">
        <v>44</v>
      </c>
      <c r="B243" t="s">
        <v>10</v>
      </c>
      <c r="C243" t="str">
        <f t="shared" si="6"/>
        <v>MissouriAmerican</v>
      </c>
      <c r="D243" t="s">
        <v>44</v>
      </c>
      <c r="E243">
        <v>94.9</v>
      </c>
      <c r="F243" s="1">
        <v>-19.203773584905701</v>
      </c>
      <c r="G243" s="2">
        <v>-1871.7764607628401</v>
      </c>
      <c r="H243" s="1">
        <v>138.81497343476599</v>
      </c>
      <c r="I243" s="1">
        <f t="shared" si="7"/>
        <v>139.30088505807655</v>
      </c>
    </row>
    <row r="244" spans="1:9" x14ac:dyDescent="0.45">
      <c r="A244" t="s">
        <v>45</v>
      </c>
      <c r="B244" t="s">
        <v>10</v>
      </c>
      <c r="C244" t="str">
        <f t="shared" si="6"/>
        <v>MontanaAmerican</v>
      </c>
      <c r="D244" t="s">
        <v>45</v>
      </c>
      <c r="E244">
        <v>62.7</v>
      </c>
      <c r="F244" s="1">
        <v>-3.3962264150943402</v>
      </c>
      <c r="G244" s="2">
        <v>-167.92224766661499</v>
      </c>
      <c r="H244" s="1">
        <v>137.95168499817299</v>
      </c>
      <c r="I244" s="1">
        <f t="shared" si="7"/>
        <v>127.17883435837645</v>
      </c>
    </row>
    <row r="245" spans="1:9" x14ac:dyDescent="0.45">
      <c r="A245" t="s">
        <v>46</v>
      </c>
      <c r="B245" t="s">
        <v>10</v>
      </c>
      <c r="C245" t="str">
        <f t="shared" si="6"/>
        <v>Mount St. Mary'sAmerican</v>
      </c>
      <c r="D245" t="s">
        <v>10</v>
      </c>
      <c r="E245">
        <v>39</v>
      </c>
      <c r="F245" s="1">
        <v>2.9358490566037698</v>
      </c>
      <c r="G245" s="2">
        <v>156.50056139747201</v>
      </c>
      <c r="H245" s="1">
        <v>139.25497295232299</v>
      </c>
      <c r="I245" s="1">
        <f t="shared" si="7"/>
        <v>145.47923314382084</v>
      </c>
    </row>
    <row r="246" spans="1:9" x14ac:dyDescent="0.45">
      <c r="A246" t="s">
        <v>47</v>
      </c>
      <c r="B246" t="s">
        <v>10</v>
      </c>
      <c r="C246" t="str">
        <f t="shared" si="6"/>
        <v>Nebraska OmahaAmerican</v>
      </c>
      <c r="D246" t="s">
        <v>10</v>
      </c>
      <c r="E246">
        <v>47.2</v>
      </c>
      <c r="F246" s="1">
        <v>0.747169811320755</v>
      </c>
      <c r="G246" s="2">
        <v>112.05039153376001</v>
      </c>
      <c r="H246" s="1">
        <v>138.67274908442701</v>
      </c>
      <c r="I246" s="1">
        <f t="shared" si="7"/>
        <v>137.30381118049164</v>
      </c>
    </row>
    <row r="247" spans="1:9" x14ac:dyDescent="0.45">
      <c r="A247" t="s">
        <v>48</v>
      </c>
      <c r="B247" t="s">
        <v>10</v>
      </c>
      <c r="C247" t="str">
        <f t="shared" si="6"/>
        <v>New MexicoAmerican</v>
      </c>
      <c r="D247" t="s">
        <v>48</v>
      </c>
      <c r="E247">
        <v>95.5</v>
      </c>
      <c r="F247" s="1">
        <v>-20.086792452830199</v>
      </c>
      <c r="G247" s="2">
        <v>-2141.2620267775501</v>
      </c>
      <c r="H247" s="1">
        <v>139.44273901624399</v>
      </c>
      <c r="I247" s="1">
        <f t="shared" si="7"/>
        <v>148.11579081105464</v>
      </c>
    </row>
    <row r="248" spans="1:9" x14ac:dyDescent="0.45">
      <c r="A248" t="s">
        <v>49</v>
      </c>
      <c r="B248" t="s">
        <v>10</v>
      </c>
      <c r="C248" t="str">
        <f t="shared" si="6"/>
        <v>Norfolk St.American</v>
      </c>
      <c r="D248" t="s">
        <v>49</v>
      </c>
      <c r="E248">
        <v>55.8</v>
      </c>
      <c r="F248" s="1">
        <v>-1.52075471698113</v>
      </c>
      <c r="G248" s="2">
        <v>-126.07804270678901</v>
      </c>
      <c r="H248" s="1">
        <v>138.478864780208</v>
      </c>
      <c r="I248" s="1">
        <f t="shared" si="7"/>
        <v>134.58134292307537</v>
      </c>
    </row>
    <row r="249" spans="1:9" x14ac:dyDescent="0.45">
      <c r="A249" t="s">
        <v>50</v>
      </c>
      <c r="B249" t="s">
        <v>10</v>
      </c>
      <c r="C249" t="str">
        <f t="shared" si="6"/>
        <v>North CarolinaAmerican</v>
      </c>
      <c r="D249" t="s">
        <v>50</v>
      </c>
      <c r="E249">
        <v>98.7</v>
      </c>
      <c r="F249" s="1">
        <v>-28.135849056603799</v>
      </c>
      <c r="G249" s="2">
        <v>-7311.8423640949204</v>
      </c>
      <c r="H249" s="1">
        <v>140.552470734677</v>
      </c>
      <c r="I249" s="1">
        <f t="shared" si="7"/>
        <v>163.69832798368265</v>
      </c>
    </row>
    <row r="250" spans="1:9" x14ac:dyDescent="0.45">
      <c r="A250" t="s">
        <v>51</v>
      </c>
      <c r="B250" t="s">
        <v>10</v>
      </c>
      <c r="C250" t="str">
        <f t="shared" si="6"/>
        <v>OklahomaAmerican</v>
      </c>
      <c r="D250" t="s">
        <v>51</v>
      </c>
      <c r="E250">
        <v>96.2</v>
      </c>
      <c r="F250" s="1">
        <v>-21.252830188679201</v>
      </c>
      <c r="G250" s="2">
        <v>-2558.8781149858</v>
      </c>
      <c r="H250" s="1">
        <v>138.97609386085199</v>
      </c>
      <c r="I250" s="1">
        <f t="shared" si="7"/>
        <v>141.56329225708851</v>
      </c>
    </row>
    <row r="251" spans="1:9" x14ac:dyDescent="0.45">
      <c r="A251" t="s">
        <v>52</v>
      </c>
      <c r="B251" t="s">
        <v>10</v>
      </c>
      <c r="C251" t="str">
        <f t="shared" si="6"/>
        <v>OregonAmerican</v>
      </c>
      <c r="D251" t="s">
        <v>52</v>
      </c>
      <c r="E251">
        <v>98.6</v>
      </c>
      <c r="F251" s="1">
        <v>-28.018867924528301</v>
      </c>
      <c r="G251" s="2">
        <v>-7183.1650552962901</v>
      </c>
      <c r="H251" s="1">
        <v>139.26681125237999</v>
      </c>
      <c r="I251" s="1">
        <f t="shared" si="7"/>
        <v>145.64546318630312</v>
      </c>
    </row>
    <row r="252" spans="1:9" x14ac:dyDescent="0.45">
      <c r="A252" t="s">
        <v>53</v>
      </c>
      <c r="B252" t="s">
        <v>10</v>
      </c>
      <c r="C252" t="str">
        <f t="shared" si="6"/>
        <v>PurdueAmerican</v>
      </c>
      <c r="D252" t="s">
        <v>53</v>
      </c>
      <c r="E252">
        <v>99.8</v>
      </c>
      <c r="F252" s="1">
        <v>-39.392452830188702</v>
      </c>
      <c r="G252" s="2">
        <v>-40711.346417519599</v>
      </c>
      <c r="H252" s="1">
        <v>140.75489845217899</v>
      </c>
      <c r="I252" s="1">
        <f t="shared" si="7"/>
        <v>166.54076042059546</v>
      </c>
    </row>
    <row r="253" spans="1:9" x14ac:dyDescent="0.45">
      <c r="A253" t="s">
        <v>54</v>
      </c>
      <c r="B253" t="s">
        <v>10</v>
      </c>
      <c r="C253" t="str">
        <f t="shared" si="6"/>
        <v>Robert MorrisAmerican</v>
      </c>
      <c r="D253" t="s">
        <v>10</v>
      </c>
      <c r="E253">
        <v>33.5</v>
      </c>
      <c r="F253" s="1">
        <v>4.4981132075471697</v>
      </c>
      <c r="G253" s="2">
        <v>198.57265143964401</v>
      </c>
      <c r="H253" s="1">
        <v>137.837863780866</v>
      </c>
      <c r="I253" s="1">
        <f t="shared" si="7"/>
        <v>125.58058919672206</v>
      </c>
    </row>
    <row r="254" spans="1:9" x14ac:dyDescent="0.45">
      <c r="A254" t="s">
        <v>55</v>
      </c>
      <c r="B254" t="s">
        <v>10</v>
      </c>
      <c r="C254" t="str">
        <f t="shared" si="6"/>
        <v>Saint FrancisAmerican</v>
      </c>
      <c r="D254" t="s">
        <v>10</v>
      </c>
      <c r="E254">
        <v>23.2</v>
      </c>
      <c r="F254" s="1">
        <v>7.8603773584905703</v>
      </c>
      <c r="G254" s="2">
        <v>331.66651636512</v>
      </c>
      <c r="H254" s="1">
        <v>138.54471166290901</v>
      </c>
      <c r="I254" s="1">
        <f t="shared" si="7"/>
        <v>135.50594612252164</v>
      </c>
    </row>
    <row r="255" spans="1:9" x14ac:dyDescent="0.45">
      <c r="A255" t="s">
        <v>56</v>
      </c>
      <c r="B255" t="s">
        <v>10</v>
      </c>
      <c r="C255" t="str">
        <f t="shared" si="6"/>
        <v>Saint Mary'sAmerican</v>
      </c>
      <c r="D255" t="s">
        <v>56</v>
      </c>
      <c r="E255">
        <v>98.6</v>
      </c>
      <c r="F255" s="1">
        <v>-27.875471698113198</v>
      </c>
      <c r="G255" s="2">
        <v>-7026.8801404908299</v>
      </c>
      <c r="H255" s="1">
        <v>140.273917778851</v>
      </c>
      <c r="I255" s="1">
        <f t="shared" si="7"/>
        <v>159.78696660092146</v>
      </c>
    </row>
    <row r="256" spans="1:9" x14ac:dyDescent="0.45">
      <c r="A256" t="s">
        <v>57</v>
      </c>
      <c r="B256" t="s">
        <v>10</v>
      </c>
      <c r="C256" t="str">
        <f t="shared" si="6"/>
        <v>San Diego St.American</v>
      </c>
      <c r="D256" t="s">
        <v>57</v>
      </c>
      <c r="E256">
        <v>95.6</v>
      </c>
      <c r="F256" s="1">
        <v>-20.2</v>
      </c>
      <c r="G256" s="2">
        <v>-2179.5306446700802</v>
      </c>
      <c r="H256" s="1">
        <v>139.488616941879</v>
      </c>
      <c r="I256" s="1">
        <f t="shared" si="7"/>
        <v>148.75999559472982</v>
      </c>
    </row>
    <row r="257" spans="1:9" x14ac:dyDescent="0.45">
      <c r="A257" t="s">
        <v>58</v>
      </c>
      <c r="B257" t="s">
        <v>10</v>
      </c>
      <c r="C257" t="str">
        <f t="shared" si="6"/>
        <v>SIU EdwardsvilleAmerican</v>
      </c>
      <c r="D257" t="s">
        <v>58</v>
      </c>
      <c r="E257">
        <v>50.9</v>
      </c>
      <c r="F257" s="1">
        <v>-0.22641509433962301</v>
      </c>
      <c r="G257" s="2">
        <v>-103.533930177831</v>
      </c>
      <c r="H257" s="1">
        <v>139.547875122063</v>
      </c>
      <c r="I257" s="1">
        <f t="shared" si="7"/>
        <v>149.59208210731808</v>
      </c>
    </row>
    <row r="258" spans="1:9" x14ac:dyDescent="0.45">
      <c r="A258" t="s">
        <v>59</v>
      </c>
      <c r="B258" t="s">
        <v>10</v>
      </c>
      <c r="C258" t="str">
        <f t="shared" si="6"/>
        <v>St. John'sAmerican</v>
      </c>
      <c r="D258" t="s">
        <v>59</v>
      </c>
      <c r="E258">
        <v>99.5</v>
      </c>
      <c r="F258" s="1">
        <v>-34.860377358490602</v>
      </c>
      <c r="G258" s="2">
        <v>-20389.7638095109</v>
      </c>
      <c r="H258" s="1">
        <v>140.36733157061801</v>
      </c>
      <c r="I258" s="1">
        <f t="shared" si="7"/>
        <v>161.0986564971974</v>
      </c>
    </row>
    <row r="259" spans="1:9" x14ac:dyDescent="0.45">
      <c r="A259" t="s">
        <v>60</v>
      </c>
      <c r="B259" t="s">
        <v>10</v>
      </c>
      <c r="C259" t="str">
        <f t="shared" ref="C259:C322" si="8">A259&amp;B259</f>
        <v>TennesseeAmerican</v>
      </c>
      <c r="D259" t="s">
        <v>60</v>
      </c>
      <c r="E259">
        <v>99.8</v>
      </c>
      <c r="F259" s="1">
        <v>-40.075471698113198</v>
      </c>
      <c r="G259" s="2">
        <v>-45182.440730460097</v>
      </c>
      <c r="H259" s="1">
        <v>141.160563944752</v>
      </c>
      <c r="I259" s="1">
        <f t="shared" ref="I259:I322" si="9">18*(H259-AVERAGE($H$2:$H$4625))/_xlfn.STDEV.P($H$2:$H$4625)+AVERAGE($H$2:$H$4625)</f>
        <v>172.2369998924178</v>
      </c>
    </row>
    <row r="260" spans="1:9" x14ac:dyDescent="0.45">
      <c r="A260" t="s">
        <v>61</v>
      </c>
      <c r="B260" t="s">
        <v>10</v>
      </c>
      <c r="C260" t="str">
        <f t="shared" si="8"/>
        <v>TexasAmerican</v>
      </c>
      <c r="D260" t="s">
        <v>61</v>
      </c>
      <c r="E260">
        <v>94.8</v>
      </c>
      <c r="F260" s="1">
        <v>-18.977358490566001</v>
      </c>
      <c r="G260" s="2">
        <v>-1808.52644657167</v>
      </c>
      <c r="H260" s="1">
        <v>138.86044577238999</v>
      </c>
      <c r="I260" s="1">
        <f t="shared" si="9"/>
        <v>139.93939469025403</v>
      </c>
    </row>
    <row r="261" spans="1:9" x14ac:dyDescent="0.45">
      <c r="A261" t="s">
        <v>62</v>
      </c>
      <c r="B261" t="s">
        <v>10</v>
      </c>
      <c r="C261" t="str">
        <f t="shared" si="8"/>
        <v>Texas A&amp;MAmerican</v>
      </c>
      <c r="D261" t="s">
        <v>62</v>
      </c>
      <c r="E261">
        <v>99</v>
      </c>
      <c r="F261" s="1">
        <v>-30.381132075471701</v>
      </c>
      <c r="G261" s="2">
        <v>-10296.2515204183</v>
      </c>
      <c r="H261" s="1">
        <v>139.647421081788</v>
      </c>
      <c r="I261" s="1">
        <f t="shared" si="9"/>
        <v>150.98987816201674</v>
      </c>
    </row>
    <row r="262" spans="1:9" x14ac:dyDescent="0.45">
      <c r="A262" t="s">
        <v>63</v>
      </c>
      <c r="B262" t="s">
        <v>10</v>
      </c>
      <c r="C262" t="str">
        <f t="shared" si="8"/>
        <v>Texas TechAmerican</v>
      </c>
      <c r="D262" t="s">
        <v>63</v>
      </c>
      <c r="E262">
        <v>99.5</v>
      </c>
      <c r="F262" s="1">
        <v>-34.713207547169802</v>
      </c>
      <c r="G262" s="2">
        <v>-19943.188061996501</v>
      </c>
      <c r="H262" s="1">
        <v>140.63793368702699</v>
      </c>
      <c r="I262" s="1">
        <f t="shared" si="9"/>
        <v>164.89837445415446</v>
      </c>
    </row>
    <row r="263" spans="1:9" x14ac:dyDescent="0.45">
      <c r="A263" t="s">
        <v>64</v>
      </c>
      <c r="B263" t="s">
        <v>10</v>
      </c>
      <c r="C263" t="str">
        <f t="shared" si="8"/>
        <v>TroyAmerican</v>
      </c>
      <c r="D263" t="s">
        <v>64</v>
      </c>
      <c r="E263">
        <v>74.099999999999994</v>
      </c>
      <c r="F263" s="1">
        <v>-6.9056603773584904</v>
      </c>
      <c r="G263" s="2">
        <v>-286.71691865388698</v>
      </c>
      <c r="H263" s="1">
        <v>139.404238281586</v>
      </c>
      <c r="I263" s="1">
        <f t="shared" si="9"/>
        <v>147.57517444493985</v>
      </c>
    </row>
    <row r="264" spans="1:9" x14ac:dyDescent="0.45">
      <c r="A264" t="s">
        <v>65</v>
      </c>
      <c r="B264" t="s">
        <v>10</v>
      </c>
      <c r="C264" t="str">
        <f t="shared" si="8"/>
        <v>UC San DiegoAmerican</v>
      </c>
      <c r="D264" t="s">
        <v>65</v>
      </c>
      <c r="E264">
        <v>88</v>
      </c>
      <c r="F264" s="1">
        <v>-13.086792452830201</v>
      </c>
      <c r="G264" s="2">
        <v>-736.17528498956597</v>
      </c>
      <c r="H264" s="1">
        <v>139.47435851124899</v>
      </c>
      <c r="I264" s="1">
        <f t="shared" si="9"/>
        <v>148.5597827670482</v>
      </c>
    </row>
    <row r="265" spans="1:9" x14ac:dyDescent="0.45">
      <c r="A265" t="s">
        <v>66</v>
      </c>
      <c r="B265" t="s">
        <v>10</v>
      </c>
      <c r="C265" t="str">
        <f t="shared" si="8"/>
        <v>UCLAAmerican</v>
      </c>
      <c r="D265" t="s">
        <v>66</v>
      </c>
      <c r="E265">
        <v>96.2</v>
      </c>
      <c r="F265" s="1">
        <v>-21.188679245283002</v>
      </c>
      <c r="G265" s="2">
        <v>-2533.2186965977698</v>
      </c>
      <c r="H265" s="1">
        <v>138.69561709046101</v>
      </c>
      <c r="I265" s="1">
        <f t="shared" si="9"/>
        <v>137.624917217356</v>
      </c>
    </row>
    <row r="266" spans="1:9" x14ac:dyDescent="0.45">
      <c r="A266" t="s">
        <v>67</v>
      </c>
      <c r="B266" t="s">
        <v>10</v>
      </c>
      <c r="C266" t="str">
        <f t="shared" si="8"/>
        <v>UNC WilmingtonAmerican</v>
      </c>
      <c r="D266" t="s">
        <v>67</v>
      </c>
      <c r="E266">
        <v>81</v>
      </c>
      <c r="F266" s="1">
        <v>-9.49433962264151</v>
      </c>
      <c r="G266" s="2">
        <v>-425.61629145235298</v>
      </c>
      <c r="H266" s="1">
        <v>140.011026981914</v>
      </c>
      <c r="I266" s="1">
        <f t="shared" si="9"/>
        <v>156.09552879882182</v>
      </c>
    </row>
    <row r="267" spans="1:9" x14ac:dyDescent="0.45">
      <c r="A267" t="s">
        <v>68</v>
      </c>
      <c r="B267" t="s">
        <v>10</v>
      </c>
      <c r="C267" t="str">
        <f t="shared" si="8"/>
        <v>Utah St.American</v>
      </c>
      <c r="D267" t="s">
        <v>68</v>
      </c>
      <c r="E267">
        <v>96</v>
      </c>
      <c r="F267" s="1">
        <v>-20.822641509434</v>
      </c>
      <c r="G267" s="2">
        <v>-2395.8323880029702</v>
      </c>
      <c r="H267" s="1">
        <v>139.55821348049301</v>
      </c>
      <c r="I267" s="1">
        <f t="shared" si="9"/>
        <v>149.73725039607078</v>
      </c>
    </row>
    <row r="268" spans="1:9" x14ac:dyDescent="0.45">
      <c r="A268" t="s">
        <v>69</v>
      </c>
      <c r="B268" t="s">
        <v>10</v>
      </c>
      <c r="C268" t="str">
        <f t="shared" si="8"/>
        <v>VanderbiltAmerican</v>
      </c>
      <c r="D268" t="s">
        <v>69</v>
      </c>
      <c r="E268">
        <v>82.5</v>
      </c>
      <c r="F268" s="1">
        <v>-10.1735849056604</v>
      </c>
      <c r="G268" s="2">
        <v>-472.10376405765902</v>
      </c>
      <c r="H268" s="1">
        <v>137.992251361775</v>
      </c>
      <c r="I268" s="1">
        <f t="shared" si="9"/>
        <v>127.7484556986399</v>
      </c>
    </row>
    <row r="269" spans="1:9" x14ac:dyDescent="0.45">
      <c r="A269" t="s">
        <v>70</v>
      </c>
      <c r="B269" t="s">
        <v>10</v>
      </c>
      <c r="C269" t="str">
        <f t="shared" si="8"/>
        <v>VCUAmerican</v>
      </c>
      <c r="D269" t="s">
        <v>70</v>
      </c>
      <c r="E269">
        <v>93.8</v>
      </c>
      <c r="F269" s="1">
        <v>-17.818867924528298</v>
      </c>
      <c r="G269" s="2">
        <v>-1515.5114189659901</v>
      </c>
      <c r="H269" s="1">
        <v>139.91742449096901</v>
      </c>
      <c r="I269" s="1">
        <f t="shared" si="9"/>
        <v>154.78118924235642</v>
      </c>
    </row>
    <row r="270" spans="1:9" x14ac:dyDescent="0.45">
      <c r="A270" t="s">
        <v>71</v>
      </c>
      <c r="B270" t="s">
        <v>10</v>
      </c>
      <c r="C270" t="str">
        <f t="shared" si="8"/>
        <v>WisconsinAmerican</v>
      </c>
      <c r="D270" t="s">
        <v>71</v>
      </c>
      <c r="E270">
        <v>99.4</v>
      </c>
      <c r="F270" s="1">
        <v>-33.7735849056604</v>
      </c>
      <c r="G270" s="2">
        <v>-17276.065892518502</v>
      </c>
      <c r="H270" s="1">
        <v>140.57068009930001</v>
      </c>
      <c r="I270" s="1">
        <f t="shared" si="9"/>
        <v>163.95401870281299</v>
      </c>
    </row>
    <row r="271" spans="1:9" x14ac:dyDescent="0.45">
      <c r="A271" t="s">
        <v>80</v>
      </c>
      <c r="B271" t="s">
        <v>10</v>
      </c>
      <c r="C271" t="str">
        <f t="shared" si="8"/>
        <v>WoffordAmerican</v>
      </c>
      <c r="D271" t="s">
        <v>80</v>
      </c>
      <c r="E271">
        <v>59.8</v>
      </c>
      <c r="F271" s="1">
        <v>-2.6</v>
      </c>
      <c r="G271" s="2">
        <v>-148.647896625512</v>
      </c>
      <c r="H271" s="1">
        <v>138.66832852852701</v>
      </c>
      <c r="I271" s="1">
        <f t="shared" si="9"/>
        <v>137.24173899178942</v>
      </c>
    </row>
    <row r="272" spans="1:9" x14ac:dyDescent="0.45">
      <c r="A272" t="s">
        <v>72</v>
      </c>
      <c r="B272" t="s">
        <v>10</v>
      </c>
      <c r="C272" t="str">
        <f t="shared" si="8"/>
        <v>XavierAmerican</v>
      </c>
      <c r="D272" t="s">
        <v>72</v>
      </c>
      <c r="E272">
        <v>93.7</v>
      </c>
      <c r="F272" s="1">
        <v>-17.747169811320799</v>
      </c>
      <c r="G272" s="2">
        <v>-1498.6948937739901</v>
      </c>
      <c r="H272" s="1">
        <v>139.411130699149</v>
      </c>
      <c r="I272" s="1">
        <f t="shared" si="9"/>
        <v>147.67195581209432</v>
      </c>
    </row>
    <row r="273" spans="1:9" x14ac:dyDescent="0.45">
      <c r="A273" t="s">
        <v>73</v>
      </c>
      <c r="B273" t="s">
        <v>10</v>
      </c>
      <c r="C273" t="str">
        <f t="shared" si="8"/>
        <v>YaleAmerican</v>
      </c>
      <c r="D273" t="s">
        <v>73</v>
      </c>
      <c r="E273">
        <v>88.7</v>
      </c>
      <c r="F273" s="1">
        <v>-13.498113207547201</v>
      </c>
      <c r="G273" s="2">
        <v>-783.73228272912195</v>
      </c>
      <c r="H273" s="1">
        <v>140.01083683554299</v>
      </c>
      <c r="I273" s="1">
        <f t="shared" si="9"/>
        <v>156.09285881755943</v>
      </c>
    </row>
    <row r="274" spans="1:9" x14ac:dyDescent="0.45">
      <c r="A274" t="s">
        <v>7</v>
      </c>
      <c r="B274" t="s">
        <v>11</v>
      </c>
      <c r="C274" t="str">
        <f t="shared" si="8"/>
        <v>AkronArizona</v>
      </c>
      <c r="D274" t="s">
        <v>11</v>
      </c>
      <c r="E274">
        <v>1.4</v>
      </c>
      <c r="F274" s="1">
        <v>27.913207547169801</v>
      </c>
      <c r="G274" s="2">
        <v>7066.8549943808302</v>
      </c>
      <c r="H274" s="1">
        <v>137.359624647533</v>
      </c>
      <c r="I274" s="1">
        <f t="shared" si="9"/>
        <v>118.86529130193921</v>
      </c>
    </row>
    <row r="275" spans="1:9" x14ac:dyDescent="0.45">
      <c r="A275" t="s">
        <v>8</v>
      </c>
      <c r="B275" t="s">
        <v>11</v>
      </c>
      <c r="C275" t="str">
        <f t="shared" si="8"/>
        <v>AlabamaArizona</v>
      </c>
      <c r="D275" t="s">
        <v>8</v>
      </c>
      <c r="E275">
        <v>51.6</v>
      </c>
      <c r="F275" s="1">
        <v>-0.42641509433962299</v>
      </c>
      <c r="G275" s="2">
        <v>-106.734427325124</v>
      </c>
      <c r="H275" s="1">
        <v>139.167235835128</v>
      </c>
      <c r="I275" s="1">
        <f t="shared" si="9"/>
        <v>144.24725349738821</v>
      </c>
    </row>
    <row r="276" spans="1:9" x14ac:dyDescent="0.45">
      <c r="A276" t="s">
        <v>9</v>
      </c>
      <c r="B276" t="s">
        <v>11</v>
      </c>
      <c r="C276" t="str">
        <f t="shared" si="8"/>
        <v>Alabama St.Arizona</v>
      </c>
      <c r="D276" t="s">
        <v>11</v>
      </c>
      <c r="E276">
        <v>0.2</v>
      </c>
      <c r="F276" s="1">
        <v>40.230188679245302</v>
      </c>
      <c r="G276" s="2">
        <v>46271.747097742802</v>
      </c>
      <c r="H276" s="1">
        <v>137.54638640695501</v>
      </c>
      <c r="I276" s="1">
        <f t="shared" si="9"/>
        <v>121.48774681103133</v>
      </c>
    </row>
    <row r="277" spans="1:9" x14ac:dyDescent="0.45">
      <c r="A277" t="s">
        <v>10</v>
      </c>
      <c r="B277" t="s">
        <v>11</v>
      </c>
      <c r="C277" t="str">
        <f t="shared" si="8"/>
        <v>AmericanArizona</v>
      </c>
      <c r="D277" t="s">
        <v>11</v>
      </c>
      <c r="E277">
        <v>0.2</v>
      </c>
      <c r="F277" s="1">
        <v>39.475471698113203</v>
      </c>
      <c r="G277" s="2">
        <v>41225.850831926902</v>
      </c>
      <c r="H277" s="1">
        <v>137.30967592671601</v>
      </c>
      <c r="I277" s="1">
        <f t="shared" si="9"/>
        <v>118.16392557008925</v>
      </c>
    </row>
    <row r="278" spans="1:9" x14ac:dyDescent="0.45">
      <c r="A278" t="s">
        <v>11</v>
      </c>
      <c r="B278" t="s">
        <v>11</v>
      </c>
      <c r="C278" t="str">
        <f t="shared" si="8"/>
        <v>ArizonaArizona</v>
      </c>
      <c r="D278" t="s">
        <v>11</v>
      </c>
      <c r="E278">
        <v>41.2</v>
      </c>
      <c r="F278" s="1">
        <v>2.3283018867924499</v>
      </c>
      <c r="G278" s="2">
        <v>142.64273539779199</v>
      </c>
      <c r="H278" s="1">
        <v>138.77771517530499</v>
      </c>
      <c r="I278" s="1">
        <f t="shared" si="9"/>
        <v>138.77771517530684</v>
      </c>
    </row>
    <row r="279" spans="1:9" x14ac:dyDescent="0.45">
      <c r="A279" t="s">
        <v>12</v>
      </c>
      <c r="B279" t="s">
        <v>11</v>
      </c>
      <c r="C279" t="str">
        <f t="shared" si="8"/>
        <v>ArkansasArizona</v>
      </c>
      <c r="D279" t="s">
        <v>11</v>
      </c>
      <c r="E279">
        <v>4.4000000000000004</v>
      </c>
      <c r="F279" s="1">
        <v>20.230188679245298</v>
      </c>
      <c r="G279" s="2">
        <v>2188.5136645144598</v>
      </c>
      <c r="H279" s="1">
        <v>137.103639153095</v>
      </c>
      <c r="I279" s="1">
        <f t="shared" si="9"/>
        <v>115.27081579360095</v>
      </c>
    </row>
    <row r="280" spans="1:9" x14ac:dyDescent="0.45">
      <c r="A280" t="s">
        <v>13</v>
      </c>
      <c r="B280" t="s">
        <v>11</v>
      </c>
      <c r="C280" t="str">
        <f t="shared" si="8"/>
        <v>AuburnArizona</v>
      </c>
      <c r="D280" t="s">
        <v>13</v>
      </c>
      <c r="E280">
        <v>67.8</v>
      </c>
      <c r="F280" s="1">
        <v>-4.8679245283018897</v>
      </c>
      <c r="G280" s="2">
        <v>-210.094676129779</v>
      </c>
      <c r="H280" s="1">
        <v>140.18945206848099</v>
      </c>
      <c r="I280" s="1">
        <f t="shared" si="9"/>
        <v>158.6009231187079</v>
      </c>
    </row>
    <row r="281" spans="1:9" x14ac:dyDescent="0.45">
      <c r="A281" t="s">
        <v>14</v>
      </c>
      <c r="B281" t="s">
        <v>11</v>
      </c>
      <c r="C281" t="str">
        <f t="shared" si="8"/>
        <v>BaylorArizona</v>
      </c>
      <c r="D281" t="s">
        <v>11</v>
      </c>
      <c r="E281">
        <v>17.5</v>
      </c>
      <c r="F281" s="1">
        <v>10.1811320754717</v>
      </c>
      <c r="G281" s="2">
        <v>472.65815574426898</v>
      </c>
      <c r="H281" s="1">
        <v>138.65236942966101</v>
      </c>
      <c r="I281" s="1">
        <f t="shared" si="9"/>
        <v>137.01764586442317</v>
      </c>
    </row>
    <row r="282" spans="1:9" x14ac:dyDescent="0.45">
      <c r="A282" t="s">
        <v>15</v>
      </c>
      <c r="B282" t="s">
        <v>11</v>
      </c>
      <c r="C282" t="str">
        <f t="shared" si="8"/>
        <v>BryantArizona</v>
      </c>
      <c r="D282" t="s">
        <v>11</v>
      </c>
      <c r="E282">
        <v>1</v>
      </c>
      <c r="F282" s="1">
        <v>30.252830188679201</v>
      </c>
      <c r="G282" s="2">
        <v>10098.548764403</v>
      </c>
      <c r="H282" s="1">
        <v>138.24468930530699</v>
      </c>
      <c r="I282" s="1">
        <f t="shared" si="9"/>
        <v>131.29311750611117</v>
      </c>
    </row>
    <row r="283" spans="1:9" x14ac:dyDescent="0.45">
      <c r="A283" t="s">
        <v>16</v>
      </c>
      <c r="B283" t="s">
        <v>11</v>
      </c>
      <c r="C283" t="str">
        <f t="shared" si="8"/>
        <v>BYUArizona</v>
      </c>
      <c r="D283" t="s">
        <v>11</v>
      </c>
      <c r="E283">
        <v>20</v>
      </c>
      <c r="F283" s="1">
        <v>9.0867924528301902</v>
      </c>
      <c r="G283" s="2">
        <v>399.97920604800203</v>
      </c>
      <c r="H283" s="1">
        <v>138.41472997975001</v>
      </c>
      <c r="I283" s="1">
        <f t="shared" si="9"/>
        <v>133.68078029555409</v>
      </c>
    </row>
    <row r="284" spans="1:9" x14ac:dyDescent="0.45">
      <c r="A284" t="s">
        <v>17</v>
      </c>
      <c r="B284" t="s">
        <v>11</v>
      </c>
      <c r="C284" t="str">
        <f t="shared" si="8"/>
        <v>ClemsonArizona</v>
      </c>
      <c r="D284" t="s">
        <v>11</v>
      </c>
      <c r="E284">
        <v>25.9</v>
      </c>
      <c r="F284" s="1">
        <v>6.8830188679245303</v>
      </c>
      <c r="G284" s="2">
        <v>285.75658572226001</v>
      </c>
      <c r="H284" s="1">
        <v>138.76478020219301</v>
      </c>
      <c r="I284" s="1">
        <f t="shared" si="9"/>
        <v>138.59608596169022</v>
      </c>
    </row>
    <row r="285" spans="1:9" x14ac:dyDescent="0.45">
      <c r="A285" t="s">
        <v>18</v>
      </c>
      <c r="B285" t="s">
        <v>11</v>
      </c>
      <c r="C285" t="str">
        <f t="shared" si="8"/>
        <v>Colorado St.Arizona</v>
      </c>
      <c r="D285" t="s">
        <v>11</v>
      </c>
      <c r="E285">
        <v>5.5</v>
      </c>
      <c r="F285" s="1">
        <v>18.664150943396201</v>
      </c>
      <c r="G285" s="2">
        <v>1724.0908426419401</v>
      </c>
      <c r="H285" s="1">
        <v>138.15439117698699</v>
      </c>
      <c r="I285" s="1">
        <f t="shared" si="9"/>
        <v>130.0251768698356</v>
      </c>
    </row>
    <row r="286" spans="1:9" x14ac:dyDescent="0.45">
      <c r="A286" t="s">
        <v>19</v>
      </c>
      <c r="B286" t="s">
        <v>11</v>
      </c>
      <c r="C286" t="str">
        <f t="shared" si="8"/>
        <v>ConnecticutArizona</v>
      </c>
      <c r="D286" t="s">
        <v>11</v>
      </c>
      <c r="E286">
        <v>35.200000000000003</v>
      </c>
      <c r="F286" s="1">
        <v>3.98867924528302</v>
      </c>
      <c r="G286" s="2">
        <v>183.784939572166</v>
      </c>
      <c r="H286" s="1">
        <v>138.56503103294099</v>
      </c>
      <c r="I286" s="1">
        <f t="shared" si="9"/>
        <v>135.7912649375005</v>
      </c>
    </row>
    <row r="287" spans="1:9" x14ac:dyDescent="0.45">
      <c r="A287" t="s">
        <v>20</v>
      </c>
      <c r="B287" t="s">
        <v>11</v>
      </c>
      <c r="C287" t="str">
        <f t="shared" si="8"/>
        <v>CreightonArizona</v>
      </c>
      <c r="D287" t="s">
        <v>11</v>
      </c>
      <c r="E287">
        <v>14.4</v>
      </c>
      <c r="F287" s="1">
        <v>11.6981132075472</v>
      </c>
      <c r="G287" s="2">
        <v>595.58339329916498</v>
      </c>
      <c r="H287" s="1">
        <v>138.11432778578001</v>
      </c>
      <c r="I287" s="1">
        <f t="shared" si="9"/>
        <v>129.46261812489325</v>
      </c>
    </row>
    <row r="288" spans="1:9" x14ac:dyDescent="0.45">
      <c r="A288" t="s">
        <v>21</v>
      </c>
      <c r="B288" t="s">
        <v>11</v>
      </c>
      <c r="C288" t="str">
        <f t="shared" si="8"/>
        <v>DrakeArizona</v>
      </c>
      <c r="D288" t="s">
        <v>11</v>
      </c>
      <c r="E288">
        <v>5.3</v>
      </c>
      <c r="F288" s="1">
        <v>18.871698113207501</v>
      </c>
      <c r="G288" s="2">
        <v>1778.81291192454</v>
      </c>
      <c r="H288" s="1">
        <v>138.34900359145399</v>
      </c>
      <c r="I288" s="1">
        <f t="shared" si="9"/>
        <v>132.75786904427309</v>
      </c>
    </row>
    <row r="289" spans="1:9" x14ac:dyDescent="0.45">
      <c r="A289" t="s">
        <v>22</v>
      </c>
      <c r="B289" t="s">
        <v>11</v>
      </c>
      <c r="C289" t="str">
        <f t="shared" si="8"/>
        <v>DukeArizona</v>
      </c>
      <c r="D289" t="s">
        <v>22</v>
      </c>
      <c r="E289">
        <v>74.7</v>
      </c>
      <c r="F289" s="1">
        <v>-7.0792452830188699</v>
      </c>
      <c r="G289" s="2">
        <v>-294.52499192519599</v>
      </c>
      <c r="H289" s="1">
        <v>140.42934348005701</v>
      </c>
      <c r="I289" s="1">
        <f t="shared" si="9"/>
        <v>161.96941009279925</v>
      </c>
    </row>
    <row r="290" spans="1:9" x14ac:dyDescent="0.45">
      <c r="A290" t="s">
        <v>23</v>
      </c>
      <c r="B290" t="s">
        <v>11</v>
      </c>
      <c r="C290" t="str">
        <f t="shared" si="8"/>
        <v>FloridaArizona</v>
      </c>
      <c r="D290" t="s">
        <v>23</v>
      </c>
      <c r="E290">
        <v>62.1</v>
      </c>
      <c r="F290" s="1">
        <v>-3.2226415094339602</v>
      </c>
      <c r="G290" s="2">
        <v>-163.52719699598001</v>
      </c>
      <c r="H290" s="1">
        <v>140.163994007611</v>
      </c>
      <c r="I290" s="1">
        <f t="shared" si="9"/>
        <v>158.24344826847124</v>
      </c>
    </row>
    <row r="291" spans="1:9" x14ac:dyDescent="0.45">
      <c r="A291" t="s">
        <v>24</v>
      </c>
      <c r="B291" t="s">
        <v>11</v>
      </c>
      <c r="C291" t="str">
        <f t="shared" si="8"/>
        <v>GeorgiaArizona</v>
      </c>
      <c r="D291" t="s">
        <v>11</v>
      </c>
      <c r="E291">
        <v>6.2</v>
      </c>
      <c r="F291" s="1">
        <v>17.8377358490566</v>
      </c>
      <c r="G291" s="2">
        <v>1519.5868453978301</v>
      </c>
      <c r="H291" s="1">
        <v>137.42795230389601</v>
      </c>
      <c r="I291" s="1">
        <f t="shared" si="9"/>
        <v>119.8247288195931</v>
      </c>
    </row>
    <row r="292" spans="1:9" x14ac:dyDescent="0.45">
      <c r="A292" t="s">
        <v>25</v>
      </c>
      <c r="B292" t="s">
        <v>11</v>
      </c>
      <c r="C292" t="str">
        <f t="shared" si="8"/>
        <v>GonzagaArizona</v>
      </c>
      <c r="D292" t="s">
        <v>11</v>
      </c>
      <c r="E292">
        <v>25</v>
      </c>
      <c r="F292" s="1">
        <v>7.2075471698113196</v>
      </c>
      <c r="G292" s="2">
        <v>300.25253493036001</v>
      </c>
      <c r="H292" s="1">
        <v>139.404914034402</v>
      </c>
      <c r="I292" s="1">
        <f t="shared" si="9"/>
        <v>147.58466317379191</v>
      </c>
    </row>
    <row r="293" spans="1:9" x14ac:dyDescent="0.45">
      <c r="A293" t="s">
        <v>26</v>
      </c>
      <c r="B293" t="s">
        <v>11</v>
      </c>
      <c r="C293" t="str">
        <f t="shared" si="8"/>
        <v>Grand CanyonArizona</v>
      </c>
      <c r="D293" t="s">
        <v>11</v>
      </c>
      <c r="E293">
        <v>3.5</v>
      </c>
      <c r="F293" s="1">
        <v>21.7584905660377</v>
      </c>
      <c r="G293" s="2">
        <v>2763.5384896057699</v>
      </c>
      <c r="H293" s="1">
        <v>138.22288575194099</v>
      </c>
      <c r="I293" s="1">
        <f t="shared" si="9"/>
        <v>130.98695821087108</v>
      </c>
    </row>
    <row r="294" spans="1:9" x14ac:dyDescent="0.45">
      <c r="A294" t="s">
        <v>27</v>
      </c>
      <c r="B294" t="s">
        <v>11</v>
      </c>
      <c r="C294" t="str">
        <f t="shared" si="8"/>
        <v>High PointArizona</v>
      </c>
      <c r="D294" t="s">
        <v>11</v>
      </c>
      <c r="E294">
        <v>2.2000000000000002</v>
      </c>
      <c r="F294" s="1">
        <v>24.849056603773601</v>
      </c>
      <c r="G294" s="2">
        <v>4427.3879519010698</v>
      </c>
      <c r="H294" s="1">
        <v>138.41409288548999</v>
      </c>
      <c r="I294" s="1">
        <f t="shared" si="9"/>
        <v>133.67183439915027</v>
      </c>
    </row>
    <row r="295" spans="1:9" x14ac:dyDescent="0.45">
      <c r="A295" t="s">
        <v>28</v>
      </c>
      <c r="B295" t="s">
        <v>11</v>
      </c>
      <c r="C295" t="str">
        <f t="shared" si="8"/>
        <v>HoustonArizona</v>
      </c>
      <c r="D295" t="s">
        <v>28</v>
      </c>
      <c r="E295">
        <v>83.1</v>
      </c>
      <c r="F295" s="1">
        <v>-10.4339622641509</v>
      </c>
      <c r="G295" s="2">
        <v>-491.30627761519497</v>
      </c>
      <c r="H295" s="1">
        <v>140.52755524269301</v>
      </c>
      <c r="I295" s="1">
        <f t="shared" si="9"/>
        <v>163.34847173143183</v>
      </c>
    </row>
    <row r="296" spans="1:9" x14ac:dyDescent="0.45">
      <c r="A296" t="s">
        <v>29</v>
      </c>
      <c r="B296" t="s">
        <v>11</v>
      </c>
      <c r="C296" t="str">
        <f t="shared" si="8"/>
        <v>IllinoisArizona</v>
      </c>
      <c r="D296" t="s">
        <v>11</v>
      </c>
      <c r="E296">
        <v>32.6</v>
      </c>
      <c r="F296" s="1">
        <v>4.75094339622642</v>
      </c>
      <c r="G296" s="2">
        <v>206.47204849682601</v>
      </c>
      <c r="H296" s="1">
        <v>138.586019017654</v>
      </c>
      <c r="I296" s="1">
        <f t="shared" si="9"/>
        <v>136.08597224967025</v>
      </c>
    </row>
    <row r="297" spans="1:9" x14ac:dyDescent="0.45">
      <c r="A297" t="s">
        <v>30</v>
      </c>
      <c r="B297" t="s">
        <v>11</v>
      </c>
      <c r="C297" t="str">
        <f t="shared" si="8"/>
        <v>Iowa St.Arizona</v>
      </c>
      <c r="D297" t="s">
        <v>30</v>
      </c>
      <c r="E297">
        <v>50.4</v>
      </c>
      <c r="F297" s="1">
        <v>-0.109433962264151</v>
      </c>
      <c r="G297" s="2">
        <v>-101.670460975034</v>
      </c>
      <c r="H297" s="1">
        <v>139.48256130924099</v>
      </c>
      <c r="I297" s="1">
        <f t="shared" si="9"/>
        <v>148.67496412350286</v>
      </c>
    </row>
    <row r="298" spans="1:9" x14ac:dyDescent="0.45">
      <c r="A298" t="s">
        <v>31</v>
      </c>
      <c r="B298" t="s">
        <v>11</v>
      </c>
      <c r="C298" t="str">
        <f t="shared" si="8"/>
        <v>KansasArizona</v>
      </c>
      <c r="D298" t="s">
        <v>11</v>
      </c>
      <c r="E298">
        <v>23.9</v>
      </c>
      <c r="F298" s="1">
        <v>7.60754716981132</v>
      </c>
      <c r="G298" s="2">
        <v>319.15830002609999</v>
      </c>
      <c r="H298" s="1">
        <v>138.53314919809401</v>
      </c>
      <c r="I298" s="1">
        <f t="shared" si="9"/>
        <v>135.34358928005761</v>
      </c>
    </row>
    <row r="299" spans="1:9" x14ac:dyDescent="0.45">
      <c r="A299" t="s">
        <v>32</v>
      </c>
      <c r="B299" t="s">
        <v>11</v>
      </c>
      <c r="C299" t="str">
        <f t="shared" si="8"/>
        <v>KentuckyArizona</v>
      </c>
      <c r="D299" t="s">
        <v>11</v>
      </c>
      <c r="E299">
        <v>34.4</v>
      </c>
      <c r="F299" s="1">
        <v>4.2415094339622597</v>
      </c>
      <c r="G299" s="2">
        <v>191.038192489849</v>
      </c>
      <c r="H299" s="1">
        <v>138.46743153022001</v>
      </c>
      <c r="I299" s="1">
        <f t="shared" si="9"/>
        <v>134.42080047846241</v>
      </c>
    </row>
    <row r="300" spans="1:9" x14ac:dyDescent="0.45">
      <c r="A300" t="s">
        <v>33</v>
      </c>
      <c r="B300" t="s">
        <v>11</v>
      </c>
      <c r="C300" t="str">
        <f t="shared" si="8"/>
        <v>LibertyArizona</v>
      </c>
      <c r="D300" t="s">
        <v>11</v>
      </c>
      <c r="E300">
        <v>1.5</v>
      </c>
      <c r="F300" s="1">
        <v>27.230188679245298</v>
      </c>
      <c r="G300" s="2">
        <v>6367.1944821491397</v>
      </c>
      <c r="H300" s="1">
        <v>137.812432573937</v>
      </c>
      <c r="I300" s="1">
        <f t="shared" si="9"/>
        <v>125.22349142188736</v>
      </c>
    </row>
    <row r="301" spans="1:9" x14ac:dyDescent="0.45">
      <c r="A301" t="s">
        <v>34</v>
      </c>
      <c r="B301" t="s">
        <v>11</v>
      </c>
      <c r="C301" t="str">
        <f t="shared" si="8"/>
        <v>LipscombArizona</v>
      </c>
      <c r="D301" t="s">
        <v>11</v>
      </c>
      <c r="E301">
        <v>1.2</v>
      </c>
      <c r="F301" s="1">
        <v>29.094339622641499</v>
      </c>
      <c r="G301" s="2">
        <v>8463.4301828808202</v>
      </c>
      <c r="H301" s="1">
        <v>138.21875077152899</v>
      </c>
      <c r="I301" s="1">
        <f t="shared" si="9"/>
        <v>130.92889599195104</v>
      </c>
    </row>
    <row r="302" spans="1:9" x14ac:dyDescent="0.45">
      <c r="A302" t="s">
        <v>35</v>
      </c>
      <c r="B302" t="s">
        <v>11</v>
      </c>
      <c r="C302" t="str">
        <f t="shared" si="8"/>
        <v>LouisvilleArizona</v>
      </c>
      <c r="D302" t="s">
        <v>11</v>
      </c>
      <c r="E302">
        <v>2.9</v>
      </c>
      <c r="F302" s="1">
        <v>23.045283018867899</v>
      </c>
      <c r="G302" s="2">
        <v>3363.6328164683</v>
      </c>
      <c r="H302" s="1">
        <v>137.464112777347</v>
      </c>
      <c r="I302" s="1">
        <f t="shared" si="9"/>
        <v>120.33248390343043</v>
      </c>
    </row>
    <row r="303" spans="1:9" x14ac:dyDescent="0.45">
      <c r="A303" t="s">
        <v>36</v>
      </c>
      <c r="B303" t="s">
        <v>11</v>
      </c>
      <c r="C303" t="str">
        <f t="shared" si="8"/>
        <v>MarquetteArizona</v>
      </c>
      <c r="D303" t="s">
        <v>11</v>
      </c>
      <c r="E303">
        <v>28.7</v>
      </c>
      <c r="F303" s="1">
        <v>5.97735849056604</v>
      </c>
      <c r="G303" s="2">
        <v>248.923147334101</v>
      </c>
      <c r="H303" s="1">
        <v>138.72624662080901</v>
      </c>
      <c r="I303" s="1">
        <f t="shared" si="9"/>
        <v>138.05500837119067</v>
      </c>
    </row>
    <row r="304" spans="1:9" x14ac:dyDescent="0.45">
      <c r="A304" t="s">
        <v>37</v>
      </c>
      <c r="B304" t="s">
        <v>11</v>
      </c>
      <c r="C304" t="str">
        <f t="shared" si="8"/>
        <v>MarylandArizona</v>
      </c>
      <c r="D304" t="s">
        <v>11</v>
      </c>
      <c r="E304">
        <v>19.899999999999999</v>
      </c>
      <c r="F304" s="1">
        <v>9.1471698113207491</v>
      </c>
      <c r="G304" s="2">
        <v>403.55163869005298</v>
      </c>
      <c r="H304" s="1">
        <v>138.18461621935199</v>
      </c>
      <c r="I304" s="1">
        <f t="shared" si="9"/>
        <v>130.4495883184531</v>
      </c>
    </row>
    <row r="305" spans="1:9" x14ac:dyDescent="0.45">
      <c r="A305" t="s">
        <v>38</v>
      </c>
      <c r="B305" t="s">
        <v>11</v>
      </c>
      <c r="C305" t="str">
        <f t="shared" si="8"/>
        <v>McNeese St.Arizona</v>
      </c>
      <c r="D305" t="s">
        <v>11</v>
      </c>
      <c r="E305">
        <v>5.5</v>
      </c>
      <c r="F305" s="1">
        <v>18.686792452830201</v>
      </c>
      <c r="G305" s="2">
        <v>1729.6920478791201</v>
      </c>
      <c r="H305" s="1">
        <v>138.77785163231599</v>
      </c>
      <c r="I305" s="1">
        <f t="shared" si="9"/>
        <v>138.77963126584567</v>
      </c>
    </row>
    <row r="306" spans="1:9" x14ac:dyDescent="0.45">
      <c r="A306" t="s">
        <v>39</v>
      </c>
      <c r="B306" t="s">
        <v>11</v>
      </c>
      <c r="C306" t="str">
        <f t="shared" si="8"/>
        <v>MemphisArizona</v>
      </c>
      <c r="D306" t="s">
        <v>11</v>
      </c>
      <c r="E306">
        <v>12.2</v>
      </c>
      <c r="F306" s="1">
        <v>12.909433962264201</v>
      </c>
      <c r="G306" s="2">
        <v>716.63742042497302</v>
      </c>
      <c r="H306" s="1">
        <v>137.312133458842</v>
      </c>
      <c r="I306" s="1">
        <f t="shared" si="9"/>
        <v>118.19843353725828</v>
      </c>
    </row>
    <row r="307" spans="1:9" x14ac:dyDescent="0.45">
      <c r="A307" t="s">
        <v>40</v>
      </c>
      <c r="B307" t="s">
        <v>11</v>
      </c>
      <c r="C307" t="str">
        <f t="shared" si="8"/>
        <v>MichiganArizona</v>
      </c>
      <c r="D307" t="s">
        <v>11</v>
      </c>
      <c r="E307">
        <v>6.4</v>
      </c>
      <c r="F307" s="1">
        <v>17.535849056603801</v>
      </c>
      <c r="G307" s="2">
        <v>1451.08922083366</v>
      </c>
      <c r="H307" s="1">
        <v>136.874754755758</v>
      </c>
      <c r="I307" s="1">
        <f t="shared" si="9"/>
        <v>112.05688618296088</v>
      </c>
    </row>
    <row r="308" spans="1:9" x14ac:dyDescent="0.45">
      <c r="A308" t="s">
        <v>41</v>
      </c>
      <c r="B308" t="s">
        <v>11</v>
      </c>
      <c r="C308" t="str">
        <f t="shared" si="8"/>
        <v>Michigan St.Arizona</v>
      </c>
      <c r="D308" t="s">
        <v>11</v>
      </c>
      <c r="E308">
        <v>39.5</v>
      </c>
      <c r="F308" s="1">
        <v>2.7886792452830198</v>
      </c>
      <c r="G308" s="2">
        <v>153.01675038114001</v>
      </c>
      <c r="H308" s="1">
        <v>138.521834464965</v>
      </c>
      <c r="I308" s="1">
        <f t="shared" si="9"/>
        <v>135.18471101547115</v>
      </c>
    </row>
    <row r="309" spans="1:9" x14ac:dyDescent="0.45">
      <c r="A309" t="s">
        <v>42</v>
      </c>
      <c r="B309" t="s">
        <v>11</v>
      </c>
      <c r="C309" t="str">
        <f t="shared" si="8"/>
        <v>MississippiArizona</v>
      </c>
      <c r="D309" t="s">
        <v>11</v>
      </c>
      <c r="E309">
        <v>15.2</v>
      </c>
      <c r="F309" s="1">
        <v>11.2830188679245</v>
      </c>
      <c r="G309" s="2">
        <v>559.255662094581</v>
      </c>
      <c r="H309" s="1">
        <v>137.78952581485501</v>
      </c>
      <c r="I309" s="1">
        <f t="shared" si="9"/>
        <v>124.90184122574483</v>
      </c>
    </row>
    <row r="310" spans="1:9" x14ac:dyDescent="0.45">
      <c r="A310" t="s">
        <v>43</v>
      </c>
      <c r="B310" t="s">
        <v>11</v>
      </c>
      <c r="C310" t="str">
        <f t="shared" si="8"/>
        <v>Mississippi St.Arizona</v>
      </c>
      <c r="D310" t="s">
        <v>11</v>
      </c>
      <c r="E310">
        <v>12.1</v>
      </c>
      <c r="F310" s="1">
        <v>13.0075471698113</v>
      </c>
      <c r="G310" s="2">
        <v>727.42413412107203</v>
      </c>
      <c r="H310" s="1">
        <v>137.92927228753101</v>
      </c>
      <c r="I310" s="1">
        <f t="shared" si="9"/>
        <v>126.86412144991668</v>
      </c>
    </row>
    <row r="311" spans="1:9" x14ac:dyDescent="0.45">
      <c r="A311" t="s">
        <v>44</v>
      </c>
      <c r="B311" t="s">
        <v>11</v>
      </c>
      <c r="C311" t="str">
        <f t="shared" si="8"/>
        <v>MissouriArizona</v>
      </c>
      <c r="D311" t="s">
        <v>11</v>
      </c>
      <c r="E311">
        <v>6.1</v>
      </c>
      <c r="F311" s="1">
        <v>17.9433962264151</v>
      </c>
      <c r="G311" s="2">
        <v>1544.0664538266301</v>
      </c>
      <c r="H311" s="1">
        <v>137.34693418617701</v>
      </c>
      <c r="I311" s="1">
        <f t="shared" si="9"/>
        <v>118.68709545285894</v>
      </c>
    </row>
    <row r="312" spans="1:9" x14ac:dyDescent="0.45">
      <c r="A312" t="s">
        <v>45</v>
      </c>
      <c r="B312" t="s">
        <v>11</v>
      </c>
      <c r="C312" t="str">
        <f t="shared" si="8"/>
        <v>MontanaArizona</v>
      </c>
      <c r="D312" t="s">
        <v>11</v>
      </c>
      <c r="E312">
        <v>0.6</v>
      </c>
      <c r="F312" s="1">
        <v>33.747169811320802</v>
      </c>
      <c r="G312" s="2">
        <v>17211.222945658701</v>
      </c>
      <c r="H312" s="1">
        <v>136.48364574958299</v>
      </c>
      <c r="I312" s="1">
        <f t="shared" si="9"/>
        <v>106.56504475314449</v>
      </c>
    </row>
    <row r="313" spans="1:9" x14ac:dyDescent="0.45">
      <c r="A313" t="s">
        <v>46</v>
      </c>
      <c r="B313" t="s">
        <v>11</v>
      </c>
      <c r="C313" t="str">
        <f t="shared" si="8"/>
        <v>Mount St. Mary'sArizona</v>
      </c>
      <c r="D313" t="s">
        <v>11</v>
      </c>
      <c r="E313">
        <v>0.2</v>
      </c>
      <c r="F313" s="1">
        <v>40.083018867924501</v>
      </c>
      <c r="G313" s="2">
        <v>45230.966591410899</v>
      </c>
      <c r="H313" s="1">
        <v>137.78693370373401</v>
      </c>
      <c r="I313" s="1">
        <f t="shared" si="9"/>
        <v>124.86544353860324</v>
      </c>
    </row>
    <row r="314" spans="1:9" x14ac:dyDescent="0.45">
      <c r="A314" t="s">
        <v>47</v>
      </c>
      <c r="B314" t="s">
        <v>11</v>
      </c>
      <c r="C314" t="str">
        <f t="shared" si="8"/>
        <v>Nebraska OmahaArizona</v>
      </c>
      <c r="D314" t="s">
        <v>11</v>
      </c>
      <c r="E314">
        <v>0.3</v>
      </c>
      <c r="F314" s="1">
        <v>37.890566037735901</v>
      </c>
      <c r="G314" s="2">
        <v>32384.213007046099</v>
      </c>
      <c r="H314" s="1">
        <v>137.20470983583701</v>
      </c>
      <c r="I314" s="1">
        <f t="shared" si="9"/>
        <v>116.69002157525966</v>
      </c>
    </row>
    <row r="315" spans="1:9" x14ac:dyDescent="0.45">
      <c r="A315" t="s">
        <v>48</v>
      </c>
      <c r="B315" t="s">
        <v>11</v>
      </c>
      <c r="C315" t="str">
        <f t="shared" si="8"/>
        <v>New MexicoArizona</v>
      </c>
      <c r="D315" t="s">
        <v>11</v>
      </c>
      <c r="E315">
        <v>6.9</v>
      </c>
      <c r="F315" s="1">
        <v>17.060377358490602</v>
      </c>
      <c r="G315" s="2">
        <v>1349.7401093296801</v>
      </c>
      <c r="H315" s="1">
        <v>137.97469976765399</v>
      </c>
      <c r="I315" s="1">
        <f t="shared" si="9"/>
        <v>127.50200120582267</v>
      </c>
    </row>
    <row r="316" spans="1:9" x14ac:dyDescent="0.45">
      <c r="A316" t="s">
        <v>49</v>
      </c>
      <c r="B316" t="s">
        <v>11</v>
      </c>
      <c r="C316" t="str">
        <f t="shared" si="8"/>
        <v>Norfolk St.Arizona</v>
      </c>
      <c r="D316" t="s">
        <v>11</v>
      </c>
      <c r="E316">
        <v>0.4</v>
      </c>
      <c r="F316" s="1">
        <v>35.626415094339599</v>
      </c>
      <c r="G316" s="2">
        <v>22923.478030569</v>
      </c>
      <c r="H316" s="1">
        <v>137.010825531618</v>
      </c>
      <c r="I316" s="1">
        <f t="shared" si="9"/>
        <v>113.9675533178434</v>
      </c>
    </row>
    <row r="317" spans="1:9" x14ac:dyDescent="0.45">
      <c r="A317" t="s">
        <v>50</v>
      </c>
      <c r="B317" t="s">
        <v>11</v>
      </c>
      <c r="C317" t="str">
        <f t="shared" si="8"/>
        <v>North CarolinaArizona</v>
      </c>
      <c r="D317" t="s">
        <v>11</v>
      </c>
      <c r="E317">
        <v>20.2</v>
      </c>
      <c r="F317" s="1">
        <v>9.01132075471698</v>
      </c>
      <c r="G317" s="2">
        <v>395.26935869383601</v>
      </c>
      <c r="H317" s="1">
        <v>139.08443148608799</v>
      </c>
      <c r="I317" s="1">
        <f t="shared" si="9"/>
        <v>143.08453837846463</v>
      </c>
    </row>
    <row r="318" spans="1:9" x14ac:dyDescent="0.45">
      <c r="A318" t="s">
        <v>51</v>
      </c>
      <c r="B318" t="s">
        <v>11</v>
      </c>
      <c r="C318" t="str">
        <f t="shared" si="8"/>
        <v>OklahomaArizona</v>
      </c>
      <c r="D318" t="s">
        <v>11</v>
      </c>
      <c r="E318">
        <v>8.1</v>
      </c>
      <c r="F318" s="1">
        <v>15.8905660377358</v>
      </c>
      <c r="G318" s="2">
        <v>1129.45873631119</v>
      </c>
      <c r="H318" s="1">
        <v>137.50805461226199</v>
      </c>
      <c r="I318" s="1">
        <f t="shared" si="9"/>
        <v>120.94950265185655</v>
      </c>
    </row>
    <row r="319" spans="1:9" x14ac:dyDescent="0.45">
      <c r="A319" t="s">
        <v>52</v>
      </c>
      <c r="B319" t="s">
        <v>11</v>
      </c>
      <c r="C319" t="str">
        <f t="shared" si="8"/>
        <v>OregonArizona</v>
      </c>
      <c r="D319" t="s">
        <v>11</v>
      </c>
      <c r="E319">
        <v>19.899999999999999</v>
      </c>
      <c r="F319" s="1">
        <v>9.1245283018867909</v>
      </c>
      <c r="G319" s="2">
        <v>402.35010888344499</v>
      </c>
      <c r="H319" s="1">
        <v>137.79877200379099</v>
      </c>
      <c r="I319" s="1">
        <f t="shared" si="9"/>
        <v>125.03167358108512</v>
      </c>
    </row>
    <row r="320" spans="1:9" x14ac:dyDescent="0.45">
      <c r="A320" t="s">
        <v>53</v>
      </c>
      <c r="B320" t="s">
        <v>11</v>
      </c>
      <c r="C320" t="str">
        <f t="shared" si="8"/>
        <v>PurdueArizona</v>
      </c>
      <c r="D320" t="s">
        <v>53</v>
      </c>
      <c r="E320">
        <v>58.5</v>
      </c>
      <c r="F320" s="1">
        <v>-2.2452830188679198</v>
      </c>
      <c r="G320" s="2">
        <v>-140.86253400560301</v>
      </c>
      <c r="H320" s="1">
        <v>139.28685920358899</v>
      </c>
      <c r="I320" s="1">
        <f t="shared" si="9"/>
        <v>145.92697081536349</v>
      </c>
    </row>
    <row r="321" spans="1:9" x14ac:dyDescent="0.45">
      <c r="A321" t="s">
        <v>54</v>
      </c>
      <c r="B321" t="s">
        <v>11</v>
      </c>
      <c r="C321" t="str">
        <f t="shared" si="8"/>
        <v>Robert MorrisArizona</v>
      </c>
      <c r="D321" t="s">
        <v>11</v>
      </c>
      <c r="E321">
        <v>0.2</v>
      </c>
      <c r="F321" s="1">
        <v>41.641509433962298</v>
      </c>
      <c r="G321" s="2">
        <v>57390.420091997898</v>
      </c>
      <c r="H321" s="1">
        <v>136.369824532276</v>
      </c>
      <c r="I321" s="1">
        <f t="shared" si="9"/>
        <v>104.96679959149009</v>
      </c>
    </row>
    <row r="322" spans="1:9" x14ac:dyDescent="0.45">
      <c r="A322" t="s">
        <v>55</v>
      </c>
      <c r="B322" t="s">
        <v>11</v>
      </c>
      <c r="C322" t="str">
        <f t="shared" si="8"/>
        <v>Saint FrancisArizona</v>
      </c>
      <c r="D322" t="s">
        <v>11</v>
      </c>
      <c r="E322">
        <v>0.1</v>
      </c>
      <c r="F322" s="1">
        <v>45.003773584905701</v>
      </c>
      <c r="G322" s="2">
        <v>95856.506757826399</v>
      </c>
      <c r="H322" s="1">
        <v>137.07667241432</v>
      </c>
      <c r="I322" s="1">
        <f t="shared" si="9"/>
        <v>114.89215651730363</v>
      </c>
    </row>
    <row r="323" spans="1:9" x14ac:dyDescent="0.45">
      <c r="A323" t="s">
        <v>56</v>
      </c>
      <c r="B323" t="s">
        <v>11</v>
      </c>
      <c r="C323" t="str">
        <f t="shared" ref="C323:C386" si="10">A323&amp;B323</f>
        <v>Saint Mary'sArizona</v>
      </c>
      <c r="D323" t="s">
        <v>11</v>
      </c>
      <c r="E323">
        <v>19.600000000000001</v>
      </c>
      <c r="F323" s="1">
        <v>9.2716981132075507</v>
      </c>
      <c r="G323" s="2">
        <v>411.29878186940903</v>
      </c>
      <c r="H323" s="1">
        <v>138.80587853026199</v>
      </c>
      <c r="I323" s="1">
        <f t="shared" ref="I323:I386" si="11">18*(H323-AVERAGE($H$2:$H$4625))/_xlfn.STDEV.P($H$2:$H$4625)+AVERAGE($H$2:$H$4625)</f>
        <v>139.17317699570347</v>
      </c>
    </row>
    <row r="324" spans="1:9" x14ac:dyDescent="0.45">
      <c r="A324" t="s">
        <v>57</v>
      </c>
      <c r="B324" t="s">
        <v>11</v>
      </c>
      <c r="C324" t="str">
        <f t="shared" si="10"/>
        <v>San Diego St.Arizona</v>
      </c>
      <c r="D324" t="s">
        <v>11</v>
      </c>
      <c r="E324">
        <v>7</v>
      </c>
      <c r="F324" s="1">
        <v>16.9433962264151</v>
      </c>
      <c r="G324" s="2">
        <v>1326.0411131148501</v>
      </c>
      <c r="H324" s="1">
        <v>138.02057769328999</v>
      </c>
      <c r="I324" s="1">
        <f t="shared" si="11"/>
        <v>128.1462059895118</v>
      </c>
    </row>
    <row r="325" spans="1:9" x14ac:dyDescent="0.45">
      <c r="A325" t="s">
        <v>58</v>
      </c>
      <c r="B325" t="s">
        <v>11</v>
      </c>
      <c r="C325" t="str">
        <f t="shared" si="10"/>
        <v>SIU EdwardsvilleArizona</v>
      </c>
      <c r="D325" t="s">
        <v>11</v>
      </c>
      <c r="E325">
        <v>0.4</v>
      </c>
      <c r="F325" s="1">
        <v>36.916981132075499</v>
      </c>
      <c r="G325" s="2">
        <v>27914.976637727101</v>
      </c>
      <c r="H325" s="1">
        <v>138.079835873474</v>
      </c>
      <c r="I325" s="1">
        <f t="shared" si="11"/>
        <v>128.97829250210009</v>
      </c>
    </row>
    <row r="326" spans="1:9" x14ac:dyDescent="0.45">
      <c r="A326" t="s">
        <v>59</v>
      </c>
      <c r="B326" t="s">
        <v>11</v>
      </c>
      <c r="C326" t="str">
        <f t="shared" si="10"/>
        <v>St. John'sArizona</v>
      </c>
      <c r="D326" t="s">
        <v>11</v>
      </c>
      <c r="E326">
        <v>41.4</v>
      </c>
      <c r="F326" s="1">
        <v>2.2867924528301899</v>
      </c>
      <c r="G326" s="2">
        <v>141.74500838396301</v>
      </c>
      <c r="H326" s="1">
        <v>138.899292322029</v>
      </c>
      <c r="I326" s="1">
        <f t="shared" si="11"/>
        <v>140.48486689197941</v>
      </c>
    </row>
    <row r="327" spans="1:9" x14ac:dyDescent="0.45">
      <c r="A327" t="s">
        <v>60</v>
      </c>
      <c r="B327" t="s">
        <v>11</v>
      </c>
      <c r="C327" t="str">
        <f t="shared" si="10"/>
        <v>TennesseeArizona</v>
      </c>
      <c r="D327" t="s">
        <v>60</v>
      </c>
      <c r="E327">
        <v>61</v>
      </c>
      <c r="F327" s="1">
        <v>-2.92830188679245</v>
      </c>
      <c r="G327" s="2">
        <v>-156.33266039836801</v>
      </c>
      <c r="H327" s="1">
        <v>139.69252469616299</v>
      </c>
      <c r="I327" s="1">
        <f t="shared" si="11"/>
        <v>151.62321028719981</v>
      </c>
    </row>
    <row r="328" spans="1:9" x14ac:dyDescent="0.45">
      <c r="A328" t="s">
        <v>61</v>
      </c>
      <c r="B328" t="s">
        <v>11</v>
      </c>
      <c r="C328" t="str">
        <f t="shared" si="10"/>
        <v>TexasArizona</v>
      </c>
      <c r="D328" t="s">
        <v>11</v>
      </c>
      <c r="E328">
        <v>5.9</v>
      </c>
      <c r="F328" s="1">
        <v>18.166037735849098</v>
      </c>
      <c r="G328" s="2">
        <v>1598.06744745421</v>
      </c>
      <c r="H328" s="1">
        <v>137.39240652380099</v>
      </c>
      <c r="I328" s="1">
        <f t="shared" si="11"/>
        <v>119.32560508503603</v>
      </c>
    </row>
    <row r="329" spans="1:9" x14ac:dyDescent="0.45">
      <c r="A329" t="s">
        <v>62</v>
      </c>
      <c r="B329" t="s">
        <v>11</v>
      </c>
      <c r="C329" t="str">
        <f t="shared" si="10"/>
        <v>Texas A&amp;MArizona</v>
      </c>
      <c r="D329" t="s">
        <v>11</v>
      </c>
      <c r="E329">
        <v>26.3</v>
      </c>
      <c r="F329" s="1">
        <v>6.7660377358490598</v>
      </c>
      <c r="G329" s="2">
        <v>280.69897441751999</v>
      </c>
      <c r="H329" s="1">
        <v>138.17938183319899</v>
      </c>
      <c r="I329" s="1">
        <f t="shared" si="11"/>
        <v>130.37608855679872</v>
      </c>
    </row>
    <row r="330" spans="1:9" x14ac:dyDescent="0.45">
      <c r="A330" t="s">
        <v>63</v>
      </c>
      <c r="B330" t="s">
        <v>11</v>
      </c>
      <c r="C330" t="str">
        <f t="shared" si="10"/>
        <v>Texas TechArizona</v>
      </c>
      <c r="D330" t="s">
        <v>11</v>
      </c>
      <c r="E330">
        <v>40.799999999999997</v>
      </c>
      <c r="F330" s="1">
        <v>2.43396226415094</v>
      </c>
      <c r="G330" s="2">
        <v>144.919018621384</v>
      </c>
      <c r="H330" s="1">
        <v>139.16989443843801</v>
      </c>
      <c r="I330" s="1">
        <f t="shared" si="11"/>
        <v>144.28458484893687</v>
      </c>
    </row>
    <row r="331" spans="1:9" x14ac:dyDescent="0.45">
      <c r="A331" t="s">
        <v>64</v>
      </c>
      <c r="B331" t="s">
        <v>11</v>
      </c>
      <c r="C331" t="str">
        <f t="shared" si="10"/>
        <v>TroyArizona</v>
      </c>
      <c r="D331" t="s">
        <v>11</v>
      </c>
      <c r="E331">
        <v>1</v>
      </c>
      <c r="F331" s="1">
        <v>30.2415094339623</v>
      </c>
      <c r="G331" s="2">
        <v>10080.1419591674</v>
      </c>
      <c r="H331" s="1">
        <v>137.936199032997</v>
      </c>
      <c r="I331" s="1">
        <f t="shared" si="11"/>
        <v>126.96138483972184</v>
      </c>
    </row>
    <row r="332" spans="1:9" x14ac:dyDescent="0.45">
      <c r="A332" t="s">
        <v>65</v>
      </c>
      <c r="B332" t="s">
        <v>11</v>
      </c>
      <c r="C332" t="str">
        <f t="shared" si="10"/>
        <v>UC San DiegoArizona</v>
      </c>
      <c r="D332" t="s">
        <v>11</v>
      </c>
      <c r="E332">
        <v>2.5</v>
      </c>
      <c r="F332" s="1">
        <v>24.060377358490602</v>
      </c>
      <c r="G332" s="2">
        <v>3925.8955048554599</v>
      </c>
      <c r="H332" s="1">
        <v>138.00631926266001</v>
      </c>
      <c r="I332" s="1">
        <f t="shared" si="11"/>
        <v>127.94599316183061</v>
      </c>
    </row>
    <row r="333" spans="1:9" x14ac:dyDescent="0.45">
      <c r="A333" t="s">
        <v>66</v>
      </c>
      <c r="B333" t="s">
        <v>11</v>
      </c>
      <c r="C333" t="str">
        <f t="shared" si="10"/>
        <v>UCLAArizona</v>
      </c>
      <c r="D333" t="s">
        <v>11</v>
      </c>
      <c r="E333">
        <v>8.1</v>
      </c>
      <c r="F333" s="1">
        <v>15.9584905660377</v>
      </c>
      <c r="G333" s="2">
        <v>1140.8992227981801</v>
      </c>
      <c r="H333" s="1">
        <v>137.22757784187201</v>
      </c>
      <c r="I333" s="1">
        <f t="shared" si="11"/>
        <v>117.01112761213801</v>
      </c>
    </row>
    <row r="334" spans="1:9" x14ac:dyDescent="0.45">
      <c r="A334" t="s">
        <v>67</v>
      </c>
      <c r="B334" t="s">
        <v>11</v>
      </c>
      <c r="C334" t="str">
        <f t="shared" si="10"/>
        <v>UNC WilmingtonArizona</v>
      </c>
      <c r="D334" t="s">
        <v>11</v>
      </c>
      <c r="E334">
        <v>1.5</v>
      </c>
      <c r="F334" s="1">
        <v>27.6528301886792</v>
      </c>
      <c r="G334" s="2">
        <v>6790.4995653808901</v>
      </c>
      <c r="H334" s="1">
        <v>138.542987733324</v>
      </c>
      <c r="I334" s="1">
        <f t="shared" si="11"/>
        <v>135.48173919358987</v>
      </c>
    </row>
    <row r="335" spans="1:9" x14ac:dyDescent="0.45">
      <c r="A335" t="s">
        <v>68</v>
      </c>
      <c r="B335" t="s">
        <v>11</v>
      </c>
      <c r="C335" t="str">
        <f t="shared" si="10"/>
        <v>Utah St.Arizona</v>
      </c>
      <c r="D335" t="s">
        <v>11</v>
      </c>
      <c r="E335">
        <v>7.7</v>
      </c>
      <c r="F335" s="1">
        <v>16.324528301886801</v>
      </c>
      <c r="G335" s="2">
        <v>1206.3228031303499</v>
      </c>
      <c r="H335" s="1">
        <v>138.09017423190301</v>
      </c>
      <c r="I335" s="1">
        <f t="shared" si="11"/>
        <v>129.12346079083881</v>
      </c>
    </row>
    <row r="336" spans="1:9" x14ac:dyDescent="0.45">
      <c r="A336" t="s">
        <v>69</v>
      </c>
      <c r="B336" t="s">
        <v>11</v>
      </c>
      <c r="C336" t="str">
        <f t="shared" si="10"/>
        <v>VanderbiltArizona</v>
      </c>
      <c r="D336" t="s">
        <v>11</v>
      </c>
      <c r="E336">
        <v>1.6</v>
      </c>
      <c r="F336" s="1">
        <v>26.973584905660399</v>
      </c>
      <c r="G336" s="2">
        <v>6121.8474881154498</v>
      </c>
      <c r="H336" s="1">
        <v>136.524212113186</v>
      </c>
      <c r="I336" s="1">
        <f t="shared" si="11"/>
        <v>107.13466609342191</v>
      </c>
    </row>
    <row r="337" spans="1:9" x14ac:dyDescent="0.45">
      <c r="A337" t="s">
        <v>70</v>
      </c>
      <c r="B337" t="s">
        <v>11</v>
      </c>
      <c r="C337" t="str">
        <f t="shared" si="10"/>
        <v>VCUArizona</v>
      </c>
      <c r="D337" t="s">
        <v>11</v>
      </c>
      <c r="E337">
        <v>5</v>
      </c>
      <c r="F337" s="1">
        <v>19.324528301886801</v>
      </c>
      <c r="G337" s="2">
        <v>1907.0441871682699</v>
      </c>
      <c r="H337" s="1">
        <v>138.44938524237901</v>
      </c>
      <c r="I337" s="1">
        <f t="shared" si="11"/>
        <v>134.16739963712445</v>
      </c>
    </row>
    <row r="338" spans="1:9" x14ac:dyDescent="0.45">
      <c r="A338" t="s">
        <v>71</v>
      </c>
      <c r="B338" t="s">
        <v>11</v>
      </c>
      <c r="C338" t="str">
        <f t="shared" si="10"/>
        <v>WisconsinArizona</v>
      </c>
      <c r="D338" t="s">
        <v>11</v>
      </c>
      <c r="E338">
        <v>37.4</v>
      </c>
      <c r="F338" s="1">
        <v>3.3735849056603802</v>
      </c>
      <c r="G338" s="2">
        <v>167.291978399888</v>
      </c>
      <c r="H338" s="1">
        <v>139.102640850711</v>
      </c>
      <c r="I338" s="1">
        <f t="shared" si="11"/>
        <v>143.340229097595</v>
      </c>
    </row>
    <row r="339" spans="1:9" x14ac:dyDescent="0.45">
      <c r="A339" t="s">
        <v>80</v>
      </c>
      <c r="B339" t="s">
        <v>11</v>
      </c>
      <c r="C339" t="str">
        <f t="shared" si="10"/>
        <v>WoffordArizona</v>
      </c>
      <c r="D339" t="s">
        <v>11</v>
      </c>
      <c r="E339">
        <v>0.5</v>
      </c>
      <c r="F339" s="1">
        <v>34.547169811320799</v>
      </c>
      <c r="G339" s="2">
        <v>19442.9070826838</v>
      </c>
      <c r="H339" s="1">
        <v>137.200289279938</v>
      </c>
      <c r="I339" s="1">
        <f t="shared" si="11"/>
        <v>116.62794938657142</v>
      </c>
    </row>
    <row r="340" spans="1:9" x14ac:dyDescent="0.45">
      <c r="A340" t="s">
        <v>72</v>
      </c>
      <c r="B340" t="s">
        <v>11</v>
      </c>
      <c r="C340" t="str">
        <f t="shared" si="10"/>
        <v>XavierArizona</v>
      </c>
      <c r="D340" t="s">
        <v>11</v>
      </c>
      <c r="E340">
        <v>4.9000000000000004</v>
      </c>
      <c r="F340" s="1">
        <v>19.399999999999999</v>
      </c>
      <c r="G340" s="2">
        <v>1928.4427098088699</v>
      </c>
      <c r="H340" s="1">
        <v>137.943091450559</v>
      </c>
      <c r="I340" s="1">
        <f t="shared" si="11"/>
        <v>127.05816620686235</v>
      </c>
    </row>
    <row r="341" spans="1:9" x14ac:dyDescent="0.45">
      <c r="A341" t="s">
        <v>73</v>
      </c>
      <c r="B341" t="s">
        <v>11</v>
      </c>
      <c r="C341" t="str">
        <f t="shared" si="10"/>
        <v>YaleArizona</v>
      </c>
      <c r="D341" t="s">
        <v>11</v>
      </c>
      <c r="E341">
        <v>2.6</v>
      </c>
      <c r="F341" s="1">
        <v>23.649056603773602</v>
      </c>
      <c r="G341" s="2">
        <v>3687.6715503693599</v>
      </c>
      <c r="H341" s="1">
        <v>138.54279758695299</v>
      </c>
      <c r="I341" s="1">
        <f t="shared" si="11"/>
        <v>135.47906921232746</v>
      </c>
    </row>
    <row r="342" spans="1:9" x14ac:dyDescent="0.45">
      <c r="A342" t="s">
        <v>7</v>
      </c>
      <c r="B342" t="s">
        <v>12</v>
      </c>
      <c r="C342" t="str">
        <f t="shared" si="10"/>
        <v>AkronArkansas</v>
      </c>
      <c r="D342" t="s">
        <v>12</v>
      </c>
      <c r="E342">
        <v>17.8</v>
      </c>
      <c r="F342" s="1">
        <v>10.011320754717</v>
      </c>
      <c r="G342" s="2">
        <v>460.60280244202602</v>
      </c>
      <c r="H342" s="1">
        <v>139.03370066974401</v>
      </c>
      <c r="I342" s="1">
        <f t="shared" si="11"/>
        <v>142.37219068365948</v>
      </c>
    </row>
    <row r="343" spans="1:9" x14ac:dyDescent="0.45">
      <c r="A343" t="s">
        <v>8</v>
      </c>
      <c r="B343" t="s">
        <v>12</v>
      </c>
      <c r="C343" t="str">
        <f t="shared" si="10"/>
        <v>AlabamaArkansas</v>
      </c>
      <c r="D343" t="s">
        <v>8</v>
      </c>
      <c r="E343">
        <v>94.2</v>
      </c>
      <c r="F343" s="1">
        <v>-18.328301886792499</v>
      </c>
      <c r="G343" s="2">
        <v>-1637.5860433672999</v>
      </c>
      <c r="H343" s="1">
        <v>140.84131185733901</v>
      </c>
      <c r="I343" s="1">
        <f t="shared" si="11"/>
        <v>167.75415287910849</v>
      </c>
    </row>
    <row r="344" spans="1:9" x14ac:dyDescent="0.45">
      <c r="A344" t="s">
        <v>9</v>
      </c>
      <c r="B344" t="s">
        <v>12</v>
      </c>
      <c r="C344" t="str">
        <f t="shared" si="10"/>
        <v>Alabama St.Arkansas</v>
      </c>
      <c r="D344" t="s">
        <v>12</v>
      </c>
      <c r="E344">
        <v>3.2</v>
      </c>
      <c r="F344" s="1">
        <v>22.332075471698101</v>
      </c>
      <c r="G344" s="2">
        <v>3015.89552977327</v>
      </c>
      <c r="H344" s="1">
        <v>139.220462429165</v>
      </c>
      <c r="I344" s="1">
        <f t="shared" si="11"/>
        <v>144.99464619273724</v>
      </c>
    </row>
    <row r="345" spans="1:9" x14ac:dyDescent="0.45">
      <c r="A345" t="s">
        <v>10</v>
      </c>
      <c r="B345" t="s">
        <v>12</v>
      </c>
      <c r="C345" t="str">
        <f t="shared" si="10"/>
        <v>AmericanArkansas</v>
      </c>
      <c r="D345" t="s">
        <v>12</v>
      </c>
      <c r="E345">
        <v>3.6</v>
      </c>
      <c r="F345" s="1">
        <v>21.5735849056604</v>
      </c>
      <c r="G345" s="2">
        <v>2687.0145830558699</v>
      </c>
      <c r="H345" s="1">
        <v>138.98375194892699</v>
      </c>
      <c r="I345" s="1">
        <f t="shared" si="11"/>
        <v>141.67082495180912</v>
      </c>
    </row>
    <row r="346" spans="1:9" x14ac:dyDescent="0.45">
      <c r="A346" t="s">
        <v>11</v>
      </c>
      <c r="B346" t="s">
        <v>12</v>
      </c>
      <c r="C346" t="str">
        <f t="shared" si="10"/>
        <v>ArizonaArkansas</v>
      </c>
      <c r="D346" t="s">
        <v>11</v>
      </c>
      <c r="E346">
        <v>91.5</v>
      </c>
      <c r="F346" s="1">
        <v>-15.5735849056604</v>
      </c>
      <c r="G346" s="2">
        <v>-1075.59789974766</v>
      </c>
      <c r="H346" s="1">
        <v>140.451791197516</v>
      </c>
      <c r="I346" s="1">
        <f t="shared" si="11"/>
        <v>162.28461455702711</v>
      </c>
    </row>
    <row r="347" spans="1:9" x14ac:dyDescent="0.45">
      <c r="A347" t="s">
        <v>12</v>
      </c>
      <c r="B347" t="s">
        <v>12</v>
      </c>
      <c r="C347" t="str">
        <f t="shared" si="10"/>
        <v>ArkansasArkansas</v>
      </c>
      <c r="D347" t="s">
        <v>12</v>
      </c>
      <c r="E347">
        <v>41.2</v>
      </c>
      <c r="F347" s="1">
        <v>2.3283018867924499</v>
      </c>
      <c r="G347" s="2">
        <v>142.64273539779199</v>
      </c>
      <c r="H347" s="1">
        <v>138.77771517530499</v>
      </c>
      <c r="I347" s="1">
        <f t="shared" si="11"/>
        <v>138.77771517530684</v>
      </c>
    </row>
    <row r="348" spans="1:9" x14ac:dyDescent="0.45">
      <c r="A348" t="s">
        <v>13</v>
      </c>
      <c r="B348" t="s">
        <v>12</v>
      </c>
      <c r="C348" t="str">
        <f t="shared" si="10"/>
        <v>AuburnArkansas</v>
      </c>
      <c r="D348" t="s">
        <v>13</v>
      </c>
      <c r="E348">
        <v>97</v>
      </c>
      <c r="F348" s="1">
        <v>-22.7660377358491</v>
      </c>
      <c r="G348" s="2">
        <v>-3223.40333890484</v>
      </c>
      <c r="H348" s="1">
        <v>141.863528090692</v>
      </c>
      <c r="I348" s="1">
        <f t="shared" si="11"/>
        <v>182.10782250042817</v>
      </c>
    </row>
    <row r="349" spans="1:9" x14ac:dyDescent="0.45">
      <c r="A349" t="s">
        <v>14</v>
      </c>
      <c r="B349" t="s">
        <v>12</v>
      </c>
      <c r="C349" t="str">
        <f t="shared" si="10"/>
        <v>BaylorArkansas</v>
      </c>
      <c r="D349" t="s">
        <v>14</v>
      </c>
      <c r="E349">
        <v>76.400000000000006</v>
      </c>
      <c r="F349" s="1">
        <v>-7.7169811320754702</v>
      </c>
      <c r="G349" s="2">
        <v>-324.60293923530003</v>
      </c>
      <c r="H349" s="1">
        <v>140.32644545187199</v>
      </c>
      <c r="I349" s="1">
        <f t="shared" si="11"/>
        <v>160.52454524614305</v>
      </c>
    </row>
    <row r="350" spans="1:9" x14ac:dyDescent="0.45">
      <c r="A350" t="s">
        <v>15</v>
      </c>
      <c r="B350" t="s">
        <v>12</v>
      </c>
      <c r="C350" t="str">
        <f t="shared" si="10"/>
        <v>BryantArkansas</v>
      </c>
      <c r="D350" t="s">
        <v>12</v>
      </c>
      <c r="E350">
        <v>13.2</v>
      </c>
      <c r="F350" s="1">
        <v>12.3509433962264</v>
      </c>
      <c r="G350" s="2">
        <v>658.20225053153297</v>
      </c>
      <c r="H350" s="1">
        <v>139.918765327518</v>
      </c>
      <c r="I350" s="1">
        <f t="shared" si="11"/>
        <v>154.80001688783145</v>
      </c>
    </row>
    <row r="351" spans="1:9" x14ac:dyDescent="0.45">
      <c r="A351" t="s">
        <v>16</v>
      </c>
      <c r="B351" t="s">
        <v>12</v>
      </c>
      <c r="C351" t="str">
        <f t="shared" si="10"/>
        <v>BYUArkansas</v>
      </c>
      <c r="D351" t="s">
        <v>16</v>
      </c>
      <c r="E351">
        <v>79.3</v>
      </c>
      <c r="F351" s="1">
        <v>-8.8113207547169807</v>
      </c>
      <c r="G351" s="2">
        <v>-383.58550716687301</v>
      </c>
      <c r="H351" s="1">
        <v>140.08880600196099</v>
      </c>
      <c r="I351" s="1">
        <f t="shared" si="11"/>
        <v>157.18767967727396</v>
      </c>
    </row>
    <row r="352" spans="1:9" x14ac:dyDescent="0.45">
      <c r="A352" t="s">
        <v>17</v>
      </c>
      <c r="B352" t="s">
        <v>12</v>
      </c>
      <c r="C352" t="str">
        <f t="shared" si="10"/>
        <v>ClemsonArkansas</v>
      </c>
      <c r="D352" t="s">
        <v>17</v>
      </c>
      <c r="E352">
        <v>84.3</v>
      </c>
      <c r="F352" s="1">
        <v>-11.018867924528299</v>
      </c>
      <c r="G352" s="2">
        <v>-536.91230324696096</v>
      </c>
      <c r="H352" s="1">
        <v>140.438856224403</v>
      </c>
      <c r="I352" s="1">
        <f t="shared" si="11"/>
        <v>162.10298534339614</v>
      </c>
    </row>
    <row r="353" spans="1:9" x14ac:dyDescent="0.45">
      <c r="A353" t="s">
        <v>18</v>
      </c>
      <c r="B353" t="s">
        <v>12</v>
      </c>
      <c r="C353" t="str">
        <f t="shared" si="10"/>
        <v>Colorado St.Arkansas</v>
      </c>
      <c r="D353" t="s">
        <v>12</v>
      </c>
      <c r="E353">
        <v>47.1</v>
      </c>
      <c r="F353" s="1">
        <v>0.76603773584905699</v>
      </c>
      <c r="G353" s="2">
        <v>112.37262890167599</v>
      </c>
      <c r="H353" s="1">
        <v>139.828467199198</v>
      </c>
      <c r="I353" s="1">
        <f t="shared" si="11"/>
        <v>153.53207625155588</v>
      </c>
    </row>
    <row r="354" spans="1:9" x14ac:dyDescent="0.45">
      <c r="A354" t="s">
        <v>19</v>
      </c>
      <c r="B354" t="s">
        <v>12</v>
      </c>
      <c r="C354" t="str">
        <f t="shared" si="10"/>
        <v>ConnecticutArkansas</v>
      </c>
      <c r="D354" t="s">
        <v>19</v>
      </c>
      <c r="E354">
        <v>89.3</v>
      </c>
      <c r="F354" s="1">
        <v>-13.909433962264201</v>
      </c>
      <c r="G354" s="2">
        <v>-834.81392417293898</v>
      </c>
      <c r="H354" s="1">
        <v>140.239107055152</v>
      </c>
      <c r="I354" s="1">
        <f t="shared" si="11"/>
        <v>159.29816431922077</v>
      </c>
    </row>
    <row r="355" spans="1:9" x14ac:dyDescent="0.45">
      <c r="A355" t="s">
        <v>20</v>
      </c>
      <c r="B355" t="s">
        <v>12</v>
      </c>
      <c r="C355" t="str">
        <f t="shared" si="10"/>
        <v>CreightonArkansas</v>
      </c>
      <c r="D355" t="s">
        <v>20</v>
      </c>
      <c r="E355">
        <v>72</v>
      </c>
      <c r="F355" s="1">
        <v>-6.2037735849056599</v>
      </c>
      <c r="G355" s="2">
        <v>-257.60662290840497</v>
      </c>
      <c r="H355" s="1">
        <v>139.78840380799099</v>
      </c>
      <c r="I355" s="1">
        <f t="shared" si="11"/>
        <v>152.96951750661313</v>
      </c>
    </row>
    <row r="356" spans="1:9" x14ac:dyDescent="0.45">
      <c r="A356" t="s">
        <v>21</v>
      </c>
      <c r="B356" t="s">
        <v>12</v>
      </c>
      <c r="C356" t="str">
        <f t="shared" si="10"/>
        <v>DrakeArkansas</v>
      </c>
      <c r="D356" t="s">
        <v>12</v>
      </c>
      <c r="E356">
        <v>46.3</v>
      </c>
      <c r="F356" s="1">
        <v>0.96981132075471699</v>
      </c>
      <c r="G356" s="2">
        <v>115.939298726801</v>
      </c>
      <c r="H356" s="1">
        <v>140.023079613665</v>
      </c>
      <c r="I356" s="1">
        <f t="shared" si="11"/>
        <v>156.26476842599337</v>
      </c>
    </row>
    <row r="357" spans="1:9" x14ac:dyDescent="0.45">
      <c r="A357" t="s">
        <v>22</v>
      </c>
      <c r="B357" t="s">
        <v>12</v>
      </c>
      <c r="C357" t="str">
        <f t="shared" si="10"/>
        <v>DukeArkansas</v>
      </c>
      <c r="D357" t="s">
        <v>22</v>
      </c>
      <c r="E357">
        <v>97.8</v>
      </c>
      <c r="F357" s="1">
        <v>-24.981132075471699</v>
      </c>
      <c r="G357" s="2">
        <v>-4518.7858152871804</v>
      </c>
      <c r="H357" s="1">
        <v>142.103419502268</v>
      </c>
      <c r="I357" s="1">
        <f t="shared" si="11"/>
        <v>185.47630947451913</v>
      </c>
    </row>
    <row r="358" spans="1:9" x14ac:dyDescent="0.45">
      <c r="A358" t="s">
        <v>23</v>
      </c>
      <c r="B358" t="s">
        <v>12</v>
      </c>
      <c r="C358" t="str">
        <f t="shared" si="10"/>
        <v>FloridaArkansas</v>
      </c>
      <c r="D358" t="s">
        <v>23</v>
      </c>
      <c r="E358">
        <v>96.2</v>
      </c>
      <c r="F358" s="1">
        <v>-21.124528301886802</v>
      </c>
      <c r="G358" s="2">
        <v>-2508.9360782896902</v>
      </c>
      <c r="H358" s="1">
        <v>141.83807002982201</v>
      </c>
      <c r="I358" s="1">
        <f t="shared" si="11"/>
        <v>181.75034765019151</v>
      </c>
    </row>
    <row r="359" spans="1:9" x14ac:dyDescent="0.45">
      <c r="A359" t="s">
        <v>24</v>
      </c>
      <c r="B359" t="s">
        <v>12</v>
      </c>
      <c r="C359" t="str">
        <f t="shared" si="10"/>
        <v>GeorgiaArkansas</v>
      </c>
      <c r="D359" t="s">
        <v>24</v>
      </c>
      <c r="E359">
        <v>50.2</v>
      </c>
      <c r="F359" s="1">
        <v>-6.4150943396226401E-2</v>
      </c>
      <c r="G359" s="2">
        <v>-100.96575070571799</v>
      </c>
      <c r="H359" s="1">
        <v>139.10202832610699</v>
      </c>
      <c r="I359" s="1">
        <f t="shared" si="11"/>
        <v>143.33162820131298</v>
      </c>
    </row>
    <row r="360" spans="1:9" x14ac:dyDescent="0.45">
      <c r="A360" t="s">
        <v>25</v>
      </c>
      <c r="B360" t="s">
        <v>12</v>
      </c>
      <c r="C360" t="str">
        <f t="shared" si="10"/>
        <v>GonzagaArkansas</v>
      </c>
      <c r="D360" t="s">
        <v>25</v>
      </c>
      <c r="E360">
        <v>83.6</v>
      </c>
      <c r="F360" s="1">
        <v>-10.6943396226415</v>
      </c>
      <c r="G360" s="2">
        <v>-510.99061209828398</v>
      </c>
      <c r="H360" s="1">
        <v>141.07899005661301</v>
      </c>
      <c r="I360" s="1">
        <f t="shared" si="11"/>
        <v>171.09156255551216</v>
      </c>
    </row>
    <row r="361" spans="1:9" x14ac:dyDescent="0.45">
      <c r="A361" t="s">
        <v>26</v>
      </c>
      <c r="B361" t="s">
        <v>12</v>
      </c>
      <c r="C361" t="str">
        <f t="shared" si="10"/>
        <v>Grand CanyonArkansas</v>
      </c>
      <c r="D361" t="s">
        <v>12</v>
      </c>
      <c r="E361">
        <v>35.700000000000003</v>
      </c>
      <c r="F361" s="1">
        <v>3.8566037735849101</v>
      </c>
      <c r="G361" s="2">
        <v>180.121648736384</v>
      </c>
      <c r="H361" s="1">
        <v>139.896961774152</v>
      </c>
      <c r="I361" s="1">
        <f t="shared" si="11"/>
        <v>154.49385759259133</v>
      </c>
    </row>
    <row r="362" spans="1:9" x14ac:dyDescent="0.45">
      <c r="A362" t="s">
        <v>27</v>
      </c>
      <c r="B362" t="s">
        <v>12</v>
      </c>
      <c r="C362" t="str">
        <f t="shared" si="10"/>
        <v>High PointArkansas</v>
      </c>
      <c r="D362" t="s">
        <v>12</v>
      </c>
      <c r="E362">
        <v>25.7</v>
      </c>
      <c r="F362" s="1">
        <v>6.9471698113207498</v>
      </c>
      <c r="G362" s="2">
        <v>288.56787068154301</v>
      </c>
      <c r="H362" s="1">
        <v>140.088168907701</v>
      </c>
      <c r="I362" s="1">
        <f t="shared" si="11"/>
        <v>157.17873378087052</v>
      </c>
    </row>
    <row r="363" spans="1:9" x14ac:dyDescent="0.45">
      <c r="A363" t="s">
        <v>28</v>
      </c>
      <c r="B363" t="s">
        <v>12</v>
      </c>
      <c r="C363" t="str">
        <f t="shared" si="10"/>
        <v>HoustonArkansas</v>
      </c>
      <c r="D363" t="s">
        <v>28</v>
      </c>
      <c r="E363">
        <v>98.7</v>
      </c>
      <c r="F363" s="1">
        <v>-28.335849056603799</v>
      </c>
      <c r="G363" s="2">
        <v>-7537.9268283383799</v>
      </c>
      <c r="H363" s="1">
        <v>142.20163126490399</v>
      </c>
      <c r="I363" s="1">
        <f t="shared" si="11"/>
        <v>186.8553711131517</v>
      </c>
    </row>
    <row r="364" spans="1:9" x14ac:dyDescent="0.45">
      <c r="A364" t="s">
        <v>29</v>
      </c>
      <c r="B364" t="s">
        <v>12</v>
      </c>
      <c r="C364" t="str">
        <f t="shared" si="10"/>
        <v>IllinoisArkansas</v>
      </c>
      <c r="D364" t="s">
        <v>29</v>
      </c>
      <c r="E364">
        <v>88.1</v>
      </c>
      <c r="F364" s="1">
        <v>-13.147169811320801</v>
      </c>
      <c r="G364" s="2">
        <v>-743.08473096049295</v>
      </c>
      <c r="H364" s="1">
        <v>140.26009503986501</v>
      </c>
      <c r="I364" s="1">
        <f t="shared" si="11"/>
        <v>159.59287163139052</v>
      </c>
    </row>
    <row r="365" spans="1:9" x14ac:dyDescent="0.45">
      <c r="A365" t="s">
        <v>30</v>
      </c>
      <c r="B365" t="s">
        <v>12</v>
      </c>
      <c r="C365" t="str">
        <f t="shared" si="10"/>
        <v>Iowa St.Arkansas</v>
      </c>
      <c r="D365" t="s">
        <v>30</v>
      </c>
      <c r="E365">
        <v>94</v>
      </c>
      <c r="F365" s="1">
        <v>-18.0075471698113</v>
      </c>
      <c r="G365" s="2">
        <v>-1559.8915184908201</v>
      </c>
      <c r="H365" s="1">
        <v>141.15663733145101</v>
      </c>
      <c r="I365" s="1">
        <f t="shared" si="11"/>
        <v>172.18186350520918</v>
      </c>
    </row>
    <row r="366" spans="1:9" x14ac:dyDescent="0.45">
      <c r="A366" t="s">
        <v>31</v>
      </c>
      <c r="B366" t="s">
        <v>12</v>
      </c>
      <c r="C366" t="str">
        <f t="shared" si="10"/>
        <v>KansasArkansas</v>
      </c>
      <c r="D366" t="s">
        <v>31</v>
      </c>
      <c r="E366">
        <v>82.8</v>
      </c>
      <c r="F366" s="1">
        <v>-10.2943396226415</v>
      </c>
      <c r="G366" s="2">
        <v>-480.72140563343999</v>
      </c>
      <c r="H366" s="1">
        <v>140.20722522030499</v>
      </c>
      <c r="I366" s="1">
        <f t="shared" si="11"/>
        <v>158.85048866177749</v>
      </c>
    </row>
    <row r="367" spans="1:9" x14ac:dyDescent="0.45">
      <c r="A367" t="s">
        <v>32</v>
      </c>
      <c r="B367" t="s">
        <v>12</v>
      </c>
      <c r="C367" t="str">
        <f t="shared" si="10"/>
        <v>KentuckyArkansas</v>
      </c>
      <c r="D367" t="s">
        <v>32</v>
      </c>
      <c r="E367">
        <v>88.9</v>
      </c>
      <c r="F367" s="1">
        <v>-13.6566037735849</v>
      </c>
      <c r="G367" s="2">
        <v>-803.11808130344798</v>
      </c>
      <c r="H367" s="1">
        <v>140.14150755243099</v>
      </c>
      <c r="I367" s="1">
        <f t="shared" si="11"/>
        <v>157.92769986018229</v>
      </c>
    </row>
    <row r="368" spans="1:9" x14ac:dyDescent="0.45">
      <c r="A368" t="s">
        <v>33</v>
      </c>
      <c r="B368" t="s">
        <v>12</v>
      </c>
      <c r="C368" t="str">
        <f t="shared" si="10"/>
        <v>LibertyArkansas</v>
      </c>
      <c r="D368" t="s">
        <v>12</v>
      </c>
      <c r="E368">
        <v>19.399999999999999</v>
      </c>
      <c r="F368" s="1">
        <v>9.3283018867924508</v>
      </c>
      <c r="G368" s="2">
        <v>415.00039614556403</v>
      </c>
      <c r="H368" s="1">
        <v>139.48650859614801</v>
      </c>
      <c r="I368" s="1">
        <f t="shared" si="11"/>
        <v>148.73039080360763</v>
      </c>
    </row>
    <row r="369" spans="1:9" x14ac:dyDescent="0.45">
      <c r="A369" t="s">
        <v>34</v>
      </c>
      <c r="B369" t="s">
        <v>12</v>
      </c>
      <c r="C369" t="str">
        <f t="shared" si="10"/>
        <v>LipscombArkansas</v>
      </c>
      <c r="D369" t="s">
        <v>12</v>
      </c>
      <c r="E369">
        <v>15.3</v>
      </c>
      <c r="F369" s="1">
        <v>11.1962264150943</v>
      </c>
      <c r="G369" s="2">
        <v>551.62864719978495</v>
      </c>
      <c r="H369" s="1">
        <v>139.89282679374</v>
      </c>
      <c r="I369" s="1">
        <f t="shared" si="11"/>
        <v>154.43579537367131</v>
      </c>
    </row>
    <row r="370" spans="1:9" x14ac:dyDescent="0.45">
      <c r="A370" t="s">
        <v>35</v>
      </c>
      <c r="B370" t="s">
        <v>12</v>
      </c>
      <c r="C370" t="str">
        <f t="shared" si="10"/>
        <v>LouisvilleArkansas</v>
      </c>
      <c r="D370" t="s">
        <v>12</v>
      </c>
      <c r="E370">
        <v>31.3</v>
      </c>
      <c r="F370" s="1">
        <v>5.1471698113207598</v>
      </c>
      <c r="G370" s="2">
        <v>219.234539676162</v>
      </c>
      <c r="H370" s="1">
        <v>139.13818879955801</v>
      </c>
      <c r="I370" s="1">
        <f t="shared" si="11"/>
        <v>143.83938328515069</v>
      </c>
    </row>
    <row r="371" spans="1:9" x14ac:dyDescent="0.45">
      <c r="A371" t="s">
        <v>36</v>
      </c>
      <c r="B371" t="s">
        <v>12</v>
      </c>
      <c r="C371" t="str">
        <f t="shared" si="10"/>
        <v>MarquetteArkansas</v>
      </c>
      <c r="D371" t="s">
        <v>36</v>
      </c>
      <c r="E371">
        <v>86</v>
      </c>
      <c r="F371" s="1">
        <v>-11.920754716981101</v>
      </c>
      <c r="G371" s="2">
        <v>-616.35982129938202</v>
      </c>
      <c r="H371" s="1">
        <v>140.40032264301999</v>
      </c>
      <c r="I371" s="1">
        <f t="shared" si="11"/>
        <v>161.56190775291051</v>
      </c>
    </row>
    <row r="372" spans="1:9" x14ac:dyDescent="0.45">
      <c r="A372" t="s">
        <v>37</v>
      </c>
      <c r="B372" t="s">
        <v>12</v>
      </c>
      <c r="C372" t="str">
        <f t="shared" si="10"/>
        <v>MarylandArkansas</v>
      </c>
      <c r="D372" t="s">
        <v>37</v>
      </c>
      <c r="E372">
        <v>79.2</v>
      </c>
      <c r="F372" s="1">
        <v>-8.7547169811320806</v>
      </c>
      <c r="G372" s="2">
        <v>-380.18982429647502</v>
      </c>
      <c r="H372" s="1">
        <v>139.85869224156201</v>
      </c>
      <c r="I372" s="1">
        <f t="shared" si="11"/>
        <v>153.95648770015939</v>
      </c>
    </row>
    <row r="373" spans="1:9" x14ac:dyDescent="0.45">
      <c r="A373" t="s">
        <v>38</v>
      </c>
      <c r="B373" t="s">
        <v>12</v>
      </c>
      <c r="C373" t="str">
        <f t="shared" si="10"/>
        <v>McNeese St.Arkansas</v>
      </c>
      <c r="D373" t="s">
        <v>12</v>
      </c>
      <c r="E373">
        <v>47</v>
      </c>
      <c r="F373" s="1">
        <v>0.78490566037735898</v>
      </c>
      <c r="G373" s="2">
        <v>112.737703723694</v>
      </c>
      <c r="H373" s="1">
        <v>140.451927654527</v>
      </c>
      <c r="I373" s="1">
        <f t="shared" si="11"/>
        <v>162.28653064756591</v>
      </c>
    </row>
    <row r="374" spans="1:9" x14ac:dyDescent="0.45">
      <c r="A374" t="s">
        <v>39</v>
      </c>
      <c r="B374" t="s">
        <v>12</v>
      </c>
      <c r="C374" t="str">
        <f t="shared" si="10"/>
        <v>MemphisArkansas</v>
      </c>
      <c r="D374" t="s">
        <v>39</v>
      </c>
      <c r="E374">
        <v>68.2</v>
      </c>
      <c r="F374" s="1">
        <v>-4.98867924528302</v>
      </c>
      <c r="G374" s="2">
        <v>-214.09184370688101</v>
      </c>
      <c r="H374" s="1">
        <v>138.98620948105301</v>
      </c>
      <c r="I374" s="1">
        <f t="shared" si="11"/>
        <v>141.70533291897854</v>
      </c>
    </row>
    <row r="375" spans="1:9" x14ac:dyDescent="0.45">
      <c r="A375" t="s">
        <v>40</v>
      </c>
      <c r="B375" t="s">
        <v>12</v>
      </c>
      <c r="C375" t="str">
        <f t="shared" si="10"/>
        <v>MichiganArkansas</v>
      </c>
      <c r="D375" t="s">
        <v>40</v>
      </c>
      <c r="E375">
        <v>51.4</v>
      </c>
      <c r="F375" s="1">
        <v>-0.36603773584905702</v>
      </c>
      <c r="G375" s="2">
        <v>-105.73176645884099</v>
      </c>
      <c r="H375" s="1">
        <v>138.54883077796899</v>
      </c>
      <c r="I375" s="1">
        <f t="shared" si="11"/>
        <v>135.56378556468076</v>
      </c>
    </row>
    <row r="376" spans="1:9" x14ac:dyDescent="0.45">
      <c r="A376" t="s">
        <v>41</v>
      </c>
      <c r="B376" t="s">
        <v>12</v>
      </c>
      <c r="C376" t="str">
        <f t="shared" si="10"/>
        <v>Michigan St.Arkansas</v>
      </c>
      <c r="D376" t="s">
        <v>41</v>
      </c>
      <c r="E376">
        <v>90.9</v>
      </c>
      <c r="F376" s="1">
        <v>-15.1132075471698</v>
      </c>
      <c r="G376" s="2">
        <v>-1002.67602223917</v>
      </c>
      <c r="H376" s="1">
        <v>140.19591048717601</v>
      </c>
      <c r="I376" s="1">
        <f t="shared" si="11"/>
        <v>158.69161039719143</v>
      </c>
    </row>
    <row r="377" spans="1:9" x14ac:dyDescent="0.45">
      <c r="A377" t="s">
        <v>42</v>
      </c>
      <c r="B377" t="s">
        <v>12</v>
      </c>
      <c r="C377" t="str">
        <f t="shared" si="10"/>
        <v>MississippiArkansas</v>
      </c>
      <c r="D377" t="s">
        <v>42</v>
      </c>
      <c r="E377">
        <v>73.3</v>
      </c>
      <c r="F377" s="1">
        <v>-6.6150943396226403</v>
      </c>
      <c r="G377" s="2">
        <v>-274.34005054772001</v>
      </c>
      <c r="H377" s="1">
        <v>139.463601837065</v>
      </c>
      <c r="I377" s="1">
        <f t="shared" si="11"/>
        <v>148.40874060745074</v>
      </c>
    </row>
    <row r="378" spans="1:9" x14ac:dyDescent="0.45">
      <c r="A378" t="s">
        <v>43</v>
      </c>
      <c r="B378" t="s">
        <v>12</v>
      </c>
      <c r="C378" t="str">
        <f t="shared" si="10"/>
        <v>Mississippi St.Arkansas</v>
      </c>
      <c r="D378" t="s">
        <v>43</v>
      </c>
      <c r="E378">
        <v>67.8</v>
      </c>
      <c r="F378" s="1">
        <v>-4.8905660377358497</v>
      </c>
      <c r="G378" s="2">
        <v>-210.917151921976</v>
      </c>
      <c r="H378" s="1">
        <v>139.60334830974199</v>
      </c>
      <c r="I378" s="1">
        <f t="shared" si="11"/>
        <v>150.37102083163654</v>
      </c>
    </row>
    <row r="379" spans="1:9" x14ac:dyDescent="0.45">
      <c r="A379" t="s">
        <v>44</v>
      </c>
      <c r="B379" t="s">
        <v>12</v>
      </c>
      <c r="C379" t="str">
        <f t="shared" si="10"/>
        <v>MissouriArkansas</v>
      </c>
      <c r="D379" t="s">
        <v>12</v>
      </c>
      <c r="E379">
        <v>49.8</v>
      </c>
      <c r="F379" s="1">
        <v>4.1509433962264197E-2</v>
      </c>
      <c r="G379" s="2">
        <v>100.63901641603999</v>
      </c>
      <c r="H379" s="1">
        <v>139.02101020838799</v>
      </c>
      <c r="I379" s="1">
        <f t="shared" si="11"/>
        <v>142.1939948345788</v>
      </c>
    </row>
    <row r="380" spans="1:9" x14ac:dyDescent="0.45">
      <c r="A380" t="s">
        <v>45</v>
      </c>
      <c r="B380" t="s">
        <v>12</v>
      </c>
      <c r="C380" t="str">
        <f t="shared" si="10"/>
        <v>MontanaArkansas</v>
      </c>
      <c r="D380" t="s">
        <v>12</v>
      </c>
      <c r="E380">
        <v>8.1999999999999993</v>
      </c>
      <c r="F380" s="1">
        <v>15.849056603773599</v>
      </c>
      <c r="G380" s="2">
        <v>1121.79145157619</v>
      </c>
      <c r="H380" s="1">
        <v>138.157721771794</v>
      </c>
      <c r="I380" s="1">
        <f t="shared" si="11"/>
        <v>130.07194413486474</v>
      </c>
    </row>
    <row r="381" spans="1:9" x14ac:dyDescent="0.45">
      <c r="A381" t="s">
        <v>46</v>
      </c>
      <c r="B381" t="s">
        <v>12</v>
      </c>
      <c r="C381" t="str">
        <f t="shared" si="10"/>
        <v>Mount St. Mary'sArkansas</v>
      </c>
      <c r="D381" t="s">
        <v>12</v>
      </c>
      <c r="E381">
        <v>3.3</v>
      </c>
      <c r="F381" s="1">
        <v>22.181132075471702</v>
      </c>
      <c r="G381" s="2">
        <v>2948.0596369574801</v>
      </c>
      <c r="H381" s="1">
        <v>139.46100972594499</v>
      </c>
      <c r="I381" s="1">
        <f t="shared" si="11"/>
        <v>148.37234292032312</v>
      </c>
    </row>
    <row r="382" spans="1:9" x14ac:dyDescent="0.45">
      <c r="A382" t="s">
        <v>47</v>
      </c>
      <c r="B382" t="s">
        <v>12</v>
      </c>
      <c r="C382" t="str">
        <f t="shared" si="10"/>
        <v>Nebraska OmahaArkansas</v>
      </c>
      <c r="D382" t="s">
        <v>12</v>
      </c>
      <c r="E382">
        <v>4.5</v>
      </c>
      <c r="F382" s="1">
        <v>19.9924528301887</v>
      </c>
      <c r="G382" s="2">
        <v>2110.7351541506901</v>
      </c>
      <c r="H382" s="1">
        <v>138.87878585804799</v>
      </c>
      <c r="I382" s="1">
        <f t="shared" si="11"/>
        <v>140.19692095697951</v>
      </c>
    </row>
    <row r="383" spans="1:9" x14ac:dyDescent="0.45">
      <c r="A383" t="s">
        <v>48</v>
      </c>
      <c r="B383" t="s">
        <v>12</v>
      </c>
      <c r="C383" t="str">
        <f t="shared" si="10"/>
        <v>New MexicoArkansas</v>
      </c>
      <c r="D383" t="s">
        <v>48</v>
      </c>
      <c r="E383">
        <v>53.2</v>
      </c>
      <c r="F383" s="1">
        <v>-0.84150943396226396</v>
      </c>
      <c r="G383" s="2">
        <v>-113.670939722108</v>
      </c>
      <c r="H383" s="1">
        <v>139.648775789865</v>
      </c>
      <c r="I383" s="1">
        <f t="shared" si="11"/>
        <v>151.00890058754294</v>
      </c>
    </row>
    <row r="384" spans="1:9" x14ac:dyDescent="0.45">
      <c r="A384" t="s">
        <v>49</v>
      </c>
      <c r="B384" t="s">
        <v>12</v>
      </c>
      <c r="C384" t="str">
        <f t="shared" si="10"/>
        <v>Norfolk St.Arkansas</v>
      </c>
      <c r="D384" t="s">
        <v>12</v>
      </c>
      <c r="E384">
        <v>6.3</v>
      </c>
      <c r="F384" s="1">
        <v>17.728301886792501</v>
      </c>
      <c r="G384" s="2">
        <v>1494.1042700032699</v>
      </c>
      <c r="H384" s="1">
        <v>138.68490155382901</v>
      </c>
      <c r="I384" s="1">
        <f t="shared" si="11"/>
        <v>137.47445269956367</v>
      </c>
    </row>
    <row r="385" spans="1:9" x14ac:dyDescent="0.45">
      <c r="A385" t="s">
        <v>50</v>
      </c>
      <c r="B385" t="s">
        <v>12</v>
      </c>
      <c r="C385" t="str">
        <f t="shared" si="10"/>
        <v>North CarolinaArkansas</v>
      </c>
      <c r="D385" t="s">
        <v>50</v>
      </c>
      <c r="E385">
        <v>79.5</v>
      </c>
      <c r="F385" s="1">
        <v>-8.8905660377358497</v>
      </c>
      <c r="G385" s="2">
        <v>-388.15613513559902</v>
      </c>
      <c r="H385" s="1">
        <v>140.758507508299</v>
      </c>
      <c r="I385" s="1">
        <f t="shared" si="11"/>
        <v>166.5914377601849</v>
      </c>
    </row>
    <row r="386" spans="1:9" x14ac:dyDescent="0.45">
      <c r="A386" t="s">
        <v>51</v>
      </c>
      <c r="B386" t="s">
        <v>12</v>
      </c>
      <c r="C386" t="str">
        <f t="shared" si="10"/>
        <v>OklahomaArkansas</v>
      </c>
      <c r="D386" t="s">
        <v>51</v>
      </c>
      <c r="E386">
        <v>57.6</v>
      </c>
      <c r="F386" s="1">
        <v>-2.0075471698113199</v>
      </c>
      <c r="G386" s="2">
        <v>-135.840488612462</v>
      </c>
      <c r="H386" s="1">
        <v>139.182130634473</v>
      </c>
      <c r="I386" s="1">
        <f t="shared" si="11"/>
        <v>144.45640203357681</v>
      </c>
    </row>
    <row r="387" spans="1:9" x14ac:dyDescent="0.45">
      <c r="A387" t="s">
        <v>52</v>
      </c>
      <c r="B387" t="s">
        <v>12</v>
      </c>
      <c r="C387" t="str">
        <f t="shared" ref="C387:C450" si="12">A387&amp;B387</f>
        <v>OregonArkansas</v>
      </c>
      <c r="D387" t="s">
        <v>52</v>
      </c>
      <c r="E387">
        <v>79.2</v>
      </c>
      <c r="F387" s="1">
        <v>-8.7735849056603801</v>
      </c>
      <c r="G387" s="2">
        <v>-381.32517730365902</v>
      </c>
      <c r="H387" s="1">
        <v>139.472848026002</v>
      </c>
      <c r="I387" s="1">
        <f t="shared" ref="I387:I450" si="13">18*(H387-AVERAGE($H$2:$H$4625))/_xlfn.STDEV.P($H$2:$H$4625)+AVERAGE($H$2:$H$4625)</f>
        <v>148.53857296280538</v>
      </c>
    </row>
    <row r="388" spans="1:9" x14ac:dyDescent="0.45">
      <c r="A388" t="s">
        <v>53</v>
      </c>
      <c r="B388" t="s">
        <v>12</v>
      </c>
      <c r="C388" t="str">
        <f t="shared" si="12"/>
        <v>PurdueArkansas</v>
      </c>
      <c r="D388" t="s">
        <v>53</v>
      </c>
      <c r="E388">
        <v>95.6</v>
      </c>
      <c r="F388" s="1">
        <v>-20.147169811320801</v>
      </c>
      <c r="G388" s="2">
        <v>-2161.2007062938401</v>
      </c>
      <c r="H388" s="1">
        <v>140.9609352258</v>
      </c>
      <c r="I388" s="1">
        <f t="shared" si="13"/>
        <v>169.43387019708376</v>
      </c>
    </row>
    <row r="389" spans="1:9" x14ac:dyDescent="0.45">
      <c r="A389" t="s">
        <v>54</v>
      </c>
      <c r="B389" t="s">
        <v>12</v>
      </c>
      <c r="C389" t="str">
        <f t="shared" si="12"/>
        <v>Robert MorrisArkansas</v>
      </c>
      <c r="D389" t="s">
        <v>12</v>
      </c>
      <c r="E389">
        <v>2.6</v>
      </c>
      <c r="F389" s="1">
        <v>23.743396226415101</v>
      </c>
      <c r="G389" s="2">
        <v>3740.5873402975399</v>
      </c>
      <c r="H389" s="1">
        <v>138.04390055448701</v>
      </c>
      <c r="I389" s="1">
        <f t="shared" si="13"/>
        <v>128.47369897321036</v>
      </c>
    </row>
    <row r="390" spans="1:9" x14ac:dyDescent="0.45">
      <c r="A390" t="s">
        <v>55</v>
      </c>
      <c r="B390" t="s">
        <v>12</v>
      </c>
      <c r="C390" t="str">
        <f t="shared" si="12"/>
        <v>Saint FrancisArkansas</v>
      </c>
      <c r="D390" t="s">
        <v>12</v>
      </c>
      <c r="E390">
        <v>1.6</v>
      </c>
      <c r="F390" s="1">
        <v>27.1056603773585</v>
      </c>
      <c r="G390" s="2">
        <v>6247.7262771154801</v>
      </c>
      <c r="H390" s="1">
        <v>138.75074843653101</v>
      </c>
      <c r="I390" s="1">
        <f t="shared" si="13"/>
        <v>138.39905589902389</v>
      </c>
    </row>
    <row r="391" spans="1:9" x14ac:dyDescent="0.45">
      <c r="A391" t="s">
        <v>56</v>
      </c>
      <c r="B391" t="s">
        <v>12</v>
      </c>
      <c r="C391" t="str">
        <f t="shared" si="12"/>
        <v>Saint Mary'sArkansas</v>
      </c>
      <c r="D391" t="s">
        <v>56</v>
      </c>
      <c r="E391">
        <v>78.900000000000006</v>
      </c>
      <c r="F391" s="1">
        <v>-8.6301886792452809</v>
      </c>
      <c r="G391" s="2">
        <v>-373.02864333996598</v>
      </c>
      <c r="H391" s="1">
        <v>140.479954552473</v>
      </c>
      <c r="I391" s="1">
        <f t="shared" si="13"/>
        <v>162.68007637742375</v>
      </c>
    </row>
    <row r="392" spans="1:9" x14ac:dyDescent="0.45">
      <c r="A392" t="s">
        <v>57</v>
      </c>
      <c r="B392" t="s">
        <v>12</v>
      </c>
      <c r="C392" t="str">
        <f t="shared" si="12"/>
        <v>San Diego St.Arkansas</v>
      </c>
      <c r="D392" t="s">
        <v>57</v>
      </c>
      <c r="E392">
        <v>53.6</v>
      </c>
      <c r="F392" s="1">
        <v>-0.95471698113207504</v>
      </c>
      <c r="G392" s="2">
        <v>-115.70246585170401</v>
      </c>
      <c r="H392" s="1">
        <v>139.694653715501</v>
      </c>
      <c r="I392" s="1">
        <f t="shared" si="13"/>
        <v>151.65310537123207</v>
      </c>
    </row>
    <row r="393" spans="1:9" x14ac:dyDescent="0.45">
      <c r="A393" t="s">
        <v>58</v>
      </c>
      <c r="B393" t="s">
        <v>12</v>
      </c>
      <c r="C393" t="str">
        <f t="shared" si="12"/>
        <v>SIU EdwardsvilleArkansas</v>
      </c>
      <c r="D393" t="s">
        <v>12</v>
      </c>
      <c r="E393">
        <v>5.2</v>
      </c>
      <c r="F393" s="1">
        <v>19.018867924528301</v>
      </c>
      <c r="G393" s="2">
        <v>1819.43969130038</v>
      </c>
      <c r="H393" s="1">
        <v>139.75391189568501</v>
      </c>
      <c r="I393" s="1">
        <f t="shared" si="13"/>
        <v>152.48519188382033</v>
      </c>
    </row>
    <row r="394" spans="1:9" x14ac:dyDescent="0.45">
      <c r="A394" t="s">
        <v>59</v>
      </c>
      <c r="B394" t="s">
        <v>12</v>
      </c>
      <c r="C394" t="str">
        <f t="shared" si="12"/>
        <v>St. John'sArkansas</v>
      </c>
      <c r="D394" t="s">
        <v>59</v>
      </c>
      <c r="E394">
        <v>91.5</v>
      </c>
      <c r="F394" s="1">
        <v>-15.615094339622599</v>
      </c>
      <c r="G394" s="2">
        <v>-1082.41008524633</v>
      </c>
      <c r="H394" s="1">
        <v>140.57336834423899</v>
      </c>
      <c r="I394" s="1">
        <f t="shared" si="13"/>
        <v>163.9917662736853</v>
      </c>
    </row>
    <row r="395" spans="1:9" x14ac:dyDescent="0.45">
      <c r="A395" t="s">
        <v>60</v>
      </c>
      <c r="B395" t="s">
        <v>12</v>
      </c>
      <c r="C395" t="str">
        <f t="shared" si="12"/>
        <v>TennesseeArkansas</v>
      </c>
      <c r="D395" t="s">
        <v>60</v>
      </c>
      <c r="E395">
        <v>96</v>
      </c>
      <c r="F395" s="1">
        <v>-20.8301886792453</v>
      </c>
      <c r="G395" s="2">
        <v>-2398.55301805313</v>
      </c>
      <c r="H395" s="1">
        <v>141.366600718374</v>
      </c>
      <c r="I395" s="1">
        <f t="shared" si="13"/>
        <v>175.13010966892006</v>
      </c>
    </row>
    <row r="396" spans="1:9" x14ac:dyDescent="0.45">
      <c r="A396" t="s">
        <v>61</v>
      </c>
      <c r="B396" t="s">
        <v>12</v>
      </c>
      <c r="C396" t="str">
        <f t="shared" si="12"/>
        <v>TexasArkansas</v>
      </c>
      <c r="D396" t="s">
        <v>12</v>
      </c>
      <c r="E396">
        <v>49</v>
      </c>
      <c r="F396" s="1">
        <v>0.26792452830188701</v>
      </c>
      <c r="G396" s="2">
        <v>104.15868804073</v>
      </c>
      <c r="H396" s="1">
        <v>139.066482546012</v>
      </c>
      <c r="I396" s="1">
        <f t="shared" si="13"/>
        <v>142.83250446675629</v>
      </c>
    </row>
    <row r="397" spans="1:9" x14ac:dyDescent="0.45">
      <c r="A397" t="s">
        <v>62</v>
      </c>
      <c r="B397" t="s">
        <v>12</v>
      </c>
      <c r="C397" t="str">
        <f t="shared" si="12"/>
        <v>Texas A&amp;MArkansas</v>
      </c>
      <c r="D397" t="s">
        <v>62</v>
      </c>
      <c r="E397">
        <v>84.5</v>
      </c>
      <c r="F397" s="1">
        <v>-11.135849056603799</v>
      </c>
      <c r="G397" s="2">
        <v>-546.58634548452505</v>
      </c>
      <c r="H397" s="1">
        <v>139.85345785541</v>
      </c>
      <c r="I397" s="1">
        <f t="shared" si="13"/>
        <v>153.88298793851899</v>
      </c>
    </row>
    <row r="398" spans="1:9" x14ac:dyDescent="0.45">
      <c r="A398" t="s">
        <v>63</v>
      </c>
      <c r="B398" t="s">
        <v>12</v>
      </c>
      <c r="C398" t="str">
        <f t="shared" si="12"/>
        <v>Texas TechArkansas</v>
      </c>
      <c r="D398" t="s">
        <v>63</v>
      </c>
      <c r="E398">
        <v>91.4</v>
      </c>
      <c r="F398" s="1">
        <v>-15.4679245283019</v>
      </c>
      <c r="G398" s="2">
        <v>-1058.7031851835</v>
      </c>
      <c r="H398" s="1">
        <v>140.84397046064899</v>
      </c>
      <c r="I398" s="1">
        <f t="shared" si="13"/>
        <v>167.79148423065675</v>
      </c>
    </row>
    <row r="399" spans="1:9" x14ac:dyDescent="0.45">
      <c r="A399" t="s">
        <v>64</v>
      </c>
      <c r="B399" t="s">
        <v>12</v>
      </c>
      <c r="C399" t="str">
        <f t="shared" si="12"/>
        <v>TroyArkansas</v>
      </c>
      <c r="D399" t="s">
        <v>12</v>
      </c>
      <c r="E399">
        <v>13.2</v>
      </c>
      <c r="F399" s="1">
        <v>12.339622641509401</v>
      </c>
      <c r="G399" s="2">
        <v>657.002533531219</v>
      </c>
      <c r="H399" s="1">
        <v>139.61027505520801</v>
      </c>
      <c r="I399" s="1">
        <f t="shared" si="13"/>
        <v>150.4682842214421</v>
      </c>
    </row>
    <row r="400" spans="1:9" x14ac:dyDescent="0.45">
      <c r="A400" t="s">
        <v>65</v>
      </c>
      <c r="B400" t="s">
        <v>12</v>
      </c>
      <c r="C400" t="str">
        <f t="shared" si="12"/>
        <v>UC San DiegoArkansas</v>
      </c>
      <c r="D400" t="s">
        <v>12</v>
      </c>
      <c r="E400">
        <v>28.1</v>
      </c>
      <c r="F400" s="1">
        <v>6.1584905660377398</v>
      </c>
      <c r="G400" s="2">
        <v>255.88164368291399</v>
      </c>
      <c r="H400" s="1">
        <v>139.680395284871</v>
      </c>
      <c r="I400" s="1">
        <f t="shared" si="13"/>
        <v>151.45289254355049</v>
      </c>
    </row>
    <row r="401" spans="1:9" x14ac:dyDescent="0.45">
      <c r="A401" t="s">
        <v>66</v>
      </c>
      <c r="B401" t="s">
        <v>12</v>
      </c>
      <c r="C401" t="str">
        <f t="shared" si="12"/>
        <v>UCLAArkansas</v>
      </c>
      <c r="D401" t="s">
        <v>66</v>
      </c>
      <c r="E401">
        <v>57.4</v>
      </c>
      <c r="F401" s="1">
        <v>-1.9433962264150899</v>
      </c>
      <c r="G401" s="2">
        <v>-134.478333881087</v>
      </c>
      <c r="H401" s="1">
        <v>138.90165386408299</v>
      </c>
      <c r="I401" s="1">
        <f t="shared" si="13"/>
        <v>140.51802699385789</v>
      </c>
    </row>
    <row r="402" spans="1:9" x14ac:dyDescent="0.45">
      <c r="A402" t="s">
        <v>67</v>
      </c>
      <c r="B402" t="s">
        <v>12</v>
      </c>
      <c r="C402" t="str">
        <f t="shared" si="12"/>
        <v>UNC WilmingtonArkansas</v>
      </c>
      <c r="D402" t="s">
        <v>12</v>
      </c>
      <c r="E402">
        <v>18.399999999999999</v>
      </c>
      <c r="F402" s="1">
        <v>9.7509433962264094</v>
      </c>
      <c r="G402" s="2">
        <v>442.59053458473301</v>
      </c>
      <c r="H402" s="1">
        <v>140.21706375553501</v>
      </c>
      <c r="I402" s="1">
        <f t="shared" si="13"/>
        <v>158.98863857531012</v>
      </c>
    </row>
    <row r="403" spans="1:9" x14ac:dyDescent="0.45">
      <c r="A403" t="s">
        <v>68</v>
      </c>
      <c r="B403" t="s">
        <v>12</v>
      </c>
      <c r="C403" t="str">
        <f t="shared" si="12"/>
        <v>Utah St.Arkansas</v>
      </c>
      <c r="D403" t="s">
        <v>68</v>
      </c>
      <c r="E403">
        <v>56</v>
      </c>
      <c r="F403" s="1">
        <v>-1.5773584905660401</v>
      </c>
      <c r="G403" s="2">
        <v>-127.185050477361</v>
      </c>
      <c r="H403" s="1">
        <v>139.76425025411399</v>
      </c>
      <c r="I403" s="1">
        <f t="shared" si="13"/>
        <v>152.63036017255868</v>
      </c>
    </row>
    <row r="404" spans="1:9" x14ac:dyDescent="0.45">
      <c r="A404" t="s">
        <v>69</v>
      </c>
      <c r="B404" t="s">
        <v>12</v>
      </c>
      <c r="C404" t="str">
        <f t="shared" si="12"/>
        <v>VanderbiltArkansas</v>
      </c>
      <c r="D404" t="s">
        <v>12</v>
      </c>
      <c r="E404">
        <v>20</v>
      </c>
      <c r="F404" s="1">
        <v>9.0716981132075496</v>
      </c>
      <c r="G404" s="2">
        <v>399.00919311217802</v>
      </c>
      <c r="H404" s="1">
        <v>138.19828813539701</v>
      </c>
      <c r="I404" s="1">
        <f t="shared" si="13"/>
        <v>130.64156547514216</v>
      </c>
    </row>
    <row r="405" spans="1:9" x14ac:dyDescent="0.45">
      <c r="A405" t="s">
        <v>70</v>
      </c>
      <c r="B405" t="s">
        <v>12</v>
      </c>
      <c r="C405" t="str">
        <f t="shared" si="12"/>
        <v>VCUArkansas</v>
      </c>
      <c r="D405" t="s">
        <v>12</v>
      </c>
      <c r="E405">
        <v>44.6</v>
      </c>
      <c r="F405" s="1">
        <v>1.4264150943396201</v>
      </c>
      <c r="G405" s="2">
        <v>124.297144583967</v>
      </c>
      <c r="H405" s="1">
        <v>140.12346126458999</v>
      </c>
      <c r="I405" s="1">
        <f t="shared" si="13"/>
        <v>157.67429901884429</v>
      </c>
    </row>
    <row r="406" spans="1:9" x14ac:dyDescent="0.45">
      <c r="A406" t="s">
        <v>71</v>
      </c>
      <c r="B406" t="s">
        <v>12</v>
      </c>
      <c r="C406" t="str">
        <f t="shared" si="12"/>
        <v>WisconsinArkansas</v>
      </c>
      <c r="D406" t="s">
        <v>71</v>
      </c>
      <c r="E406">
        <v>90.2</v>
      </c>
      <c r="F406" s="1">
        <v>-14.5283018867925</v>
      </c>
      <c r="G406" s="2">
        <v>-917.11645755890504</v>
      </c>
      <c r="H406" s="1">
        <v>140.77671687292201</v>
      </c>
      <c r="I406" s="1">
        <f t="shared" si="13"/>
        <v>166.84712847931527</v>
      </c>
    </row>
    <row r="407" spans="1:9" x14ac:dyDescent="0.45">
      <c r="A407" t="s">
        <v>80</v>
      </c>
      <c r="B407" t="s">
        <v>12</v>
      </c>
      <c r="C407" t="str">
        <f t="shared" si="12"/>
        <v>WoffordArkansas</v>
      </c>
      <c r="D407" t="s">
        <v>12</v>
      </c>
      <c r="E407">
        <v>7.3</v>
      </c>
      <c r="F407" s="1">
        <v>16.6452830188679</v>
      </c>
      <c r="G407" s="2">
        <v>1267.24794792379</v>
      </c>
      <c r="H407" s="1">
        <v>138.87436530214899</v>
      </c>
      <c r="I407" s="1">
        <f t="shared" si="13"/>
        <v>140.13484876829128</v>
      </c>
    </row>
    <row r="408" spans="1:9" x14ac:dyDescent="0.45">
      <c r="A408" t="s">
        <v>72</v>
      </c>
      <c r="B408" t="s">
        <v>12</v>
      </c>
      <c r="C408" t="str">
        <f t="shared" si="12"/>
        <v>XavierArkansas</v>
      </c>
      <c r="D408" t="s">
        <v>12</v>
      </c>
      <c r="E408">
        <v>44.3</v>
      </c>
      <c r="F408" s="1">
        <v>1.4981132075471699</v>
      </c>
      <c r="G408" s="2">
        <v>125.691855456656</v>
      </c>
      <c r="H408" s="1">
        <v>139.61716747277001</v>
      </c>
      <c r="I408" s="1">
        <f t="shared" si="13"/>
        <v>150.56506558858263</v>
      </c>
    </row>
    <row r="409" spans="1:9" x14ac:dyDescent="0.45">
      <c r="A409" t="s">
        <v>73</v>
      </c>
      <c r="B409" t="s">
        <v>12</v>
      </c>
      <c r="C409" t="str">
        <f t="shared" si="12"/>
        <v>YaleArkansas</v>
      </c>
      <c r="D409" t="s">
        <v>12</v>
      </c>
      <c r="E409">
        <v>29.4</v>
      </c>
      <c r="F409" s="1">
        <v>5.7471698113207497</v>
      </c>
      <c r="G409" s="2">
        <v>240.354705443434</v>
      </c>
      <c r="H409" s="1">
        <v>140.216873609164</v>
      </c>
      <c r="I409" s="1">
        <f t="shared" si="13"/>
        <v>158.9859685940477</v>
      </c>
    </row>
    <row r="410" spans="1:9" x14ac:dyDescent="0.45">
      <c r="A410" t="s">
        <v>7</v>
      </c>
      <c r="B410" t="s">
        <v>13</v>
      </c>
      <c r="C410" t="str">
        <f t="shared" si="12"/>
        <v>AkronAuburn</v>
      </c>
      <c r="D410" t="s">
        <v>13</v>
      </c>
      <c r="E410">
        <v>0.5</v>
      </c>
      <c r="F410" s="1">
        <v>35.109433962264099</v>
      </c>
      <c r="G410" s="2">
        <v>21178.289758456802</v>
      </c>
      <c r="H410" s="1">
        <v>135.94788775435799</v>
      </c>
      <c r="I410" s="1">
        <f t="shared" si="13"/>
        <v>99.042083358552105</v>
      </c>
    </row>
    <row r="411" spans="1:9" x14ac:dyDescent="0.45">
      <c r="A411" t="s">
        <v>8</v>
      </c>
      <c r="B411" t="s">
        <v>13</v>
      </c>
      <c r="C411" t="str">
        <f t="shared" si="12"/>
        <v>AlabamaAuburn</v>
      </c>
      <c r="D411" t="s">
        <v>13</v>
      </c>
      <c r="E411">
        <v>26.3</v>
      </c>
      <c r="F411" s="1">
        <v>6.7660377358490598</v>
      </c>
      <c r="G411" s="2">
        <v>280.77612862790602</v>
      </c>
      <c r="H411" s="1">
        <v>137.75549894195299</v>
      </c>
      <c r="I411" s="1">
        <f t="shared" si="13"/>
        <v>124.42404555400114</v>
      </c>
    </row>
    <row r="412" spans="1:9" x14ac:dyDescent="0.45">
      <c r="A412" t="s">
        <v>9</v>
      </c>
      <c r="B412" t="s">
        <v>13</v>
      </c>
      <c r="C412" t="str">
        <f t="shared" si="12"/>
        <v>Alabama St.Auburn</v>
      </c>
      <c r="D412" t="s">
        <v>13</v>
      </c>
      <c r="E412">
        <v>0.1</v>
      </c>
      <c r="F412" s="1">
        <v>47.426415094339603</v>
      </c>
      <c r="G412" s="2">
        <v>138669.389487295</v>
      </c>
      <c r="H412" s="1">
        <v>136.13464951377901</v>
      </c>
      <c r="I412" s="1">
        <f t="shared" si="13"/>
        <v>101.66453886763026</v>
      </c>
    </row>
    <row r="413" spans="1:9" x14ac:dyDescent="0.45">
      <c r="A413" t="s">
        <v>10</v>
      </c>
      <c r="B413" t="s">
        <v>13</v>
      </c>
      <c r="C413" t="str">
        <f t="shared" si="12"/>
        <v>AmericanAuburn</v>
      </c>
      <c r="D413" t="s">
        <v>13</v>
      </c>
      <c r="E413">
        <v>0.1</v>
      </c>
      <c r="F413" s="1">
        <v>46.667924528301903</v>
      </c>
      <c r="G413" s="2">
        <v>123547.605710277</v>
      </c>
      <c r="H413" s="1">
        <v>135.89793903354101</v>
      </c>
      <c r="I413" s="1">
        <f t="shared" si="13"/>
        <v>98.340717626702144</v>
      </c>
    </row>
    <row r="414" spans="1:9" x14ac:dyDescent="0.45">
      <c r="A414" t="s">
        <v>11</v>
      </c>
      <c r="B414" t="s">
        <v>13</v>
      </c>
      <c r="C414" t="str">
        <f t="shared" si="12"/>
        <v>ArizonaAuburn</v>
      </c>
      <c r="D414" t="s">
        <v>13</v>
      </c>
      <c r="E414">
        <v>19</v>
      </c>
      <c r="F414" s="1">
        <v>9.5245283018867894</v>
      </c>
      <c r="G414" s="2">
        <v>427.47858624457302</v>
      </c>
      <c r="H414" s="1">
        <v>137.36597828212999</v>
      </c>
      <c r="I414" s="1">
        <f t="shared" si="13"/>
        <v>118.95450723191975</v>
      </c>
    </row>
    <row r="415" spans="1:9" x14ac:dyDescent="0.45">
      <c r="A415" t="s">
        <v>12</v>
      </c>
      <c r="B415" t="s">
        <v>13</v>
      </c>
      <c r="C415" t="str">
        <f t="shared" si="12"/>
        <v>ArkansasAuburn</v>
      </c>
      <c r="D415" t="s">
        <v>13</v>
      </c>
      <c r="E415">
        <v>1.5</v>
      </c>
      <c r="F415" s="1">
        <v>27.422641509434001</v>
      </c>
      <c r="G415" s="2">
        <v>6558.6426443281098</v>
      </c>
      <c r="H415" s="1">
        <v>135.691902259919</v>
      </c>
      <c r="I415" s="1">
        <f t="shared" si="13"/>
        <v>95.447607850199887</v>
      </c>
    </row>
    <row r="416" spans="1:9" x14ac:dyDescent="0.45">
      <c r="A416" t="s">
        <v>13</v>
      </c>
      <c r="B416" t="s">
        <v>13</v>
      </c>
      <c r="C416" t="str">
        <f t="shared" si="12"/>
        <v>AuburnAuburn</v>
      </c>
      <c r="D416" t="s">
        <v>13</v>
      </c>
      <c r="E416">
        <v>41.2</v>
      </c>
      <c r="F416" s="1">
        <v>2.3283018867924499</v>
      </c>
      <c r="G416" s="2">
        <v>142.64273539779199</v>
      </c>
      <c r="H416" s="1">
        <v>138.77771517530499</v>
      </c>
      <c r="I416" s="1">
        <f t="shared" si="13"/>
        <v>138.77771517530684</v>
      </c>
    </row>
    <row r="417" spans="1:9" x14ac:dyDescent="0.45">
      <c r="A417" t="s">
        <v>14</v>
      </c>
      <c r="B417" t="s">
        <v>13</v>
      </c>
      <c r="C417" t="str">
        <f t="shared" si="12"/>
        <v>BaylorAuburn</v>
      </c>
      <c r="D417" t="s">
        <v>13</v>
      </c>
      <c r="E417">
        <v>6.6</v>
      </c>
      <c r="F417" s="1">
        <v>17.377358490565999</v>
      </c>
      <c r="G417" s="2">
        <v>1416.48461543493</v>
      </c>
      <c r="H417" s="1">
        <v>137.240632536486</v>
      </c>
      <c r="I417" s="1">
        <f t="shared" si="13"/>
        <v>117.19443792103607</v>
      </c>
    </row>
    <row r="418" spans="1:9" x14ac:dyDescent="0.45">
      <c r="A418" t="s">
        <v>15</v>
      </c>
      <c r="B418" t="s">
        <v>13</v>
      </c>
      <c r="C418" t="str">
        <f t="shared" si="12"/>
        <v>BryantAuburn</v>
      </c>
      <c r="D418" t="s">
        <v>13</v>
      </c>
      <c r="E418">
        <v>0.3</v>
      </c>
      <c r="F418" s="1">
        <v>37.449056603773599</v>
      </c>
      <c r="G418" s="2">
        <v>30263.814956227201</v>
      </c>
      <c r="H418" s="1">
        <v>136.83295241213199</v>
      </c>
      <c r="I418" s="1">
        <f t="shared" si="13"/>
        <v>111.4699095627241</v>
      </c>
    </row>
    <row r="419" spans="1:9" x14ac:dyDescent="0.45">
      <c r="A419" t="s">
        <v>16</v>
      </c>
      <c r="B419" t="s">
        <v>13</v>
      </c>
      <c r="C419" t="str">
        <f t="shared" si="12"/>
        <v>BYUAuburn</v>
      </c>
      <c r="D419" t="s">
        <v>13</v>
      </c>
      <c r="E419">
        <v>7.7</v>
      </c>
      <c r="F419" s="1">
        <v>16.2830188679245</v>
      </c>
      <c r="G419" s="2">
        <v>1198.6768555146</v>
      </c>
      <c r="H419" s="1">
        <v>137.002993086575</v>
      </c>
      <c r="I419" s="1">
        <f t="shared" si="13"/>
        <v>113.85757235216698</v>
      </c>
    </row>
    <row r="420" spans="1:9" x14ac:dyDescent="0.45">
      <c r="A420" t="s">
        <v>17</v>
      </c>
      <c r="B420" t="s">
        <v>13</v>
      </c>
      <c r="C420" t="str">
        <f t="shared" si="12"/>
        <v>ClemsonAuburn</v>
      </c>
      <c r="D420" t="s">
        <v>13</v>
      </c>
      <c r="E420">
        <v>10.5</v>
      </c>
      <c r="F420" s="1">
        <v>14.079245283018899</v>
      </c>
      <c r="G420" s="2">
        <v>856.36903228174197</v>
      </c>
      <c r="H420" s="1">
        <v>137.35304330901701</v>
      </c>
      <c r="I420" s="1">
        <f t="shared" si="13"/>
        <v>118.77287801828916</v>
      </c>
    </row>
    <row r="421" spans="1:9" x14ac:dyDescent="0.45">
      <c r="A421" t="s">
        <v>18</v>
      </c>
      <c r="B421" t="s">
        <v>13</v>
      </c>
      <c r="C421" t="str">
        <f t="shared" si="12"/>
        <v>Colorado St.Auburn</v>
      </c>
      <c r="D421" t="s">
        <v>13</v>
      </c>
      <c r="E421">
        <v>1.9</v>
      </c>
      <c r="F421" s="1">
        <v>25.860377358490599</v>
      </c>
      <c r="G421" s="2">
        <v>5166.8380721560397</v>
      </c>
      <c r="H421" s="1">
        <v>136.74265428381099</v>
      </c>
      <c r="I421" s="1">
        <f t="shared" si="13"/>
        <v>110.20196892643455</v>
      </c>
    </row>
    <row r="422" spans="1:9" x14ac:dyDescent="0.45">
      <c r="A422" t="s">
        <v>19</v>
      </c>
      <c r="B422" t="s">
        <v>13</v>
      </c>
      <c r="C422" t="str">
        <f t="shared" si="12"/>
        <v>ConnecticutAuburn</v>
      </c>
      <c r="D422" t="s">
        <v>13</v>
      </c>
      <c r="E422">
        <v>15.4</v>
      </c>
      <c r="F422" s="1">
        <v>11.1849056603774</v>
      </c>
      <c r="G422" s="2">
        <v>550.77551564234705</v>
      </c>
      <c r="H422" s="1">
        <v>137.15329413976499</v>
      </c>
      <c r="I422" s="1">
        <f t="shared" si="13"/>
        <v>115.96805699409944</v>
      </c>
    </row>
    <row r="423" spans="1:9" x14ac:dyDescent="0.45">
      <c r="A423" t="s">
        <v>20</v>
      </c>
      <c r="B423" t="s">
        <v>13</v>
      </c>
      <c r="C423" t="str">
        <f t="shared" si="12"/>
        <v>CreightonAuburn</v>
      </c>
      <c r="D423" t="s">
        <v>13</v>
      </c>
      <c r="E423">
        <v>5.3</v>
      </c>
      <c r="F423" s="1">
        <v>18.890566037735901</v>
      </c>
      <c r="G423" s="2">
        <v>1784.8728590927899</v>
      </c>
      <c r="H423" s="1">
        <v>136.70259089260401</v>
      </c>
      <c r="I423" s="1">
        <f t="shared" si="13"/>
        <v>109.6394101814922</v>
      </c>
    </row>
    <row r="424" spans="1:9" x14ac:dyDescent="0.45">
      <c r="A424" t="s">
        <v>21</v>
      </c>
      <c r="B424" t="s">
        <v>13</v>
      </c>
      <c r="C424" t="str">
        <f t="shared" si="12"/>
        <v>DrakeAuburn</v>
      </c>
      <c r="D424" t="s">
        <v>13</v>
      </c>
      <c r="E424">
        <v>1.8</v>
      </c>
      <c r="F424" s="1">
        <v>26.0641509433962</v>
      </c>
      <c r="G424" s="2">
        <v>5330.8317921871803</v>
      </c>
      <c r="H424" s="1">
        <v>136.93726669827899</v>
      </c>
      <c r="I424" s="1">
        <f t="shared" si="13"/>
        <v>112.93466110088599</v>
      </c>
    </row>
    <row r="425" spans="1:9" x14ac:dyDescent="0.45">
      <c r="A425" t="s">
        <v>22</v>
      </c>
      <c r="B425" t="s">
        <v>13</v>
      </c>
      <c r="C425" t="str">
        <f t="shared" si="12"/>
        <v>DukeAuburn</v>
      </c>
      <c r="D425" t="s">
        <v>13</v>
      </c>
      <c r="E425">
        <v>49.6</v>
      </c>
      <c r="F425" s="1">
        <v>0.113207547169811</v>
      </c>
      <c r="G425" s="2">
        <v>101.751906008969</v>
      </c>
      <c r="H425" s="1">
        <v>139.01760658688099</v>
      </c>
      <c r="I425" s="1">
        <f t="shared" si="13"/>
        <v>142.14620214939779</v>
      </c>
    </row>
    <row r="426" spans="1:9" x14ac:dyDescent="0.45">
      <c r="A426" t="s">
        <v>23</v>
      </c>
      <c r="B426" t="s">
        <v>13</v>
      </c>
      <c r="C426" t="str">
        <f t="shared" si="12"/>
        <v>FloridaAuburn</v>
      </c>
      <c r="D426" t="s">
        <v>13</v>
      </c>
      <c r="E426">
        <v>35.299999999999997</v>
      </c>
      <c r="F426" s="1">
        <v>3.9698113207547201</v>
      </c>
      <c r="G426" s="2">
        <v>183.26296693266099</v>
      </c>
      <c r="H426" s="1">
        <v>138.75225711443599</v>
      </c>
      <c r="I426" s="1">
        <f t="shared" si="13"/>
        <v>138.42024032508417</v>
      </c>
    </row>
    <row r="427" spans="1:9" x14ac:dyDescent="0.45">
      <c r="A427" t="s">
        <v>24</v>
      </c>
      <c r="B427" t="s">
        <v>13</v>
      </c>
      <c r="C427" t="str">
        <f t="shared" si="12"/>
        <v>GeorgiaAuburn</v>
      </c>
      <c r="D427" t="s">
        <v>13</v>
      </c>
      <c r="E427">
        <v>2.1</v>
      </c>
      <c r="F427" s="1">
        <v>25.033962264150901</v>
      </c>
      <c r="G427" s="2">
        <v>4553.97069142697</v>
      </c>
      <c r="H427" s="1">
        <v>136.016215410721</v>
      </c>
      <c r="I427" s="1">
        <f t="shared" si="13"/>
        <v>100.001520876206</v>
      </c>
    </row>
    <row r="428" spans="1:9" x14ac:dyDescent="0.45">
      <c r="A428" t="s">
        <v>25</v>
      </c>
      <c r="B428" t="s">
        <v>13</v>
      </c>
      <c r="C428" t="str">
        <f t="shared" si="12"/>
        <v>GonzagaAuburn</v>
      </c>
      <c r="D428" t="s">
        <v>13</v>
      </c>
      <c r="E428">
        <v>10</v>
      </c>
      <c r="F428" s="1">
        <v>14.4037735849057</v>
      </c>
      <c r="G428" s="2">
        <v>899.81118765314</v>
      </c>
      <c r="H428" s="1">
        <v>137.993177141226</v>
      </c>
      <c r="I428" s="1">
        <f t="shared" si="13"/>
        <v>127.76145523039084</v>
      </c>
    </row>
    <row r="429" spans="1:9" x14ac:dyDescent="0.45">
      <c r="A429" t="s">
        <v>26</v>
      </c>
      <c r="B429" t="s">
        <v>13</v>
      </c>
      <c r="C429" t="str">
        <f t="shared" si="12"/>
        <v>Grand CanyonAuburn</v>
      </c>
      <c r="D429" t="s">
        <v>13</v>
      </c>
      <c r="E429">
        <v>1.2</v>
      </c>
      <c r="F429" s="1">
        <v>28.954716981132101</v>
      </c>
      <c r="G429" s="2">
        <v>8281.9046008523492</v>
      </c>
      <c r="H429" s="1">
        <v>136.81114885876599</v>
      </c>
      <c r="I429" s="1">
        <f t="shared" si="13"/>
        <v>111.16375026748398</v>
      </c>
    </row>
    <row r="430" spans="1:9" x14ac:dyDescent="0.45">
      <c r="A430" t="s">
        <v>27</v>
      </c>
      <c r="B430" t="s">
        <v>13</v>
      </c>
      <c r="C430" t="str">
        <f t="shared" si="12"/>
        <v>High PointAuburn</v>
      </c>
      <c r="D430" t="s">
        <v>13</v>
      </c>
      <c r="E430">
        <v>0.7</v>
      </c>
      <c r="F430" s="1">
        <v>32.041509433962297</v>
      </c>
      <c r="G430" s="2">
        <v>13268.2084170424</v>
      </c>
      <c r="H430" s="1">
        <v>137.00235599231399</v>
      </c>
      <c r="I430" s="1">
        <f t="shared" si="13"/>
        <v>113.8486264557492</v>
      </c>
    </row>
    <row r="431" spans="1:9" x14ac:dyDescent="0.45">
      <c r="A431" t="s">
        <v>28</v>
      </c>
      <c r="B431" t="s">
        <v>13</v>
      </c>
      <c r="C431" t="str">
        <f t="shared" si="12"/>
        <v>HoustonAuburn</v>
      </c>
      <c r="D431" t="s">
        <v>28</v>
      </c>
      <c r="E431">
        <v>62.1</v>
      </c>
      <c r="F431" s="1">
        <v>-3.2415094339622601</v>
      </c>
      <c r="G431" s="2">
        <v>-163.94101040898201</v>
      </c>
      <c r="H431" s="1">
        <v>139.11581834951701</v>
      </c>
      <c r="I431" s="1">
        <f t="shared" si="13"/>
        <v>143.52526378803077</v>
      </c>
    </row>
    <row r="432" spans="1:9" x14ac:dyDescent="0.45">
      <c r="A432" t="s">
        <v>29</v>
      </c>
      <c r="B432" t="s">
        <v>13</v>
      </c>
      <c r="C432" t="str">
        <f t="shared" si="12"/>
        <v>IllinoisAuburn</v>
      </c>
      <c r="D432" t="s">
        <v>13</v>
      </c>
      <c r="E432">
        <v>13.9</v>
      </c>
      <c r="F432" s="1">
        <v>11.9471698113208</v>
      </c>
      <c r="G432" s="2">
        <v>618.76533105106603</v>
      </c>
      <c r="H432" s="1">
        <v>137.17428212447899</v>
      </c>
      <c r="I432" s="1">
        <f t="shared" si="13"/>
        <v>116.26276430628317</v>
      </c>
    </row>
    <row r="433" spans="1:9" x14ac:dyDescent="0.45">
      <c r="A433" t="s">
        <v>30</v>
      </c>
      <c r="B433" t="s">
        <v>13</v>
      </c>
      <c r="C433" t="str">
        <f t="shared" si="12"/>
        <v>Iowa St.Auburn</v>
      </c>
      <c r="D433" t="s">
        <v>13</v>
      </c>
      <c r="E433">
        <v>25.3</v>
      </c>
      <c r="F433" s="1">
        <v>7.0867924528301902</v>
      </c>
      <c r="G433" s="2">
        <v>294.76092670637001</v>
      </c>
      <c r="H433" s="1">
        <v>138.07082441606499</v>
      </c>
      <c r="I433" s="1">
        <f t="shared" si="13"/>
        <v>128.8517561801018</v>
      </c>
    </row>
    <row r="434" spans="1:9" x14ac:dyDescent="0.45">
      <c r="A434" t="s">
        <v>31</v>
      </c>
      <c r="B434" t="s">
        <v>13</v>
      </c>
      <c r="C434" t="str">
        <f t="shared" si="12"/>
        <v>KansasAuburn</v>
      </c>
      <c r="D434" t="s">
        <v>13</v>
      </c>
      <c r="E434">
        <v>9.5</v>
      </c>
      <c r="F434" s="1">
        <v>14.8037735849057</v>
      </c>
      <c r="G434" s="2">
        <v>956.46889063717799</v>
      </c>
      <c r="H434" s="1">
        <v>137.12141230491901</v>
      </c>
      <c r="I434" s="1">
        <f t="shared" si="13"/>
        <v>115.52038133667052</v>
      </c>
    </row>
    <row r="435" spans="1:9" x14ac:dyDescent="0.45">
      <c r="A435" t="s">
        <v>32</v>
      </c>
      <c r="B435" t="s">
        <v>13</v>
      </c>
      <c r="C435" t="str">
        <f t="shared" si="12"/>
        <v>KentuckyAuburn</v>
      </c>
      <c r="D435" t="s">
        <v>13</v>
      </c>
      <c r="E435">
        <v>14.9</v>
      </c>
      <c r="F435" s="1">
        <v>11.437735849056599</v>
      </c>
      <c r="G435" s="2">
        <v>572.51241163132795</v>
      </c>
      <c r="H435" s="1">
        <v>137.05569463704401</v>
      </c>
      <c r="I435" s="1">
        <f t="shared" si="13"/>
        <v>114.59759253506135</v>
      </c>
    </row>
    <row r="436" spans="1:9" x14ac:dyDescent="0.45">
      <c r="A436" t="s">
        <v>33</v>
      </c>
      <c r="B436" t="s">
        <v>13</v>
      </c>
      <c r="C436" t="str">
        <f t="shared" si="12"/>
        <v>LibertyAuburn</v>
      </c>
      <c r="D436" t="s">
        <v>13</v>
      </c>
      <c r="E436">
        <v>0.5</v>
      </c>
      <c r="F436" s="1">
        <v>34.422641509434001</v>
      </c>
      <c r="G436" s="2">
        <v>19081.513600975799</v>
      </c>
      <c r="H436" s="1">
        <v>136.400695680762</v>
      </c>
      <c r="I436" s="1">
        <f t="shared" si="13"/>
        <v>105.40028347850026</v>
      </c>
    </row>
    <row r="437" spans="1:9" x14ac:dyDescent="0.45">
      <c r="A437" t="s">
        <v>34</v>
      </c>
      <c r="B437" t="s">
        <v>13</v>
      </c>
      <c r="C437" t="str">
        <f t="shared" si="12"/>
        <v>LipscombAuburn</v>
      </c>
      <c r="D437" t="s">
        <v>13</v>
      </c>
      <c r="E437">
        <v>0.4</v>
      </c>
      <c r="F437" s="1">
        <v>36.2905660377359</v>
      </c>
      <c r="G437" s="2">
        <v>25363.613220596901</v>
      </c>
      <c r="H437" s="1">
        <v>136.80701387835401</v>
      </c>
      <c r="I437" s="1">
        <f t="shared" si="13"/>
        <v>111.10568804856436</v>
      </c>
    </row>
    <row r="438" spans="1:9" x14ac:dyDescent="0.45">
      <c r="A438" t="s">
        <v>35</v>
      </c>
      <c r="B438" t="s">
        <v>13</v>
      </c>
      <c r="C438" t="str">
        <f t="shared" si="12"/>
        <v>LouisvilleAuburn</v>
      </c>
      <c r="D438" t="s">
        <v>13</v>
      </c>
      <c r="E438">
        <v>1</v>
      </c>
      <c r="F438" s="1">
        <v>30.2415094339623</v>
      </c>
      <c r="G438" s="2">
        <v>10080.296041854899</v>
      </c>
      <c r="H438" s="1">
        <v>136.052375884171</v>
      </c>
      <c r="I438" s="1">
        <f t="shared" si="13"/>
        <v>100.50927596002937</v>
      </c>
    </row>
    <row r="439" spans="1:9" x14ac:dyDescent="0.45">
      <c r="A439" t="s">
        <v>36</v>
      </c>
      <c r="B439" t="s">
        <v>13</v>
      </c>
      <c r="C439" t="str">
        <f t="shared" si="12"/>
        <v>MarquetteAuburn</v>
      </c>
      <c r="D439" t="s">
        <v>13</v>
      </c>
      <c r="E439">
        <v>11.8</v>
      </c>
      <c r="F439" s="1">
        <v>13.1735849056604</v>
      </c>
      <c r="G439" s="2">
        <v>745.98481870937405</v>
      </c>
      <c r="H439" s="1">
        <v>137.31450972763301</v>
      </c>
      <c r="I439" s="1">
        <f t="shared" si="13"/>
        <v>118.23180042778959</v>
      </c>
    </row>
    <row r="440" spans="1:9" x14ac:dyDescent="0.45">
      <c r="A440" t="s">
        <v>37</v>
      </c>
      <c r="B440" t="s">
        <v>13</v>
      </c>
      <c r="C440" t="str">
        <f t="shared" si="12"/>
        <v>MarylandAuburn</v>
      </c>
      <c r="D440" t="s">
        <v>13</v>
      </c>
      <c r="E440">
        <v>7.6</v>
      </c>
      <c r="F440" s="1">
        <v>16.339622641509401</v>
      </c>
      <c r="G440" s="2">
        <v>1209.3828928814501</v>
      </c>
      <c r="H440" s="1">
        <v>136.772879326176</v>
      </c>
      <c r="I440" s="1">
        <f t="shared" si="13"/>
        <v>110.62638037505204</v>
      </c>
    </row>
    <row r="441" spans="1:9" x14ac:dyDescent="0.45">
      <c r="A441" t="s">
        <v>38</v>
      </c>
      <c r="B441" t="s">
        <v>13</v>
      </c>
      <c r="C441" t="str">
        <f t="shared" si="12"/>
        <v>McNeese St.Auburn</v>
      </c>
      <c r="D441" t="s">
        <v>13</v>
      </c>
      <c r="E441">
        <v>1.9</v>
      </c>
      <c r="F441" s="1">
        <v>25.883018867924498</v>
      </c>
      <c r="G441" s="2">
        <v>5183.6240324741702</v>
      </c>
      <c r="H441" s="1">
        <v>137.36611473914101</v>
      </c>
      <c r="I441" s="1">
        <f t="shared" si="13"/>
        <v>118.95642332245896</v>
      </c>
    </row>
    <row r="442" spans="1:9" x14ac:dyDescent="0.45">
      <c r="A442" t="s">
        <v>39</v>
      </c>
      <c r="B442" t="s">
        <v>13</v>
      </c>
      <c r="C442" t="str">
        <f t="shared" si="12"/>
        <v>MemphisAuburn</v>
      </c>
      <c r="D442" t="s">
        <v>13</v>
      </c>
      <c r="E442">
        <v>4.4000000000000004</v>
      </c>
      <c r="F442" s="1">
        <v>20.1056603773585</v>
      </c>
      <c r="G442" s="2">
        <v>2147.6533696504498</v>
      </c>
      <c r="H442" s="1">
        <v>135.900396565666</v>
      </c>
      <c r="I442" s="1">
        <f t="shared" si="13"/>
        <v>98.375225593857209</v>
      </c>
    </row>
    <row r="443" spans="1:9" x14ac:dyDescent="0.45">
      <c r="A443" t="s">
        <v>40</v>
      </c>
      <c r="B443" t="s">
        <v>13</v>
      </c>
      <c r="C443" t="str">
        <f t="shared" si="12"/>
        <v>MichiganAuburn</v>
      </c>
      <c r="D443" t="s">
        <v>13</v>
      </c>
      <c r="E443">
        <v>2.2000000000000002</v>
      </c>
      <c r="F443" s="1">
        <v>24.728301886792501</v>
      </c>
      <c r="G443" s="2">
        <v>4348.6937270715998</v>
      </c>
      <c r="H443" s="1">
        <v>135.463017862583</v>
      </c>
      <c r="I443" s="1">
        <f t="shared" si="13"/>
        <v>92.233678239573791</v>
      </c>
    </row>
    <row r="444" spans="1:9" x14ac:dyDescent="0.45">
      <c r="A444" t="s">
        <v>41</v>
      </c>
      <c r="B444" t="s">
        <v>13</v>
      </c>
      <c r="C444" t="str">
        <f t="shared" si="12"/>
        <v>Michigan St.Auburn</v>
      </c>
      <c r="D444" t="s">
        <v>13</v>
      </c>
      <c r="E444">
        <v>17.899999999999999</v>
      </c>
      <c r="F444" s="1">
        <v>9.9849056603773594</v>
      </c>
      <c r="G444" s="2">
        <v>458.56793156870998</v>
      </c>
      <c r="H444" s="1">
        <v>137.11009757178999</v>
      </c>
      <c r="I444" s="1">
        <f t="shared" si="13"/>
        <v>115.36150307208405</v>
      </c>
    </row>
    <row r="445" spans="1:9" x14ac:dyDescent="0.45">
      <c r="A445" t="s">
        <v>42</v>
      </c>
      <c r="B445" t="s">
        <v>13</v>
      </c>
      <c r="C445" t="str">
        <f t="shared" si="12"/>
        <v>MississippiAuburn</v>
      </c>
      <c r="D445" t="s">
        <v>13</v>
      </c>
      <c r="E445">
        <v>5.6</v>
      </c>
      <c r="F445" s="1">
        <v>18.479245283018901</v>
      </c>
      <c r="G445" s="2">
        <v>1676.00417304648</v>
      </c>
      <c r="H445" s="1">
        <v>136.37778892167901</v>
      </c>
      <c r="I445" s="1">
        <f t="shared" si="13"/>
        <v>105.07863328234376</v>
      </c>
    </row>
    <row r="446" spans="1:9" x14ac:dyDescent="0.45">
      <c r="A446" t="s">
        <v>43</v>
      </c>
      <c r="B446" t="s">
        <v>13</v>
      </c>
      <c r="C446" t="str">
        <f t="shared" si="12"/>
        <v>Mississippi St.Auburn</v>
      </c>
      <c r="D446" t="s">
        <v>13</v>
      </c>
      <c r="E446">
        <v>4.4000000000000004</v>
      </c>
      <c r="F446" s="1">
        <v>20.203773584905701</v>
      </c>
      <c r="G446" s="2">
        <v>2179.9795102574299</v>
      </c>
      <c r="H446" s="1">
        <v>136.517535394356</v>
      </c>
      <c r="I446" s="1">
        <f t="shared" si="13"/>
        <v>107.04091350652958</v>
      </c>
    </row>
    <row r="447" spans="1:9" x14ac:dyDescent="0.45">
      <c r="A447" t="s">
        <v>44</v>
      </c>
      <c r="B447" t="s">
        <v>13</v>
      </c>
      <c r="C447" t="str">
        <f t="shared" si="12"/>
        <v>MissouriAuburn</v>
      </c>
      <c r="D447" t="s">
        <v>13</v>
      </c>
      <c r="E447">
        <v>2.1</v>
      </c>
      <c r="F447" s="1">
        <v>25.135849056603799</v>
      </c>
      <c r="G447" s="2">
        <v>4627.3323552634001</v>
      </c>
      <c r="H447" s="1">
        <v>135.93519729300201</v>
      </c>
      <c r="I447" s="1">
        <f t="shared" si="13"/>
        <v>98.863887509471851</v>
      </c>
    </row>
    <row r="448" spans="1:9" x14ac:dyDescent="0.45">
      <c r="A448" t="s">
        <v>45</v>
      </c>
      <c r="B448" t="s">
        <v>13</v>
      </c>
      <c r="C448" t="str">
        <f t="shared" si="12"/>
        <v>MontanaAuburn</v>
      </c>
      <c r="D448" t="s">
        <v>13</v>
      </c>
      <c r="E448">
        <v>0.2</v>
      </c>
      <c r="F448" s="1">
        <v>40.943396226415103</v>
      </c>
      <c r="G448" s="2">
        <v>51579.417850004298</v>
      </c>
      <c r="H448" s="1">
        <v>135.07190885640799</v>
      </c>
      <c r="I448" s="1">
        <f t="shared" si="13"/>
        <v>86.741836809757388</v>
      </c>
    </row>
    <row r="449" spans="1:9" x14ac:dyDescent="0.45">
      <c r="A449" t="s">
        <v>46</v>
      </c>
      <c r="B449" t="s">
        <v>13</v>
      </c>
      <c r="C449" t="str">
        <f t="shared" si="12"/>
        <v>Mount St. Mary'sAuburn</v>
      </c>
      <c r="D449" t="s">
        <v>13</v>
      </c>
      <c r="E449">
        <v>0.1</v>
      </c>
      <c r="F449" s="1">
        <v>47.275471698113201</v>
      </c>
      <c r="G449" s="2">
        <v>135550.32858176099</v>
      </c>
      <c r="H449" s="1">
        <v>136.375196810559</v>
      </c>
      <c r="I449" s="1">
        <f t="shared" si="13"/>
        <v>105.04223559521614</v>
      </c>
    </row>
    <row r="450" spans="1:9" x14ac:dyDescent="0.45">
      <c r="A450" t="s">
        <v>47</v>
      </c>
      <c r="B450" t="s">
        <v>13</v>
      </c>
      <c r="C450" t="str">
        <f t="shared" si="12"/>
        <v>Nebraska OmahaAuburn</v>
      </c>
      <c r="D450" t="s">
        <v>13</v>
      </c>
      <c r="E450">
        <v>0.1</v>
      </c>
      <c r="F450" s="1">
        <v>45.086792452830203</v>
      </c>
      <c r="G450" s="2">
        <v>97050.561700806196</v>
      </c>
      <c r="H450" s="1">
        <v>135.792972942662</v>
      </c>
      <c r="I450" s="1">
        <f t="shared" si="13"/>
        <v>96.86681363187256</v>
      </c>
    </row>
    <row r="451" spans="1:9" x14ac:dyDescent="0.45">
      <c r="A451" t="s">
        <v>48</v>
      </c>
      <c r="B451" t="s">
        <v>13</v>
      </c>
      <c r="C451" t="str">
        <f t="shared" ref="C451:C514" si="14">A451&amp;B451</f>
        <v>New MexicoAuburn</v>
      </c>
      <c r="D451" t="s">
        <v>13</v>
      </c>
      <c r="E451">
        <v>2.4</v>
      </c>
      <c r="F451" s="1">
        <v>24.256603773584899</v>
      </c>
      <c r="G451" s="2">
        <v>4044.9658520974999</v>
      </c>
      <c r="H451" s="1">
        <v>136.56296287447901</v>
      </c>
      <c r="I451" s="1">
        <f t="shared" ref="I451:I514" si="15">18*(H451-AVERAGE($H$2:$H$4625))/_xlfn.STDEV.P($H$2:$H$4625)+AVERAGE($H$2:$H$4625)</f>
        <v>107.67879326243596</v>
      </c>
    </row>
    <row r="452" spans="1:9" x14ac:dyDescent="0.45">
      <c r="A452" t="s">
        <v>49</v>
      </c>
      <c r="B452" t="s">
        <v>13</v>
      </c>
      <c r="C452" t="str">
        <f t="shared" si="14"/>
        <v>Norfolk St.Auburn</v>
      </c>
      <c r="D452" t="s">
        <v>13</v>
      </c>
      <c r="E452">
        <v>0.1</v>
      </c>
      <c r="F452" s="1">
        <v>42.822641509434</v>
      </c>
      <c r="G452" s="2">
        <v>68698.177674373699</v>
      </c>
      <c r="H452" s="1">
        <v>135.59908863844299</v>
      </c>
      <c r="I452" s="1">
        <f t="shared" si="15"/>
        <v>94.144345374456307</v>
      </c>
    </row>
    <row r="453" spans="1:9" x14ac:dyDescent="0.45">
      <c r="A453" t="s">
        <v>50</v>
      </c>
      <c r="B453" t="s">
        <v>13</v>
      </c>
      <c r="C453" t="str">
        <f t="shared" si="14"/>
        <v>North CarolinaAuburn</v>
      </c>
      <c r="D453" t="s">
        <v>13</v>
      </c>
      <c r="E453">
        <v>7.8</v>
      </c>
      <c r="F453" s="1">
        <v>16.203773584905701</v>
      </c>
      <c r="G453" s="2">
        <v>1184.5621592226901</v>
      </c>
      <c r="H453" s="1">
        <v>137.67269459291299</v>
      </c>
      <c r="I453" s="1">
        <f t="shared" si="15"/>
        <v>123.26133043507754</v>
      </c>
    </row>
    <row r="454" spans="1:9" x14ac:dyDescent="0.45">
      <c r="A454" t="s">
        <v>51</v>
      </c>
      <c r="B454" t="s">
        <v>13</v>
      </c>
      <c r="C454" t="str">
        <f t="shared" si="14"/>
        <v>OklahomaAuburn</v>
      </c>
      <c r="D454" t="s">
        <v>13</v>
      </c>
      <c r="E454">
        <v>2.9</v>
      </c>
      <c r="F454" s="1">
        <v>23.086792452830199</v>
      </c>
      <c r="G454" s="2">
        <v>3384.81607544498</v>
      </c>
      <c r="H454" s="1">
        <v>136.09631771908701</v>
      </c>
      <c r="I454" s="1">
        <f t="shared" si="15"/>
        <v>101.12629470846986</v>
      </c>
    </row>
    <row r="455" spans="1:9" x14ac:dyDescent="0.45">
      <c r="A455" t="s">
        <v>52</v>
      </c>
      <c r="B455" t="s">
        <v>13</v>
      </c>
      <c r="C455" t="str">
        <f t="shared" si="14"/>
        <v>OregonAuburn</v>
      </c>
      <c r="D455" t="s">
        <v>13</v>
      </c>
      <c r="E455">
        <v>7.7</v>
      </c>
      <c r="F455" s="1">
        <v>16.320754716981099</v>
      </c>
      <c r="G455" s="2">
        <v>1205.7820907682001</v>
      </c>
      <c r="H455" s="1">
        <v>136.38703511061601</v>
      </c>
      <c r="I455" s="1">
        <f t="shared" si="15"/>
        <v>105.20846563769842</v>
      </c>
    </row>
    <row r="456" spans="1:9" x14ac:dyDescent="0.45">
      <c r="A456" t="s">
        <v>53</v>
      </c>
      <c r="B456" t="s">
        <v>13</v>
      </c>
      <c r="C456" t="str">
        <f t="shared" si="14"/>
        <v>PurdueAuburn</v>
      </c>
      <c r="D456" t="s">
        <v>13</v>
      </c>
      <c r="E456">
        <v>32</v>
      </c>
      <c r="F456" s="1">
        <v>4.9471698113207498</v>
      </c>
      <c r="G456" s="2">
        <v>212.74982384225001</v>
      </c>
      <c r="H456" s="1">
        <v>137.87512231041401</v>
      </c>
      <c r="I456" s="1">
        <f t="shared" si="15"/>
        <v>126.10376287197681</v>
      </c>
    </row>
    <row r="457" spans="1:9" x14ac:dyDescent="0.45">
      <c r="A457" t="s">
        <v>54</v>
      </c>
      <c r="B457" t="s">
        <v>13</v>
      </c>
      <c r="C457" t="str">
        <f t="shared" si="14"/>
        <v>Robert MorrisAuburn</v>
      </c>
      <c r="D457" t="s">
        <v>13</v>
      </c>
      <c r="E457">
        <v>0.1</v>
      </c>
      <c r="F457" s="1">
        <v>48.8377358490566</v>
      </c>
      <c r="G457" s="2">
        <v>171990.36162965401</v>
      </c>
      <c r="H457" s="1">
        <v>134.958087639101</v>
      </c>
      <c r="I457" s="1">
        <f t="shared" si="15"/>
        <v>85.143591648103012</v>
      </c>
    </row>
    <row r="458" spans="1:9" x14ac:dyDescent="0.45">
      <c r="A458" t="s">
        <v>55</v>
      </c>
      <c r="B458" t="s">
        <v>13</v>
      </c>
      <c r="C458" t="str">
        <f t="shared" si="14"/>
        <v>Saint FrancisAuburn</v>
      </c>
      <c r="D458" t="s">
        <v>13</v>
      </c>
      <c r="E458">
        <v>0</v>
      </c>
      <c r="F458" s="1">
        <v>52.2</v>
      </c>
      <c r="G458" s="2">
        <v>287267.37381266803</v>
      </c>
      <c r="H458" s="1">
        <v>135.664935521144</v>
      </c>
      <c r="I458" s="1">
        <f t="shared" si="15"/>
        <v>95.06894857390256</v>
      </c>
    </row>
    <row r="459" spans="1:9" x14ac:dyDescent="0.45">
      <c r="A459" t="s">
        <v>56</v>
      </c>
      <c r="B459" t="s">
        <v>13</v>
      </c>
      <c r="C459" t="str">
        <f t="shared" si="14"/>
        <v>Saint Mary'sAuburn</v>
      </c>
      <c r="D459" t="s">
        <v>13</v>
      </c>
      <c r="E459">
        <v>7.5</v>
      </c>
      <c r="F459" s="1">
        <v>16.464150943396199</v>
      </c>
      <c r="G459" s="2">
        <v>1232.59990287856</v>
      </c>
      <c r="H459" s="1">
        <v>137.39414163708599</v>
      </c>
      <c r="I459" s="1">
        <f t="shared" si="15"/>
        <v>119.34996905230241</v>
      </c>
    </row>
    <row r="460" spans="1:9" x14ac:dyDescent="0.45">
      <c r="A460" t="s">
        <v>57</v>
      </c>
      <c r="B460" t="s">
        <v>13</v>
      </c>
      <c r="C460" t="str">
        <f t="shared" si="14"/>
        <v>San Diego St.Auburn</v>
      </c>
      <c r="D460" t="s">
        <v>13</v>
      </c>
      <c r="E460">
        <v>2.5</v>
      </c>
      <c r="F460" s="1">
        <v>24.139622641509401</v>
      </c>
      <c r="G460" s="2">
        <v>3973.9435643582801</v>
      </c>
      <c r="H460" s="1">
        <v>136.60884080011499</v>
      </c>
      <c r="I460" s="1">
        <f t="shared" si="15"/>
        <v>108.32299804612472</v>
      </c>
    </row>
    <row r="461" spans="1:9" x14ac:dyDescent="0.45">
      <c r="A461" t="s">
        <v>58</v>
      </c>
      <c r="B461" t="s">
        <v>13</v>
      </c>
      <c r="C461" t="str">
        <f t="shared" si="14"/>
        <v>SIU EdwardsvilleAuburn</v>
      </c>
      <c r="D461" t="s">
        <v>13</v>
      </c>
      <c r="E461">
        <v>0.1</v>
      </c>
      <c r="F461" s="1">
        <v>44.1132075471698</v>
      </c>
      <c r="G461" s="2">
        <v>83656.939940669399</v>
      </c>
      <c r="H461" s="1">
        <v>136.66809898029899</v>
      </c>
      <c r="I461" s="1">
        <f t="shared" si="15"/>
        <v>109.15508455871299</v>
      </c>
    </row>
    <row r="462" spans="1:9" x14ac:dyDescent="0.45">
      <c r="A462" t="s">
        <v>59</v>
      </c>
      <c r="B462" t="s">
        <v>13</v>
      </c>
      <c r="C462" t="str">
        <f t="shared" si="14"/>
        <v>St. John'sAuburn</v>
      </c>
      <c r="D462" t="s">
        <v>13</v>
      </c>
      <c r="E462">
        <v>19.100000000000001</v>
      </c>
      <c r="F462" s="1">
        <v>9.48301886792453</v>
      </c>
      <c r="G462" s="2">
        <v>424.78823490186301</v>
      </c>
      <c r="H462" s="1">
        <v>137.487555428853</v>
      </c>
      <c r="I462" s="1">
        <f t="shared" si="15"/>
        <v>120.66165894857834</v>
      </c>
    </row>
    <row r="463" spans="1:9" x14ac:dyDescent="0.45">
      <c r="A463" t="s">
        <v>60</v>
      </c>
      <c r="B463" t="s">
        <v>13</v>
      </c>
      <c r="C463" t="str">
        <f t="shared" si="14"/>
        <v>TennesseeAuburn</v>
      </c>
      <c r="D463" t="s">
        <v>13</v>
      </c>
      <c r="E463">
        <v>34.299999999999997</v>
      </c>
      <c r="F463" s="1">
        <v>4.2641509433962304</v>
      </c>
      <c r="G463" s="2">
        <v>191.696854766618</v>
      </c>
      <c r="H463" s="1">
        <v>138.28078780298799</v>
      </c>
      <c r="I463" s="1">
        <f t="shared" si="15"/>
        <v>131.80000234381271</v>
      </c>
    </row>
    <row r="464" spans="1:9" x14ac:dyDescent="0.45">
      <c r="A464" t="s">
        <v>61</v>
      </c>
      <c r="B464" t="s">
        <v>13</v>
      </c>
      <c r="C464" t="str">
        <f t="shared" si="14"/>
        <v>TexasAuburn</v>
      </c>
      <c r="D464" t="s">
        <v>13</v>
      </c>
      <c r="E464">
        <v>2</v>
      </c>
      <c r="F464" s="1">
        <v>25.3622641509434</v>
      </c>
      <c r="G464" s="2">
        <v>4789.1651212107599</v>
      </c>
      <c r="H464" s="1">
        <v>135.98066963062601</v>
      </c>
      <c r="I464" s="1">
        <f t="shared" si="15"/>
        <v>99.50239714164934</v>
      </c>
    </row>
    <row r="465" spans="1:9" x14ac:dyDescent="0.45">
      <c r="A465" t="s">
        <v>62</v>
      </c>
      <c r="B465" t="s">
        <v>13</v>
      </c>
      <c r="C465" t="str">
        <f t="shared" si="14"/>
        <v>Texas A&amp;MAuburn</v>
      </c>
      <c r="D465" t="s">
        <v>13</v>
      </c>
      <c r="E465">
        <v>10.6</v>
      </c>
      <c r="F465" s="1">
        <v>13.962264150943399</v>
      </c>
      <c r="G465" s="2">
        <v>841.21214031457998</v>
      </c>
      <c r="H465" s="1">
        <v>136.76764494002299</v>
      </c>
      <c r="I465" s="1">
        <f t="shared" si="15"/>
        <v>110.55288061339766</v>
      </c>
    </row>
    <row r="466" spans="1:9" x14ac:dyDescent="0.45">
      <c r="A466" t="s">
        <v>63</v>
      </c>
      <c r="B466" t="s">
        <v>13</v>
      </c>
      <c r="C466" t="str">
        <f t="shared" si="14"/>
        <v>Texas TechAuburn</v>
      </c>
      <c r="D466" t="s">
        <v>13</v>
      </c>
      <c r="E466">
        <v>18.7</v>
      </c>
      <c r="F466" s="1">
        <v>9.6264150943396203</v>
      </c>
      <c r="G466" s="2">
        <v>434.30026091030197</v>
      </c>
      <c r="H466" s="1">
        <v>137.758157545263</v>
      </c>
      <c r="I466" s="1">
        <f t="shared" si="15"/>
        <v>124.46137690554978</v>
      </c>
    </row>
    <row r="467" spans="1:9" x14ac:dyDescent="0.45">
      <c r="A467" t="s">
        <v>64</v>
      </c>
      <c r="B467" t="s">
        <v>13</v>
      </c>
      <c r="C467" t="str">
        <f t="shared" si="14"/>
        <v>TroyAuburn</v>
      </c>
      <c r="D467" t="s">
        <v>13</v>
      </c>
      <c r="E467">
        <v>0.3</v>
      </c>
      <c r="F467" s="1">
        <v>37.437735849056601</v>
      </c>
      <c r="G467" s="2">
        <v>30208.652560066999</v>
      </c>
      <c r="H467" s="1">
        <v>136.52446213982199</v>
      </c>
      <c r="I467" s="1">
        <f t="shared" si="15"/>
        <v>107.13817689633476</v>
      </c>
    </row>
    <row r="468" spans="1:9" x14ac:dyDescent="0.45">
      <c r="A468" t="s">
        <v>65</v>
      </c>
      <c r="B468" t="s">
        <v>13</v>
      </c>
      <c r="C468" t="str">
        <f t="shared" si="14"/>
        <v>UC San DiegoAuburn</v>
      </c>
      <c r="D468" t="s">
        <v>13</v>
      </c>
      <c r="E468">
        <v>0.8</v>
      </c>
      <c r="F468" s="1">
        <v>31.252830188679201</v>
      </c>
      <c r="G468" s="2">
        <v>11765.3118154205</v>
      </c>
      <c r="H468" s="1">
        <v>136.59458236948399</v>
      </c>
      <c r="I468" s="1">
        <f t="shared" si="15"/>
        <v>108.12278521842914</v>
      </c>
    </row>
    <row r="469" spans="1:9" x14ac:dyDescent="0.45">
      <c r="A469" t="s">
        <v>66</v>
      </c>
      <c r="B469" t="s">
        <v>13</v>
      </c>
      <c r="C469" t="str">
        <f t="shared" si="14"/>
        <v>UCLAAuburn</v>
      </c>
      <c r="D469" t="s">
        <v>13</v>
      </c>
      <c r="E469">
        <v>2.8</v>
      </c>
      <c r="F469" s="1">
        <v>23.154716981132101</v>
      </c>
      <c r="G469" s="2">
        <v>3419.1014736867501</v>
      </c>
      <c r="H469" s="1">
        <v>135.815840948697</v>
      </c>
      <c r="I469" s="1">
        <f t="shared" si="15"/>
        <v>97.187919668750908</v>
      </c>
    </row>
    <row r="470" spans="1:9" x14ac:dyDescent="0.45">
      <c r="A470" t="s">
        <v>67</v>
      </c>
      <c r="B470" t="s">
        <v>13</v>
      </c>
      <c r="C470" t="str">
        <f t="shared" si="14"/>
        <v>UNC WilmingtonAuburn</v>
      </c>
      <c r="D470" t="s">
        <v>13</v>
      </c>
      <c r="E470">
        <v>0.5</v>
      </c>
      <c r="F470" s="1">
        <v>34.845283018867903</v>
      </c>
      <c r="G470" s="2">
        <v>20350.094563233801</v>
      </c>
      <c r="H470" s="1">
        <v>137.13125084014899</v>
      </c>
      <c r="I470" s="1">
        <f t="shared" si="15"/>
        <v>115.65853125020277</v>
      </c>
    </row>
    <row r="471" spans="1:9" x14ac:dyDescent="0.45">
      <c r="A471" t="s">
        <v>68</v>
      </c>
      <c r="B471" t="s">
        <v>13</v>
      </c>
      <c r="C471" t="str">
        <f t="shared" si="14"/>
        <v>Utah St.Auburn</v>
      </c>
      <c r="D471" t="s">
        <v>13</v>
      </c>
      <c r="E471">
        <v>2.7</v>
      </c>
      <c r="F471" s="1">
        <v>23.520754716981099</v>
      </c>
      <c r="G471" s="2">
        <v>3615.1659949500399</v>
      </c>
      <c r="H471" s="1">
        <v>136.678437338728</v>
      </c>
      <c r="I471" s="1">
        <f t="shared" si="15"/>
        <v>109.3002528474517</v>
      </c>
    </row>
    <row r="472" spans="1:9" x14ac:dyDescent="0.45">
      <c r="A472" t="s">
        <v>69</v>
      </c>
      <c r="B472" t="s">
        <v>13</v>
      </c>
      <c r="C472" t="str">
        <f t="shared" si="14"/>
        <v>VanderbiltAuburn</v>
      </c>
      <c r="D472" t="s">
        <v>13</v>
      </c>
      <c r="E472">
        <v>0.5</v>
      </c>
      <c r="F472" s="1">
        <v>34.166037735849102</v>
      </c>
      <c r="G472" s="2">
        <v>18346.245969880601</v>
      </c>
      <c r="H472" s="1">
        <v>135.11247522001099</v>
      </c>
      <c r="I472" s="1">
        <f t="shared" si="15"/>
        <v>87.311458150034809</v>
      </c>
    </row>
    <row r="473" spans="1:9" x14ac:dyDescent="0.45">
      <c r="A473" t="s">
        <v>70</v>
      </c>
      <c r="B473" t="s">
        <v>13</v>
      </c>
      <c r="C473" t="str">
        <f t="shared" si="14"/>
        <v>VCUAuburn</v>
      </c>
      <c r="D473" t="s">
        <v>13</v>
      </c>
      <c r="E473">
        <v>1.7</v>
      </c>
      <c r="F473" s="1">
        <v>26.520754716981099</v>
      </c>
      <c r="G473" s="2">
        <v>5715.1214239070396</v>
      </c>
      <c r="H473" s="1">
        <v>137.03764834920401</v>
      </c>
      <c r="I473" s="1">
        <f t="shared" si="15"/>
        <v>114.34419169373734</v>
      </c>
    </row>
    <row r="474" spans="1:9" x14ac:dyDescent="0.45">
      <c r="A474" t="s">
        <v>71</v>
      </c>
      <c r="B474" t="s">
        <v>13</v>
      </c>
      <c r="C474" t="str">
        <f t="shared" si="14"/>
        <v>WisconsinAuburn</v>
      </c>
      <c r="D474" t="s">
        <v>13</v>
      </c>
      <c r="E474">
        <v>16.600000000000001</v>
      </c>
      <c r="F474" s="1">
        <v>10.569811320754701</v>
      </c>
      <c r="G474" s="2">
        <v>501.34861910078502</v>
      </c>
      <c r="H474" s="1">
        <v>137.69090395753599</v>
      </c>
      <c r="I474" s="1">
        <f t="shared" si="15"/>
        <v>123.5170211542079</v>
      </c>
    </row>
    <row r="475" spans="1:9" x14ac:dyDescent="0.45">
      <c r="A475" t="s">
        <v>80</v>
      </c>
      <c r="B475" t="s">
        <v>13</v>
      </c>
      <c r="C475" t="str">
        <f t="shared" si="14"/>
        <v>WoffordAuburn</v>
      </c>
      <c r="D475" t="s">
        <v>13</v>
      </c>
      <c r="E475">
        <v>0.2</v>
      </c>
      <c r="F475" s="1">
        <v>41.743396226415101</v>
      </c>
      <c r="G475" s="2">
        <v>58267.435835494703</v>
      </c>
      <c r="H475" s="1">
        <v>135.78855238676201</v>
      </c>
      <c r="I475" s="1">
        <f t="shared" si="15"/>
        <v>96.804741443170357</v>
      </c>
    </row>
    <row r="476" spans="1:9" x14ac:dyDescent="0.45">
      <c r="A476" t="s">
        <v>72</v>
      </c>
      <c r="B476" t="s">
        <v>13</v>
      </c>
      <c r="C476" t="str">
        <f t="shared" si="14"/>
        <v>XavierAuburn</v>
      </c>
      <c r="D476" t="s">
        <v>13</v>
      </c>
      <c r="E476">
        <v>1.7</v>
      </c>
      <c r="F476" s="1">
        <v>26.592452830188702</v>
      </c>
      <c r="G476" s="2">
        <v>5779.2495421782996</v>
      </c>
      <c r="H476" s="1">
        <v>136.53135455738399</v>
      </c>
      <c r="I476" s="1">
        <f t="shared" si="15"/>
        <v>107.23495826347526</v>
      </c>
    </row>
    <row r="477" spans="1:9" x14ac:dyDescent="0.45">
      <c r="A477" t="s">
        <v>73</v>
      </c>
      <c r="B477" t="s">
        <v>13</v>
      </c>
      <c r="C477" t="str">
        <f t="shared" si="14"/>
        <v>YaleAuburn</v>
      </c>
      <c r="D477" t="s">
        <v>13</v>
      </c>
      <c r="E477">
        <v>0.9</v>
      </c>
      <c r="F477" s="1">
        <v>30.845283018867899</v>
      </c>
      <c r="G477" s="2">
        <v>11051.390850645699</v>
      </c>
      <c r="H477" s="1">
        <v>137.13106069377801</v>
      </c>
      <c r="I477" s="1">
        <f t="shared" si="15"/>
        <v>115.65586126894075</v>
      </c>
    </row>
    <row r="478" spans="1:9" x14ac:dyDescent="0.45">
      <c r="A478" t="s">
        <v>7</v>
      </c>
      <c r="B478" t="s">
        <v>14</v>
      </c>
      <c r="C478" t="str">
        <f t="shared" si="14"/>
        <v>AkronBaylor</v>
      </c>
      <c r="D478" t="s">
        <v>14</v>
      </c>
      <c r="E478">
        <v>4.5</v>
      </c>
      <c r="F478" s="1">
        <v>20.060377358490602</v>
      </c>
      <c r="G478" s="2">
        <v>2132.6946648592798</v>
      </c>
      <c r="H478" s="1">
        <v>137.48497039317701</v>
      </c>
      <c r="I478" s="1">
        <f t="shared" si="15"/>
        <v>120.62536061282329</v>
      </c>
    </row>
    <row r="479" spans="1:9" x14ac:dyDescent="0.45">
      <c r="A479" t="s">
        <v>8</v>
      </c>
      <c r="B479" t="s">
        <v>14</v>
      </c>
      <c r="C479" t="str">
        <f t="shared" si="14"/>
        <v>AlabamaBaylor</v>
      </c>
      <c r="D479" t="s">
        <v>8</v>
      </c>
      <c r="E479">
        <v>78</v>
      </c>
      <c r="F479" s="1">
        <v>-8.2792452830188701</v>
      </c>
      <c r="G479" s="2">
        <v>-353.67309406417002</v>
      </c>
      <c r="H479" s="1">
        <v>139.29258158077201</v>
      </c>
      <c r="I479" s="1">
        <f t="shared" si="15"/>
        <v>146.00732280827231</v>
      </c>
    </row>
    <row r="480" spans="1:9" x14ac:dyDescent="0.45">
      <c r="A480" t="s">
        <v>9</v>
      </c>
      <c r="B480" t="s">
        <v>14</v>
      </c>
      <c r="C480" t="str">
        <f t="shared" si="14"/>
        <v>Alabama St.Baylor</v>
      </c>
      <c r="D480" t="s">
        <v>14</v>
      </c>
      <c r="E480">
        <v>0.7</v>
      </c>
      <c r="F480" s="1">
        <v>32.377358490566003</v>
      </c>
      <c r="G480" s="2">
        <v>13964.275232411201</v>
      </c>
      <c r="H480" s="1">
        <v>137.67173215259899</v>
      </c>
      <c r="I480" s="1">
        <f t="shared" si="15"/>
        <v>123.24781612191501</v>
      </c>
    </row>
    <row r="481" spans="1:9" x14ac:dyDescent="0.45">
      <c r="A481" t="s">
        <v>10</v>
      </c>
      <c r="B481" t="s">
        <v>14</v>
      </c>
      <c r="C481" t="str">
        <f t="shared" si="14"/>
        <v>AmericanBaylor</v>
      </c>
      <c r="D481" t="s">
        <v>14</v>
      </c>
      <c r="E481">
        <v>0.8</v>
      </c>
      <c r="F481" s="1">
        <v>31.618867924528299</v>
      </c>
      <c r="G481" s="2">
        <v>12441.482412395</v>
      </c>
      <c r="H481" s="1">
        <v>137.43502167235999</v>
      </c>
      <c r="I481" s="1">
        <f t="shared" si="15"/>
        <v>119.92399488097291</v>
      </c>
    </row>
    <row r="482" spans="1:9" x14ac:dyDescent="0.45">
      <c r="A482" t="s">
        <v>11</v>
      </c>
      <c r="B482" t="s">
        <v>14</v>
      </c>
      <c r="C482" t="str">
        <f t="shared" si="14"/>
        <v>ArizonaBaylor</v>
      </c>
      <c r="D482" t="s">
        <v>11</v>
      </c>
      <c r="E482">
        <v>69.900000000000006</v>
      </c>
      <c r="F482" s="1">
        <v>-5.5245283018867903</v>
      </c>
      <c r="G482" s="2">
        <v>-232.29926678567401</v>
      </c>
      <c r="H482" s="1">
        <v>138.90306092095</v>
      </c>
      <c r="I482" s="1">
        <f t="shared" si="15"/>
        <v>140.53778448620488</v>
      </c>
    </row>
    <row r="483" spans="1:9" x14ac:dyDescent="0.45">
      <c r="A483" t="s">
        <v>12</v>
      </c>
      <c r="B483" t="s">
        <v>14</v>
      </c>
      <c r="C483" t="str">
        <f t="shared" si="14"/>
        <v>ArkansasBaylor</v>
      </c>
      <c r="D483" t="s">
        <v>14</v>
      </c>
      <c r="E483">
        <v>13.1</v>
      </c>
      <c r="F483" s="1">
        <v>12.373584905660399</v>
      </c>
      <c r="G483" s="2">
        <v>660.46797620623204</v>
      </c>
      <c r="H483" s="1">
        <v>137.22898489873899</v>
      </c>
      <c r="I483" s="1">
        <f t="shared" si="15"/>
        <v>117.03088510448461</v>
      </c>
    </row>
    <row r="484" spans="1:9" x14ac:dyDescent="0.45">
      <c r="A484" t="s">
        <v>13</v>
      </c>
      <c r="B484" t="s">
        <v>14</v>
      </c>
      <c r="C484" t="str">
        <f t="shared" si="14"/>
        <v>AuburnBaylor</v>
      </c>
      <c r="D484" t="s">
        <v>13</v>
      </c>
      <c r="E484">
        <v>87.4</v>
      </c>
      <c r="F484" s="1">
        <v>-12.7207547169811</v>
      </c>
      <c r="G484" s="2">
        <v>-696.16557670646205</v>
      </c>
      <c r="H484" s="1">
        <v>140.314797814125</v>
      </c>
      <c r="I484" s="1">
        <f t="shared" si="15"/>
        <v>160.36099242959199</v>
      </c>
    </row>
    <row r="485" spans="1:9" x14ac:dyDescent="0.45">
      <c r="A485" t="s">
        <v>14</v>
      </c>
      <c r="B485" t="s">
        <v>14</v>
      </c>
      <c r="C485" t="str">
        <f t="shared" si="14"/>
        <v>BaylorBaylor</v>
      </c>
      <c r="D485" t="s">
        <v>14</v>
      </c>
      <c r="E485">
        <v>41.2</v>
      </c>
      <c r="F485" s="1">
        <v>2.3283018867924499</v>
      </c>
      <c r="G485" s="2">
        <v>142.64273539779199</v>
      </c>
      <c r="H485" s="1">
        <v>138.77771517530499</v>
      </c>
      <c r="I485" s="1">
        <f t="shared" si="15"/>
        <v>138.77771517530684</v>
      </c>
    </row>
    <row r="486" spans="1:9" x14ac:dyDescent="0.45">
      <c r="A486" t="s">
        <v>15</v>
      </c>
      <c r="B486" t="s">
        <v>14</v>
      </c>
      <c r="C486" t="str">
        <f t="shared" si="14"/>
        <v>BryantBaylor</v>
      </c>
      <c r="D486" t="s">
        <v>14</v>
      </c>
      <c r="E486">
        <v>3.2</v>
      </c>
      <c r="F486" s="1">
        <v>22.4</v>
      </c>
      <c r="G486" s="2">
        <v>3047.6245925222102</v>
      </c>
      <c r="H486" s="1">
        <v>138.370035050951</v>
      </c>
      <c r="I486" s="1">
        <f t="shared" si="15"/>
        <v>133.05318681699526</v>
      </c>
    </row>
    <row r="487" spans="1:9" x14ac:dyDescent="0.45">
      <c r="A487" t="s">
        <v>16</v>
      </c>
      <c r="B487" t="s">
        <v>14</v>
      </c>
      <c r="C487" t="str">
        <f t="shared" si="14"/>
        <v>BYUBaylor</v>
      </c>
      <c r="D487" t="s">
        <v>14</v>
      </c>
      <c r="E487">
        <v>45.3</v>
      </c>
      <c r="F487" s="1">
        <v>1.23396226415094</v>
      </c>
      <c r="G487" s="2">
        <v>120.709073480567</v>
      </c>
      <c r="H487" s="1">
        <v>138.54007572539501</v>
      </c>
      <c r="I487" s="1">
        <f t="shared" si="15"/>
        <v>135.44084960645213</v>
      </c>
    </row>
    <row r="488" spans="1:9" x14ac:dyDescent="0.45">
      <c r="A488" t="s">
        <v>17</v>
      </c>
      <c r="B488" t="s">
        <v>14</v>
      </c>
      <c r="C488" t="str">
        <f t="shared" si="14"/>
        <v>ClemsonBaylor</v>
      </c>
      <c r="D488" t="s">
        <v>17</v>
      </c>
      <c r="E488">
        <v>53.7</v>
      </c>
      <c r="F488" s="1">
        <v>-0.96981132075471699</v>
      </c>
      <c r="G488" s="2">
        <v>-115.958142352024</v>
      </c>
      <c r="H488" s="1">
        <v>138.89012594783699</v>
      </c>
      <c r="I488" s="1">
        <f t="shared" si="15"/>
        <v>140.35615527257391</v>
      </c>
    </row>
    <row r="489" spans="1:9" x14ac:dyDescent="0.45">
      <c r="A489" t="s">
        <v>18</v>
      </c>
      <c r="B489" t="s">
        <v>14</v>
      </c>
      <c r="C489" t="str">
        <f t="shared" si="14"/>
        <v>Colorado St.Baylor</v>
      </c>
      <c r="D489" t="s">
        <v>14</v>
      </c>
      <c r="E489">
        <v>16.100000000000001</v>
      </c>
      <c r="F489" s="1">
        <v>10.811320754717</v>
      </c>
      <c r="G489" s="2">
        <v>520.31056881157394</v>
      </c>
      <c r="H489" s="1">
        <v>138.279736922631</v>
      </c>
      <c r="I489" s="1">
        <f t="shared" si="15"/>
        <v>131.78524618071967</v>
      </c>
    </row>
    <row r="490" spans="1:9" x14ac:dyDescent="0.45">
      <c r="A490" t="s">
        <v>19</v>
      </c>
      <c r="B490" t="s">
        <v>14</v>
      </c>
      <c r="C490" t="str">
        <f t="shared" si="14"/>
        <v>ConnecticutBaylor</v>
      </c>
      <c r="D490" t="s">
        <v>19</v>
      </c>
      <c r="E490">
        <v>64.3</v>
      </c>
      <c r="F490" s="1">
        <v>-3.86415094339623</v>
      </c>
      <c r="G490" s="2">
        <v>-180.29661691729001</v>
      </c>
      <c r="H490" s="1">
        <v>138.69037677858501</v>
      </c>
      <c r="I490" s="1">
        <f t="shared" si="15"/>
        <v>137.55133424838459</v>
      </c>
    </row>
    <row r="491" spans="1:9" x14ac:dyDescent="0.45">
      <c r="A491" t="s">
        <v>20</v>
      </c>
      <c r="B491" t="s">
        <v>14</v>
      </c>
      <c r="C491" t="str">
        <f t="shared" si="14"/>
        <v>CreightonBaylor</v>
      </c>
      <c r="D491" t="s">
        <v>14</v>
      </c>
      <c r="E491">
        <v>35.700000000000003</v>
      </c>
      <c r="F491" s="1">
        <v>3.8452830188679199</v>
      </c>
      <c r="G491" s="2">
        <v>179.740142733635</v>
      </c>
      <c r="H491" s="1">
        <v>138.23967353142399</v>
      </c>
      <c r="I491" s="1">
        <f t="shared" si="15"/>
        <v>131.22268743577695</v>
      </c>
    </row>
    <row r="492" spans="1:9" x14ac:dyDescent="0.45">
      <c r="A492" t="s">
        <v>21</v>
      </c>
      <c r="B492" t="s">
        <v>14</v>
      </c>
      <c r="C492" t="str">
        <f t="shared" si="14"/>
        <v>DrakeBaylor</v>
      </c>
      <c r="D492" t="s">
        <v>14</v>
      </c>
      <c r="E492">
        <v>15.7</v>
      </c>
      <c r="F492" s="1">
        <v>11.0150943396226</v>
      </c>
      <c r="G492" s="2">
        <v>536.82505302015795</v>
      </c>
      <c r="H492" s="1">
        <v>138.474349337098</v>
      </c>
      <c r="I492" s="1">
        <f t="shared" si="15"/>
        <v>134.51793835515716</v>
      </c>
    </row>
    <row r="493" spans="1:9" x14ac:dyDescent="0.45">
      <c r="A493" t="s">
        <v>22</v>
      </c>
      <c r="B493" t="s">
        <v>14</v>
      </c>
      <c r="C493" t="str">
        <f t="shared" si="14"/>
        <v>DukeBaylor</v>
      </c>
      <c r="D493" t="s">
        <v>22</v>
      </c>
      <c r="E493">
        <v>90.7</v>
      </c>
      <c r="F493" s="1">
        <v>-14.9358490566038</v>
      </c>
      <c r="G493" s="2">
        <v>-975.93220654203697</v>
      </c>
      <c r="H493" s="1">
        <v>140.554689225701</v>
      </c>
      <c r="I493" s="1">
        <f t="shared" si="15"/>
        <v>163.72947940368294</v>
      </c>
    </row>
    <row r="494" spans="1:9" x14ac:dyDescent="0.45">
      <c r="A494" t="s">
        <v>23</v>
      </c>
      <c r="B494" t="s">
        <v>14</v>
      </c>
      <c r="C494" t="str">
        <f t="shared" si="14"/>
        <v>FloridaBaylor</v>
      </c>
      <c r="D494" t="s">
        <v>23</v>
      </c>
      <c r="E494">
        <v>84.4</v>
      </c>
      <c r="F494" s="1">
        <v>-11.079245283018899</v>
      </c>
      <c r="G494" s="2">
        <v>-541.86049594886094</v>
      </c>
      <c r="H494" s="1">
        <v>140.28933975325501</v>
      </c>
      <c r="I494" s="1">
        <f t="shared" si="15"/>
        <v>160.00351757935533</v>
      </c>
    </row>
    <row r="495" spans="1:9" x14ac:dyDescent="0.45">
      <c r="A495" t="s">
        <v>24</v>
      </c>
      <c r="B495" t="s">
        <v>14</v>
      </c>
      <c r="C495" t="str">
        <f t="shared" si="14"/>
        <v>GeorgiaBaylor</v>
      </c>
      <c r="D495" t="s">
        <v>14</v>
      </c>
      <c r="E495">
        <v>17.899999999999999</v>
      </c>
      <c r="F495" s="1">
        <v>9.9849056603773594</v>
      </c>
      <c r="G495" s="2">
        <v>458.59364038843597</v>
      </c>
      <c r="H495" s="1">
        <v>137.55329804953999</v>
      </c>
      <c r="I495" s="1">
        <f t="shared" si="15"/>
        <v>121.58479813047677</v>
      </c>
    </row>
    <row r="496" spans="1:9" x14ac:dyDescent="0.45">
      <c r="A496" t="s">
        <v>25</v>
      </c>
      <c r="B496" t="s">
        <v>14</v>
      </c>
      <c r="C496" t="str">
        <f t="shared" si="14"/>
        <v>GonzagaBaylor</v>
      </c>
      <c r="D496" t="s">
        <v>25</v>
      </c>
      <c r="E496">
        <v>52.5</v>
      </c>
      <c r="F496" s="1">
        <v>-0.64528301886792505</v>
      </c>
      <c r="G496" s="2">
        <v>-110.359777155239</v>
      </c>
      <c r="H496" s="1">
        <v>139.53025978004601</v>
      </c>
      <c r="I496" s="1">
        <f t="shared" si="15"/>
        <v>149.34473248467597</v>
      </c>
    </row>
    <row r="497" spans="1:9" x14ac:dyDescent="0.45">
      <c r="A497" t="s">
        <v>26</v>
      </c>
      <c r="B497" t="s">
        <v>14</v>
      </c>
      <c r="C497" t="str">
        <f t="shared" si="14"/>
        <v>Grand CanyonBaylor</v>
      </c>
      <c r="D497" t="s">
        <v>14</v>
      </c>
      <c r="E497">
        <v>10.7</v>
      </c>
      <c r="F497" s="1">
        <v>13.905660377358499</v>
      </c>
      <c r="G497" s="2">
        <v>834.00378210702002</v>
      </c>
      <c r="H497" s="1">
        <v>138.348231497585</v>
      </c>
      <c r="I497" s="1">
        <f t="shared" si="15"/>
        <v>132.74702752175514</v>
      </c>
    </row>
    <row r="498" spans="1:9" x14ac:dyDescent="0.45">
      <c r="A498" t="s">
        <v>27</v>
      </c>
      <c r="B498" t="s">
        <v>14</v>
      </c>
      <c r="C498" t="str">
        <f t="shared" si="14"/>
        <v>High PointBaylor</v>
      </c>
      <c r="D498" t="s">
        <v>14</v>
      </c>
      <c r="E498">
        <v>7</v>
      </c>
      <c r="F498" s="1">
        <v>16.9924528301887</v>
      </c>
      <c r="G498" s="2">
        <v>1336.1342028086899</v>
      </c>
      <c r="H498" s="1">
        <v>138.539438631134</v>
      </c>
      <c r="I498" s="1">
        <f t="shared" si="15"/>
        <v>135.43190371003433</v>
      </c>
    </row>
    <row r="499" spans="1:9" x14ac:dyDescent="0.45">
      <c r="A499" t="s">
        <v>28</v>
      </c>
      <c r="B499" t="s">
        <v>14</v>
      </c>
      <c r="C499" t="str">
        <f t="shared" si="14"/>
        <v>HoustonBaylor</v>
      </c>
      <c r="D499" t="s">
        <v>28</v>
      </c>
      <c r="E499">
        <v>94.2</v>
      </c>
      <c r="F499" s="1">
        <v>-18.2905660377359</v>
      </c>
      <c r="G499" s="2">
        <v>-1627.98279516711</v>
      </c>
      <c r="H499" s="1">
        <v>140.652900988337</v>
      </c>
      <c r="I499" s="1">
        <f t="shared" si="15"/>
        <v>165.10854104231549</v>
      </c>
    </row>
    <row r="500" spans="1:9" x14ac:dyDescent="0.45">
      <c r="A500" t="s">
        <v>29</v>
      </c>
      <c r="B500" t="s">
        <v>14</v>
      </c>
      <c r="C500" t="str">
        <f t="shared" si="14"/>
        <v>IllinoisBaylor</v>
      </c>
      <c r="D500" t="s">
        <v>29</v>
      </c>
      <c r="E500">
        <v>61.6</v>
      </c>
      <c r="F500" s="1">
        <v>-3.1018867924528299</v>
      </c>
      <c r="G500" s="2">
        <v>-160.48565937349801</v>
      </c>
      <c r="H500" s="1">
        <v>138.711364763299</v>
      </c>
      <c r="I500" s="1">
        <f t="shared" si="15"/>
        <v>137.8460415605683</v>
      </c>
    </row>
    <row r="501" spans="1:9" x14ac:dyDescent="0.45">
      <c r="A501" t="s">
        <v>30</v>
      </c>
      <c r="B501" t="s">
        <v>14</v>
      </c>
      <c r="C501" t="str">
        <f t="shared" si="14"/>
        <v>Iowa St.Baylor</v>
      </c>
      <c r="D501" t="s">
        <v>30</v>
      </c>
      <c r="E501">
        <v>77.099999999999994</v>
      </c>
      <c r="F501" s="1">
        <v>-7.9622641509434002</v>
      </c>
      <c r="G501" s="2">
        <v>-336.89323500503502</v>
      </c>
      <c r="H501" s="1">
        <v>139.607907054885</v>
      </c>
      <c r="I501" s="1">
        <f t="shared" si="15"/>
        <v>150.43503343438695</v>
      </c>
    </row>
    <row r="502" spans="1:9" x14ac:dyDescent="0.45">
      <c r="A502" t="s">
        <v>31</v>
      </c>
      <c r="B502" t="s">
        <v>14</v>
      </c>
      <c r="C502" t="str">
        <f t="shared" si="14"/>
        <v>KansasBaylor</v>
      </c>
      <c r="D502" t="s">
        <v>31</v>
      </c>
      <c r="E502">
        <v>50.9</v>
      </c>
      <c r="F502" s="1">
        <v>-0.245283018867925</v>
      </c>
      <c r="G502" s="2">
        <v>-103.822469421915</v>
      </c>
      <c r="H502" s="1">
        <v>138.65849494373899</v>
      </c>
      <c r="I502" s="1">
        <f t="shared" si="15"/>
        <v>137.10365859095526</v>
      </c>
    </row>
    <row r="503" spans="1:9" x14ac:dyDescent="0.45">
      <c r="A503" t="s">
        <v>32</v>
      </c>
      <c r="B503" t="s">
        <v>14</v>
      </c>
      <c r="C503" t="str">
        <f t="shared" si="14"/>
        <v>KentuckyBaylor</v>
      </c>
      <c r="D503" t="s">
        <v>32</v>
      </c>
      <c r="E503">
        <v>63.4</v>
      </c>
      <c r="F503" s="1">
        <v>-3.6113207547169801</v>
      </c>
      <c r="G503" s="2">
        <v>-173.45119535179199</v>
      </c>
      <c r="H503" s="1">
        <v>138.59277727586399</v>
      </c>
      <c r="I503" s="1">
        <f t="shared" si="15"/>
        <v>136.1808697893461</v>
      </c>
    </row>
    <row r="504" spans="1:9" x14ac:dyDescent="0.45">
      <c r="A504" t="s">
        <v>33</v>
      </c>
      <c r="B504" t="s">
        <v>14</v>
      </c>
      <c r="C504" t="str">
        <f t="shared" si="14"/>
        <v>LibertyBaylor</v>
      </c>
      <c r="D504" t="s">
        <v>14</v>
      </c>
      <c r="E504">
        <v>4.9000000000000004</v>
      </c>
      <c r="F504" s="1">
        <v>19.377358490565999</v>
      </c>
      <c r="G504" s="2">
        <v>1921.5452578266299</v>
      </c>
      <c r="H504" s="1">
        <v>137.93777831958201</v>
      </c>
      <c r="I504" s="1">
        <f t="shared" si="15"/>
        <v>126.98356073278539</v>
      </c>
    </row>
    <row r="505" spans="1:9" x14ac:dyDescent="0.45">
      <c r="A505" t="s">
        <v>34</v>
      </c>
      <c r="B505" t="s">
        <v>14</v>
      </c>
      <c r="C505" t="str">
        <f t="shared" si="14"/>
        <v>LipscombBaylor</v>
      </c>
      <c r="D505" t="s">
        <v>14</v>
      </c>
      <c r="E505">
        <v>3.8</v>
      </c>
      <c r="F505" s="1">
        <v>21.2415094339623</v>
      </c>
      <c r="G505" s="2">
        <v>2554.1648175590399</v>
      </c>
      <c r="H505" s="1">
        <v>138.344096517173</v>
      </c>
      <c r="I505" s="1">
        <f t="shared" si="15"/>
        <v>132.68896530283513</v>
      </c>
    </row>
    <row r="506" spans="1:9" x14ac:dyDescent="0.45">
      <c r="A506" t="s">
        <v>35</v>
      </c>
      <c r="B506" t="s">
        <v>14</v>
      </c>
      <c r="C506" t="str">
        <f t="shared" si="14"/>
        <v>LouisvilleBaylor</v>
      </c>
      <c r="D506" t="s">
        <v>14</v>
      </c>
      <c r="E506">
        <v>9</v>
      </c>
      <c r="F506" s="1">
        <v>15.192452830188699</v>
      </c>
      <c r="G506" s="2">
        <v>1015.1052721375499</v>
      </c>
      <c r="H506" s="1">
        <v>137.58945852299101</v>
      </c>
      <c r="I506" s="1">
        <f t="shared" si="15"/>
        <v>122.09255321431451</v>
      </c>
    </row>
    <row r="507" spans="1:9" x14ac:dyDescent="0.45">
      <c r="A507" t="s">
        <v>36</v>
      </c>
      <c r="B507" t="s">
        <v>14</v>
      </c>
      <c r="C507" t="str">
        <f t="shared" si="14"/>
        <v>MarquetteBaylor</v>
      </c>
      <c r="D507" t="s">
        <v>36</v>
      </c>
      <c r="E507">
        <v>57.1</v>
      </c>
      <c r="F507" s="1">
        <v>-1.87547169811321</v>
      </c>
      <c r="G507" s="2">
        <v>-133.116599239908</v>
      </c>
      <c r="H507" s="1">
        <v>138.85159236645299</v>
      </c>
      <c r="I507" s="1">
        <f t="shared" si="15"/>
        <v>139.81507768207433</v>
      </c>
    </row>
    <row r="508" spans="1:9" x14ac:dyDescent="0.45">
      <c r="A508" t="s">
        <v>37</v>
      </c>
      <c r="B508" t="s">
        <v>14</v>
      </c>
      <c r="C508" t="str">
        <f t="shared" si="14"/>
        <v>MarylandBaylor</v>
      </c>
      <c r="D508" t="s">
        <v>14</v>
      </c>
      <c r="E508">
        <v>45.1</v>
      </c>
      <c r="F508" s="1">
        <v>1.2905660377358501</v>
      </c>
      <c r="G508" s="2">
        <v>121.787192112168</v>
      </c>
      <c r="H508" s="1">
        <v>138.30996196499601</v>
      </c>
      <c r="I508" s="1">
        <f t="shared" si="15"/>
        <v>132.20965762933716</v>
      </c>
    </row>
    <row r="509" spans="1:9" x14ac:dyDescent="0.45">
      <c r="A509" t="s">
        <v>38</v>
      </c>
      <c r="B509" t="s">
        <v>14</v>
      </c>
      <c r="C509" t="str">
        <f t="shared" si="14"/>
        <v>McNeese St.Baylor</v>
      </c>
      <c r="D509" t="s">
        <v>14</v>
      </c>
      <c r="E509">
        <v>16.100000000000001</v>
      </c>
      <c r="F509" s="1">
        <v>10.8339622641509</v>
      </c>
      <c r="G509" s="2">
        <v>522.00094742209103</v>
      </c>
      <c r="H509" s="1">
        <v>138.90319737796</v>
      </c>
      <c r="I509" s="1">
        <f t="shared" si="15"/>
        <v>140.53970057672973</v>
      </c>
    </row>
    <row r="510" spans="1:9" x14ac:dyDescent="0.45">
      <c r="A510" t="s">
        <v>39</v>
      </c>
      <c r="B510" t="s">
        <v>14</v>
      </c>
      <c r="C510" t="str">
        <f t="shared" si="14"/>
        <v>MemphisBaylor</v>
      </c>
      <c r="D510" t="s">
        <v>14</v>
      </c>
      <c r="E510">
        <v>31.6</v>
      </c>
      <c r="F510" s="1">
        <v>5.0566037735849099</v>
      </c>
      <c r="G510" s="2">
        <v>216.272840520165</v>
      </c>
      <c r="H510" s="1">
        <v>137.43747920448601</v>
      </c>
      <c r="I510" s="1">
        <f t="shared" si="15"/>
        <v>119.95850284814236</v>
      </c>
    </row>
    <row r="511" spans="1:9" x14ac:dyDescent="0.45">
      <c r="A511" t="s">
        <v>40</v>
      </c>
      <c r="B511" t="s">
        <v>14</v>
      </c>
      <c r="C511" t="str">
        <f t="shared" si="14"/>
        <v>MichiganBaylor</v>
      </c>
      <c r="D511" t="s">
        <v>14</v>
      </c>
      <c r="E511">
        <v>18.600000000000001</v>
      </c>
      <c r="F511" s="1">
        <v>9.6830188679245293</v>
      </c>
      <c r="G511" s="2">
        <v>437.92185377618603</v>
      </c>
      <c r="H511" s="1">
        <v>137.00010050140199</v>
      </c>
      <c r="I511" s="1">
        <f t="shared" si="15"/>
        <v>113.81695549384456</v>
      </c>
    </row>
    <row r="512" spans="1:9" x14ac:dyDescent="0.45">
      <c r="A512" t="s">
        <v>41</v>
      </c>
      <c r="B512" t="s">
        <v>14</v>
      </c>
      <c r="C512" t="str">
        <f t="shared" si="14"/>
        <v>Michigan St.Baylor</v>
      </c>
      <c r="D512" t="s">
        <v>41</v>
      </c>
      <c r="E512">
        <v>68.400000000000006</v>
      </c>
      <c r="F512" s="1">
        <v>-5.0641509433962302</v>
      </c>
      <c r="G512" s="2">
        <v>-216.550166976322</v>
      </c>
      <c r="H512" s="1">
        <v>138.64718021061</v>
      </c>
      <c r="I512" s="1">
        <f t="shared" si="15"/>
        <v>136.9447803263692</v>
      </c>
    </row>
    <row r="513" spans="1:9" x14ac:dyDescent="0.45">
      <c r="A513" t="s">
        <v>42</v>
      </c>
      <c r="B513" t="s">
        <v>14</v>
      </c>
      <c r="C513" t="str">
        <f t="shared" si="14"/>
        <v>MississippiBaylor</v>
      </c>
      <c r="D513" t="s">
        <v>14</v>
      </c>
      <c r="E513">
        <v>37.200000000000003</v>
      </c>
      <c r="F513" s="1">
        <v>3.4301886792452798</v>
      </c>
      <c r="G513" s="2">
        <v>168.77685587009199</v>
      </c>
      <c r="H513" s="1">
        <v>137.91487156049899</v>
      </c>
      <c r="I513" s="1">
        <f t="shared" si="15"/>
        <v>126.66191053662851</v>
      </c>
    </row>
    <row r="514" spans="1:9" x14ac:dyDescent="0.45">
      <c r="A514" t="s">
        <v>43</v>
      </c>
      <c r="B514" t="s">
        <v>14</v>
      </c>
      <c r="C514" t="str">
        <f t="shared" si="14"/>
        <v>Mississippi St.Baylor</v>
      </c>
      <c r="D514" t="s">
        <v>14</v>
      </c>
      <c r="E514">
        <v>31.3</v>
      </c>
      <c r="F514" s="1">
        <v>5.1547169811320801</v>
      </c>
      <c r="G514" s="2">
        <v>219.52814528718301</v>
      </c>
      <c r="H514" s="1">
        <v>138.05461803317601</v>
      </c>
      <c r="I514" s="1">
        <f t="shared" si="15"/>
        <v>128.62419076081471</v>
      </c>
    </row>
    <row r="515" spans="1:9" x14ac:dyDescent="0.45">
      <c r="A515" t="s">
        <v>44</v>
      </c>
      <c r="B515" t="s">
        <v>14</v>
      </c>
      <c r="C515" t="str">
        <f t="shared" ref="C515:C578" si="16">A515&amp;B515</f>
        <v>MissouriBaylor</v>
      </c>
      <c r="D515" t="s">
        <v>14</v>
      </c>
      <c r="E515">
        <v>17.7</v>
      </c>
      <c r="F515" s="1">
        <v>10.086792452830201</v>
      </c>
      <c r="G515" s="2">
        <v>465.981301566632</v>
      </c>
      <c r="H515" s="1">
        <v>137.47227993182099</v>
      </c>
      <c r="I515" s="1">
        <f t="shared" ref="I515:I578" si="17">18*(H515-AVERAGE($H$2:$H$4625))/_xlfn.STDEV.P($H$2:$H$4625)+AVERAGE($H$2:$H$4625)</f>
        <v>120.44716476374262</v>
      </c>
    </row>
    <row r="516" spans="1:9" x14ac:dyDescent="0.45">
      <c r="A516" t="s">
        <v>45</v>
      </c>
      <c r="B516" t="s">
        <v>14</v>
      </c>
      <c r="C516" t="str">
        <f t="shared" si="16"/>
        <v>MontanaBaylor</v>
      </c>
      <c r="D516" t="s">
        <v>14</v>
      </c>
      <c r="E516">
        <v>1.9</v>
      </c>
      <c r="F516" s="1">
        <v>25.8943396226415</v>
      </c>
      <c r="G516" s="2">
        <v>5194.1469552009503</v>
      </c>
      <c r="H516" s="1">
        <v>136.608991495228</v>
      </c>
      <c r="I516" s="1">
        <f t="shared" si="17"/>
        <v>108.32511406404252</v>
      </c>
    </row>
    <row r="517" spans="1:9" x14ac:dyDescent="0.45">
      <c r="A517" t="s">
        <v>46</v>
      </c>
      <c r="B517" t="s">
        <v>14</v>
      </c>
      <c r="C517" t="str">
        <f t="shared" si="16"/>
        <v>Mount St. Mary'sBaylor</v>
      </c>
      <c r="D517" t="s">
        <v>14</v>
      </c>
      <c r="E517">
        <v>0.7</v>
      </c>
      <c r="F517" s="1">
        <v>32.230188679245302</v>
      </c>
      <c r="G517" s="2">
        <v>13650.1797776568</v>
      </c>
      <c r="H517" s="1">
        <v>137.91227944937799</v>
      </c>
      <c r="I517" s="1">
        <f t="shared" si="17"/>
        <v>126.62551284948691</v>
      </c>
    </row>
    <row r="518" spans="1:9" x14ac:dyDescent="0.45">
      <c r="A518" t="s">
        <v>47</v>
      </c>
      <c r="B518" t="s">
        <v>14</v>
      </c>
      <c r="C518" t="str">
        <f t="shared" si="16"/>
        <v>Nebraska OmahaBaylor</v>
      </c>
      <c r="D518" t="s">
        <v>14</v>
      </c>
      <c r="E518">
        <v>1</v>
      </c>
      <c r="F518" s="1">
        <v>30.037735849056599</v>
      </c>
      <c r="G518" s="2">
        <v>9773.1789262282491</v>
      </c>
      <c r="H518" s="1">
        <v>137.33005558148199</v>
      </c>
      <c r="I518" s="1">
        <f t="shared" si="17"/>
        <v>118.4500908861573</v>
      </c>
    </row>
    <row r="519" spans="1:9" x14ac:dyDescent="0.45">
      <c r="A519" t="s">
        <v>48</v>
      </c>
      <c r="B519" t="s">
        <v>14</v>
      </c>
      <c r="C519" t="str">
        <f t="shared" si="16"/>
        <v>New MexicoBaylor</v>
      </c>
      <c r="D519" t="s">
        <v>14</v>
      </c>
      <c r="E519">
        <v>19.7</v>
      </c>
      <c r="F519" s="1">
        <v>9.2075471698113205</v>
      </c>
      <c r="G519" s="2">
        <v>407.335870398201</v>
      </c>
      <c r="H519" s="1">
        <v>138.10004551329899</v>
      </c>
      <c r="I519" s="1">
        <f t="shared" si="17"/>
        <v>129.26207051672071</v>
      </c>
    </row>
    <row r="520" spans="1:9" x14ac:dyDescent="0.45">
      <c r="A520" t="s">
        <v>49</v>
      </c>
      <c r="B520" t="s">
        <v>14</v>
      </c>
      <c r="C520" t="str">
        <f t="shared" si="16"/>
        <v>Norfolk St.Baylor</v>
      </c>
      <c r="D520" t="s">
        <v>14</v>
      </c>
      <c r="E520">
        <v>1.4</v>
      </c>
      <c r="F520" s="1">
        <v>27.7735849056604</v>
      </c>
      <c r="G520" s="2">
        <v>6918.0391184886503</v>
      </c>
      <c r="H520" s="1">
        <v>137.13617127726201</v>
      </c>
      <c r="I520" s="1">
        <f t="shared" si="17"/>
        <v>115.72762262872747</v>
      </c>
    </row>
    <row r="521" spans="1:9" x14ac:dyDescent="0.45">
      <c r="A521" t="s">
        <v>50</v>
      </c>
      <c r="B521" t="s">
        <v>14</v>
      </c>
      <c r="C521" t="str">
        <f t="shared" si="16"/>
        <v>North CarolinaBaylor</v>
      </c>
      <c r="D521" t="s">
        <v>14</v>
      </c>
      <c r="E521">
        <v>45.6</v>
      </c>
      <c r="F521" s="1">
        <v>1.1547169811320801</v>
      </c>
      <c r="G521" s="2">
        <v>119.287696314554</v>
      </c>
      <c r="H521" s="1">
        <v>139.20977723173201</v>
      </c>
      <c r="I521" s="1">
        <f t="shared" si="17"/>
        <v>144.84460768934872</v>
      </c>
    </row>
    <row r="522" spans="1:9" x14ac:dyDescent="0.45">
      <c r="A522" t="s">
        <v>51</v>
      </c>
      <c r="B522" t="s">
        <v>14</v>
      </c>
      <c r="C522" t="str">
        <f t="shared" si="16"/>
        <v>OklahomaBaylor</v>
      </c>
      <c r="D522" t="s">
        <v>14</v>
      </c>
      <c r="E522">
        <v>22.7</v>
      </c>
      <c r="F522" s="1">
        <v>8.0377358490566007</v>
      </c>
      <c r="G522" s="2">
        <v>340.85751342357003</v>
      </c>
      <c r="H522" s="1">
        <v>137.63340035790699</v>
      </c>
      <c r="I522" s="1">
        <f t="shared" si="17"/>
        <v>122.70957196275459</v>
      </c>
    </row>
    <row r="523" spans="1:9" x14ac:dyDescent="0.45">
      <c r="A523" t="s">
        <v>52</v>
      </c>
      <c r="B523" t="s">
        <v>14</v>
      </c>
      <c r="C523" t="str">
        <f t="shared" si="16"/>
        <v>OregonBaylor</v>
      </c>
      <c r="D523" t="s">
        <v>14</v>
      </c>
      <c r="E523">
        <v>45.2</v>
      </c>
      <c r="F523" s="1">
        <v>1.27169811320755</v>
      </c>
      <c r="G523" s="2">
        <v>121.424584387762</v>
      </c>
      <c r="H523" s="1">
        <v>137.924117749435</v>
      </c>
      <c r="I523" s="1">
        <f t="shared" si="17"/>
        <v>126.79174289196919</v>
      </c>
    </row>
    <row r="524" spans="1:9" x14ac:dyDescent="0.45">
      <c r="A524" t="s">
        <v>53</v>
      </c>
      <c r="B524" t="s">
        <v>14</v>
      </c>
      <c r="C524" t="str">
        <f t="shared" si="16"/>
        <v>PurdueBaylor</v>
      </c>
      <c r="D524" t="s">
        <v>53</v>
      </c>
      <c r="E524">
        <v>82.4</v>
      </c>
      <c r="F524" s="1">
        <v>-10.0981132075472</v>
      </c>
      <c r="G524" s="2">
        <v>-466.75931550863402</v>
      </c>
      <c r="H524" s="1">
        <v>139.412204949234</v>
      </c>
      <c r="I524" s="1">
        <f t="shared" si="17"/>
        <v>147.68704012626154</v>
      </c>
    </row>
    <row r="525" spans="1:9" x14ac:dyDescent="0.45">
      <c r="A525" t="s">
        <v>54</v>
      </c>
      <c r="B525" t="s">
        <v>14</v>
      </c>
      <c r="C525" t="str">
        <f t="shared" si="16"/>
        <v>Robert MorrisBaylor</v>
      </c>
      <c r="D525" t="s">
        <v>14</v>
      </c>
      <c r="E525">
        <v>0.6</v>
      </c>
      <c r="F525" s="1">
        <v>33.788679245282999</v>
      </c>
      <c r="G525" s="2">
        <v>17319.7614556347</v>
      </c>
      <c r="H525" s="1">
        <v>136.49517027792101</v>
      </c>
      <c r="I525" s="1">
        <f t="shared" si="17"/>
        <v>106.72686890238813</v>
      </c>
    </row>
    <row r="526" spans="1:9" x14ac:dyDescent="0.45">
      <c r="A526" t="s">
        <v>55</v>
      </c>
      <c r="B526" t="s">
        <v>14</v>
      </c>
      <c r="C526" t="str">
        <f t="shared" si="16"/>
        <v>Saint FrancisBaylor</v>
      </c>
      <c r="D526" t="s">
        <v>14</v>
      </c>
      <c r="E526">
        <v>0.3</v>
      </c>
      <c r="F526" s="1">
        <v>37.150943396226403</v>
      </c>
      <c r="G526" s="2">
        <v>28928.379132869901</v>
      </c>
      <c r="H526" s="1">
        <v>137.20201815996401</v>
      </c>
      <c r="I526" s="1">
        <f t="shared" si="17"/>
        <v>116.65222582818771</v>
      </c>
    </row>
    <row r="527" spans="1:9" x14ac:dyDescent="0.45">
      <c r="A527" t="s">
        <v>56</v>
      </c>
      <c r="B527" t="s">
        <v>14</v>
      </c>
      <c r="C527" t="str">
        <f t="shared" si="16"/>
        <v>Saint Mary'sBaylor</v>
      </c>
      <c r="D527" t="s">
        <v>14</v>
      </c>
      <c r="E527">
        <v>44.6</v>
      </c>
      <c r="F527" s="1">
        <v>1.4150943396226401</v>
      </c>
      <c r="G527" s="2">
        <v>124.125189840953</v>
      </c>
      <c r="H527" s="1">
        <v>138.931224275906</v>
      </c>
      <c r="I527" s="1">
        <f t="shared" si="17"/>
        <v>140.93324630658753</v>
      </c>
    </row>
    <row r="528" spans="1:9" x14ac:dyDescent="0.45">
      <c r="A528" t="s">
        <v>57</v>
      </c>
      <c r="B528" t="s">
        <v>14</v>
      </c>
      <c r="C528" t="str">
        <f t="shared" si="16"/>
        <v>San Diego St.Baylor</v>
      </c>
      <c r="D528" t="s">
        <v>14</v>
      </c>
      <c r="E528">
        <v>20</v>
      </c>
      <c r="F528" s="1">
        <v>9.0905660377358508</v>
      </c>
      <c r="G528" s="2">
        <v>400.18378890932399</v>
      </c>
      <c r="H528" s="1">
        <v>138.14592343893401</v>
      </c>
      <c r="I528" s="1">
        <f t="shared" si="17"/>
        <v>129.90627530039589</v>
      </c>
    </row>
    <row r="529" spans="1:9" x14ac:dyDescent="0.45">
      <c r="A529" t="s">
        <v>58</v>
      </c>
      <c r="B529" t="s">
        <v>14</v>
      </c>
      <c r="C529" t="str">
        <f t="shared" si="16"/>
        <v>SIU EdwardsvilleBaylor</v>
      </c>
      <c r="D529" t="s">
        <v>14</v>
      </c>
      <c r="E529">
        <v>1.2</v>
      </c>
      <c r="F529" s="1">
        <v>29.0641509433962</v>
      </c>
      <c r="G529" s="2">
        <v>8424.4153576506596</v>
      </c>
      <c r="H529" s="1">
        <v>138.20518161911801</v>
      </c>
      <c r="I529" s="1">
        <f t="shared" si="17"/>
        <v>130.73836181298415</v>
      </c>
    </row>
    <row r="530" spans="1:9" x14ac:dyDescent="0.45">
      <c r="A530" t="s">
        <v>59</v>
      </c>
      <c r="B530" t="s">
        <v>14</v>
      </c>
      <c r="C530" t="str">
        <f t="shared" si="16"/>
        <v>St. John'sBaylor</v>
      </c>
      <c r="D530" t="s">
        <v>59</v>
      </c>
      <c r="E530">
        <v>70</v>
      </c>
      <c r="F530" s="1">
        <v>-5.5660377358490596</v>
      </c>
      <c r="G530" s="2">
        <v>-233.77050961435501</v>
      </c>
      <c r="H530" s="1">
        <v>139.02463806767301</v>
      </c>
      <c r="I530" s="1">
        <f t="shared" si="17"/>
        <v>142.24493620286347</v>
      </c>
    </row>
    <row r="531" spans="1:9" x14ac:dyDescent="0.45">
      <c r="A531" t="s">
        <v>60</v>
      </c>
      <c r="B531" t="s">
        <v>14</v>
      </c>
      <c r="C531" t="str">
        <f t="shared" si="16"/>
        <v>TennesseeBaylor</v>
      </c>
      <c r="D531" t="s">
        <v>60</v>
      </c>
      <c r="E531">
        <v>83.8</v>
      </c>
      <c r="F531" s="1">
        <v>-10.781132075471699</v>
      </c>
      <c r="G531" s="2">
        <v>-518.02082132274904</v>
      </c>
      <c r="H531" s="1">
        <v>139.817870441807</v>
      </c>
      <c r="I531" s="1">
        <f t="shared" si="17"/>
        <v>153.38327959808387</v>
      </c>
    </row>
    <row r="532" spans="1:9" x14ac:dyDescent="0.45">
      <c r="A532" t="s">
        <v>61</v>
      </c>
      <c r="B532" t="s">
        <v>14</v>
      </c>
      <c r="C532" t="str">
        <f t="shared" si="16"/>
        <v>TexasBaylor</v>
      </c>
      <c r="D532" t="s">
        <v>14</v>
      </c>
      <c r="E532">
        <v>17.2</v>
      </c>
      <c r="F532" s="1">
        <v>10.313207547169799</v>
      </c>
      <c r="G532" s="2">
        <v>482.27817352710503</v>
      </c>
      <c r="H532" s="1">
        <v>137.517752269445</v>
      </c>
      <c r="I532" s="1">
        <f t="shared" si="17"/>
        <v>121.08567439592011</v>
      </c>
    </row>
    <row r="533" spans="1:9" x14ac:dyDescent="0.45">
      <c r="A533" t="s">
        <v>62</v>
      </c>
      <c r="B533" t="s">
        <v>14</v>
      </c>
      <c r="C533" t="str">
        <f t="shared" si="16"/>
        <v>Texas A&amp;MBaylor</v>
      </c>
      <c r="D533" t="s">
        <v>62</v>
      </c>
      <c r="E533">
        <v>54.1</v>
      </c>
      <c r="F533" s="1">
        <v>-1.08679245283019</v>
      </c>
      <c r="G533" s="2">
        <v>-118.04746673538899</v>
      </c>
      <c r="H533" s="1">
        <v>138.304727578843</v>
      </c>
      <c r="I533" s="1">
        <f t="shared" si="17"/>
        <v>132.13615786768281</v>
      </c>
    </row>
    <row r="534" spans="1:9" x14ac:dyDescent="0.45">
      <c r="A534" t="s">
        <v>63</v>
      </c>
      <c r="B534" t="s">
        <v>14</v>
      </c>
      <c r="C534" t="str">
        <f t="shared" si="16"/>
        <v>Texas TechBaylor</v>
      </c>
      <c r="D534" t="s">
        <v>63</v>
      </c>
      <c r="E534">
        <v>69.599999999999994</v>
      </c>
      <c r="F534" s="1">
        <v>-5.4226415094339604</v>
      </c>
      <c r="G534" s="2">
        <v>-228.65047776635001</v>
      </c>
      <c r="H534" s="1">
        <v>139.29524018408199</v>
      </c>
      <c r="I534" s="1">
        <f t="shared" si="17"/>
        <v>146.04465415982054</v>
      </c>
    </row>
    <row r="535" spans="1:9" x14ac:dyDescent="0.45">
      <c r="A535" t="s">
        <v>64</v>
      </c>
      <c r="B535" t="s">
        <v>14</v>
      </c>
      <c r="C535" t="str">
        <f t="shared" si="16"/>
        <v>TroyBaylor</v>
      </c>
      <c r="D535" t="s">
        <v>14</v>
      </c>
      <c r="E535">
        <v>3.2</v>
      </c>
      <c r="F535" s="1">
        <v>22.388679245283001</v>
      </c>
      <c r="G535" s="2">
        <v>3042.0696327339801</v>
      </c>
      <c r="H535" s="1">
        <v>138.06154477864101</v>
      </c>
      <c r="I535" s="1">
        <f t="shared" si="17"/>
        <v>128.72145415060592</v>
      </c>
    </row>
    <row r="536" spans="1:9" x14ac:dyDescent="0.45">
      <c r="A536" t="s">
        <v>65</v>
      </c>
      <c r="B536" t="s">
        <v>14</v>
      </c>
      <c r="C536" t="str">
        <f t="shared" si="16"/>
        <v>UC San DiegoBaylor</v>
      </c>
      <c r="D536" t="s">
        <v>14</v>
      </c>
      <c r="E536">
        <v>7.8</v>
      </c>
      <c r="F536" s="1">
        <v>16.207547169811299</v>
      </c>
      <c r="G536" s="2">
        <v>1184.7896135774399</v>
      </c>
      <c r="H536" s="1">
        <v>138.131665008304</v>
      </c>
      <c r="I536" s="1">
        <f t="shared" si="17"/>
        <v>129.70606247271428</v>
      </c>
    </row>
    <row r="537" spans="1:9" x14ac:dyDescent="0.45">
      <c r="A537" t="s">
        <v>66</v>
      </c>
      <c r="B537" t="s">
        <v>14</v>
      </c>
      <c r="C537" t="str">
        <f t="shared" si="16"/>
        <v>UCLABaylor</v>
      </c>
      <c r="D537" t="s">
        <v>14</v>
      </c>
      <c r="E537">
        <v>22.5</v>
      </c>
      <c r="F537" s="1">
        <v>8.1056603773584897</v>
      </c>
      <c r="G537" s="2">
        <v>344.310119216896</v>
      </c>
      <c r="H537" s="1">
        <v>137.35292358751599</v>
      </c>
      <c r="I537" s="1">
        <f t="shared" si="17"/>
        <v>118.77119692302168</v>
      </c>
    </row>
    <row r="538" spans="1:9" x14ac:dyDescent="0.45">
      <c r="A538" t="s">
        <v>67</v>
      </c>
      <c r="B538" t="s">
        <v>14</v>
      </c>
      <c r="C538" t="str">
        <f t="shared" si="16"/>
        <v>UNC WilmingtonBaylor</v>
      </c>
      <c r="D538" t="s">
        <v>14</v>
      </c>
      <c r="E538">
        <v>4.7</v>
      </c>
      <c r="F538" s="1">
        <v>19.796226415094299</v>
      </c>
      <c r="G538" s="2">
        <v>2049.2938098110699</v>
      </c>
      <c r="H538" s="1">
        <v>138.668333478969</v>
      </c>
      <c r="I538" s="1">
        <f t="shared" si="17"/>
        <v>137.24180850448789</v>
      </c>
    </row>
    <row r="539" spans="1:9" x14ac:dyDescent="0.45">
      <c r="A539" t="s">
        <v>68</v>
      </c>
      <c r="B539" t="s">
        <v>14</v>
      </c>
      <c r="C539" t="str">
        <f t="shared" si="16"/>
        <v>Utah St.Baylor</v>
      </c>
      <c r="D539" t="s">
        <v>14</v>
      </c>
      <c r="E539">
        <v>21.5</v>
      </c>
      <c r="F539" s="1">
        <v>8.47169811320755</v>
      </c>
      <c r="G539" s="2">
        <v>364.05419502450201</v>
      </c>
      <c r="H539" s="1">
        <v>138.21551997754801</v>
      </c>
      <c r="I539" s="1">
        <f t="shared" si="17"/>
        <v>130.88353010173685</v>
      </c>
    </row>
    <row r="540" spans="1:9" x14ac:dyDescent="0.45">
      <c r="A540" t="s">
        <v>69</v>
      </c>
      <c r="B540" t="s">
        <v>14</v>
      </c>
      <c r="C540" t="str">
        <f t="shared" si="16"/>
        <v>VanderbiltBaylor</v>
      </c>
      <c r="D540" t="s">
        <v>14</v>
      </c>
      <c r="E540">
        <v>5.0999999999999996</v>
      </c>
      <c r="F540" s="1">
        <v>19.116981132075502</v>
      </c>
      <c r="G540" s="2">
        <v>1847.5023878893001</v>
      </c>
      <c r="H540" s="1">
        <v>136.64955785883001</v>
      </c>
      <c r="I540" s="1">
        <f t="shared" si="17"/>
        <v>108.89473540430598</v>
      </c>
    </row>
    <row r="541" spans="1:9" x14ac:dyDescent="0.45">
      <c r="A541" t="s">
        <v>70</v>
      </c>
      <c r="B541" t="s">
        <v>14</v>
      </c>
      <c r="C541" t="str">
        <f t="shared" si="16"/>
        <v>VCUBaylor</v>
      </c>
      <c r="D541" t="s">
        <v>14</v>
      </c>
      <c r="E541">
        <v>14.8</v>
      </c>
      <c r="F541" s="1">
        <v>11.4716981132075</v>
      </c>
      <c r="G541" s="2">
        <v>575.52376083259605</v>
      </c>
      <c r="H541" s="1">
        <v>138.57473098802299</v>
      </c>
      <c r="I541" s="1">
        <f t="shared" si="17"/>
        <v>135.92746894800811</v>
      </c>
    </row>
    <row r="542" spans="1:9" x14ac:dyDescent="0.45">
      <c r="A542" t="s">
        <v>71</v>
      </c>
      <c r="B542" t="s">
        <v>14</v>
      </c>
      <c r="C542" t="str">
        <f t="shared" si="16"/>
        <v>WisconsinBaylor</v>
      </c>
      <c r="D542" t="s">
        <v>71</v>
      </c>
      <c r="E542">
        <v>66.5</v>
      </c>
      <c r="F542" s="1">
        <v>-4.4792452830188703</v>
      </c>
      <c r="G542" s="2">
        <v>-198.07167780635399</v>
      </c>
      <c r="H542" s="1">
        <v>139.22798659635501</v>
      </c>
      <c r="I542" s="1">
        <f t="shared" si="17"/>
        <v>145.10029840847906</v>
      </c>
    </row>
    <row r="543" spans="1:9" x14ac:dyDescent="0.45">
      <c r="A543" t="s">
        <v>80</v>
      </c>
      <c r="B543" t="s">
        <v>14</v>
      </c>
      <c r="C543" t="str">
        <f t="shared" si="16"/>
        <v>WoffordBaylor</v>
      </c>
      <c r="D543" t="s">
        <v>14</v>
      </c>
      <c r="E543">
        <v>1.7</v>
      </c>
      <c r="F543" s="1">
        <v>26.6943396226415</v>
      </c>
      <c r="G543" s="2">
        <v>5867.6432780304403</v>
      </c>
      <c r="H543" s="1">
        <v>137.32563502558199</v>
      </c>
      <c r="I543" s="1">
        <f t="shared" si="17"/>
        <v>118.3880186974551</v>
      </c>
    </row>
    <row r="544" spans="1:9" x14ac:dyDescent="0.45">
      <c r="A544" t="s">
        <v>72</v>
      </c>
      <c r="B544" t="s">
        <v>14</v>
      </c>
      <c r="C544" t="str">
        <f t="shared" si="16"/>
        <v>XavierBaylor</v>
      </c>
      <c r="D544" t="s">
        <v>14</v>
      </c>
      <c r="E544">
        <v>14.7</v>
      </c>
      <c r="F544" s="1">
        <v>11.547169811320799</v>
      </c>
      <c r="G544" s="2">
        <v>581.98158614636895</v>
      </c>
      <c r="H544" s="1">
        <v>138.068437196204</v>
      </c>
      <c r="I544" s="1">
        <f t="shared" si="17"/>
        <v>128.8182355177604</v>
      </c>
    </row>
    <row r="545" spans="1:9" x14ac:dyDescent="0.45">
      <c r="A545" t="s">
        <v>73</v>
      </c>
      <c r="B545" t="s">
        <v>14</v>
      </c>
      <c r="C545" t="str">
        <f t="shared" si="16"/>
        <v>YaleBaylor</v>
      </c>
      <c r="D545" t="s">
        <v>14</v>
      </c>
      <c r="E545">
        <v>8.1999999999999993</v>
      </c>
      <c r="F545" s="1">
        <v>15.796226415094299</v>
      </c>
      <c r="G545" s="2">
        <v>1112.89639414982</v>
      </c>
      <c r="H545" s="1">
        <v>138.66814333259799</v>
      </c>
      <c r="I545" s="1">
        <f t="shared" si="17"/>
        <v>137.23913852322548</v>
      </c>
    </row>
    <row r="546" spans="1:9" x14ac:dyDescent="0.45">
      <c r="A546" t="s">
        <v>7</v>
      </c>
      <c r="B546" t="s">
        <v>15</v>
      </c>
      <c r="C546" t="str">
        <f t="shared" si="16"/>
        <v>AkronBryant</v>
      </c>
      <c r="D546" t="s">
        <v>7</v>
      </c>
      <c r="E546">
        <v>50</v>
      </c>
      <c r="F546" s="1">
        <v>-1.13207547169811E-2</v>
      </c>
      <c r="G546" s="2">
        <v>-100.180484648947</v>
      </c>
      <c r="H546" s="1">
        <v>137.892650517531</v>
      </c>
      <c r="I546" s="1">
        <f t="shared" si="17"/>
        <v>126.34988897113487</v>
      </c>
    </row>
    <row r="547" spans="1:9" x14ac:dyDescent="0.45">
      <c r="A547" t="s">
        <v>8</v>
      </c>
      <c r="B547" t="s">
        <v>15</v>
      </c>
      <c r="C547" t="str">
        <f t="shared" si="16"/>
        <v>AlabamaBryant</v>
      </c>
      <c r="D547" t="s">
        <v>8</v>
      </c>
      <c r="E547">
        <v>98.7</v>
      </c>
      <c r="F547" s="1">
        <v>-28.350943396226398</v>
      </c>
      <c r="G547" s="2">
        <v>-7556.3807450657996</v>
      </c>
      <c r="H547" s="1">
        <v>139.70026170512699</v>
      </c>
      <c r="I547" s="1">
        <f t="shared" si="17"/>
        <v>151.73185116659786</v>
      </c>
    </row>
    <row r="548" spans="1:9" x14ac:dyDescent="0.45">
      <c r="A548" t="s">
        <v>9</v>
      </c>
      <c r="B548" t="s">
        <v>15</v>
      </c>
      <c r="C548" t="str">
        <f t="shared" si="16"/>
        <v>Alabama St.Bryant</v>
      </c>
      <c r="D548" t="s">
        <v>15</v>
      </c>
      <c r="E548">
        <v>13.3</v>
      </c>
      <c r="F548" s="1">
        <v>12.3056603773585</v>
      </c>
      <c r="G548" s="2">
        <v>653.59179141886204</v>
      </c>
      <c r="H548" s="1">
        <v>138.07941227695301</v>
      </c>
      <c r="I548" s="1">
        <f t="shared" si="17"/>
        <v>128.97234448022698</v>
      </c>
    </row>
    <row r="549" spans="1:9" x14ac:dyDescent="0.45">
      <c r="A549" t="s">
        <v>10</v>
      </c>
      <c r="B549" t="s">
        <v>15</v>
      </c>
      <c r="C549" t="str">
        <f t="shared" si="16"/>
        <v>AmericanBryant</v>
      </c>
      <c r="D549" t="s">
        <v>15</v>
      </c>
      <c r="E549">
        <v>14.7</v>
      </c>
      <c r="F549" s="1">
        <v>11.550943396226399</v>
      </c>
      <c r="G549" s="2">
        <v>582.31813985948099</v>
      </c>
      <c r="H549" s="1">
        <v>137.84270179671501</v>
      </c>
      <c r="I549" s="1">
        <f t="shared" si="17"/>
        <v>125.64852323929887</v>
      </c>
    </row>
    <row r="550" spans="1:9" x14ac:dyDescent="0.45">
      <c r="A550" t="s">
        <v>11</v>
      </c>
      <c r="B550" t="s">
        <v>15</v>
      </c>
      <c r="C550" t="str">
        <f t="shared" si="16"/>
        <v>ArizonaBryant</v>
      </c>
      <c r="D550" t="s">
        <v>11</v>
      </c>
      <c r="E550">
        <v>98</v>
      </c>
      <c r="F550" s="1">
        <v>-25.5962264150943</v>
      </c>
      <c r="G550" s="2">
        <v>-4963.1757012131802</v>
      </c>
      <c r="H550" s="1">
        <v>139.31074104530401</v>
      </c>
      <c r="I550" s="1">
        <f t="shared" si="17"/>
        <v>146.26231284451688</v>
      </c>
    </row>
    <row r="551" spans="1:9" x14ac:dyDescent="0.45">
      <c r="A551" t="s">
        <v>12</v>
      </c>
      <c r="B551" t="s">
        <v>15</v>
      </c>
      <c r="C551" t="str">
        <f t="shared" si="16"/>
        <v>ArkansasBryant</v>
      </c>
      <c r="D551" t="s">
        <v>12</v>
      </c>
      <c r="E551">
        <v>76.400000000000006</v>
      </c>
      <c r="F551" s="1">
        <v>-7.6943396226415102</v>
      </c>
      <c r="G551" s="2">
        <v>-323.48939362824001</v>
      </c>
      <c r="H551" s="1">
        <v>137.636665023093</v>
      </c>
      <c r="I551" s="1">
        <f t="shared" si="17"/>
        <v>122.75541346279661</v>
      </c>
    </row>
    <row r="552" spans="1:9" x14ac:dyDescent="0.45">
      <c r="A552" t="s">
        <v>13</v>
      </c>
      <c r="B552" t="s">
        <v>15</v>
      </c>
      <c r="C552" t="str">
        <f t="shared" si="16"/>
        <v>AuburnBryant</v>
      </c>
      <c r="D552" t="s">
        <v>13</v>
      </c>
      <c r="E552">
        <v>99.3</v>
      </c>
      <c r="F552" s="1">
        <v>-32.792452830188701</v>
      </c>
      <c r="G552" s="2">
        <v>-14873.882824255399</v>
      </c>
      <c r="H552" s="1">
        <v>140.72247793847899</v>
      </c>
      <c r="I552" s="1">
        <f t="shared" si="17"/>
        <v>166.08552078790356</v>
      </c>
    </row>
    <row r="553" spans="1:9" x14ac:dyDescent="0.45">
      <c r="A553" t="s">
        <v>14</v>
      </c>
      <c r="B553" t="s">
        <v>15</v>
      </c>
      <c r="C553" t="str">
        <f t="shared" si="16"/>
        <v>BaylorBryant</v>
      </c>
      <c r="D553" t="s">
        <v>14</v>
      </c>
      <c r="E553">
        <v>93.7</v>
      </c>
      <c r="F553" s="1">
        <v>-17.743396226415101</v>
      </c>
      <c r="G553" s="2">
        <v>-1497.8287154827799</v>
      </c>
      <c r="H553" s="1">
        <v>139.18539529966</v>
      </c>
      <c r="I553" s="1">
        <f t="shared" si="17"/>
        <v>144.50224353363279</v>
      </c>
    </row>
    <row r="554" spans="1:9" x14ac:dyDescent="0.45">
      <c r="A554" t="s">
        <v>15</v>
      </c>
      <c r="B554" t="s">
        <v>15</v>
      </c>
      <c r="C554" t="str">
        <f t="shared" si="16"/>
        <v>BryantBryant</v>
      </c>
      <c r="D554" t="s">
        <v>15</v>
      </c>
      <c r="E554">
        <v>41.2</v>
      </c>
      <c r="F554" s="1">
        <v>2.3283018867924499</v>
      </c>
      <c r="G554" s="2">
        <v>142.64273539779199</v>
      </c>
      <c r="H554" s="1">
        <v>138.77771517530499</v>
      </c>
      <c r="I554" s="1">
        <f t="shared" si="17"/>
        <v>138.77771517530684</v>
      </c>
    </row>
    <row r="555" spans="1:9" x14ac:dyDescent="0.45">
      <c r="A555" t="s">
        <v>16</v>
      </c>
      <c r="B555" t="s">
        <v>15</v>
      </c>
      <c r="C555" t="str">
        <f t="shared" si="16"/>
        <v>BYUBryant</v>
      </c>
      <c r="D555" t="s">
        <v>16</v>
      </c>
      <c r="E555">
        <v>94.7</v>
      </c>
      <c r="F555" s="1">
        <v>-18.8377358490566</v>
      </c>
      <c r="G555" s="2">
        <v>-1769.9944086491701</v>
      </c>
      <c r="H555" s="1">
        <v>138.947755849749</v>
      </c>
      <c r="I555" s="1">
        <f t="shared" si="17"/>
        <v>141.16537796476371</v>
      </c>
    </row>
    <row r="556" spans="1:9" x14ac:dyDescent="0.45">
      <c r="A556" t="s">
        <v>17</v>
      </c>
      <c r="B556" t="s">
        <v>15</v>
      </c>
      <c r="C556" t="str">
        <f t="shared" si="16"/>
        <v>ClemsonBryant</v>
      </c>
      <c r="D556" t="s">
        <v>17</v>
      </c>
      <c r="E556">
        <v>96.1</v>
      </c>
      <c r="F556" s="1">
        <v>-21.0415094339623</v>
      </c>
      <c r="G556" s="2">
        <v>-2477.4965605482098</v>
      </c>
      <c r="H556" s="1">
        <v>139.29780607219101</v>
      </c>
      <c r="I556" s="1">
        <f t="shared" si="17"/>
        <v>146.08068363088589</v>
      </c>
    </row>
    <row r="557" spans="1:9" x14ac:dyDescent="0.45">
      <c r="A557" t="s">
        <v>18</v>
      </c>
      <c r="B557" t="s">
        <v>15</v>
      </c>
      <c r="C557" t="str">
        <f t="shared" si="16"/>
        <v>Colorado St.Bryant</v>
      </c>
      <c r="D557" t="s">
        <v>18</v>
      </c>
      <c r="E557">
        <v>80.400000000000006</v>
      </c>
      <c r="F557" s="1">
        <v>-9.2603773584905706</v>
      </c>
      <c r="G557" s="2">
        <v>-410.62857058972901</v>
      </c>
      <c r="H557" s="1">
        <v>138.68741704698499</v>
      </c>
      <c r="I557" s="1">
        <f t="shared" si="17"/>
        <v>137.50977453903127</v>
      </c>
    </row>
    <row r="558" spans="1:9" x14ac:dyDescent="0.45">
      <c r="A558" t="s">
        <v>19</v>
      </c>
      <c r="B558" t="s">
        <v>15</v>
      </c>
      <c r="C558" t="str">
        <f t="shared" si="16"/>
        <v>ConnecticutBryant</v>
      </c>
      <c r="D558" t="s">
        <v>19</v>
      </c>
      <c r="E558">
        <v>97.5</v>
      </c>
      <c r="F558" s="1">
        <v>-23.9358490566038</v>
      </c>
      <c r="G558" s="2">
        <v>-3852.1162829172299</v>
      </c>
      <c r="H558" s="1">
        <v>139.09805690293899</v>
      </c>
      <c r="I558" s="1">
        <f t="shared" si="17"/>
        <v>143.27586260669617</v>
      </c>
    </row>
    <row r="559" spans="1:9" x14ac:dyDescent="0.45">
      <c r="A559" t="s">
        <v>20</v>
      </c>
      <c r="B559" t="s">
        <v>15</v>
      </c>
      <c r="C559" t="str">
        <f t="shared" si="16"/>
        <v>CreightonBryant</v>
      </c>
      <c r="D559" t="s">
        <v>20</v>
      </c>
      <c r="E559">
        <v>92.2</v>
      </c>
      <c r="F559" s="1">
        <v>-16.2264150943396</v>
      </c>
      <c r="G559" s="2">
        <v>-1188.6848529460001</v>
      </c>
      <c r="H559" s="1">
        <v>138.64735365577801</v>
      </c>
      <c r="I559" s="1">
        <f t="shared" si="17"/>
        <v>136.94721579408892</v>
      </c>
    </row>
    <row r="560" spans="1:9" x14ac:dyDescent="0.45">
      <c r="A560" t="s">
        <v>21</v>
      </c>
      <c r="B560" t="s">
        <v>15</v>
      </c>
      <c r="C560" t="str">
        <f t="shared" si="16"/>
        <v>DrakeBryant</v>
      </c>
      <c r="D560" t="s">
        <v>21</v>
      </c>
      <c r="E560">
        <v>79.900000000000006</v>
      </c>
      <c r="F560" s="1">
        <v>-9.0566037735849108</v>
      </c>
      <c r="G560" s="2">
        <v>-397.99630052996503</v>
      </c>
      <c r="H560" s="1">
        <v>138.88202946145199</v>
      </c>
      <c r="I560" s="1">
        <f t="shared" si="17"/>
        <v>140.24246671346876</v>
      </c>
    </row>
    <row r="561" spans="1:9" x14ac:dyDescent="0.45">
      <c r="A561" t="s">
        <v>22</v>
      </c>
      <c r="B561" t="s">
        <v>15</v>
      </c>
      <c r="C561" t="str">
        <f t="shared" si="16"/>
        <v>DukeBryant</v>
      </c>
      <c r="D561" t="s">
        <v>22</v>
      </c>
      <c r="E561">
        <v>99.5</v>
      </c>
      <c r="F561" s="1">
        <v>-35.007547169811303</v>
      </c>
      <c r="G561" s="2">
        <v>-20851.219552102899</v>
      </c>
      <c r="H561" s="1">
        <v>140.96236935005501</v>
      </c>
      <c r="I561" s="1">
        <f t="shared" si="17"/>
        <v>169.45400776199492</v>
      </c>
    </row>
    <row r="562" spans="1:9" x14ac:dyDescent="0.45">
      <c r="A562" t="s">
        <v>23</v>
      </c>
      <c r="B562" t="s">
        <v>15</v>
      </c>
      <c r="C562" t="str">
        <f t="shared" si="16"/>
        <v>FloridaBryant</v>
      </c>
      <c r="D562" t="s">
        <v>23</v>
      </c>
      <c r="E562">
        <v>99.1</v>
      </c>
      <c r="F562" s="1">
        <v>-31.147169811320801</v>
      </c>
      <c r="G562" s="2">
        <v>-11577.087109026101</v>
      </c>
      <c r="H562" s="1">
        <v>140.69701987760899</v>
      </c>
      <c r="I562" s="1">
        <f t="shared" si="17"/>
        <v>165.72804593766691</v>
      </c>
    </row>
    <row r="563" spans="1:9" x14ac:dyDescent="0.45">
      <c r="A563" t="s">
        <v>24</v>
      </c>
      <c r="B563" t="s">
        <v>15</v>
      </c>
      <c r="C563" t="str">
        <f t="shared" si="16"/>
        <v>GeorgiaBryant</v>
      </c>
      <c r="D563" t="s">
        <v>24</v>
      </c>
      <c r="E563">
        <v>82.3</v>
      </c>
      <c r="F563" s="1">
        <v>-10.086792452830201</v>
      </c>
      <c r="G563" s="2">
        <v>-465.89042306137702</v>
      </c>
      <c r="H563" s="1">
        <v>137.96097817389401</v>
      </c>
      <c r="I563" s="1">
        <f t="shared" si="17"/>
        <v>127.30932648878877</v>
      </c>
    </row>
    <row r="564" spans="1:9" x14ac:dyDescent="0.45">
      <c r="A564" t="s">
        <v>25</v>
      </c>
      <c r="B564" t="s">
        <v>15</v>
      </c>
      <c r="C564" t="str">
        <f t="shared" si="16"/>
        <v>GonzagaBryant</v>
      </c>
      <c r="D564" t="s">
        <v>25</v>
      </c>
      <c r="E564">
        <v>95.9</v>
      </c>
      <c r="F564" s="1">
        <v>-20.7169811320755</v>
      </c>
      <c r="G564" s="2">
        <v>-2357.8850331608501</v>
      </c>
      <c r="H564" s="1">
        <v>139.9379399044</v>
      </c>
      <c r="I564" s="1">
        <f t="shared" si="17"/>
        <v>155.06926084298755</v>
      </c>
    </row>
    <row r="565" spans="1:9" x14ac:dyDescent="0.45">
      <c r="A565" t="s">
        <v>26</v>
      </c>
      <c r="B565" t="s">
        <v>15</v>
      </c>
      <c r="C565" t="str">
        <f t="shared" si="16"/>
        <v>Grand CanyonBryant</v>
      </c>
      <c r="D565" t="s">
        <v>26</v>
      </c>
      <c r="E565">
        <v>71.900000000000006</v>
      </c>
      <c r="F565" s="1">
        <v>-6.1660377358490601</v>
      </c>
      <c r="G565" s="2">
        <v>-256.17915615928098</v>
      </c>
      <c r="H565" s="1">
        <v>138.75591162193999</v>
      </c>
      <c r="I565" s="1">
        <f t="shared" si="17"/>
        <v>138.4715558800807</v>
      </c>
    </row>
    <row r="566" spans="1:9" x14ac:dyDescent="0.45">
      <c r="A566" t="s">
        <v>27</v>
      </c>
      <c r="B566" t="s">
        <v>15</v>
      </c>
      <c r="C566" t="str">
        <f t="shared" si="16"/>
        <v>High PointBryant</v>
      </c>
      <c r="D566" t="s">
        <v>27</v>
      </c>
      <c r="E566">
        <v>61.5</v>
      </c>
      <c r="F566" s="1">
        <v>-3.0754716981132102</v>
      </c>
      <c r="G566" s="2">
        <v>-159.904884318283</v>
      </c>
      <c r="H566" s="1">
        <v>138.94711875548799</v>
      </c>
      <c r="I566" s="1">
        <f t="shared" si="17"/>
        <v>141.15643206834591</v>
      </c>
    </row>
    <row r="567" spans="1:9" x14ac:dyDescent="0.45">
      <c r="A567" t="s">
        <v>28</v>
      </c>
      <c r="B567" t="s">
        <v>15</v>
      </c>
      <c r="C567" t="str">
        <f t="shared" si="16"/>
        <v>HoustonBryant</v>
      </c>
      <c r="D567" t="s">
        <v>28</v>
      </c>
      <c r="E567">
        <v>99.7</v>
      </c>
      <c r="F567" s="1">
        <v>-38.358490566037702</v>
      </c>
      <c r="G567" s="2">
        <v>-34782.566310987</v>
      </c>
      <c r="H567" s="1">
        <v>141.06058111269101</v>
      </c>
      <c r="I567" s="1">
        <f t="shared" si="17"/>
        <v>170.83306940062749</v>
      </c>
    </row>
    <row r="568" spans="1:9" x14ac:dyDescent="0.45">
      <c r="A568" t="s">
        <v>29</v>
      </c>
      <c r="B568" t="s">
        <v>15</v>
      </c>
      <c r="C568" t="str">
        <f t="shared" si="16"/>
        <v>IllinoisBryant</v>
      </c>
      <c r="D568" t="s">
        <v>29</v>
      </c>
      <c r="E568">
        <v>97.2</v>
      </c>
      <c r="F568" s="1">
        <v>-23.173584905660402</v>
      </c>
      <c r="G568" s="2">
        <v>-3428.8464876241301</v>
      </c>
      <c r="H568" s="1">
        <v>139.11904488765299</v>
      </c>
      <c r="I568" s="1">
        <f t="shared" si="17"/>
        <v>143.5705699188799</v>
      </c>
    </row>
    <row r="569" spans="1:9" x14ac:dyDescent="0.45">
      <c r="A569" t="s">
        <v>30</v>
      </c>
      <c r="B569" t="s">
        <v>15</v>
      </c>
      <c r="C569" t="str">
        <f t="shared" si="16"/>
        <v>Iowa St.Bryant</v>
      </c>
      <c r="D569" t="s">
        <v>30</v>
      </c>
      <c r="E569">
        <v>98.6</v>
      </c>
      <c r="F569" s="1">
        <v>-28.033962264150901</v>
      </c>
      <c r="G569" s="2">
        <v>-7197.8716980746003</v>
      </c>
      <c r="H569" s="1">
        <v>140.01558717923899</v>
      </c>
      <c r="I569" s="1">
        <f t="shared" si="17"/>
        <v>156.15956179269853</v>
      </c>
    </row>
    <row r="570" spans="1:9" x14ac:dyDescent="0.45">
      <c r="A570" t="s">
        <v>31</v>
      </c>
      <c r="B570" t="s">
        <v>15</v>
      </c>
      <c r="C570" t="str">
        <f t="shared" si="16"/>
        <v>KansasBryant</v>
      </c>
      <c r="D570" t="s">
        <v>31</v>
      </c>
      <c r="E570">
        <v>95.7</v>
      </c>
      <c r="F570" s="1">
        <v>-20.316981132075501</v>
      </c>
      <c r="G570" s="2">
        <v>-2218.2125867414502</v>
      </c>
      <c r="H570" s="1">
        <v>139.066175068093</v>
      </c>
      <c r="I570" s="1">
        <f t="shared" si="17"/>
        <v>142.82818694926726</v>
      </c>
    </row>
    <row r="571" spans="1:9" x14ac:dyDescent="0.45">
      <c r="A571" t="s">
        <v>32</v>
      </c>
      <c r="B571" t="s">
        <v>15</v>
      </c>
      <c r="C571" t="str">
        <f t="shared" si="16"/>
        <v>KentuckyBryant</v>
      </c>
      <c r="D571" t="s">
        <v>32</v>
      </c>
      <c r="E571">
        <v>97.4</v>
      </c>
      <c r="F571" s="1">
        <v>-23.683018867924499</v>
      </c>
      <c r="G571" s="2">
        <v>-3705.8608493613901</v>
      </c>
      <c r="H571" s="1">
        <v>139.00045740021801</v>
      </c>
      <c r="I571" s="1">
        <f t="shared" si="17"/>
        <v>141.90539814765808</v>
      </c>
    </row>
    <row r="572" spans="1:9" x14ac:dyDescent="0.45">
      <c r="A572" t="s">
        <v>33</v>
      </c>
      <c r="B572" t="s">
        <v>15</v>
      </c>
      <c r="C572" t="str">
        <f t="shared" si="16"/>
        <v>LibertyBryant</v>
      </c>
      <c r="D572" t="s">
        <v>33</v>
      </c>
      <c r="E572">
        <v>52.6</v>
      </c>
      <c r="F572" s="1">
        <v>-0.69433962264150895</v>
      </c>
      <c r="G572" s="2">
        <v>-111.18883839118099</v>
      </c>
      <c r="H572" s="1">
        <v>138.345458443936</v>
      </c>
      <c r="I572" s="1">
        <f t="shared" si="17"/>
        <v>132.70808909109698</v>
      </c>
    </row>
    <row r="573" spans="1:9" x14ac:dyDescent="0.45">
      <c r="A573" t="s">
        <v>34</v>
      </c>
      <c r="B573" t="s">
        <v>15</v>
      </c>
      <c r="C573" t="str">
        <f t="shared" si="16"/>
        <v>LipscombBryant</v>
      </c>
      <c r="D573" t="s">
        <v>15</v>
      </c>
      <c r="E573">
        <v>45.5</v>
      </c>
      <c r="F573" s="1">
        <v>1.1698113207547201</v>
      </c>
      <c r="G573" s="2">
        <v>119.546566571017</v>
      </c>
      <c r="H573" s="1">
        <v>138.75177664152801</v>
      </c>
      <c r="I573" s="1">
        <f t="shared" si="17"/>
        <v>138.41349366116108</v>
      </c>
    </row>
    <row r="574" spans="1:9" x14ac:dyDescent="0.45">
      <c r="A574" t="s">
        <v>35</v>
      </c>
      <c r="B574" t="s">
        <v>15</v>
      </c>
      <c r="C574" t="str">
        <f t="shared" si="16"/>
        <v>LouisvilleBryant</v>
      </c>
      <c r="D574" t="s">
        <v>35</v>
      </c>
      <c r="E574">
        <v>67.8</v>
      </c>
      <c r="F574" s="1">
        <v>-4.8792452830188697</v>
      </c>
      <c r="G574" s="2">
        <v>-210.475101448271</v>
      </c>
      <c r="H574" s="1">
        <v>137.997138647345</v>
      </c>
      <c r="I574" s="1">
        <f t="shared" si="17"/>
        <v>127.81708157262609</v>
      </c>
    </row>
    <row r="575" spans="1:9" x14ac:dyDescent="0.45">
      <c r="A575" t="s">
        <v>36</v>
      </c>
      <c r="B575" t="s">
        <v>15</v>
      </c>
      <c r="C575" t="str">
        <f t="shared" si="16"/>
        <v>MarquetteBryant</v>
      </c>
      <c r="D575" t="s">
        <v>36</v>
      </c>
      <c r="E575">
        <v>96.6</v>
      </c>
      <c r="F575" s="1">
        <v>-21.947169811320801</v>
      </c>
      <c r="G575" s="2">
        <v>-2844.09451617082</v>
      </c>
      <c r="H575" s="1">
        <v>139.25927249080701</v>
      </c>
      <c r="I575" s="1">
        <f t="shared" si="17"/>
        <v>145.5396060403863</v>
      </c>
    </row>
    <row r="576" spans="1:9" x14ac:dyDescent="0.45">
      <c r="A576" t="s">
        <v>37</v>
      </c>
      <c r="B576" t="s">
        <v>15</v>
      </c>
      <c r="C576" t="str">
        <f t="shared" si="16"/>
        <v>MarylandBryant</v>
      </c>
      <c r="D576" t="s">
        <v>37</v>
      </c>
      <c r="E576">
        <v>94.6</v>
      </c>
      <c r="F576" s="1">
        <v>-18.777358490566002</v>
      </c>
      <c r="G576" s="2">
        <v>-1754.3255692851901</v>
      </c>
      <c r="H576" s="1">
        <v>138.71764208934999</v>
      </c>
      <c r="I576" s="1">
        <f t="shared" si="17"/>
        <v>137.93418598764876</v>
      </c>
    </row>
    <row r="577" spans="1:9" x14ac:dyDescent="0.45">
      <c r="A577" t="s">
        <v>38</v>
      </c>
      <c r="B577" t="s">
        <v>15</v>
      </c>
      <c r="C577" t="str">
        <f t="shared" si="16"/>
        <v>McNeese St.Bryant</v>
      </c>
      <c r="D577" t="s">
        <v>38</v>
      </c>
      <c r="E577">
        <v>80.400000000000006</v>
      </c>
      <c r="F577" s="1">
        <v>-9.2377358490565999</v>
      </c>
      <c r="G577" s="2">
        <v>-409.298845507772</v>
      </c>
      <c r="H577" s="1">
        <v>139.31087750231501</v>
      </c>
      <c r="I577" s="1">
        <f t="shared" si="17"/>
        <v>146.26422893505568</v>
      </c>
    </row>
    <row r="578" spans="1:9" x14ac:dyDescent="0.45">
      <c r="A578" t="s">
        <v>39</v>
      </c>
      <c r="B578" t="s">
        <v>15</v>
      </c>
      <c r="C578" t="str">
        <f t="shared" si="16"/>
        <v>MemphisBryant</v>
      </c>
      <c r="D578" t="s">
        <v>39</v>
      </c>
      <c r="E578">
        <v>90.8</v>
      </c>
      <c r="F578" s="1">
        <v>-15.0150943396226</v>
      </c>
      <c r="G578" s="2">
        <v>-987.89281455756498</v>
      </c>
      <c r="H578" s="1">
        <v>137.84515932884</v>
      </c>
      <c r="I578" s="1">
        <f t="shared" si="17"/>
        <v>125.68303120645393</v>
      </c>
    </row>
    <row r="579" spans="1:9" x14ac:dyDescent="0.45">
      <c r="A579" t="s">
        <v>40</v>
      </c>
      <c r="B579" t="s">
        <v>15</v>
      </c>
      <c r="C579" t="str">
        <f t="shared" ref="C579:C642" si="18">A579&amp;B579</f>
        <v>MichiganBryant</v>
      </c>
      <c r="D579" t="s">
        <v>40</v>
      </c>
      <c r="E579">
        <v>83</v>
      </c>
      <c r="F579" s="1">
        <v>-10.388679245283001</v>
      </c>
      <c r="G579" s="2">
        <v>-487.88244590099902</v>
      </c>
      <c r="H579" s="1">
        <v>137.407780625757</v>
      </c>
      <c r="I579" s="1">
        <f t="shared" ref="I579:I642" si="19">18*(H579-AVERAGE($H$2:$H$4625))/_xlfn.STDEV.P($H$2:$H$4625)+AVERAGE($H$2:$H$4625)</f>
        <v>119.54148385217051</v>
      </c>
    </row>
    <row r="580" spans="1:9" x14ac:dyDescent="0.45">
      <c r="A580" t="s">
        <v>41</v>
      </c>
      <c r="B580" t="s">
        <v>15</v>
      </c>
      <c r="C580" t="str">
        <f t="shared" si="18"/>
        <v>Michigan St.Bryant</v>
      </c>
      <c r="D580" t="s">
        <v>41</v>
      </c>
      <c r="E580">
        <v>97.9</v>
      </c>
      <c r="F580" s="1">
        <v>-25.135849056603799</v>
      </c>
      <c r="G580" s="2">
        <v>-4626.6892775953402</v>
      </c>
      <c r="H580" s="1">
        <v>139.05486033496399</v>
      </c>
      <c r="I580" s="1">
        <f t="shared" si="19"/>
        <v>142.66930868468077</v>
      </c>
    </row>
    <row r="581" spans="1:9" x14ac:dyDescent="0.45">
      <c r="A581" t="s">
        <v>42</v>
      </c>
      <c r="B581" t="s">
        <v>15</v>
      </c>
      <c r="C581" t="str">
        <f t="shared" si="18"/>
        <v>MississippiBryant</v>
      </c>
      <c r="D581" t="s">
        <v>42</v>
      </c>
      <c r="E581">
        <v>92.7</v>
      </c>
      <c r="F581" s="1">
        <v>-16.641509433962302</v>
      </c>
      <c r="G581" s="2">
        <v>-1265.8985974846901</v>
      </c>
      <c r="H581" s="1">
        <v>138.32255168485301</v>
      </c>
      <c r="I581" s="1">
        <f t="shared" si="19"/>
        <v>132.38643889494048</v>
      </c>
    </row>
    <row r="582" spans="1:9" x14ac:dyDescent="0.45">
      <c r="A582" t="s">
        <v>43</v>
      </c>
      <c r="B582" t="s">
        <v>15</v>
      </c>
      <c r="C582" t="str">
        <f t="shared" si="18"/>
        <v>Mississippi St.Bryant</v>
      </c>
      <c r="D582" t="s">
        <v>43</v>
      </c>
      <c r="E582">
        <v>90.7</v>
      </c>
      <c r="F582" s="1">
        <v>-14.916981132075501</v>
      </c>
      <c r="G582" s="2">
        <v>-973.24370346374405</v>
      </c>
      <c r="H582" s="1">
        <v>138.46229815753</v>
      </c>
      <c r="I582" s="1">
        <f t="shared" si="19"/>
        <v>134.34871911912632</v>
      </c>
    </row>
    <row r="583" spans="1:9" x14ac:dyDescent="0.45">
      <c r="A583" t="s">
        <v>44</v>
      </c>
      <c r="B583" t="s">
        <v>15</v>
      </c>
      <c r="C583" t="str">
        <f t="shared" si="18"/>
        <v>MissouriBryant</v>
      </c>
      <c r="D583" t="s">
        <v>44</v>
      </c>
      <c r="E583">
        <v>82.1</v>
      </c>
      <c r="F583" s="1">
        <v>-9.9811320754717006</v>
      </c>
      <c r="G583" s="2">
        <v>-458.50420266975902</v>
      </c>
      <c r="H583" s="1">
        <v>137.879960056176</v>
      </c>
      <c r="I583" s="1">
        <f t="shared" si="19"/>
        <v>126.17169312206858</v>
      </c>
    </row>
    <row r="584" spans="1:9" x14ac:dyDescent="0.45">
      <c r="A584" t="s">
        <v>45</v>
      </c>
      <c r="B584" t="s">
        <v>15</v>
      </c>
      <c r="C584" t="str">
        <f t="shared" si="18"/>
        <v>MontanaBryant</v>
      </c>
      <c r="D584" t="s">
        <v>15</v>
      </c>
      <c r="E584">
        <v>29.1</v>
      </c>
      <c r="F584" s="1">
        <v>5.8226415094339599</v>
      </c>
      <c r="G584" s="2">
        <v>243.109775254439</v>
      </c>
      <c r="H584" s="1">
        <v>137.01667161958201</v>
      </c>
      <c r="I584" s="1">
        <f t="shared" si="19"/>
        <v>114.04964242235451</v>
      </c>
    </row>
    <row r="585" spans="1:9" x14ac:dyDescent="0.45">
      <c r="A585" t="s">
        <v>46</v>
      </c>
      <c r="B585" t="s">
        <v>15</v>
      </c>
      <c r="C585" t="str">
        <f t="shared" si="18"/>
        <v>Mount St. Mary'sBryant</v>
      </c>
      <c r="D585" t="s">
        <v>15</v>
      </c>
      <c r="E585">
        <v>13.5</v>
      </c>
      <c r="F585" s="1">
        <v>12.158490566037701</v>
      </c>
      <c r="G585" s="2">
        <v>638.89069110876596</v>
      </c>
      <c r="H585" s="1">
        <v>138.319959573733</v>
      </c>
      <c r="I585" s="1">
        <f t="shared" si="19"/>
        <v>132.35004120781286</v>
      </c>
    </row>
    <row r="586" spans="1:9" x14ac:dyDescent="0.45">
      <c r="A586" t="s">
        <v>47</v>
      </c>
      <c r="B586" t="s">
        <v>15</v>
      </c>
      <c r="C586" t="str">
        <f t="shared" si="18"/>
        <v>Nebraska OmahaBryant</v>
      </c>
      <c r="D586" t="s">
        <v>15</v>
      </c>
      <c r="E586">
        <v>17.899999999999999</v>
      </c>
      <c r="F586" s="1">
        <v>9.9660377358490599</v>
      </c>
      <c r="G586" s="2">
        <v>457.429362851912</v>
      </c>
      <c r="H586" s="1">
        <v>137.737735705836</v>
      </c>
      <c r="I586" s="1">
        <f t="shared" si="19"/>
        <v>124.17461924446928</v>
      </c>
    </row>
    <row r="587" spans="1:9" x14ac:dyDescent="0.45">
      <c r="A587" t="s">
        <v>48</v>
      </c>
      <c r="B587" t="s">
        <v>15</v>
      </c>
      <c r="C587" t="str">
        <f t="shared" si="18"/>
        <v>New MexicoBryant</v>
      </c>
      <c r="D587" t="s">
        <v>48</v>
      </c>
      <c r="E587">
        <v>84</v>
      </c>
      <c r="F587" s="1">
        <v>-10.864150943396201</v>
      </c>
      <c r="G587" s="2">
        <v>-524.51650016720203</v>
      </c>
      <c r="H587" s="1">
        <v>138.50772563765301</v>
      </c>
      <c r="I587" s="1">
        <f t="shared" si="19"/>
        <v>134.98659887503268</v>
      </c>
    </row>
    <row r="588" spans="1:9" x14ac:dyDescent="0.45">
      <c r="A588" t="s">
        <v>49</v>
      </c>
      <c r="B588" t="s">
        <v>15</v>
      </c>
      <c r="C588" t="str">
        <f t="shared" si="18"/>
        <v>Norfolk St.Bryant</v>
      </c>
      <c r="D588" t="s">
        <v>15</v>
      </c>
      <c r="E588">
        <v>23.6</v>
      </c>
      <c r="F588" s="1">
        <v>7.7018867924528296</v>
      </c>
      <c r="G588" s="2">
        <v>323.79579357360001</v>
      </c>
      <c r="H588" s="1">
        <v>137.54385140161699</v>
      </c>
      <c r="I588" s="1">
        <f t="shared" si="19"/>
        <v>121.45215098705303</v>
      </c>
    </row>
    <row r="589" spans="1:9" x14ac:dyDescent="0.45">
      <c r="A589" t="s">
        <v>50</v>
      </c>
      <c r="B589" t="s">
        <v>15</v>
      </c>
      <c r="C589" t="str">
        <f t="shared" si="18"/>
        <v>North CarolinaBryant</v>
      </c>
      <c r="D589" t="s">
        <v>50</v>
      </c>
      <c r="E589">
        <v>94.7</v>
      </c>
      <c r="F589" s="1">
        <v>-18.913207547169801</v>
      </c>
      <c r="G589" s="2">
        <v>-1791.0848455856799</v>
      </c>
      <c r="H589" s="1">
        <v>139.61745735608599</v>
      </c>
      <c r="I589" s="1">
        <f t="shared" si="19"/>
        <v>150.56913604766029</v>
      </c>
    </row>
    <row r="590" spans="1:9" x14ac:dyDescent="0.45">
      <c r="A590" t="s">
        <v>51</v>
      </c>
      <c r="B590" t="s">
        <v>15</v>
      </c>
      <c r="C590" t="str">
        <f t="shared" si="18"/>
        <v>OklahomaBryant</v>
      </c>
      <c r="D590" t="s">
        <v>51</v>
      </c>
      <c r="E590">
        <v>86.2</v>
      </c>
      <c r="F590" s="1">
        <v>-12.033962264150899</v>
      </c>
      <c r="G590" s="2">
        <v>-626.81436295149297</v>
      </c>
      <c r="H590" s="1">
        <v>138.04108048226101</v>
      </c>
      <c r="I590" s="1">
        <f t="shared" si="19"/>
        <v>128.43410032106658</v>
      </c>
    </row>
    <row r="591" spans="1:9" x14ac:dyDescent="0.45">
      <c r="A591" t="s">
        <v>52</v>
      </c>
      <c r="B591" t="s">
        <v>15</v>
      </c>
      <c r="C591" t="str">
        <f t="shared" si="18"/>
        <v>OregonBryant</v>
      </c>
      <c r="D591" t="s">
        <v>52</v>
      </c>
      <c r="E591">
        <v>94.6</v>
      </c>
      <c r="F591" s="1">
        <v>-18.8</v>
      </c>
      <c r="G591" s="2">
        <v>-1759.56447544043</v>
      </c>
      <c r="H591" s="1">
        <v>138.33179787379001</v>
      </c>
      <c r="I591" s="1">
        <f t="shared" si="19"/>
        <v>132.51627125029515</v>
      </c>
    </row>
    <row r="592" spans="1:9" x14ac:dyDescent="0.45">
      <c r="A592" t="s">
        <v>53</v>
      </c>
      <c r="B592" t="s">
        <v>15</v>
      </c>
      <c r="C592" t="str">
        <f t="shared" si="18"/>
        <v>PurdueBryant</v>
      </c>
      <c r="D592" t="s">
        <v>53</v>
      </c>
      <c r="E592">
        <v>99</v>
      </c>
      <c r="F592" s="1">
        <v>-30.1698113207547</v>
      </c>
      <c r="G592" s="2">
        <v>-9972.5174560482701</v>
      </c>
      <c r="H592" s="1">
        <v>139.81988507358801</v>
      </c>
      <c r="I592" s="1">
        <f t="shared" si="19"/>
        <v>153.41156848457354</v>
      </c>
    </row>
    <row r="593" spans="1:9" x14ac:dyDescent="0.45">
      <c r="A593" t="s">
        <v>54</v>
      </c>
      <c r="B593" t="s">
        <v>15</v>
      </c>
      <c r="C593" t="str">
        <f t="shared" si="18"/>
        <v>Robert MorrisBryant</v>
      </c>
      <c r="D593" t="s">
        <v>15</v>
      </c>
      <c r="E593">
        <v>11</v>
      </c>
      <c r="F593" s="1">
        <v>13.7169811320755</v>
      </c>
      <c r="G593" s="2">
        <v>810.64385571989203</v>
      </c>
      <c r="H593" s="1">
        <v>136.90285040227499</v>
      </c>
      <c r="I593" s="1">
        <f t="shared" si="19"/>
        <v>112.45139726069972</v>
      </c>
    </row>
    <row r="594" spans="1:9" x14ac:dyDescent="0.45">
      <c r="A594" t="s">
        <v>55</v>
      </c>
      <c r="B594" t="s">
        <v>15</v>
      </c>
      <c r="C594" t="str">
        <f t="shared" si="18"/>
        <v>Saint FrancisBryant</v>
      </c>
      <c r="D594" t="s">
        <v>15</v>
      </c>
      <c r="E594">
        <v>6.9</v>
      </c>
      <c r="F594" s="1">
        <v>17.079245283018899</v>
      </c>
      <c r="G594" s="2">
        <v>1353.98012611584</v>
      </c>
      <c r="H594" s="1">
        <v>137.609698284318</v>
      </c>
      <c r="I594" s="1">
        <f t="shared" si="19"/>
        <v>122.37675418649928</v>
      </c>
    </row>
    <row r="595" spans="1:9" x14ac:dyDescent="0.45">
      <c r="A595" t="s">
        <v>56</v>
      </c>
      <c r="B595" t="s">
        <v>15</v>
      </c>
      <c r="C595" t="str">
        <f t="shared" si="18"/>
        <v>Saint Mary'sBryant</v>
      </c>
      <c r="D595" t="s">
        <v>56</v>
      </c>
      <c r="E595">
        <v>94.5</v>
      </c>
      <c r="F595" s="1">
        <v>-18.6528301886792</v>
      </c>
      <c r="G595" s="2">
        <v>-1721.28143697173</v>
      </c>
      <c r="H595" s="1">
        <v>139.33890440025999</v>
      </c>
      <c r="I595" s="1">
        <f t="shared" si="19"/>
        <v>146.65777466489914</v>
      </c>
    </row>
    <row r="596" spans="1:9" x14ac:dyDescent="0.45">
      <c r="A596" t="s">
        <v>57</v>
      </c>
      <c r="B596" t="s">
        <v>15</v>
      </c>
      <c r="C596" t="str">
        <f t="shared" si="18"/>
        <v>San Diego St.Bryant</v>
      </c>
      <c r="D596" t="s">
        <v>57</v>
      </c>
      <c r="E596">
        <v>84.2</v>
      </c>
      <c r="F596" s="1">
        <v>-10.981132075471701</v>
      </c>
      <c r="G596" s="2">
        <v>-533.89065488166602</v>
      </c>
      <c r="H596" s="1">
        <v>138.55360356328899</v>
      </c>
      <c r="I596" s="1">
        <f t="shared" si="19"/>
        <v>135.63080365872145</v>
      </c>
    </row>
    <row r="597" spans="1:9" x14ac:dyDescent="0.45">
      <c r="A597" t="s">
        <v>58</v>
      </c>
      <c r="B597" t="s">
        <v>15</v>
      </c>
      <c r="C597" t="str">
        <f t="shared" si="18"/>
        <v>SIU EdwardsvilleBryant</v>
      </c>
      <c r="D597" t="s">
        <v>15</v>
      </c>
      <c r="E597">
        <v>20.2</v>
      </c>
      <c r="F597" s="1">
        <v>8.9924528301886806</v>
      </c>
      <c r="G597" s="2">
        <v>394.30107425007498</v>
      </c>
      <c r="H597" s="1">
        <v>138.61286174347299</v>
      </c>
      <c r="I597" s="1">
        <f t="shared" si="19"/>
        <v>136.46289017130971</v>
      </c>
    </row>
    <row r="598" spans="1:9" x14ac:dyDescent="0.45">
      <c r="A598" t="s">
        <v>59</v>
      </c>
      <c r="B598" t="s">
        <v>15</v>
      </c>
      <c r="C598" t="str">
        <f t="shared" si="18"/>
        <v>St. John'sBryant</v>
      </c>
      <c r="D598" t="s">
        <v>59</v>
      </c>
      <c r="E598">
        <v>98</v>
      </c>
      <c r="F598" s="1">
        <v>-25.6377358490566</v>
      </c>
      <c r="G598" s="2">
        <v>-4994.6094494075896</v>
      </c>
      <c r="H598" s="1">
        <v>139.432318192027</v>
      </c>
      <c r="I598" s="1">
        <f t="shared" si="19"/>
        <v>147.96946456117504</v>
      </c>
    </row>
    <row r="599" spans="1:9" x14ac:dyDescent="0.45">
      <c r="A599" t="s">
        <v>60</v>
      </c>
      <c r="B599" t="s">
        <v>15</v>
      </c>
      <c r="C599" t="str">
        <f t="shared" si="18"/>
        <v>TennesseeBryant</v>
      </c>
      <c r="D599" t="s">
        <v>60</v>
      </c>
      <c r="E599">
        <v>99.1</v>
      </c>
      <c r="F599" s="1">
        <v>-30.852830188679199</v>
      </c>
      <c r="G599" s="2">
        <v>-11067.742006623101</v>
      </c>
      <c r="H599" s="1">
        <v>140.22555056616099</v>
      </c>
      <c r="I599" s="1">
        <f t="shared" si="19"/>
        <v>159.10780795639545</v>
      </c>
    </row>
    <row r="600" spans="1:9" x14ac:dyDescent="0.45">
      <c r="A600" t="s">
        <v>61</v>
      </c>
      <c r="B600" t="s">
        <v>15</v>
      </c>
      <c r="C600" t="str">
        <f t="shared" si="18"/>
        <v>TexasBryant</v>
      </c>
      <c r="D600" t="s">
        <v>61</v>
      </c>
      <c r="E600">
        <v>81.599999999999994</v>
      </c>
      <c r="F600" s="1">
        <v>-9.7584905660377395</v>
      </c>
      <c r="G600" s="2">
        <v>-443.010687320307</v>
      </c>
      <c r="H600" s="1">
        <v>137.92543239379901</v>
      </c>
      <c r="I600" s="1">
        <f t="shared" si="19"/>
        <v>126.81020275423209</v>
      </c>
    </row>
    <row r="601" spans="1:9" x14ac:dyDescent="0.45">
      <c r="A601" t="s">
        <v>62</v>
      </c>
      <c r="B601" t="s">
        <v>15</v>
      </c>
      <c r="C601" t="str">
        <f t="shared" si="18"/>
        <v>Texas A&amp;MBryant</v>
      </c>
      <c r="D601" t="s">
        <v>62</v>
      </c>
      <c r="E601">
        <v>96.2</v>
      </c>
      <c r="F601" s="1">
        <v>-21.158490566037699</v>
      </c>
      <c r="G601" s="2">
        <v>-2522.1358921955298</v>
      </c>
      <c r="H601" s="1">
        <v>138.71240770319699</v>
      </c>
      <c r="I601" s="1">
        <f t="shared" si="19"/>
        <v>137.86068622599439</v>
      </c>
    </row>
    <row r="602" spans="1:9" x14ac:dyDescent="0.45">
      <c r="A602" t="s">
        <v>63</v>
      </c>
      <c r="B602" t="s">
        <v>15</v>
      </c>
      <c r="C602" t="str">
        <f t="shared" si="18"/>
        <v>Texas TechBryant</v>
      </c>
      <c r="D602" t="s">
        <v>63</v>
      </c>
      <c r="E602">
        <v>98</v>
      </c>
      <c r="F602" s="1">
        <v>-25.494339622641501</v>
      </c>
      <c r="G602" s="2">
        <v>-4885.21772377252</v>
      </c>
      <c r="H602" s="1">
        <v>139.702920308437</v>
      </c>
      <c r="I602" s="1">
        <f t="shared" si="19"/>
        <v>151.76918251814649</v>
      </c>
    </row>
    <row r="603" spans="1:9" x14ac:dyDescent="0.45">
      <c r="A603" t="s">
        <v>64</v>
      </c>
      <c r="B603" t="s">
        <v>15</v>
      </c>
      <c r="C603" t="str">
        <f t="shared" si="18"/>
        <v>TroyBryant</v>
      </c>
      <c r="D603" t="s">
        <v>15</v>
      </c>
      <c r="E603">
        <v>41.3</v>
      </c>
      <c r="F603" s="1">
        <v>2.3169811320754699</v>
      </c>
      <c r="G603" s="2">
        <v>142.38273793578099</v>
      </c>
      <c r="H603" s="1">
        <v>138.46922490299499</v>
      </c>
      <c r="I603" s="1">
        <f t="shared" si="19"/>
        <v>134.4459825089175</v>
      </c>
    </row>
    <row r="604" spans="1:9" x14ac:dyDescent="0.45">
      <c r="A604" t="s">
        <v>65</v>
      </c>
      <c r="B604" t="s">
        <v>15</v>
      </c>
      <c r="C604" t="str">
        <f t="shared" si="18"/>
        <v>UC San DiegoBryant</v>
      </c>
      <c r="D604" t="s">
        <v>65</v>
      </c>
      <c r="E604">
        <v>64.3</v>
      </c>
      <c r="F604" s="1">
        <v>-3.86415094339623</v>
      </c>
      <c r="G604" s="2">
        <v>-180.33107539548899</v>
      </c>
      <c r="H604" s="1">
        <v>138.53934513265801</v>
      </c>
      <c r="I604" s="1">
        <f t="shared" si="19"/>
        <v>135.43059083102628</v>
      </c>
    </row>
    <row r="605" spans="1:9" x14ac:dyDescent="0.45">
      <c r="A605" t="s">
        <v>66</v>
      </c>
      <c r="B605" t="s">
        <v>15</v>
      </c>
      <c r="C605" t="str">
        <f t="shared" si="18"/>
        <v>UCLABryant</v>
      </c>
      <c r="D605" t="s">
        <v>66</v>
      </c>
      <c r="E605">
        <v>86.1</v>
      </c>
      <c r="F605" s="1">
        <v>-11.966037735849101</v>
      </c>
      <c r="G605" s="2">
        <v>-620.52891625655298</v>
      </c>
      <c r="H605" s="1">
        <v>137.76060371187</v>
      </c>
      <c r="I605" s="1">
        <f t="shared" si="19"/>
        <v>124.49572528133366</v>
      </c>
    </row>
    <row r="606" spans="1:9" x14ac:dyDescent="0.45">
      <c r="A606" t="s">
        <v>67</v>
      </c>
      <c r="B606" t="s">
        <v>15</v>
      </c>
      <c r="C606" t="str">
        <f t="shared" si="18"/>
        <v>UNC WilmingtonBryant</v>
      </c>
      <c r="D606" t="s">
        <v>67</v>
      </c>
      <c r="E606">
        <v>51</v>
      </c>
      <c r="F606" s="1">
        <v>-0.271698113207547</v>
      </c>
      <c r="G606" s="2">
        <v>-104.257566245966</v>
      </c>
      <c r="H606" s="1">
        <v>139.07601360332299</v>
      </c>
      <c r="I606" s="1">
        <f t="shared" si="19"/>
        <v>142.96633686279949</v>
      </c>
    </row>
    <row r="607" spans="1:9" x14ac:dyDescent="0.45">
      <c r="A607" t="s">
        <v>68</v>
      </c>
      <c r="B607" t="s">
        <v>15</v>
      </c>
      <c r="C607" t="str">
        <f t="shared" si="18"/>
        <v>Utah St.Bryant</v>
      </c>
      <c r="D607" t="s">
        <v>68</v>
      </c>
      <c r="E607">
        <v>85.4</v>
      </c>
      <c r="F607" s="1">
        <v>-11.6</v>
      </c>
      <c r="G607" s="2">
        <v>-586.87521817856202</v>
      </c>
      <c r="H607" s="1">
        <v>138.623200101902</v>
      </c>
      <c r="I607" s="1">
        <f t="shared" si="19"/>
        <v>136.60805846004843</v>
      </c>
    </row>
    <row r="608" spans="1:9" x14ac:dyDescent="0.45">
      <c r="A608" t="s">
        <v>69</v>
      </c>
      <c r="B608" t="s">
        <v>15</v>
      </c>
      <c r="C608" t="str">
        <f t="shared" si="18"/>
        <v>VanderbiltBryant</v>
      </c>
      <c r="D608" t="s">
        <v>69</v>
      </c>
      <c r="E608">
        <v>53.6</v>
      </c>
      <c r="F608" s="1">
        <v>-0.95471698113207504</v>
      </c>
      <c r="G608" s="2">
        <v>-115.644984566389</v>
      </c>
      <c r="H608" s="1">
        <v>137.05723798318499</v>
      </c>
      <c r="I608" s="1">
        <f t="shared" si="19"/>
        <v>114.61926376263153</v>
      </c>
    </row>
    <row r="609" spans="1:9" x14ac:dyDescent="0.45">
      <c r="A609" t="s">
        <v>70</v>
      </c>
      <c r="B609" t="s">
        <v>15</v>
      </c>
      <c r="C609" t="str">
        <f t="shared" si="18"/>
        <v>VCUBryant</v>
      </c>
      <c r="D609" t="s">
        <v>70</v>
      </c>
      <c r="E609">
        <v>78.8</v>
      </c>
      <c r="F609" s="1">
        <v>-8.6</v>
      </c>
      <c r="G609" s="2">
        <v>-371.23469033621899</v>
      </c>
      <c r="H609" s="1">
        <v>138.982411112378</v>
      </c>
      <c r="I609" s="1">
        <f t="shared" si="19"/>
        <v>141.65199730633407</v>
      </c>
    </row>
    <row r="610" spans="1:9" x14ac:dyDescent="0.45">
      <c r="A610" t="s">
        <v>71</v>
      </c>
      <c r="B610" t="s">
        <v>15</v>
      </c>
      <c r="C610" t="str">
        <f t="shared" si="18"/>
        <v>WisconsinBryant</v>
      </c>
      <c r="D610" t="s">
        <v>71</v>
      </c>
      <c r="E610">
        <v>97.7</v>
      </c>
      <c r="F610" s="1">
        <v>-24.550943396226401</v>
      </c>
      <c r="G610" s="2">
        <v>-4231.8882534141603</v>
      </c>
      <c r="H610" s="1">
        <v>139.63566672070999</v>
      </c>
      <c r="I610" s="1">
        <f t="shared" si="19"/>
        <v>150.82482676680462</v>
      </c>
    </row>
    <row r="611" spans="1:9" x14ac:dyDescent="0.45">
      <c r="A611" t="s">
        <v>80</v>
      </c>
      <c r="B611" t="s">
        <v>15</v>
      </c>
      <c r="C611" t="str">
        <f t="shared" si="18"/>
        <v>WoffordBryant</v>
      </c>
      <c r="D611" t="s">
        <v>15</v>
      </c>
      <c r="E611">
        <v>26.7</v>
      </c>
      <c r="F611" s="1">
        <v>6.6226415094339597</v>
      </c>
      <c r="G611" s="2">
        <v>274.63247591923601</v>
      </c>
      <c r="H611" s="1">
        <v>137.733315149936</v>
      </c>
      <c r="I611" s="1">
        <f t="shared" si="19"/>
        <v>124.11254705576708</v>
      </c>
    </row>
    <row r="612" spans="1:9" x14ac:dyDescent="0.45">
      <c r="A612" t="s">
        <v>72</v>
      </c>
      <c r="B612" t="s">
        <v>15</v>
      </c>
      <c r="C612" t="str">
        <f t="shared" si="18"/>
        <v>XavierBryant</v>
      </c>
      <c r="D612" t="s">
        <v>72</v>
      </c>
      <c r="E612">
        <v>78.599999999999994</v>
      </c>
      <c r="F612" s="1">
        <v>-8.5245283018867894</v>
      </c>
      <c r="G612" s="2">
        <v>-367.11536966066598</v>
      </c>
      <c r="H612" s="1">
        <v>138.47611732055799</v>
      </c>
      <c r="I612" s="1">
        <f t="shared" si="19"/>
        <v>134.54276387607197</v>
      </c>
    </row>
    <row r="613" spans="1:9" x14ac:dyDescent="0.45">
      <c r="A613" t="s">
        <v>73</v>
      </c>
      <c r="B613" t="s">
        <v>15</v>
      </c>
      <c r="C613" t="str">
        <f t="shared" si="18"/>
        <v>YaleBryant</v>
      </c>
      <c r="D613" t="s">
        <v>73</v>
      </c>
      <c r="E613">
        <v>65.8</v>
      </c>
      <c r="F613" s="1">
        <v>-4.2754716981132104</v>
      </c>
      <c r="G613" s="2">
        <v>-191.980481073481</v>
      </c>
      <c r="H613" s="1">
        <v>139.07582345695201</v>
      </c>
      <c r="I613" s="1">
        <f t="shared" si="19"/>
        <v>142.96366688153748</v>
      </c>
    </row>
    <row r="614" spans="1:9" x14ac:dyDescent="0.45">
      <c r="A614" t="s">
        <v>7</v>
      </c>
      <c r="B614" t="s">
        <v>16</v>
      </c>
      <c r="C614" t="str">
        <f t="shared" si="18"/>
        <v>AkronBYU</v>
      </c>
      <c r="D614" t="s">
        <v>16</v>
      </c>
      <c r="E614">
        <v>3.8</v>
      </c>
      <c r="F614" s="1">
        <v>21.154716981132101</v>
      </c>
      <c r="G614" s="2">
        <v>2520.21983097054</v>
      </c>
      <c r="H614" s="1">
        <v>137.72260984308801</v>
      </c>
      <c r="I614" s="1">
        <f t="shared" si="19"/>
        <v>123.96222618169237</v>
      </c>
    </row>
    <row r="615" spans="1:9" x14ac:dyDescent="0.45">
      <c r="A615" t="s">
        <v>8</v>
      </c>
      <c r="B615" t="s">
        <v>16</v>
      </c>
      <c r="C615" t="str">
        <f t="shared" si="18"/>
        <v>AlabamaBYU</v>
      </c>
      <c r="D615" t="s">
        <v>8</v>
      </c>
      <c r="E615">
        <v>75</v>
      </c>
      <c r="F615" s="1">
        <v>-7.1849056603773596</v>
      </c>
      <c r="G615" s="2">
        <v>-299.29005063199401</v>
      </c>
      <c r="H615" s="1">
        <v>139.53022103068301</v>
      </c>
      <c r="I615" s="1">
        <f t="shared" si="19"/>
        <v>149.34418837714139</v>
      </c>
    </row>
    <row r="616" spans="1:9" x14ac:dyDescent="0.45">
      <c r="A616" t="s">
        <v>9</v>
      </c>
      <c r="B616" t="s">
        <v>16</v>
      </c>
      <c r="C616" t="str">
        <f t="shared" si="18"/>
        <v>Alabama St.BYU</v>
      </c>
      <c r="D616" t="s">
        <v>16</v>
      </c>
      <c r="E616">
        <v>0.6</v>
      </c>
      <c r="F616" s="1">
        <v>33.471698113207502</v>
      </c>
      <c r="G616" s="2">
        <v>16501.679281959299</v>
      </c>
      <c r="H616" s="1">
        <v>137.909371602509</v>
      </c>
      <c r="I616" s="1">
        <f t="shared" si="19"/>
        <v>126.58468169077013</v>
      </c>
    </row>
    <row r="617" spans="1:9" x14ac:dyDescent="0.45">
      <c r="A617" t="s">
        <v>10</v>
      </c>
      <c r="B617" t="s">
        <v>16</v>
      </c>
      <c r="C617" t="str">
        <f t="shared" si="18"/>
        <v>AmericanBYU</v>
      </c>
      <c r="D617" t="s">
        <v>16</v>
      </c>
      <c r="E617">
        <v>0.7</v>
      </c>
      <c r="F617" s="1">
        <v>32.716981132075503</v>
      </c>
      <c r="G617" s="2">
        <v>14702.1846207216</v>
      </c>
      <c r="H617" s="1">
        <v>137.67266112227099</v>
      </c>
      <c r="I617" s="1">
        <f t="shared" si="19"/>
        <v>123.260860449842</v>
      </c>
    </row>
    <row r="618" spans="1:9" x14ac:dyDescent="0.45">
      <c r="A618" t="s">
        <v>11</v>
      </c>
      <c r="B618" t="s">
        <v>16</v>
      </c>
      <c r="C618" t="str">
        <f t="shared" si="18"/>
        <v>ArizonaBYU</v>
      </c>
      <c r="D618" t="s">
        <v>11</v>
      </c>
      <c r="E618">
        <v>66.3</v>
      </c>
      <c r="F618" s="1">
        <v>-4.4301886792452798</v>
      </c>
      <c r="G618" s="2">
        <v>-196.57944153774099</v>
      </c>
      <c r="H618" s="1">
        <v>139.14070037086</v>
      </c>
      <c r="I618" s="1">
        <f t="shared" si="19"/>
        <v>143.87465005506002</v>
      </c>
    </row>
    <row r="619" spans="1:9" x14ac:dyDescent="0.45">
      <c r="A619" t="s">
        <v>12</v>
      </c>
      <c r="B619" t="s">
        <v>16</v>
      </c>
      <c r="C619" t="str">
        <f t="shared" si="18"/>
        <v>ArkansasBYU</v>
      </c>
      <c r="D619" t="s">
        <v>16</v>
      </c>
      <c r="E619">
        <v>11.4</v>
      </c>
      <c r="F619" s="1">
        <v>13.4679245283019</v>
      </c>
      <c r="G619" s="2">
        <v>780.47951203824005</v>
      </c>
      <c r="H619" s="1">
        <v>137.46662434864899</v>
      </c>
      <c r="I619" s="1">
        <f t="shared" si="19"/>
        <v>120.36775067333974</v>
      </c>
    </row>
    <row r="620" spans="1:9" x14ac:dyDescent="0.45">
      <c r="A620" t="s">
        <v>13</v>
      </c>
      <c r="B620" t="s">
        <v>16</v>
      </c>
      <c r="C620" t="str">
        <f t="shared" si="18"/>
        <v>AuburnBYU</v>
      </c>
      <c r="D620" t="s">
        <v>13</v>
      </c>
      <c r="E620">
        <v>85.5</v>
      </c>
      <c r="F620" s="1">
        <v>-11.626415094339601</v>
      </c>
      <c r="G620" s="2">
        <v>-589.11869236771702</v>
      </c>
      <c r="H620" s="1">
        <v>140.552437264036</v>
      </c>
      <c r="I620" s="1">
        <f t="shared" si="19"/>
        <v>163.69785799846107</v>
      </c>
    </row>
    <row r="621" spans="1:9" x14ac:dyDescent="0.45">
      <c r="A621" t="s">
        <v>14</v>
      </c>
      <c r="B621" t="s">
        <v>16</v>
      </c>
      <c r="C621" t="str">
        <f t="shared" si="18"/>
        <v>BaylorBYU</v>
      </c>
      <c r="D621" t="s">
        <v>16</v>
      </c>
      <c r="E621">
        <v>37.200000000000003</v>
      </c>
      <c r="F621" s="1">
        <v>3.4226415094339599</v>
      </c>
      <c r="G621" s="2">
        <v>168.56189327838899</v>
      </c>
      <c r="H621" s="1">
        <v>139.01535462521599</v>
      </c>
      <c r="I621" s="1">
        <f t="shared" si="19"/>
        <v>142.11458074417592</v>
      </c>
    </row>
    <row r="622" spans="1:9" x14ac:dyDescent="0.45">
      <c r="A622" t="s">
        <v>15</v>
      </c>
      <c r="B622" t="s">
        <v>16</v>
      </c>
      <c r="C622" t="str">
        <f t="shared" si="18"/>
        <v>BryantBYU</v>
      </c>
      <c r="D622" t="s">
        <v>16</v>
      </c>
      <c r="E622">
        <v>2.7</v>
      </c>
      <c r="F622" s="1">
        <v>23.494339622641501</v>
      </c>
      <c r="G622" s="2">
        <v>3601.3987665387599</v>
      </c>
      <c r="H622" s="1">
        <v>138.607674500862</v>
      </c>
      <c r="I622" s="1">
        <f t="shared" si="19"/>
        <v>136.39005238586435</v>
      </c>
    </row>
    <row r="623" spans="1:9" x14ac:dyDescent="0.45">
      <c r="A623" t="s">
        <v>16</v>
      </c>
      <c r="B623" t="s">
        <v>16</v>
      </c>
      <c r="C623" t="str">
        <f t="shared" si="18"/>
        <v>BYUBYU</v>
      </c>
      <c r="D623" t="s">
        <v>16</v>
      </c>
      <c r="E623">
        <v>41.2</v>
      </c>
      <c r="F623" s="1">
        <v>2.3283018867924499</v>
      </c>
      <c r="G623" s="2">
        <v>142.64273539779199</v>
      </c>
      <c r="H623" s="1">
        <v>138.77771517530499</v>
      </c>
      <c r="I623" s="1">
        <f t="shared" si="19"/>
        <v>138.77771517530684</v>
      </c>
    </row>
    <row r="624" spans="1:9" x14ac:dyDescent="0.45">
      <c r="A624" t="s">
        <v>17</v>
      </c>
      <c r="B624" t="s">
        <v>16</v>
      </c>
      <c r="C624" t="str">
        <f t="shared" si="18"/>
        <v>ClemsonBYU</v>
      </c>
      <c r="D624" t="s">
        <v>16</v>
      </c>
      <c r="E624">
        <v>49.5</v>
      </c>
      <c r="F624" s="1">
        <v>0.12452830188679199</v>
      </c>
      <c r="G624" s="2">
        <v>101.908050291157</v>
      </c>
      <c r="H624" s="1">
        <v>139.12776539774799</v>
      </c>
      <c r="I624" s="1">
        <f t="shared" si="19"/>
        <v>143.693020841443</v>
      </c>
    </row>
    <row r="625" spans="1:9" x14ac:dyDescent="0.45">
      <c r="A625" t="s">
        <v>18</v>
      </c>
      <c r="B625" t="s">
        <v>16</v>
      </c>
      <c r="C625" t="str">
        <f t="shared" si="18"/>
        <v>Colorado St.BYU</v>
      </c>
      <c r="D625" t="s">
        <v>16</v>
      </c>
      <c r="E625">
        <v>14</v>
      </c>
      <c r="F625" s="1">
        <v>11.905660377358499</v>
      </c>
      <c r="G625" s="2">
        <v>614.85454781170699</v>
      </c>
      <c r="H625" s="1">
        <v>138.517376372542</v>
      </c>
      <c r="I625" s="1">
        <f t="shared" si="19"/>
        <v>135.12211174958875</v>
      </c>
    </row>
    <row r="626" spans="1:9" x14ac:dyDescent="0.45">
      <c r="A626" t="s">
        <v>19</v>
      </c>
      <c r="B626" t="s">
        <v>16</v>
      </c>
      <c r="C626" t="str">
        <f t="shared" si="18"/>
        <v>ConnecticutBYU</v>
      </c>
      <c r="D626" t="s">
        <v>19</v>
      </c>
      <c r="E626">
        <v>60.4</v>
      </c>
      <c r="F626" s="1">
        <v>-2.7698113207547199</v>
      </c>
      <c r="G626" s="2">
        <v>-152.573052662474</v>
      </c>
      <c r="H626" s="1">
        <v>138.92801622849601</v>
      </c>
      <c r="I626" s="1">
        <f t="shared" si="19"/>
        <v>140.88819981725368</v>
      </c>
    </row>
    <row r="627" spans="1:9" x14ac:dyDescent="0.45">
      <c r="A627" t="s">
        <v>20</v>
      </c>
      <c r="B627" t="s">
        <v>16</v>
      </c>
      <c r="C627" t="str">
        <f t="shared" si="18"/>
        <v>CreightonBYU</v>
      </c>
      <c r="D627" t="s">
        <v>16</v>
      </c>
      <c r="E627">
        <v>32</v>
      </c>
      <c r="F627" s="1">
        <v>4.9396226415094304</v>
      </c>
      <c r="G627" s="2">
        <v>212.40015254067001</v>
      </c>
      <c r="H627" s="1">
        <v>138.47731298133499</v>
      </c>
      <c r="I627" s="1">
        <f t="shared" si="19"/>
        <v>134.55955300464603</v>
      </c>
    </row>
    <row r="628" spans="1:9" x14ac:dyDescent="0.45">
      <c r="A628" t="s">
        <v>21</v>
      </c>
      <c r="B628" t="s">
        <v>16</v>
      </c>
      <c r="C628" t="str">
        <f t="shared" si="18"/>
        <v>DrakeBYU</v>
      </c>
      <c r="D628" t="s">
        <v>16</v>
      </c>
      <c r="E628">
        <v>13.6</v>
      </c>
      <c r="F628" s="1">
        <v>12.1094339622642</v>
      </c>
      <c r="G628" s="2">
        <v>634.36982643386705</v>
      </c>
      <c r="H628" s="1">
        <v>138.71198878700901</v>
      </c>
      <c r="I628" s="1">
        <f t="shared" si="19"/>
        <v>137.85480392402624</v>
      </c>
    </row>
    <row r="629" spans="1:9" x14ac:dyDescent="0.45">
      <c r="A629" t="s">
        <v>22</v>
      </c>
      <c r="B629" t="s">
        <v>16</v>
      </c>
      <c r="C629" t="str">
        <f t="shared" si="18"/>
        <v>DukeBYU</v>
      </c>
      <c r="D629" t="s">
        <v>22</v>
      </c>
      <c r="E629">
        <v>89.2</v>
      </c>
      <c r="F629" s="1">
        <v>-13.841509433962299</v>
      </c>
      <c r="G629" s="2">
        <v>-825.86661075315999</v>
      </c>
      <c r="H629" s="1">
        <v>140.792328675612</v>
      </c>
      <c r="I629" s="1">
        <f t="shared" si="19"/>
        <v>167.06634497255203</v>
      </c>
    </row>
    <row r="630" spans="1:9" x14ac:dyDescent="0.45">
      <c r="A630" t="s">
        <v>23</v>
      </c>
      <c r="B630" t="s">
        <v>16</v>
      </c>
      <c r="C630" t="str">
        <f t="shared" si="18"/>
        <v>FloridaBYU</v>
      </c>
      <c r="D630" t="s">
        <v>23</v>
      </c>
      <c r="E630">
        <v>82.1</v>
      </c>
      <c r="F630" s="1">
        <v>-9.9849056603773594</v>
      </c>
      <c r="G630" s="2">
        <v>-458.540550553125</v>
      </c>
      <c r="H630" s="1">
        <v>140.52697920316601</v>
      </c>
      <c r="I630" s="1">
        <f t="shared" si="19"/>
        <v>163.34038314822442</v>
      </c>
    </row>
    <row r="631" spans="1:9" x14ac:dyDescent="0.45">
      <c r="A631" t="s">
        <v>24</v>
      </c>
      <c r="B631" t="s">
        <v>16</v>
      </c>
      <c r="C631" t="str">
        <f t="shared" si="18"/>
        <v>GeorgiaBYU</v>
      </c>
      <c r="D631" t="s">
        <v>16</v>
      </c>
      <c r="E631">
        <v>15.6</v>
      </c>
      <c r="F631" s="1">
        <v>11.079245283018899</v>
      </c>
      <c r="G631" s="2">
        <v>541.92323256933196</v>
      </c>
      <c r="H631" s="1">
        <v>137.79093749945099</v>
      </c>
      <c r="I631" s="1">
        <f t="shared" si="19"/>
        <v>124.92166369934587</v>
      </c>
    </row>
    <row r="632" spans="1:9" x14ac:dyDescent="0.45">
      <c r="A632" t="s">
        <v>25</v>
      </c>
      <c r="B632" t="s">
        <v>16</v>
      </c>
      <c r="C632" t="str">
        <f t="shared" si="18"/>
        <v>GonzagaBYU</v>
      </c>
      <c r="D632" t="s">
        <v>16</v>
      </c>
      <c r="E632">
        <v>48.3</v>
      </c>
      <c r="F632" s="1">
        <v>0.44905660377358497</v>
      </c>
      <c r="G632" s="2">
        <v>107.07767365148401</v>
      </c>
      <c r="H632" s="1">
        <v>139.76789922995701</v>
      </c>
      <c r="I632" s="1">
        <f t="shared" si="19"/>
        <v>152.68159805354506</v>
      </c>
    </row>
    <row r="633" spans="1:9" x14ac:dyDescent="0.45">
      <c r="A633" t="s">
        <v>26</v>
      </c>
      <c r="B633" t="s">
        <v>16</v>
      </c>
      <c r="C633" t="str">
        <f t="shared" si="18"/>
        <v>Grand CanyonBYU</v>
      </c>
      <c r="D633" t="s">
        <v>16</v>
      </c>
      <c r="E633">
        <v>9.1999999999999993</v>
      </c>
      <c r="F633" s="1">
        <v>15</v>
      </c>
      <c r="G633" s="2">
        <v>985.54795742841804</v>
      </c>
      <c r="H633" s="1">
        <v>138.58587094749601</v>
      </c>
      <c r="I633" s="1">
        <f t="shared" si="19"/>
        <v>136.08389309062423</v>
      </c>
    </row>
    <row r="634" spans="1:9" x14ac:dyDescent="0.45">
      <c r="A634" t="s">
        <v>27</v>
      </c>
      <c r="B634" t="s">
        <v>16</v>
      </c>
      <c r="C634" t="str">
        <f t="shared" si="18"/>
        <v>High PointBYU</v>
      </c>
      <c r="D634" t="s">
        <v>16</v>
      </c>
      <c r="E634">
        <v>6</v>
      </c>
      <c r="F634" s="1">
        <v>18.086792452830199</v>
      </c>
      <c r="G634" s="2">
        <v>1578.91890022554</v>
      </c>
      <c r="H634" s="1">
        <v>138.777078081045</v>
      </c>
      <c r="I634" s="1">
        <f t="shared" si="19"/>
        <v>138.76876927890342</v>
      </c>
    </row>
    <row r="635" spans="1:9" x14ac:dyDescent="0.45">
      <c r="A635" t="s">
        <v>28</v>
      </c>
      <c r="B635" t="s">
        <v>16</v>
      </c>
      <c r="C635" t="str">
        <f t="shared" si="18"/>
        <v>HoustonBYU</v>
      </c>
      <c r="D635" t="s">
        <v>28</v>
      </c>
      <c r="E635">
        <v>93.2</v>
      </c>
      <c r="F635" s="1">
        <v>-17.196226415094301</v>
      </c>
      <c r="G635" s="2">
        <v>-1377.65371856412</v>
      </c>
      <c r="H635" s="1">
        <v>140.890540438248</v>
      </c>
      <c r="I635" s="1">
        <f t="shared" si="19"/>
        <v>168.44540661118458</v>
      </c>
    </row>
    <row r="636" spans="1:9" x14ac:dyDescent="0.45">
      <c r="A636" t="s">
        <v>29</v>
      </c>
      <c r="B636" t="s">
        <v>16</v>
      </c>
      <c r="C636" t="str">
        <f t="shared" si="18"/>
        <v>IllinoisBYU</v>
      </c>
      <c r="D636" t="s">
        <v>29</v>
      </c>
      <c r="E636">
        <v>57.6</v>
      </c>
      <c r="F636" s="1">
        <v>-2.0075471698113199</v>
      </c>
      <c r="G636" s="2">
        <v>-135.80835501975801</v>
      </c>
      <c r="H636" s="1">
        <v>138.94900421320901</v>
      </c>
      <c r="I636" s="1">
        <f t="shared" si="19"/>
        <v>141.18290712942343</v>
      </c>
    </row>
    <row r="637" spans="1:9" x14ac:dyDescent="0.45">
      <c r="A637" t="s">
        <v>30</v>
      </c>
      <c r="B637" t="s">
        <v>16</v>
      </c>
      <c r="C637" t="str">
        <f t="shared" si="18"/>
        <v>Iowa St.BYU</v>
      </c>
      <c r="D637" t="s">
        <v>30</v>
      </c>
      <c r="E637">
        <v>74</v>
      </c>
      <c r="F637" s="1">
        <v>-6.8679245283018897</v>
      </c>
      <c r="G637" s="2">
        <v>-285.09037032921299</v>
      </c>
      <c r="H637" s="1">
        <v>139.84554650479501</v>
      </c>
      <c r="I637" s="1">
        <f t="shared" si="19"/>
        <v>153.77189900324205</v>
      </c>
    </row>
    <row r="638" spans="1:9" x14ac:dyDescent="0.45">
      <c r="A638" t="s">
        <v>31</v>
      </c>
      <c r="B638" t="s">
        <v>16</v>
      </c>
      <c r="C638" t="str">
        <f t="shared" si="18"/>
        <v>KansasBYU</v>
      </c>
      <c r="D638" t="s">
        <v>16</v>
      </c>
      <c r="E638">
        <v>46.8</v>
      </c>
      <c r="F638" s="1">
        <v>0.84905660377358505</v>
      </c>
      <c r="G638" s="2">
        <v>113.819949267984</v>
      </c>
      <c r="H638" s="1">
        <v>138.89613439364899</v>
      </c>
      <c r="I638" s="1">
        <f t="shared" si="19"/>
        <v>140.44052415981039</v>
      </c>
    </row>
    <row r="639" spans="1:9" x14ac:dyDescent="0.45">
      <c r="A639" t="s">
        <v>32</v>
      </c>
      <c r="B639" t="s">
        <v>16</v>
      </c>
      <c r="C639" t="str">
        <f t="shared" si="18"/>
        <v>KentuckyBYU</v>
      </c>
      <c r="D639" t="s">
        <v>32</v>
      </c>
      <c r="E639">
        <v>59.5</v>
      </c>
      <c r="F639" s="1">
        <v>-2.51698113207547</v>
      </c>
      <c r="G639" s="2">
        <v>-146.780227023995</v>
      </c>
      <c r="H639" s="1">
        <v>138.830416725775</v>
      </c>
      <c r="I639" s="1">
        <f t="shared" si="19"/>
        <v>139.51773535821519</v>
      </c>
    </row>
    <row r="640" spans="1:9" x14ac:dyDescent="0.45">
      <c r="A640" t="s">
        <v>33</v>
      </c>
      <c r="B640" t="s">
        <v>16</v>
      </c>
      <c r="C640" t="str">
        <f t="shared" si="18"/>
        <v>LibertyBYU</v>
      </c>
      <c r="D640" t="s">
        <v>16</v>
      </c>
      <c r="E640">
        <v>4.2</v>
      </c>
      <c r="F640" s="1">
        <v>20.471698113207498</v>
      </c>
      <c r="G640" s="2">
        <v>2270.7031365887501</v>
      </c>
      <c r="H640" s="1">
        <v>138.17541776949199</v>
      </c>
      <c r="I640" s="1">
        <f t="shared" si="19"/>
        <v>130.32042630164011</v>
      </c>
    </row>
    <row r="641" spans="1:9" x14ac:dyDescent="0.45">
      <c r="A641" t="s">
        <v>34</v>
      </c>
      <c r="B641" t="s">
        <v>16</v>
      </c>
      <c r="C641" t="str">
        <f t="shared" si="18"/>
        <v>LipscombBYU</v>
      </c>
      <c r="D641" t="s">
        <v>16</v>
      </c>
      <c r="E641">
        <v>3.2</v>
      </c>
      <c r="F641" s="1">
        <v>22.335849056603799</v>
      </c>
      <c r="G641" s="2">
        <v>3018.2739849467798</v>
      </c>
      <c r="H641" s="1">
        <v>138.581735967084</v>
      </c>
      <c r="I641" s="1">
        <f t="shared" si="19"/>
        <v>136.02583087170422</v>
      </c>
    </row>
    <row r="642" spans="1:9" x14ac:dyDescent="0.45">
      <c r="A642" t="s">
        <v>35</v>
      </c>
      <c r="B642" t="s">
        <v>16</v>
      </c>
      <c r="C642" t="str">
        <f t="shared" si="18"/>
        <v>LouisvilleBYU</v>
      </c>
      <c r="D642" t="s">
        <v>16</v>
      </c>
      <c r="E642">
        <v>7.7</v>
      </c>
      <c r="F642" s="1">
        <v>16.286792452830198</v>
      </c>
      <c r="G642" s="2">
        <v>1199.55682335455</v>
      </c>
      <c r="H642" s="1">
        <v>137.82709797290201</v>
      </c>
      <c r="I642" s="1">
        <f t="shared" si="19"/>
        <v>125.42941878318359</v>
      </c>
    </row>
    <row r="643" spans="1:9" x14ac:dyDescent="0.45">
      <c r="A643" t="s">
        <v>36</v>
      </c>
      <c r="B643" t="s">
        <v>16</v>
      </c>
      <c r="C643" t="str">
        <f t="shared" ref="C643:C706" si="20">A643&amp;B643</f>
        <v>MarquetteBYU</v>
      </c>
      <c r="D643" t="s">
        <v>36</v>
      </c>
      <c r="E643">
        <v>53</v>
      </c>
      <c r="F643" s="1">
        <v>-0.78113207547169805</v>
      </c>
      <c r="G643" s="2">
        <v>-112.64773711975501</v>
      </c>
      <c r="H643" s="1">
        <v>139.08923181636399</v>
      </c>
      <c r="I643" s="1">
        <f t="shared" ref="I643:I706" si="21">18*(H643-AVERAGE($H$2:$H$4625))/_xlfn.STDEV.P($H$2:$H$4625)+AVERAGE($H$2:$H$4625)</f>
        <v>143.15194325094342</v>
      </c>
    </row>
    <row r="644" spans="1:9" x14ac:dyDescent="0.45">
      <c r="A644" t="s">
        <v>37</v>
      </c>
      <c r="B644" t="s">
        <v>16</v>
      </c>
      <c r="C644" t="str">
        <f t="shared" si="20"/>
        <v>MarylandBYU</v>
      </c>
      <c r="D644" t="s">
        <v>16</v>
      </c>
      <c r="E644">
        <v>41</v>
      </c>
      <c r="F644" s="1">
        <v>2.3849056603773602</v>
      </c>
      <c r="G644" s="2">
        <v>143.916755537792</v>
      </c>
      <c r="H644" s="1">
        <v>138.54760141490701</v>
      </c>
      <c r="I644" s="1">
        <f t="shared" si="21"/>
        <v>135.54652319820624</v>
      </c>
    </row>
    <row r="645" spans="1:9" x14ac:dyDescent="0.45">
      <c r="A645" t="s">
        <v>38</v>
      </c>
      <c r="B645" t="s">
        <v>16</v>
      </c>
      <c r="C645" t="str">
        <f t="shared" si="20"/>
        <v>McNeese St.BYU</v>
      </c>
      <c r="D645" t="s">
        <v>16</v>
      </c>
      <c r="E645">
        <v>13.9</v>
      </c>
      <c r="F645" s="1">
        <v>11.9283018867925</v>
      </c>
      <c r="G645" s="2">
        <v>616.85207974455602</v>
      </c>
      <c r="H645" s="1">
        <v>139.140836827871</v>
      </c>
      <c r="I645" s="1">
        <f t="shared" si="21"/>
        <v>143.87656614559882</v>
      </c>
    </row>
    <row r="646" spans="1:9" x14ac:dyDescent="0.45">
      <c r="A646" t="s">
        <v>39</v>
      </c>
      <c r="B646" t="s">
        <v>16</v>
      </c>
      <c r="C646" t="str">
        <f t="shared" si="20"/>
        <v>MemphisBYU</v>
      </c>
      <c r="D646" t="s">
        <v>16</v>
      </c>
      <c r="E646">
        <v>28.1</v>
      </c>
      <c r="F646" s="1">
        <v>6.1509433962264204</v>
      </c>
      <c r="G646" s="2">
        <v>255.57109067706801</v>
      </c>
      <c r="H646" s="1">
        <v>137.67511865439701</v>
      </c>
      <c r="I646" s="1">
        <f t="shared" si="21"/>
        <v>123.29536841701145</v>
      </c>
    </row>
    <row r="647" spans="1:9" x14ac:dyDescent="0.45">
      <c r="A647" t="s">
        <v>40</v>
      </c>
      <c r="B647" t="s">
        <v>16</v>
      </c>
      <c r="C647" t="str">
        <f t="shared" si="20"/>
        <v>MichiganBYU</v>
      </c>
      <c r="D647" t="s">
        <v>16</v>
      </c>
      <c r="E647">
        <v>16.2</v>
      </c>
      <c r="F647" s="1">
        <v>10.777358490566</v>
      </c>
      <c r="G647" s="2">
        <v>517.49524134292801</v>
      </c>
      <c r="H647" s="1">
        <v>137.23773995131299</v>
      </c>
      <c r="I647" s="1">
        <f t="shared" si="21"/>
        <v>117.15382106271365</v>
      </c>
    </row>
    <row r="648" spans="1:9" x14ac:dyDescent="0.45">
      <c r="A648" t="s">
        <v>41</v>
      </c>
      <c r="B648" t="s">
        <v>16</v>
      </c>
      <c r="C648" t="str">
        <f t="shared" si="20"/>
        <v>Michigan St.BYU</v>
      </c>
      <c r="D648" t="s">
        <v>41</v>
      </c>
      <c r="E648">
        <v>64.7</v>
      </c>
      <c r="F648" s="1">
        <v>-3.9698113207547201</v>
      </c>
      <c r="G648" s="2">
        <v>-183.25202433112099</v>
      </c>
      <c r="H648" s="1">
        <v>138.88481966052001</v>
      </c>
      <c r="I648" s="1">
        <f t="shared" si="21"/>
        <v>140.2816458952243</v>
      </c>
    </row>
    <row r="649" spans="1:9" x14ac:dyDescent="0.45">
      <c r="A649" t="s">
        <v>42</v>
      </c>
      <c r="B649" t="s">
        <v>16</v>
      </c>
      <c r="C649" t="str">
        <f t="shared" si="20"/>
        <v>MississippiBYU</v>
      </c>
      <c r="D649" t="s">
        <v>16</v>
      </c>
      <c r="E649">
        <v>33.4</v>
      </c>
      <c r="F649" s="1">
        <v>4.5245283018867903</v>
      </c>
      <c r="G649" s="2">
        <v>199.444761681687</v>
      </c>
      <c r="H649" s="1">
        <v>138.15251101041</v>
      </c>
      <c r="I649" s="1">
        <f t="shared" si="21"/>
        <v>129.9987761054976</v>
      </c>
    </row>
    <row r="650" spans="1:9" x14ac:dyDescent="0.45">
      <c r="A650" t="s">
        <v>43</v>
      </c>
      <c r="B650" t="s">
        <v>16</v>
      </c>
      <c r="C650" t="str">
        <f t="shared" si="20"/>
        <v>Mississippi St.BYU</v>
      </c>
      <c r="D650" t="s">
        <v>16</v>
      </c>
      <c r="E650">
        <v>27.8</v>
      </c>
      <c r="F650" s="1">
        <v>6.24905660377358</v>
      </c>
      <c r="G650" s="2">
        <v>259.41790652223898</v>
      </c>
      <c r="H650" s="1">
        <v>138.29225748308701</v>
      </c>
      <c r="I650" s="1">
        <f t="shared" si="21"/>
        <v>131.9610563296838</v>
      </c>
    </row>
    <row r="651" spans="1:9" x14ac:dyDescent="0.45">
      <c r="A651" t="s">
        <v>44</v>
      </c>
      <c r="B651" t="s">
        <v>16</v>
      </c>
      <c r="C651" t="str">
        <f t="shared" si="20"/>
        <v>MissouriBYU</v>
      </c>
      <c r="D651" t="s">
        <v>16</v>
      </c>
      <c r="E651">
        <v>15.4</v>
      </c>
      <c r="F651" s="1">
        <v>11.1849056603774</v>
      </c>
      <c r="G651" s="2">
        <v>550.65328216928799</v>
      </c>
      <c r="H651" s="1">
        <v>137.70991938173199</v>
      </c>
      <c r="I651" s="1">
        <f t="shared" si="21"/>
        <v>123.78403033261171</v>
      </c>
    </row>
    <row r="652" spans="1:9" x14ac:dyDescent="0.45">
      <c r="A652" t="s">
        <v>45</v>
      </c>
      <c r="B652" t="s">
        <v>16</v>
      </c>
      <c r="C652" t="str">
        <f t="shared" si="20"/>
        <v>MontanaBYU</v>
      </c>
      <c r="D652" t="s">
        <v>16</v>
      </c>
      <c r="E652">
        <v>1.6</v>
      </c>
      <c r="F652" s="1">
        <v>26.988679245282999</v>
      </c>
      <c r="G652" s="2">
        <v>6137.9588823308904</v>
      </c>
      <c r="H652" s="1">
        <v>136.846630945138</v>
      </c>
      <c r="I652" s="1">
        <f t="shared" si="21"/>
        <v>111.66197963289764</v>
      </c>
    </row>
    <row r="653" spans="1:9" x14ac:dyDescent="0.45">
      <c r="A653" t="s">
        <v>46</v>
      </c>
      <c r="B653" t="s">
        <v>16</v>
      </c>
      <c r="C653" t="str">
        <f t="shared" si="20"/>
        <v>Mount St. Mary'sBYU</v>
      </c>
      <c r="D653" t="s">
        <v>16</v>
      </c>
      <c r="E653">
        <v>0.6</v>
      </c>
      <c r="F653" s="1">
        <v>33.324528301886801</v>
      </c>
      <c r="G653" s="2">
        <v>16130.510540867201</v>
      </c>
      <c r="H653" s="1">
        <v>138.14991889928899</v>
      </c>
      <c r="I653" s="1">
        <f t="shared" si="21"/>
        <v>129.962378418356</v>
      </c>
    </row>
    <row r="654" spans="1:9" x14ac:dyDescent="0.45">
      <c r="A654" t="s">
        <v>47</v>
      </c>
      <c r="B654" t="s">
        <v>16</v>
      </c>
      <c r="C654" t="str">
        <f t="shared" si="20"/>
        <v>Nebraska OmahaBYU</v>
      </c>
      <c r="D654" t="s">
        <v>16</v>
      </c>
      <c r="E654">
        <v>0.9</v>
      </c>
      <c r="F654" s="1">
        <v>31.132075471698101</v>
      </c>
      <c r="G654" s="2">
        <v>11549.032192627101</v>
      </c>
      <c r="H654" s="1">
        <v>137.56769503139199</v>
      </c>
      <c r="I654" s="1">
        <f t="shared" si="21"/>
        <v>121.78695645501242</v>
      </c>
    </row>
    <row r="655" spans="1:9" x14ac:dyDescent="0.45">
      <c r="A655" t="s">
        <v>48</v>
      </c>
      <c r="B655" t="s">
        <v>16</v>
      </c>
      <c r="C655" t="str">
        <f t="shared" si="20"/>
        <v>New MexicoBYU</v>
      </c>
      <c r="D655" t="s">
        <v>16</v>
      </c>
      <c r="E655">
        <v>17.2</v>
      </c>
      <c r="F655" s="1">
        <v>10.3018867924528</v>
      </c>
      <c r="G655" s="2">
        <v>481.35157618117302</v>
      </c>
      <c r="H655" s="1">
        <v>138.337684963209</v>
      </c>
      <c r="I655" s="1">
        <f t="shared" si="21"/>
        <v>132.59893608557582</v>
      </c>
    </row>
    <row r="656" spans="1:9" x14ac:dyDescent="0.45">
      <c r="A656" t="s">
        <v>49</v>
      </c>
      <c r="B656" t="s">
        <v>16</v>
      </c>
      <c r="C656" t="str">
        <f t="shared" si="20"/>
        <v>Norfolk St.BYU</v>
      </c>
      <c r="D656" t="s">
        <v>16</v>
      </c>
      <c r="E656">
        <v>1.2</v>
      </c>
      <c r="F656" s="1">
        <v>28.867924528301899</v>
      </c>
      <c r="G656" s="2">
        <v>8175.0940090598797</v>
      </c>
      <c r="H656" s="1">
        <v>137.37381072717301</v>
      </c>
      <c r="I656" s="1">
        <f t="shared" si="21"/>
        <v>119.06448819759656</v>
      </c>
    </row>
    <row r="657" spans="1:9" x14ac:dyDescent="0.45">
      <c r="A657" t="s">
        <v>50</v>
      </c>
      <c r="B657" t="s">
        <v>16</v>
      </c>
      <c r="C657" t="str">
        <f t="shared" si="20"/>
        <v>North CarolinaBYU</v>
      </c>
      <c r="D657" t="s">
        <v>16</v>
      </c>
      <c r="E657">
        <v>41.5</v>
      </c>
      <c r="F657" s="1">
        <v>2.24905660377358</v>
      </c>
      <c r="G657" s="2">
        <v>140.96308430657001</v>
      </c>
      <c r="H657" s="1">
        <v>139.44741668164301</v>
      </c>
      <c r="I657" s="1">
        <f t="shared" si="21"/>
        <v>148.18147325821781</v>
      </c>
    </row>
    <row r="658" spans="1:9" x14ac:dyDescent="0.45">
      <c r="A658" t="s">
        <v>51</v>
      </c>
      <c r="B658" t="s">
        <v>16</v>
      </c>
      <c r="C658" t="str">
        <f t="shared" si="20"/>
        <v>OklahomaBYU</v>
      </c>
      <c r="D658" t="s">
        <v>16</v>
      </c>
      <c r="E658">
        <v>19.899999999999999</v>
      </c>
      <c r="F658" s="1">
        <v>9.1320754716981103</v>
      </c>
      <c r="G658" s="2">
        <v>402.79364834537603</v>
      </c>
      <c r="H658" s="1">
        <v>137.871039807817</v>
      </c>
      <c r="I658" s="1">
        <f t="shared" si="21"/>
        <v>126.04643753160971</v>
      </c>
    </row>
    <row r="659" spans="1:9" x14ac:dyDescent="0.45">
      <c r="A659" t="s">
        <v>52</v>
      </c>
      <c r="B659" t="s">
        <v>16</v>
      </c>
      <c r="C659" t="str">
        <f t="shared" si="20"/>
        <v>OregonBYU</v>
      </c>
      <c r="D659" t="s">
        <v>16</v>
      </c>
      <c r="E659">
        <v>41.1</v>
      </c>
      <c r="F659" s="1">
        <v>2.3660377358490599</v>
      </c>
      <c r="G659" s="2">
        <v>143.488259516786</v>
      </c>
      <c r="H659" s="1">
        <v>138.161757199346</v>
      </c>
      <c r="I659" s="1">
        <f t="shared" si="21"/>
        <v>130.12860846083828</v>
      </c>
    </row>
    <row r="660" spans="1:9" x14ac:dyDescent="0.45">
      <c r="A660" t="s">
        <v>53</v>
      </c>
      <c r="B660" t="s">
        <v>16</v>
      </c>
      <c r="C660" t="str">
        <f t="shared" si="20"/>
        <v>PurdueBYU</v>
      </c>
      <c r="D660" t="s">
        <v>53</v>
      </c>
      <c r="E660">
        <v>79.8</v>
      </c>
      <c r="F660" s="1">
        <v>-9.0037735849056606</v>
      </c>
      <c r="G660" s="2">
        <v>-394.987409322654</v>
      </c>
      <c r="H660" s="1">
        <v>139.649844399144</v>
      </c>
      <c r="I660" s="1">
        <f t="shared" si="21"/>
        <v>151.02390569511667</v>
      </c>
    </row>
    <row r="661" spans="1:9" x14ac:dyDescent="0.45">
      <c r="A661" t="s">
        <v>54</v>
      </c>
      <c r="B661" t="s">
        <v>16</v>
      </c>
      <c r="C661" t="str">
        <f t="shared" si="20"/>
        <v>Robert MorrisBYU</v>
      </c>
      <c r="D661" t="s">
        <v>16</v>
      </c>
      <c r="E661">
        <v>0.5</v>
      </c>
      <c r="F661" s="1">
        <v>34.883018867924498</v>
      </c>
      <c r="G661" s="2">
        <v>20466.880237190398</v>
      </c>
      <c r="H661" s="1">
        <v>136.73280972783101</v>
      </c>
      <c r="I661" s="1">
        <f t="shared" si="21"/>
        <v>110.06373447124327</v>
      </c>
    </row>
    <row r="662" spans="1:9" x14ac:dyDescent="0.45">
      <c r="A662" t="s">
        <v>55</v>
      </c>
      <c r="B662" t="s">
        <v>16</v>
      </c>
      <c r="C662" t="str">
        <f t="shared" si="20"/>
        <v>Saint FrancisBYU</v>
      </c>
      <c r="D662" t="s">
        <v>16</v>
      </c>
      <c r="E662">
        <v>0.3</v>
      </c>
      <c r="F662" s="1">
        <v>38.245283018867902</v>
      </c>
      <c r="G662" s="2">
        <v>34184.8629200297</v>
      </c>
      <c r="H662" s="1">
        <v>137.43965760987501</v>
      </c>
      <c r="I662" s="1">
        <f t="shared" si="21"/>
        <v>119.9890913970568</v>
      </c>
    </row>
    <row r="663" spans="1:9" x14ac:dyDescent="0.45">
      <c r="A663" t="s">
        <v>56</v>
      </c>
      <c r="B663" t="s">
        <v>16</v>
      </c>
      <c r="C663" t="str">
        <f t="shared" si="20"/>
        <v>Saint Mary'sBYU</v>
      </c>
      <c r="D663" t="s">
        <v>16</v>
      </c>
      <c r="E663">
        <v>40.5</v>
      </c>
      <c r="F663" s="1">
        <v>2.5094339622641502</v>
      </c>
      <c r="G663" s="2">
        <v>146.67958339962101</v>
      </c>
      <c r="H663" s="1">
        <v>139.168863725817</v>
      </c>
      <c r="I663" s="1">
        <f t="shared" si="21"/>
        <v>144.27011187545662</v>
      </c>
    </row>
    <row r="664" spans="1:9" x14ac:dyDescent="0.45">
      <c r="A664" t="s">
        <v>57</v>
      </c>
      <c r="B664" t="s">
        <v>16</v>
      </c>
      <c r="C664" t="str">
        <f t="shared" si="20"/>
        <v>San Diego St.BYU</v>
      </c>
      <c r="D664" t="s">
        <v>16</v>
      </c>
      <c r="E664">
        <v>17.5</v>
      </c>
      <c r="F664" s="1">
        <v>10.1849056603774</v>
      </c>
      <c r="G664" s="2">
        <v>472.89991270679798</v>
      </c>
      <c r="H664" s="1">
        <v>138.38356288884501</v>
      </c>
      <c r="I664" s="1">
        <f t="shared" si="21"/>
        <v>133.24314086926498</v>
      </c>
    </row>
    <row r="665" spans="1:9" x14ac:dyDescent="0.45">
      <c r="A665" t="s">
        <v>58</v>
      </c>
      <c r="B665" t="s">
        <v>16</v>
      </c>
      <c r="C665" t="str">
        <f t="shared" si="20"/>
        <v>SIU EdwardsvilleBYU</v>
      </c>
      <c r="D665" t="s">
        <v>16</v>
      </c>
      <c r="E665">
        <v>1</v>
      </c>
      <c r="F665" s="1">
        <v>30.158490566037699</v>
      </c>
      <c r="G665" s="2">
        <v>9955.1890847370196</v>
      </c>
      <c r="H665" s="1">
        <v>138.44282106902901</v>
      </c>
      <c r="I665" s="1">
        <f t="shared" si="21"/>
        <v>134.07522738185324</v>
      </c>
    </row>
    <row r="666" spans="1:9" x14ac:dyDescent="0.45">
      <c r="A666" t="s">
        <v>59</v>
      </c>
      <c r="B666" t="s">
        <v>16</v>
      </c>
      <c r="C666" t="str">
        <f t="shared" si="20"/>
        <v>St. John'sBYU</v>
      </c>
      <c r="D666" t="s">
        <v>59</v>
      </c>
      <c r="E666">
        <v>66.400000000000006</v>
      </c>
      <c r="F666" s="1">
        <v>-4.47169811320755</v>
      </c>
      <c r="G666" s="2">
        <v>-197.82445663240901</v>
      </c>
      <c r="H666" s="1">
        <v>139.26227751758401</v>
      </c>
      <c r="I666" s="1">
        <f t="shared" si="21"/>
        <v>145.58180177173256</v>
      </c>
    </row>
    <row r="667" spans="1:9" x14ac:dyDescent="0.45">
      <c r="A667" t="s">
        <v>60</v>
      </c>
      <c r="B667" t="s">
        <v>16</v>
      </c>
      <c r="C667" t="str">
        <f t="shared" si="20"/>
        <v>TennesseeBYU</v>
      </c>
      <c r="D667" t="s">
        <v>60</v>
      </c>
      <c r="E667">
        <v>81.400000000000006</v>
      </c>
      <c r="F667" s="1">
        <v>-9.6867924528301899</v>
      </c>
      <c r="G667" s="2">
        <v>-438.36661720719599</v>
      </c>
      <c r="H667" s="1">
        <v>140.055509891718</v>
      </c>
      <c r="I667" s="1">
        <f t="shared" si="21"/>
        <v>156.72014516695296</v>
      </c>
    </row>
    <row r="668" spans="1:9" x14ac:dyDescent="0.45">
      <c r="A668" t="s">
        <v>61</v>
      </c>
      <c r="B668" t="s">
        <v>16</v>
      </c>
      <c r="C668" t="str">
        <f t="shared" si="20"/>
        <v>TexasBYU</v>
      </c>
      <c r="D668" t="s">
        <v>16</v>
      </c>
      <c r="E668">
        <v>14.9</v>
      </c>
      <c r="F668" s="1">
        <v>11.4075471698113</v>
      </c>
      <c r="G668" s="2">
        <v>569.91140691368503</v>
      </c>
      <c r="H668" s="1">
        <v>137.755391719356</v>
      </c>
      <c r="I668" s="1">
        <f t="shared" si="21"/>
        <v>124.42253996478919</v>
      </c>
    </row>
    <row r="669" spans="1:9" x14ac:dyDescent="0.45">
      <c r="A669" t="s">
        <v>62</v>
      </c>
      <c r="B669" t="s">
        <v>16</v>
      </c>
      <c r="C669" t="str">
        <f t="shared" si="20"/>
        <v>Texas A&amp;MBYU</v>
      </c>
      <c r="D669" t="s">
        <v>16</v>
      </c>
      <c r="E669">
        <v>50</v>
      </c>
      <c r="F669" s="1">
        <v>7.5471698113207496E-3</v>
      </c>
      <c r="G669" s="2">
        <v>100.104377749739</v>
      </c>
      <c r="H669" s="1">
        <v>138.542367028754</v>
      </c>
      <c r="I669" s="1">
        <f t="shared" si="21"/>
        <v>135.4730234365519</v>
      </c>
    </row>
    <row r="670" spans="1:9" x14ac:dyDescent="0.45">
      <c r="A670" t="s">
        <v>63</v>
      </c>
      <c r="B670" t="s">
        <v>16</v>
      </c>
      <c r="C670" t="str">
        <f t="shared" si="20"/>
        <v>Texas TechBYU</v>
      </c>
      <c r="D670" t="s">
        <v>63</v>
      </c>
      <c r="E670">
        <v>65.900000000000006</v>
      </c>
      <c r="F670" s="1">
        <v>-4.3283018867924499</v>
      </c>
      <c r="G670" s="2">
        <v>-193.491713721667</v>
      </c>
      <c r="H670" s="1">
        <v>139.53287963399299</v>
      </c>
      <c r="I670" s="1">
        <f t="shared" si="21"/>
        <v>149.38151972868963</v>
      </c>
    </row>
    <row r="671" spans="1:9" x14ac:dyDescent="0.45">
      <c r="A671" t="s">
        <v>64</v>
      </c>
      <c r="B671" t="s">
        <v>16</v>
      </c>
      <c r="C671" t="str">
        <f t="shared" si="20"/>
        <v>TroyBYU</v>
      </c>
      <c r="D671" t="s">
        <v>16</v>
      </c>
      <c r="E671">
        <v>2.7</v>
      </c>
      <c r="F671" s="1">
        <v>23.4830188679245</v>
      </c>
      <c r="G671" s="2">
        <v>3594.8344326708102</v>
      </c>
      <c r="H671" s="1">
        <v>138.29918422855201</v>
      </c>
      <c r="I671" s="1">
        <f t="shared" si="21"/>
        <v>132.05831971947501</v>
      </c>
    </row>
    <row r="672" spans="1:9" x14ac:dyDescent="0.45">
      <c r="A672" t="s">
        <v>65</v>
      </c>
      <c r="B672" t="s">
        <v>16</v>
      </c>
      <c r="C672" t="str">
        <f t="shared" si="20"/>
        <v>UC San DiegoBYU</v>
      </c>
      <c r="D672" t="s">
        <v>16</v>
      </c>
      <c r="E672">
        <v>6.7</v>
      </c>
      <c r="F672" s="1">
        <v>17.301886792452802</v>
      </c>
      <c r="G672" s="2">
        <v>1400.0739669233501</v>
      </c>
      <c r="H672" s="1">
        <v>138.369304458215</v>
      </c>
      <c r="I672" s="1">
        <f t="shared" si="21"/>
        <v>133.04292804158337</v>
      </c>
    </row>
    <row r="673" spans="1:9" x14ac:dyDescent="0.45">
      <c r="A673" t="s">
        <v>66</v>
      </c>
      <c r="B673" t="s">
        <v>16</v>
      </c>
      <c r="C673" t="str">
        <f t="shared" si="20"/>
        <v>UCLABYU</v>
      </c>
      <c r="D673" t="s">
        <v>16</v>
      </c>
      <c r="E673">
        <v>19.7</v>
      </c>
      <c r="F673" s="1">
        <v>9.1999999999999993</v>
      </c>
      <c r="G673" s="2">
        <v>406.87361615897697</v>
      </c>
      <c r="H673" s="1">
        <v>137.59056303742699</v>
      </c>
      <c r="I673" s="1">
        <f t="shared" si="21"/>
        <v>122.10806249189076</v>
      </c>
    </row>
    <row r="674" spans="1:9" x14ac:dyDescent="0.45">
      <c r="A674" t="s">
        <v>67</v>
      </c>
      <c r="B674" t="s">
        <v>16</v>
      </c>
      <c r="C674" t="str">
        <f t="shared" si="20"/>
        <v>UNC WilmingtonBYU</v>
      </c>
      <c r="D674" t="s">
        <v>16</v>
      </c>
      <c r="E674">
        <v>4</v>
      </c>
      <c r="F674" s="1">
        <v>20.890566037735901</v>
      </c>
      <c r="G674" s="2">
        <v>2421.6644717455601</v>
      </c>
      <c r="H674" s="1">
        <v>138.90597292887901</v>
      </c>
      <c r="I674" s="1">
        <f t="shared" si="21"/>
        <v>140.57867407334302</v>
      </c>
    </row>
    <row r="675" spans="1:9" x14ac:dyDescent="0.45">
      <c r="A675" t="s">
        <v>68</v>
      </c>
      <c r="B675" t="s">
        <v>16</v>
      </c>
      <c r="C675" t="str">
        <f t="shared" si="20"/>
        <v>Utah St.BYU</v>
      </c>
      <c r="D675" t="s">
        <v>16</v>
      </c>
      <c r="E675">
        <v>18.899999999999999</v>
      </c>
      <c r="F675" s="1">
        <v>9.5660377358490596</v>
      </c>
      <c r="G675" s="2">
        <v>430.20532520031702</v>
      </c>
      <c r="H675" s="1">
        <v>138.45315942745799</v>
      </c>
      <c r="I675" s="1">
        <f t="shared" si="21"/>
        <v>134.22039567059156</v>
      </c>
    </row>
    <row r="676" spans="1:9" x14ac:dyDescent="0.45">
      <c r="A676" t="s">
        <v>69</v>
      </c>
      <c r="B676" t="s">
        <v>16</v>
      </c>
      <c r="C676" t="str">
        <f t="shared" si="20"/>
        <v>VanderbiltBYU</v>
      </c>
      <c r="D676" t="s">
        <v>16</v>
      </c>
      <c r="E676">
        <v>4.4000000000000004</v>
      </c>
      <c r="F676" s="1">
        <v>20.211320754717001</v>
      </c>
      <c r="G676" s="2">
        <v>2183.20617219309</v>
      </c>
      <c r="H676" s="1">
        <v>136.88719730874101</v>
      </c>
      <c r="I676" s="1">
        <f t="shared" si="21"/>
        <v>112.23160097317506</v>
      </c>
    </row>
    <row r="677" spans="1:9" x14ac:dyDescent="0.45">
      <c r="A677" t="s">
        <v>70</v>
      </c>
      <c r="B677" t="s">
        <v>16</v>
      </c>
      <c r="C677" t="str">
        <f t="shared" si="20"/>
        <v>VCUBYU</v>
      </c>
      <c r="D677" t="s">
        <v>16</v>
      </c>
      <c r="E677">
        <v>12.8</v>
      </c>
      <c r="F677" s="1">
        <v>12.5660377358491</v>
      </c>
      <c r="G677" s="2">
        <v>680.10035339060698</v>
      </c>
      <c r="H677" s="1">
        <v>138.81237043793399</v>
      </c>
      <c r="I677" s="1">
        <f t="shared" si="21"/>
        <v>139.2643345168772</v>
      </c>
    </row>
    <row r="678" spans="1:9" x14ac:dyDescent="0.45">
      <c r="A678" t="s">
        <v>71</v>
      </c>
      <c r="B678" t="s">
        <v>16</v>
      </c>
      <c r="C678" t="str">
        <f t="shared" si="20"/>
        <v>WisconsinBYU</v>
      </c>
      <c r="D678" t="s">
        <v>71</v>
      </c>
      <c r="E678">
        <v>62.6</v>
      </c>
      <c r="F678" s="1">
        <v>-3.3849056603773602</v>
      </c>
      <c r="G678" s="2">
        <v>-167.61490617850501</v>
      </c>
      <c r="H678" s="1">
        <v>139.46562604626601</v>
      </c>
      <c r="I678" s="1">
        <f t="shared" si="21"/>
        <v>148.43716397734815</v>
      </c>
    </row>
    <row r="679" spans="1:9" x14ac:dyDescent="0.45">
      <c r="A679" t="s">
        <v>80</v>
      </c>
      <c r="B679" t="s">
        <v>16</v>
      </c>
      <c r="C679" t="str">
        <f t="shared" si="20"/>
        <v>WoffordBYU</v>
      </c>
      <c r="D679" t="s">
        <v>16</v>
      </c>
      <c r="E679">
        <v>1.4</v>
      </c>
      <c r="F679" s="1">
        <v>27.788679245282999</v>
      </c>
      <c r="G679" s="2">
        <v>6933.8340804303798</v>
      </c>
      <c r="H679" s="1">
        <v>137.56327447549299</v>
      </c>
      <c r="I679" s="1">
        <f t="shared" si="21"/>
        <v>121.72488426632418</v>
      </c>
    </row>
    <row r="680" spans="1:9" x14ac:dyDescent="0.45">
      <c r="A680" t="s">
        <v>72</v>
      </c>
      <c r="B680" t="s">
        <v>16</v>
      </c>
      <c r="C680" t="str">
        <f t="shared" si="20"/>
        <v>XavierBYU</v>
      </c>
      <c r="D680" t="s">
        <v>16</v>
      </c>
      <c r="E680">
        <v>12.7</v>
      </c>
      <c r="F680" s="1">
        <v>12.6415094339623</v>
      </c>
      <c r="G680" s="2">
        <v>687.73160960786197</v>
      </c>
      <c r="H680" s="1">
        <v>138.30607664611401</v>
      </c>
      <c r="I680" s="1">
        <f t="shared" si="21"/>
        <v>132.15510108661553</v>
      </c>
    </row>
    <row r="681" spans="1:9" x14ac:dyDescent="0.45">
      <c r="A681" t="s">
        <v>73</v>
      </c>
      <c r="B681" t="s">
        <v>16</v>
      </c>
      <c r="C681" t="str">
        <f t="shared" si="20"/>
        <v>YaleBYU</v>
      </c>
      <c r="D681" t="s">
        <v>16</v>
      </c>
      <c r="E681">
        <v>7.1</v>
      </c>
      <c r="F681" s="1">
        <v>16.890566037735901</v>
      </c>
      <c r="G681" s="2">
        <v>1315.1172591961499</v>
      </c>
      <c r="H681" s="1">
        <v>138.905782782508</v>
      </c>
      <c r="I681" s="1">
        <f t="shared" si="21"/>
        <v>140.57600409208061</v>
      </c>
    </row>
    <row r="682" spans="1:9" x14ac:dyDescent="0.45">
      <c r="A682" t="s">
        <v>7</v>
      </c>
      <c r="B682" t="s">
        <v>17</v>
      </c>
      <c r="C682" t="str">
        <f t="shared" si="20"/>
        <v>AkronClemson</v>
      </c>
      <c r="D682" t="s">
        <v>17</v>
      </c>
      <c r="E682">
        <v>2.8</v>
      </c>
      <c r="F682" s="1">
        <v>23.358490566037698</v>
      </c>
      <c r="G682" s="2">
        <v>3527.60208311624</v>
      </c>
      <c r="H682" s="1">
        <v>137.372559620646</v>
      </c>
      <c r="I682" s="1">
        <f t="shared" si="21"/>
        <v>119.04692051557019</v>
      </c>
    </row>
    <row r="683" spans="1:9" x14ac:dyDescent="0.45">
      <c r="A683" t="s">
        <v>8</v>
      </c>
      <c r="B683" t="s">
        <v>17</v>
      </c>
      <c r="C683" t="str">
        <f t="shared" si="20"/>
        <v>AlabamaClemson</v>
      </c>
      <c r="D683" t="s">
        <v>8</v>
      </c>
      <c r="E683">
        <v>68.099999999999994</v>
      </c>
      <c r="F683" s="1">
        <v>-4.9811320754716997</v>
      </c>
      <c r="G683" s="2">
        <v>-213.821373001518</v>
      </c>
      <c r="H683" s="1">
        <v>139.180170808241</v>
      </c>
      <c r="I683" s="1">
        <f t="shared" si="21"/>
        <v>144.42888271101921</v>
      </c>
    </row>
    <row r="684" spans="1:9" x14ac:dyDescent="0.45">
      <c r="A684" t="s">
        <v>9</v>
      </c>
      <c r="B684" t="s">
        <v>17</v>
      </c>
      <c r="C684" t="str">
        <f t="shared" si="20"/>
        <v>Alabama St.Clemson</v>
      </c>
      <c r="D684" t="s">
        <v>17</v>
      </c>
      <c r="E684">
        <v>0.4</v>
      </c>
      <c r="F684" s="1">
        <v>35.675471698113199</v>
      </c>
      <c r="G684" s="2">
        <v>23097.730402168399</v>
      </c>
      <c r="H684" s="1">
        <v>137.55932138006699</v>
      </c>
      <c r="I684" s="1">
        <f t="shared" si="21"/>
        <v>121.66937602464793</v>
      </c>
    </row>
    <row r="685" spans="1:9" x14ac:dyDescent="0.45">
      <c r="A685" t="s">
        <v>10</v>
      </c>
      <c r="B685" t="s">
        <v>17</v>
      </c>
      <c r="C685" t="str">
        <f t="shared" si="20"/>
        <v>AmericanClemson</v>
      </c>
      <c r="D685" t="s">
        <v>17</v>
      </c>
      <c r="E685">
        <v>0.5</v>
      </c>
      <c r="F685" s="1">
        <v>34.920754716981101</v>
      </c>
      <c r="G685" s="2">
        <v>20578.941748285699</v>
      </c>
      <c r="H685" s="1">
        <v>137.32261089982899</v>
      </c>
      <c r="I685" s="1">
        <f t="shared" si="21"/>
        <v>118.34555478371982</v>
      </c>
    </row>
    <row r="686" spans="1:9" x14ac:dyDescent="0.45">
      <c r="A686" t="s">
        <v>11</v>
      </c>
      <c r="B686" t="s">
        <v>17</v>
      </c>
      <c r="C686" t="str">
        <f t="shared" si="20"/>
        <v>ArizonaClemson</v>
      </c>
      <c r="D686" t="s">
        <v>11</v>
      </c>
      <c r="E686">
        <v>58.4</v>
      </c>
      <c r="F686" s="1">
        <v>-2.2264150943396199</v>
      </c>
      <c r="G686" s="2">
        <v>-140.4419759518</v>
      </c>
      <c r="H686" s="1">
        <v>138.790650148418</v>
      </c>
      <c r="I686" s="1">
        <f t="shared" si="21"/>
        <v>138.95934438893784</v>
      </c>
    </row>
    <row r="687" spans="1:9" x14ac:dyDescent="0.45">
      <c r="A687" t="s">
        <v>12</v>
      </c>
      <c r="B687" t="s">
        <v>17</v>
      </c>
      <c r="C687" t="str">
        <f t="shared" si="20"/>
        <v>ArkansasClemson</v>
      </c>
      <c r="D687" t="s">
        <v>17</v>
      </c>
      <c r="E687">
        <v>8.4</v>
      </c>
      <c r="F687" s="1">
        <v>15.675471698113199</v>
      </c>
      <c r="G687" s="2">
        <v>1092.4527768021601</v>
      </c>
      <c r="H687" s="1">
        <v>137.11657412620701</v>
      </c>
      <c r="I687" s="1">
        <f t="shared" si="21"/>
        <v>115.45244500721796</v>
      </c>
    </row>
    <row r="688" spans="1:9" x14ac:dyDescent="0.45">
      <c r="A688" t="s">
        <v>13</v>
      </c>
      <c r="B688" t="s">
        <v>17</v>
      </c>
      <c r="C688" t="str">
        <f t="shared" si="20"/>
        <v>AuburnClemson</v>
      </c>
      <c r="D688" t="s">
        <v>13</v>
      </c>
      <c r="E688">
        <v>80.8</v>
      </c>
      <c r="F688" s="1">
        <v>-9.4226415094339604</v>
      </c>
      <c r="G688" s="2">
        <v>-420.88324485537697</v>
      </c>
      <c r="H688" s="1">
        <v>140.20238704159399</v>
      </c>
      <c r="I688" s="1">
        <f t="shared" si="21"/>
        <v>158.78255233233889</v>
      </c>
    </row>
    <row r="689" spans="1:9" x14ac:dyDescent="0.45">
      <c r="A689" t="s">
        <v>14</v>
      </c>
      <c r="B689" t="s">
        <v>17</v>
      </c>
      <c r="C689" t="str">
        <f t="shared" si="20"/>
        <v>BaylorClemson</v>
      </c>
      <c r="D689" t="s">
        <v>17</v>
      </c>
      <c r="E689">
        <v>29.8</v>
      </c>
      <c r="F689" s="1">
        <v>5.6264150943396203</v>
      </c>
      <c r="G689" s="2">
        <v>235.93945200957799</v>
      </c>
      <c r="H689" s="1">
        <v>138.66530440277401</v>
      </c>
      <c r="I689" s="1">
        <f t="shared" si="21"/>
        <v>137.19927507805414</v>
      </c>
    </row>
    <row r="690" spans="1:9" x14ac:dyDescent="0.45">
      <c r="A690" t="s">
        <v>15</v>
      </c>
      <c r="B690" t="s">
        <v>17</v>
      </c>
      <c r="C690" t="str">
        <f t="shared" si="20"/>
        <v>BryantClemson</v>
      </c>
      <c r="D690" t="s">
        <v>17</v>
      </c>
      <c r="E690">
        <v>1.9</v>
      </c>
      <c r="F690" s="1">
        <v>25.698113207547198</v>
      </c>
      <c r="G690" s="2">
        <v>5040.9498547918101</v>
      </c>
      <c r="H690" s="1">
        <v>138.25762427842</v>
      </c>
      <c r="I690" s="1">
        <f t="shared" si="21"/>
        <v>131.47474671974217</v>
      </c>
    </row>
    <row r="691" spans="1:9" x14ac:dyDescent="0.45">
      <c r="A691" t="s">
        <v>16</v>
      </c>
      <c r="B691" t="s">
        <v>17</v>
      </c>
      <c r="C691" t="str">
        <f t="shared" si="20"/>
        <v>BYUClemson</v>
      </c>
      <c r="D691" t="s">
        <v>17</v>
      </c>
      <c r="E691">
        <v>33.4</v>
      </c>
      <c r="F691" s="1">
        <v>4.5320754716981098</v>
      </c>
      <c r="G691" s="2">
        <v>199.659888533165</v>
      </c>
      <c r="H691" s="1">
        <v>138.42766495286301</v>
      </c>
      <c r="I691" s="1">
        <f t="shared" si="21"/>
        <v>133.86240950918506</v>
      </c>
    </row>
    <row r="692" spans="1:9" x14ac:dyDescent="0.45">
      <c r="A692" t="s">
        <v>17</v>
      </c>
      <c r="B692" t="s">
        <v>17</v>
      </c>
      <c r="C692" t="str">
        <f t="shared" si="20"/>
        <v>ClemsonClemson</v>
      </c>
      <c r="D692" t="s">
        <v>17</v>
      </c>
      <c r="E692">
        <v>41.2</v>
      </c>
      <c r="F692" s="1">
        <v>2.3283018867924499</v>
      </c>
      <c r="G692" s="2">
        <v>142.64273539779199</v>
      </c>
      <c r="H692" s="1">
        <v>138.77771517530499</v>
      </c>
      <c r="I692" s="1">
        <f t="shared" si="21"/>
        <v>138.77771517530684</v>
      </c>
    </row>
    <row r="693" spans="1:9" x14ac:dyDescent="0.45">
      <c r="A693" t="s">
        <v>18</v>
      </c>
      <c r="B693" t="s">
        <v>17</v>
      </c>
      <c r="C693" t="str">
        <f t="shared" si="20"/>
        <v>Colorado St.Clemson</v>
      </c>
      <c r="D693" t="s">
        <v>17</v>
      </c>
      <c r="E693">
        <v>10.4</v>
      </c>
      <c r="F693" s="1">
        <v>14.1094339622642</v>
      </c>
      <c r="G693" s="2">
        <v>860.62420310326695</v>
      </c>
      <c r="H693" s="1">
        <v>138.1673261501</v>
      </c>
      <c r="I693" s="1">
        <f t="shared" si="21"/>
        <v>130.20680608346657</v>
      </c>
    </row>
    <row r="694" spans="1:9" x14ac:dyDescent="0.45">
      <c r="A694" t="s">
        <v>19</v>
      </c>
      <c r="B694" t="s">
        <v>17</v>
      </c>
      <c r="C694" t="str">
        <f t="shared" si="20"/>
        <v>ConnecticutClemson</v>
      </c>
      <c r="D694" t="s">
        <v>19</v>
      </c>
      <c r="E694">
        <v>52.2</v>
      </c>
      <c r="F694" s="1">
        <v>-0.56603773584905703</v>
      </c>
      <c r="G694" s="2">
        <v>-109.002552989764</v>
      </c>
      <c r="H694" s="1">
        <v>138.577966006054</v>
      </c>
      <c r="I694" s="1">
        <f t="shared" si="21"/>
        <v>135.9728941511315</v>
      </c>
    </row>
    <row r="695" spans="1:9" x14ac:dyDescent="0.45">
      <c r="A695" t="s">
        <v>20</v>
      </c>
      <c r="B695" t="s">
        <v>17</v>
      </c>
      <c r="C695" t="str">
        <f t="shared" si="20"/>
        <v>CreightonClemson</v>
      </c>
      <c r="D695" t="s">
        <v>17</v>
      </c>
      <c r="E695">
        <v>25.2</v>
      </c>
      <c r="F695" s="1">
        <v>7.1433962264150903</v>
      </c>
      <c r="G695" s="2">
        <v>297.30073993907598</v>
      </c>
      <c r="H695" s="1">
        <v>138.12726275889301</v>
      </c>
      <c r="I695" s="1">
        <f t="shared" si="21"/>
        <v>129.64424733852425</v>
      </c>
    </row>
    <row r="696" spans="1:9" x14ac:dyDescent="0.45">
      <c r="A696" t="s">
        <v>21</v>
      </c>
      <c r="B696" t="s">
        <v>17</v>
      </c>
      <c r="C696" t="str">
        <f t="shared" si="20"/>
        <v>DrakeClemson</v>
      </c>
      <c r="D696" t="s">
        <v>17</v>
      </c>
      <c r="E696">
        <v>10.1</v>
      </c>
      <c r="F696" s="1">
        <v>14.316981132075499</v>
      </c>
      <c r="G696" s="2">
        <v>887.94012875155295</v>
      </c>
      <c r="H696" s="1">
        <v>138.361938564567</v>
      </c>
      <c r="I696" s="1">
        <f t="shared" si="21"/>
        <v>132.93949825790406</v>
      </c>
    </row>
    <row r="697" spans="1:9" x14ac:dyDescent="0.45">
      <c r="A697" t="s">
        <v>22</v>
      </c>
      <c r="B697" t="s">
        <v>17</v>
      </c>
      <c r="C697" t="str">
        <f t="shared" si="20"/>
        <v>DukeClemson</v>
      </c>
      <c r="D697" t="s">
        <v>22</v>
      </c>
      <c r="E697">
        <v>85.5</v>
      </c>
      <c r="F697" s="1">
        <v>-11.633962264150901</v>
      </c>
      <c r="G697" s="2">
        <v>-590.02272963788801</v>
      </c>
      <c r="H697" s="1">
        <v>140.44227845316999</v>
      </c>
      <c r="I697" s="1">
        <f t="shared" si="21"/>
        <v>162.15103930642985</v>
      </c>
    </row>
    <row r="698" spans="1:9" x14ac:dyDescent="0.45">
      <c r="A698" t="s">
        <v>23</v>
      </c>
      <c r="B698" t="s">
        <v>17</v>
      </c>
      <c r="C698" t="str">
        <f t="shared" si="20"/>
        <v>FloridaClemson</v>
      </c>
      <c r="D698" t="s">
        <v>23</v>
      </c>
      <c r="E698">
        <v>76.599999999999994</v>
      </c>
      <c r="F698" s="1">
        <v>-7.7773584905660398</v>
      </c>
      <c r="G698" s="2">
        <v>-327.59448531317099</v>
      </c>
      <c r="H698" s="1">
        <v>140.176928980724</v>
      </c>
      <c r="I698" s="1">
        <f t="shared" si="21"/>
        <v>158.42507748210224</v>
      </c>
    </row>
    <row r="699" spans="1:9" x14ac:dyDescent="0.45">
      <c r="A699" t="s">
        <v>24</v>
      </c>
      <c r="B699" t="s">
        <v>17</v>
      </c>
      <c r="C699" t="str">
        <f t="shared" si="20"/>
        <v>GeorgiaClemson</v>
      </c>
      <c r="D699" t="s">
        <v>17</v>
      </c>
      <c r="E699">
        <v>11.6</v>
      </c>
      <c r="F699" s="1">
        <v>13.2830188679245</v>
      </c>
      <c r="G699" s="2">
        <v>758.54078307306702</v>
      </c>
      <c r="H699" s="1">
        <v>137.44088727700901</v>
      </c>
      <c r="I699" s="1">
        <f t="shared" si="21"/>
        <v>120.00635803322407</v>
      </c>
    </row>
    <row r="700" spans="1:9" x14ac:dyDescent="0.45">
      <c r="A700" t="s">
        <v>25</v>
      </c>
      <c r="B700" t="s">
        <v>17</v>
      </c>
      <c r="C700" t="str">
        <f t="shared" si="20"/>
        <v>GonzagaClemson</v>
      </c>
      <c r="D700" t="s">
        <v>17</v>
      </c>
      <c r="E700">
        <v>40</v>
      </c>
      <c r="F700" s="1">
        <v>2.6528301886792498</v>
      </c>
      <c r="G700" s="2">
        <v>149.878760569371</v>
      </c>
      <c r="H700" s="1">
        <v>139.417849007515</v>
      </c>
      <c r="I700" s="1">
        <f t="shared" si="21"/>
        <v>147.76629238742288</v>
      </c>
    </row>
    <row r="701" spans="1:9" x14ac:dyDescent="0.45">
      <c r="A701" t="s">
        <v>26</v>
      </c>
      <c r="B701" t="s">
        <v>17</v>
      </c>
      <c r="C701" t="str">
        <f t="shared" si="20"/>
        <v>Grand CanyonClemson</v>
      </c>
      <c r="D701" t="s">
        <v>17</v>
      </c>
      <c r="E701">
        <v>6.8</v>
      </c>
      <c r="F701" s="1">
        <v>17.203773584905701</v>
      </c>
      <c r="G701" s="2">
        <v>1379.4911796629201</v>
      </c>
      <c r="H701" s="1">
        <v>138.235820725054</v>
      </c>
      <c r="I701" s="1">
        <f t="shared" si="21"/>
        <v>131.16858742450205</v>
      </c>
    </row>
    <row r="702" spans="1:9" x14ac:dyDescent="0.45">
      <c r="A702" t="s">
        <v>27</v>
      </c>
      <c r="B702" t="s">
        <v>17</v>
      </c>
      <c r="C702" t="str">
        <f t="shared" si="20"/>
        <v>High PointClemson</v>
      </c>
      <c r="D702" t="s">
        <v>17</v>
      </c>
      <c r="E702">
        <v>4.3</v>
      </c>
      <c r="F702" s="1">
        <v>20.294339622641498</v>
      </c>
      <c r="G702" s="2">
        <v>2210.0443513145001</v>
      </c>
      <c r="H702" s="1">
        <v>138.427027858602</v>
      </c>
      <c r="I702" s="1">
        <f t="shared" si="21"/>
        <v>133.85346361276726</v>
      </c>
    </row>
    <row r="703" spans="1:9" x14ac:dyDescent="0.45">
      <c r="A703" t="s">
        <v>28</v>
      </c>
      <c r="B703" t="s">
        <v>17</v>
      </c>
      <c r="C703" t="str">
        <f t="shared" si="20"/>
        <v>HoustonClemson</v>
      </c>
      <c r="D703" t="s">
        <v>28</v>
      </c>
      <c r="E703">
        <v>90.8</v>
      </c>
      <c r="F703" s="1">
        <v>-14.988679245283</v>
      </c>
      <c r="G703" s="2">
        <v>-984.23522266107796</v>
      </c>
      <c r="H703" s="1">
        <v>140.54049021580599</v>
      </c>
      <c r="I703" s="1">
        <f t="shared" si="21"/>
        <v>163.5301009450624</v>
      </c>
    </row>
    <row r="704" spans="1:9" x14ac:dyDescent="0.45">
      <c r="A704" t="s">
        <v>29</v>
      </c>
      <c r="B704" t="s">
        <v>17</v>
      </c>
      <c r="C704" t="str">
        <f t="shared" si="20"/>
        <v>IllinoisClemson</v>
      </c>
      <c r="D704" t="s">
        <v>17</v>
      </c>
      <c r="E704">
        <v>49.2</v>
      </c>
      <c r="F704" s="1">
        <v>0.19622641509434</v>
      </c>
      <c r="G704" s="2">
        <v>103.065823334684</v>
      </c>
      <c r="H704" s="1">
        <v>138.598953990767</v>
      </c>
      <c r="I704" s="1">
        <f t="shared" si="21"/>
        <v>136.26760146330125</v>
      </c>
    </row>
    <row r="705" spans="1:9" x14ac:dyDescent="0.45">
      <c r="A705" t="s">
        <v>30</v>
      </c>
      <c r="B705" t="s">
        <v>17</v>
      </c>
      <c r="C705" t="str">
        <f t="shared" si="20"/>
        <v>Iowa St.Clemson</v>
      </c>
      <c r="D705" t="s">
        <v>30</v>
      </c>
      <c r="E705">
        <v>67.099999999999994</v>
      </c>
      <c r="F705" s="1">
        <v>-4.6641509433962298</v>
      </c>
      <c r="G705" s="2">
        <v>-203.67671522852501</v>
      </c>
      <c r="H705" s="1">
        <v>139.495496282353</v>
      </c>
      <c r="I705" s="1">
        <f t="shared" si="21"/>
        <v>148.85659333711988</v>
      </c>
    </row>
    <row r="706" spans="1:9" x14ac:dyDescent="0.45">
      <c r="A706" t="s">
        <v>31</v>
      </c>
      <c r="B706" t="s">
        <v>17</v>
      </c>
      <c r="C706" t="str">
        <f t="shared" si="20"/>
        <v>KansasClemson</v>
      </c>
      <c r="D706" t="s">
        <v>17</v>
      </c>
      <c r="E706">
        <v>38.6</v>
      </c>
      <c r="F706" s="1">
        <v>3.0528301886792502</v>
      </c>
      <c r="G706" s="2">
        <v>159.31605854529801</v>
      </c>
      <c r="H706" s="1">
        <v>138.54608417120701</v>
      </c>
      <c r="I706" s="1">
        <f t="shared" si="21"/>
        <v>135.52521849368861</v>
      </c>
    </row>
    <row r="707" spans="1:9" x14ac:dyDescent="0.45">
      <c r="A707" t="s">
        <v>32</v>
      </c>
      <c r="B707" t="s">
        <v>17</v>
      </c>
      <c r="C707" t="str">
        <f t="shared" ref="C707:C770" si="22">A707&amp;B707</f>
        <v>KentuckyClemson</v>
      </c>
      <c r="D707" t="s">
        <v>32</v>
      </c>
      <c r="E707">
        <v>51.2</v>
      </c>
      <c r="F707" s="1">
        <v>-0.31320754716981097</v>
      </c>
      <c r="G707" s="2">
        <v>-104.863992656862</v>
      </c>
      <c r="H707" s="1">
        <v>138.48036650333299</v>
      </c>
      <c r="I707" s="1">
        <f t="shared" ref="I707:I770" si="23">18*(H707-AVERAGE($H$2:$H$4625))/_xlfn.STDEV.P($H$2:$H$4625)+AVERAGE($H$2:$H$4625)</f>
        <v>134.60242969209298</v>
      </c>
    </row>
    <row r="708" spans="1:9" x14ac:dyDescent="0.45">
      <c r="A708" t="s">
        <v>33</v>
      </c>
      <c r="B708" t="s">
        <v>17</v>
      </c>
      <c r="C708" t="str">
        <f t="shared" si="22"/>
        <v>LibertyClemson</v>
      </c>
      <c r="D708" t="s">
        <v>17</v>
      </c>
      <c r="E708">
        <v>3.1</v>
      </c>
      <c r="F708" s="1">
        <v>22.675471698113199</v>
      </c>
      <c r="G708" s="2">
        <v>3178.3485775065701</v>
      </c>
      <c r="H708" s="1">
        <v>137.82536754705001</v>
      </c>
      <c r="I708" s="1">
        <f t="shared" si="23"/>
        <v>125.40512063551833</v>
      </c>
    </row>
    <row r="709" spans="1:9" x14ac:dyDescent="0.45">
      <c r="A709" t="s">
        <v>34</v>
      </c>
      <c r="B709" t="s">
        <v>17</v>
      </c>
      <c r="C709" t="str">
        <f t="shared" si="22"/>
        <v>LipscombClemson</v>
      </c>
      <c r="D709" t="s">
        <v>17</v>
      </c>
      <c r="E709">
        <v>2.2999999999999998</v>
      </c>
      <c r="F709" s="1">
        <v>24.5396226415094</v>
      </c>
      <c r="G709" s="2">
        <v>4224.7384398263202</v>
      </c>
      <c r="H709" s="1">
        <v>138.23168574464199</v>
      </c>
      <c r="I709" s="1">
        <f t="shared" si="23"/>
        <v>131.11052520558204</v>
      </c>
    </row>
    <row r="710" spans="1:9" x14ac:dyDescent="0.45">
      <c r="A710" t="s">
        <v>35</v>
      </c>
      <c r="B710" t="s">
        <v>17</v>
      </c>
      <c r="C710" t="str">
        <f t="shared" si="22"/>
        <v>LouisvilleClemson</v>
      </c>
      <c r="D710" t="s">
        <v>17</v>
      </c>
      <c r="E710">
        <v>5.6</v>
      </c>
      <c r="F710" s="1">
        <v>18.4905660377358</v>
      </c>
      <c r="G710" s="2">
        <v>1679.04366788997</v>
      </c>
      <c r="H710" s="1">
        <v>137.47704775045901</v>
      </c>
      <c r="I710" s="1">
        <f t="shared" si="23"/>
        <v>120.51411311704744</v>
      </c>
    </row>
    <row r="711" spans="1:9" x14ac:dyDescent="0.45">
      <c r="A711" t="s">
        <v>36</v>
      </c>
      <c r="B711" t="s">
        <v>17</v>
      </c>
      <c r="C711" t="str">
        <f t="shared" si="22"/>
        <v>MarquetteClemson</v>
      </c>
      <c r="D711" t="s">
        <v>17</v>
      </c>
      <c r="E711">
        <v>44.6</v>
      </c>
      <c r="F711" s="1">
        <v>1.4226415094339599</v>
      </c>
      <c r="G711" s="2">
        <v>124.256379078083</v>
      </c>
      <c r="H711" s="1">
        <v>138.73918159392201</v>
      </c>
      <c r="I711" s="1">
        <f t="shared" si="23"/>
        <v>138.23663758482164</v>
      </c>
    </row>
    <row r="712" spans="1:9" x14ac:dyDescent="0.45">
      <c r="A712" t="s">
        <v>37</v>
      </c>
      <c r="B712" t="s">
        <v>17</v>
      </c>
      <c r="C712" t="str">
        <f t="shared" si="22"/>
        <v>MarylandClemson</v>
      </c>
      <c r="D712" t="s">
        <v>17</v>
      </c>
      <c r="E712">
        <v>33.200000000000003</v>
      </c>
      <c r="F712" s="1">
        <v>4.5924528301886802</v>
      </c>
      <c r="G712" s="2">
        <v>201.443159994078</v>
      </c>
      <c r="H712" s="1">
        <v>138.197551192464</v>
      </c>
      <c r="I712" s="1">
        <f t="shared" si="23"/>
        <v>130.63121753207011</v>
      </c>
    </row>
    <row r="713" spans="1:9" x14ac:dyDescent="0.45">
      <c r="A713" t="s">
        <v>38</v>
      </c>
      <c r="B713" t="s">
        <v>17</v>
      </c>
      <c r="C713" t="str">
        <f t="shared" si="22"/>
        <v>McNeese St.Clemson</v>
      </c>
      <c r="D713" t="s">
        <v>17</v>
      </c>
      <c r="E713">
        <v>10.4</v>
      </c>
      <c r="F713" s="1">
        <v>14.1320754716981</v>
      </c>
      <c r="G713" s="2">
        <v>863.42018848550094</v>
      </c>
      <c r="H713" s="1">
        <v>138.79078660542899</v>
      </c>
      <c r="I713" s="1">
        <f t="shared" si="23"/>
        <v>138.96126047947664</v>
      </c>
    </row>
    <row r="714" spans="1:9" x14ac:dyDescent="0.45">
      <c r="A714" t="s">
        <v>39</v>
      </c>
      <c r="B714" t="s">
        <v>17</v>
      </c>
      <c r="C714" t="str">
        <f t="shared" si="22"/>
        <v>MemphisClemson</v>
      </c>
      <c r="D714" t="s">
        <v>17</v>
      </c>
      <c r="E714">
        <v>21.8</v>
      </c>
      <c r="F714" s="1">
        <v>8.3547169811320696</v>
      </c>
      <c r="G714" s="2">
        <v>357.72796514720102</v>
      </c>
      <c r="H714" s="1">
        <v>137.32506843195401</v>
      </c>
      <c r="I714" s="1">
        <f t="shared" si="23"/>
        <v>118.38006275087528</v>
      </c>
    </row>
    <row r="715" spans="1:9" x14ac:dyDescent="0.45">
      <c r="A715" t="s">
        <v>40</v>
      </c>
      <c r="B715" t="s">
        <v>17</v>
      </c>
      <c r="C715" t="str">
        <f t="shared" si="22"/>
        <v>MichiganClemson</v>
      </c>
      <c r="D715" t="s">
        <v>17</v>
      </c>
      <c r="E715">
        <v>12.1</v>
      </c>
      <c r="F715" s="1">
        <v>12.981132075471701</v>
      </c>
      <c r="G715" s="2">
        <v>724.34843537480003</v>
      </c>
      <c r="H715" s="1">
        <v>136.88768972887101</v>
      </c>
      <c r="I715" s="1">
        <f t="shared" si="23"/>
        <v>112.23851539659186</v>
      </c>
    </row>
    <row r="716" spans="1:9" x14ac:dyDescent="0.45">
      <c r="A716" t="s">
        <v>41</v>
      </c>
      <c r="B716" t="s">
        <v>17</v>
      </c>
      <c r="C716" t="str">
        <f t="shared" si="22"/>
        <v>Michigan St.Clemson</v>
      </c>
      <c r="D716" t="s">
        <v>41</v>
      </c>
      <c r="E716">
        <v>56.7</v>
      </c>
      <c r="F716" s="1">
        <v>-1.76603773584906</v>
      </c>
      <c r="G716" s="2">
        <v>-130.92048788473599</v>
      </c>
      <c r="H716" s="1">
        <v>138.534769438078</v>
      </c>
      <c r="I716" s="1">
        <f t="shared" si="23"/>
        <v>135.36634022910212</v>
      </c>
    </row>
    <row r="717" spans="1:9" x14ac:dyDescent="0.45">
      <c r="A717" t="s">
        <v>42</v>
      </c>
      <c r="B717" t="s">
        <v>17</v>
      </c>
      <c r="C717" t="str">
        <f t="shared" si="22"/>
        <v>MississippiClemson</v>
      </c>
      <c r="D717" t="s">
        <v>17</v>
      </c>
      <c r="E717">
        <v>26.4</v>
      </c>
      <c r="F717" s="1">
        <v>6.7283018867924502</v>
      </c>
      <c r="G717" s="2">
        <v>279.16682034201699</v>
      </c>
      <c r="H717" s="1">
        <v>137.80246078796699</v>
      </c>
      <c r="I717" s="1">
        <f t="shared" si="23"/>
        <v>125.08347043936143</v>
      </c>
    </row>
    <row r="718" spans="1:9" x14ac:dyDescent="0.45">
      <c r="A718" t="s">
        <v>43</v>
      </c>
      <c r="B718" t="s">
        <v>17</v>
      </c>
      <c r="C718" t="str">
        <f t="shared" si="22"/>
        <v>Mississippi St.Clemson</v>
      </c>
      <c r="D718" t="s">
        <v>17</v>
      </c>
      <c r="E718">
        <v>21.6</v>
      </c>
      <c r="F718" s="1">
        <v>8.4528301886792505</v>
      </c>
      <c r="G718" s="2">
        <v>363.11243019347597</v>
      </c>
      <c r="H718" s="1">
        <v>137.94220726064401</v>
      </c>
      <c r="I718" s="1">
        <f t="shared" si="23"/>
        <v>127.04575066354765</v>
      </c>
    </row>
    <row r="719" spans="1:9" x14ac:dyDescent="0.45">
      <c r="A719" t="s">
        <v>44</v>
      </c>
      <c r="B719" t="s">
        <v>17</v>
      </c>
      <c r="C719" t="str">
        <f t="shared" si="22"/>
        <v>MissouriClemson</v>
      </c>
      <c r="D719" t="s">
        <v>17</v>
      </c>
      <c r="E719">
        <v>11.5</v>
      </c>
      <c r="F719" s="1">
        <v>13.388679245283001</v>
      </c>
      <c r="G719" s="2">
        <v>770.760408034374</v>
      </c>
      <c r="H719" s="1">
        <v>137.35986915929001</v>
      </c>
      <c r="I719" s="1">
        <f t="shared" si="23"/>
        <v>118.86872466648992</v>
      </c>
    </row>
    <row r="720" spans="1:9" x14ac:dyDescent="0.45">
      <c r="A720" t="s">
        <v>45</v>
      </c>
      <c r="B720" t="s">
        <v>17</v>
      </c>
      <c r="C720" t="str">
        <f t="shared" si="22"/>
        <v>MontanaClemson</v>
      </c>
      <c r="D720" t="s">
        <v>17</v>
      </c>
      <c r="E720">
        <v>1.2</v>
      </c>
      <c r="F720" s="1">
        <v>29.192452830188699</v>
      </c>
      <c r="G720" s="2">
        <v>8591.4237612573506</v>
      </c>
      <c r="H720" s="1">
        <v>136.496580722696</v>
      </c>
      <c r="I720" s="1">
        <f t="shared" si="23"/>
        <v>106.74667396677546</v>
      </c>
    </row>
    <row r="721" spans="1:9" x14ac:dyDescent="0.45">
      <c r="A721" t="s">
        <v>46</v>
      </c>
      <c r="B721" t="s">
        <v>17</v>
      </c>
      <c r="C721" t="str">
        <f t="shared" si="22"/>
        <v>Mount St. Mary'sClemson</v>
      </c>
      <c r="D721" t="s">
        <v>17</v>
      </c>
      <c r="E721">
        <v>0.4</v>
      </c>
      <c r="F721" s="1">
        <v>35.528301886792498</v>
      </c>
      <c r="G721" s="2">
        <v>22578.1980946394</v>
      </c>
      <c r="H721" s="1">
        <v>137.79986867684701</v>
      </c>
      <c r="I721" s="1">
        <f t="shared" si="23"/>
        <v>125.04707275223421</v>
      </c>
    </row>
    <row r="722" spans="1:9" x14ac:dyDescent="0.45">
      <c r="A722" t="s">
        <v>47</v>
      </c>
      <c r="B722" t="s">
        <v>17</v>
      </c>
      <c r="C722" t="str">
        <f t="shared" si="22"/>
        <v>Nebraska OmahaClemson</v>
      </c>
      <c r="D722" t="s">
        <v>17</v>
      </c>
      <c r="E722">
        <v>0.6</v>
      </c>
      <c r="F722" s="1">
        <v>33.335849056603799</v>
      </c>
      <c r="G722" s="2">
        <v>16165.411255016899</v>
      </c>
      <c r="H722" s="1">
        <v>137.21764480895001</v>
      </c>
      <c r="I722" s="1">
        <f t="shared" si="23"/>
        <v>116.87165078889063</v>
      </c>
    </row>
    <row r="723" spans="1:9" x14ac:dyDescent="0.45">
      <c r="A723" t="s">
        <v>48</v>
      </c>
      <c r="B723" t="s">
        <v>17</v>
      </c>
      <c r="C723" t="str">
        <f t="shared" si="22"/>
        <v>New MexicoClemson</v>
      </c>
      <c r="D723" t="s">
        <v>17</v>
      </c>
      <c r="E723">
        <v>12.9</v>
      </c>
      <c r="F723" s="1">
        <v>12.505660377358501</v>
      </c>
      <c r="G723" s="2">
        <v>673.75742464262896</v>
      </c>
      <c r="H723" s="1">
        <v>137.98763474076699</v>
      </c>
      <c r="I723" s="1">
        <f t="shared" si="23"/>
        <v>127.68363041945364</v>
      </c>
    </row>
    <row r="724" spans="1:9" x14ac:dyDescent="0.45">
      <c r="A724" t="s">
        <v>49</v>
      </c>
      <c r="B724" t="s">
        <v>17</v>
      </c>
      <c r="C724" t="str">
        <f t="shared" si="22"/>
        <v>Norfolk St.Clemson</v>
      </c>
      <c r="D724" t="s">
        <v>17</v>
      </c>
      <c r="E724">
        <v>0.9</v>
      </c>
      <c r="F724" s="1">
        <v>31.0716981132075</v>
      </c>
      <c r="G724" s="2">
        <v>11442.842525735099</v>
      </c>
      <c r="H724" s="1">
        <v>137.023760504731</v>
      </c>
      <c r="I724" s="1">
        <f t="shared" si="23"/>
        <v>114.14918253147438</v>
      </c>
    </row>
    <row r="725" spans="1:9" x14ac:dyDescent="0.45">
      <c r="A725" t="s">
        <v>50</v>
      </c>
      <c r="B725" t="s">
        <v>17</v>
      </c>
      <c r="C725" t="str">
        <f t="shared" si="22"/>
        <v>North CarolinaClemson</v>
      </c>
      <c r="D725" t="s">
        <v>17</v>
      </c>
      <c r="E725">
        <v>33.6</v>
      </c>
      <c r="F725" s="1">
        <v>4.4566037735849102</v>
      </c>
      <c r="G725" s="2">
        <v>197.30884732021599</v>
      </c>
      <c r="H725" s="1">
        <v>139.097366459201</v>
      </c>
      <c r="I725" s="1">
        <f t="shared" si="23"/>
        <v>143.26616759209563</v>
      </c>
    </row>
    <row r="726" spans="1:9" x14ac:dyDescent="0.45">
      <c r="A726" t="s">
        <v>51</v>
      </c>
      <c r="B726" t="s">
        <v>17</v>
      </c>
      <c r="C726" t="str">
        <f t="shared" si="22"/>
        <v>OklahomaClemson</v>
      </c>
      <c r="D726" t="s">
        <v>17</v>
      </c>
      <c r="E726">
        <v>15.1</v>
      </c>
      <c r="F726" s="1">
        <v>11.3358490566038</v>
      </c>
      <c r="G726" s="2">
        <v>563.79832247488901</v>
      </c>
      <c r="H726" s="1">
        <v>137.52098958537499</v>
      </c>
      <c r="I726" s="1">
        <f t="shared" si="23"/>
        <v>121.13113186548753</v>
      </c>
    </row>
    <row r="727" spans="1:9" x14ac:dyDescent="0.45">
      <c r="A727" t="s">
        <v>52</v>
      </c>
      <c r="B727" t="s">
        <v>17</v>
      </c>
      <c r="C727" t="str">
        <f t="shared" si="22"/>
        <v>OregonClemson</v>
      </c>
      <c r="D727" t="s">
        <v>17</v>
      </c>
      <c r="E727">
        <v>33.200000000000003</v>
      </c>
      <c r="F727" s="1">
        <v>4.5698113207547202</v>
      </c>
      <c r="G727" s="2">
        <v>200.843385546733</v>
      </c>
      <c r="H727" s="1">
        <v>137.81170697690399</v>
      </c>
      <c r="I727" s="1">
        <f t="shared" si="23"/>
        <v>125.2133027947161</v>
      </c>
    </row>
    <row r="728" spans="1:9" x14ac:dyDescent="0.45">
      <c r="A728" t="s">
        <v>53</v>
      </c>
      <c r="B728" t="s">
        <v>17</v>
      </c>
      <c r="C728" t="str">
        <f t="shared" si="22"/>
        <v>PurdueClemson</v>
      </c>
      <c r="D728" t="s">
        <v>53</v>
      </c>
      <c r="E728">
        <v>73.8</v>
      </c>
      <c r="F728" s="1">
        <v>-6.8</v>
      </c>
      <c r="G728" s="2">
        <v>-282.19030335736102</v>
      </c>
      <c r="H728" s="1">
        <v>139.29979417670199</v>
      </c>
      <c r="I728" s="1">
        <f t="shared" si="23"/>
        <v>146.10860002899449</v>
      </c>
    </row>
    <row r="729" spans="1:9" x14ac:dyDescent="0.45">
      <c r="A729" t="s">
        <v>54</v>
      </c>
      <c r="B729" t="s">
        <v>17</v>
      </c>
      <c r="C729" t="str">
        <f t="shared" si="22"/>
        <v>Robert MorrisClemson</v>
      </c>
      <c r="D729" t="s">
        <v>17</v>
      </c>
      <c r="E729">
        <v>0.3</v>
      </c>
      <c r="F729" s="1">
        <v>37.086792452830203</v>
      </c>
      <c r="G729" s="2">
        <v>28647.901453818598</v>
      </c>
      <c r="H729" s="1">
        <v>136.382759505389</v>
      </c>
      <c r="I729" s="1">
        <f t="shared" si="23"/>
        <v>105.14842880512107</v>
      </c>
    </row>
    <row r="730" spans="1:9" x14ac:dyDescent="0.45">
      <c r="A730" t="s">
        <v>55</v>
      </c>
      <c r="B730" t="s">
        <v>17</v>
      </c>
      <c r="C730" t="str">
        <f t="shared" si="22"/>
        <v>Saint FrancisClemson</v>
      </c>
      <c r="D730" t="s">
        <v>17</v>
      </c>
      <c r="E730">
        <v>0.2</v>
      </c>
      <c r="F730" s="1">
        <v>40.452830188679201</v>
      </c>
      <c r="G730" s="2">
        <v>47849.236072910498</v>
      </c>
      <c r="H730" s="1">
        <v>137.08960738743301</v>
      </c>
      <c r="I730" s="1">
        <f t="shared" si="23"/>
        <v>115.07378573093462</v>
      </c>
    </row>
    <row r="731" spans="1:9" x14ac:dyDescent="0.45">
      <c r="A731" t="s">
        <v>56</v>
      </c>
      <c r="B731" t="s">
        <v>17</v>
      </c>
      <c r="C731" t="str">
        <f t="shared" si="22"/>
        <v>Saint Mary'sClemson</v>
      </c>
      <c r="D731" t="s">
        <v>17</v>
      </c>
      <c r="E731">
        <v>32.799999999999997</v>
      </c>
      <c r="F731" s="1">
        <v>4.7169811320754702</v>
      </c>
      <c r="G731" s="2">
        <v>205.310345388348</v>
      </c>
      <c r="H731" s="1">
        <v>138.818813503375</v>
      </c>
      <c r="I731" s="1">
        <f t="shared" si="23"/>
        <v>139.35480620933444</v>
      </c>
    </row>
    <row r="732" spans="1:9" x14ac:dyDescent="0.45">
      <c r="A732" t="s">
        <v>57</v>
      </c>
      <c r="B732" t="s">
        <v>17</v>
      </c>
      <c r="C732" t="str">
        <f t="shared" si="22"/>
        <v>San Diego St.Clemson</v>
      </c>
      <c r="D732" t="s">
        <v>17</v>
      </c>
      <c r="E732">
        <v>13.1</v>
      </c>
      <c r="F732" s="1">
        <v>12.388679245283001</v>
      </c>
      <c r="G732" s="2">
        <v>661.927462306954</v>
      </c>
      <c r="H732" s="1">
        <v>138.033512666403</v>
      </c>
      <c r="I732" s="1">
        <f t="shared" si="23"/>
        <v>128.3278352031428</v>
      </c>
    </row>
    <row r="733" spans="1:9" x14ac:dyDescent="0.45">
      <c r="A733" t="s">
        <v>58</v>
      </c>
      <c r="B733" t="s">
        <v>17</v>
      </c>
      <c r="C733" t="str">
        <f t="shared" si="22"/>
        <v>SIU EdwardsvilleClemson</v>
      </c>
      <c r="D733" t="s">
        <v>17</v>
      </c>
      <c r="E733">
        <v>0.7</v>
      </c>
      <c r="F733" s="1">
        <v>32.362264150943403</v>
      </c>
      <c r="G733" s="2">
        <v>13934.4771918608</v>
      </c>
      <c r="H733" s="1">
        <v>138.092770846587</v>
      </c>
      <c r="I733" s="1">
        <f t="shared" si="23"/>
        <v>129.15992171573106</v>
      </c>
    </row>
    <row r="734" spans="1:9" x14ac:dyDescent="0.45">
      <c r="A734" t="s">
        <v>59</v>
      </c>
      <c r="B734" t="s">
        <v>17</v>
      </c>
      <c r="C734" t="str">
        <f t="shared" si="22"/>
        <v>St. John'sClemson</v>
      </c>
      <c r="D734" t="s">
        <v>59</v>
      </c>
      <c r="E734">
        <v>58.6</v>
      </c>
      <c r="F734" s="1">
        <v>-2.2679245283018901</v>
      </c>
      <c r="G734" s="2">
        <v>-141.33145034758201</v>
      </c>
      <c r="H734" s="1">
        <v>138.91222729514101</v>
      </c>
      <c r="I734" s="1">
        <f t="shared" si="23"/>
        <v>140.66649610559639</v>
      </c>
    </row>
    <row r="735" spans="1:9" x14ac:dyDescent="0.45">
      <c r="A735" t="s">
        <v>60</v>
      </c>
      <c r="B735" t="s">
        <v>17</v>
      </c>
      <c r="C735" t="str">
        <f t="shared" si="22"/>
        <v>TennesseeClemson</v>
      </c>
      <c r="D735" t="s">
        <v>60</v>
      </c>
      <c r="E735">
        <v>75.8</v>
      </c>
      <c r="F735" s="1">
        <v>-7.48301886792453</v>
      </c>
      <c r="G735" s="2">
        <v>-313.18165027986902</v>
      </c>
      <c r="H735" s="1">
        <v>139.705459669276</v>
      </c>
      <c r="I735" s="1">
        <f t="shared" si="23"/>
        <v>151.80483950083078</v>
      </c>
    </row>
    <row r="736" spans="1:9" x14ac:dyDescent="0.45">
      <c r="A736" t="s">
        <v>61</v>
      </c>
      <c r="B736" t="s">
        <v>17</v>
      </c>
      <c r="C736" t="str">
        <f t="shared" si="22"/>
        <v>TexasClemson</v>
      </c>
      <c r="D736" t="s">
        <v>17</v>
      </c>
      <c r="E736">
        <v>11.1</v>
      </c>
      <c r="F736" s="1">
        <v>13.611320754716999</v>
      </c>
      <c r="G736" s="2">
        <v>797.71639025878403</v>
      </c>
      <c r="H736" s="1">
        <v>137.40534149691399</v>
      </c>
      <c r="I736" s="1">
        <f t="shared" si="23"/>
        <v>119.50723429866702</v>
      </c>
    </row>
    <row r="737" spans="1:9" x14ac:dyDescent="0.45">
      <c r="A737" t="s">
        <v>62</v>
      </c>
      <c r="B737" t="s">
        <v>17</v>
      </c>
      <c r="C737" t="str">
        <f t="shared" si="22"/>
        <v>Texas A&amp;MClemson</v>
      </c>
      <c r="D737" t="s">
        <v>17</v>
      </c>
      <c r="E737">
        <v>41.6</v>
      </c>
      <c r="F737" s="1">
        <v>2.2113207547169802</v>
      </c>
      <c r="G737" s="2">
        <v>140.11809888149401</v>
      </c>
      <c r="H737" s="1">
        <v>138.19231680631199</v>
      </c>
      <c r="I737" s="1">
        <f t="shared" si="23"/>
        <v>130.55771777042972</v>
      </c>
    </row>
    <row r="738" spans="1:9" x14ac:dyDescent="0.45">
      <c r="A738" t="s">
        <v>63</v>
      </c>
      <c r="B738" t="s">
        <v>17</v>
      </c>
      <c r="C738" t="str">
        <f t="shared" si="22"/>
        <v>Texas TechClemson</v>
      </c>
      <c r="D738" t="s">
        <v>63</v>
      </c>
      <c r="E738">
        <v>58</v>
      </c>
      <c r="F738" s="1">
        <v>-2.1207547169811298</v>
      </c>
      <c r="G738" s="2">
        <v>-138.23601487927499</v>
      </c>
      <c r="H738" s="1">
        <v>139.18282941155101</v>
      </c>
      <c r="I738" s="1">
        <f t="shared" si="23"/>
        <v>144.46621406256784</v>
      </c>
    </row>
    <row r="739" spans="1:9" x14ac:dyDescent="0.45">
      <c r="A739" t="s">
        <v>64</v>
      </c>
      <c r="B739" t="s">
        <v>17</v>
      </c>
      <c r="C739" t="str">
        <f t="shared" si="22"/>
        <v>TroyClemson</v>
      </c>
      <c r="D739" t="s">
        <v>17</v>
      </c>
      <c r="E739">
        <v>1.9</v>
      </c>
      <c r="F739" s="1">
        <v>25.686792452830201</v>
      </c>
      <c r="G739" s="2">
        <v>5031.7616254388404</v>
      </c>
      <c r="H739" s="1">
        <v>137.94913400611</v>
      </c>
      <c r="I739" s="1">
        <f t="shared" si="23"/>
        <v>127.14301405335283</v>
      </c>
    </row>
    <row r="740" spans="1:9" x14ac:dyDescent="0.45">
      <c r="A740" t="s">
        <v>65</v>
      </c>
      <c r="B740" t="s">
        <v>17</v>
      </c>
      <c r="C740" t="str">
        <f t="shared" si="22"/>
        <v>UC San DiegoClemson</v>
      </c>
      <c r="D740" t="s">
        <v>17</v>
      </c>
      <c r="E740">
        <v>4.9000000000000004</v>
      </c>
      <c r="F740" s="1">
        <v>19.505660377358499</v>
      </c>
      <c r="G740" s="2">
        <v>1959.7115225990599</v>
      </c>
      <c r="H740" s="1">
        <v>138.01925423577299</v>
      </c>
      <c r="I740" s="1">
        <f t="shared" si="23"/>
        <v>128.12762237546119</v>
      </c>
    </row>
    <row r="741" spans="1:9" x14ac:dyDescent="0.45">
      <c r="A741" t="s">
        <v>66</v>
      </c>
      <c r="B741" t="s">
        <v>17</v>
      </c>
      <c r="C741" t="str">
        <f t="shared" si="22"/>
        <v>UCLAClemson</v>
      </c>
      <c r="D741" t="s">
        <v>17</v>
      </c>
      <c r="E741">
        <v>14.9</v>
      </c>
      <c r="F741" s="1">
        <v>11.4037735849057</v>
      </c>
      <c r="G741" s="2">
        <v>569.50913499268597</v>
      </c>
      <c r="H741" s="1">
        <v>137.24051281498501</v>
      </c>
      <c r="I741" s="1">
        <f t="shared" si="23"/>
        <v>117.19275682576898</v>
      </c>
    </row>
    <row r="742" spans="1:9" x14ac:dyDescent="0.45">
      <c r="A742" t="s">
        <v>67</v>
      </c>
      <c r="B742" t="s">
        <v>17</v>
      </c>
      <c r="C742" t="str">
        <f t="shared" si="22"/>
        <v>UNC WilmingtonClemson</v>
      </c>
      <c r="D742" t="s">
        <v>17</v>
      </c>
      <c r="E742">
        <v>2.9</v>
      </c>
      <c r="F742" s="1">
        <v>23.0981132075472</v>
      </c>
      <c r="G742" s="2">
        <v>3389.6521764327399</v>
      </c>
      <c r="H742" s="1">
        <v>138.555922706437</v>
      </c>
      <c r="I742" s="1">
        <f t="shared" si="23"/>
        <v>135.66336840722084</v>
      </c>
    </row>
    <row r="743" spans="1:9" x14ac:dyDescent="0.45">
      <c r="A743" t="s">
        <v>68</v>
      </c>
      <c r="B743" t="s">
        <v>17</v>
      </c>
      <c r="C743" t="str">
        <f t="shared" si="22"/>
        <v>Utah St.Clemson</v>
      </c>
      <c r="D743" t="s">
        <v>17</v>
      </c>
      <c r="E743">
        <v>14.2</v>
      </c>
      <c r="F743" s="1">
        <v>11.7698113207547</v>
      </c>
      <c r="G743" s="2">
        <v>602.16699459900303</v>
      </c>
      <c r="H743" s="1">
        <v>138.10310920501601</v>
      </c>
      <c r="I743" s="1">
        <f t="shared" si="23"/>
        <v>129.30509000446978</v>
      </c>
    </row>
    <row r="744" spans="1:9" x14ac:dyDescent="0.45">
      <c r="A744" t="s">
        <v>69</v>
      </c>
      <c r="B744" t="s">
        <v>17</v>
      </c>
      <c r="C744" t="str">
        <f t="shared" si="22"/>
        <v>VanderbiltClemson</v>
      </c>
      <c r="D744" t="s">
        <v>17</v>
      </c>
      <c r="E744">
        <v>3.2</v>
      </c>
      <c r="F744" s="1">
        <v>22.4188679245283</v>
      </c>
      <c r="G744" s="2">
        <v>3055.8773271515402</v>
      </c>
      <c r="H744" s="1">
        <v>136.537147086299</v>
      </c>
      <c r="I744" s="1">
        <f t="shared" si="23"/>
        <v>107.31629530705288</v>
      </c>
    </row>
    <row r="745" spans="1:9" x14ac:dyDescent="0.45">
      <c r="A745" t="s">
        <v>70</v>
      </c>
      <c r="B745" t="s">
        <v>17</v>
      </c>
      <c r="C745" t="str">
        <f t="shared" si="22"/>
        <v>VCUClemson</v>
      </c>
      <c r="D745" t="s">
        <v>17</v>
      </c>
      <c r="E745">
        <v>9.5</v>
      </c>
      <c r="F745" s="1">
        <v>14.7698113207547</v>
      </c>
      <c r="G745" s="2">
        <v>951.95006160430501</v>
      </c>
      <c r="H745" s="1">
        <v>138.46232021549201</v>
      </c>
      <c r="I745" s="1">
        <f t="shared" si="23"/>
        <v>134.34902885075542</v>
      </c>
    </row>
    <row r="746" spans="1:9" x14ac:dyDescent="0.45">
      <c r="A746" t="s">
        <v>71</v>
      </c>
      <c r="B746" t="s">
        <v>17</v>
      </c>
      <c r="C746" t="str">
        <f t="shared" si="22"/>
        <v>WisconsinClemson</v>
      </c>
      <c r="D746" t="s">
        <v>71</v>
      </c>
      <c r="E746">
        <v>54.5</v>
      </c>
      <c r="F746" s="1">
        <v>-1.1811320754717001</v>
      </c>
      <c r="G746" s="2">
        <v>-119.748883395649</v>
      </c>
      <c r="H746" s="1">
        <v>139.115575823824</v>
      </c>
      <c r="I746" s="1">
        <f t="shared" si="23"/>
        <v>143.52185831122597</v>
      </c>
    </row>
    <row r="747" spans="1:9" x14ac:dyDescent="0.45">
      <c r="A747" t="s">
        <v>80</v>
      </c>
      <c r="B747" t="s">
        <v>17</v>
      </c>
      <c r="C747" t="str">
        <f t="shared" si="22"/>
        <v>WoffordClemson</v>
      </c>
      <c r="D747" t="s">
        <v>17</v>
      </c>
      <c r="E747">
        <v>1</v>
      </c>
      <c r="F747" s="1">
        <v>29.9924528301887</v>
      </c>
      <c r="G747" s="2">
        <v>9705.4261876389992</v>
      </c>
      <c r="H747" s="1">
        <v>137.21322425305101</v>
      </c>
      <c r="I747" s="1">
        <f t="shared" si="23"/>
        <v>116.8095786002024</v>
      </c>
    </row>
    <row r="748" spans="1:9" x14ac:dyDescent="0.45">
      <c r="A748" t="s">
        <v>72</v>
      </c>
      <c r="B748" t="s">
        <v>17</v>
      </c>
      <c r="C748" t="str">
        <f t="shared" si="22"/>
        <v>XavierClemson</v>
      </c>
      <c r="D748" t="s">
        <v>17</v>
      </c>
      <c r="E748">
        <v>9.4</v>
      </c>
      <c r="F748" s="1">
        <v>14.845283018867899</v>
      </c>
      <c r="G748" s="2">
        <v>962.631683500127</v>
      </c>
      <c r="H748" s="1">
        <v>137.956026423672</v>
      </c>
      <c r="I748" s="1">
        <f t="shared" si="23"/>
        <v>127.23979542049334</v>
      </c>
    </row>
    <row r="749" spans="1:9" x14ac:dyDescent="0.45">
      <c r="A749" t="s">
        <v>73</v>
      </c>
      <c r="B749" t="s">
        <v>17</v>
      </c>
      <c r="C749" t="str">
        <f t="shared" si="22"/>
        <v>YaleClemson</v>
      </c>
      <c r="D749" t="s">
        <v>17</v>
      </c>
      <c r="E749">
        <v>5.2</v>
      </c>
      <c r="F749" s="1">
        <v>19.094339622641499</v>
      </c>
      <c r="G749" s="2">
        <v>1840.79592028919</v>
      </c>
      <c r="H749" s="1">
        <v>138.55573256006599</v>
      </c>
      <c r="I749" s="1">
        <f t="shared" si="23"/>
        <v>135.66069842595843</v>
      </c>
    </row>
    <row r="750" spans="1:9" x14ac:dyDescent="0.45">
      <c r="A750" t="s">
        <v>7</v>
      </c>
      <c r="B750" t="s">
        <v>18</v>
      </c>
      <c r="C750" t="str">
        <f t="shared" si="22"/>
        <v>AkronColorado St.</v>
      </c>
      <c r="D750" t="s">
        <v>18</v>
      </c>
      <c r="E750">
        <v>14.6</v>
      </c>
      <c r="F750" s="1">
        <v>11.577358490566001</v>
      </c>
      <c r="G750" s="2">
        <v>584.67657395207095</v>
      </c>
      <c r="H750" s="1">
        <v>137.98294864585199</v>
      </c>
      <c r="I750" s="1">
        <f t="shared" si="23"/>
        <v>127.61782960742441</v>
      </c>
    </row>
    <row r="751" spans="1:9" x14ac:dyDescent="0.45">
      <c r="A751" t="s">
        <v>8</v>
      </c>
      <c r="B751" t="s">
        <v>18</v>
      </c>
      <c r="C751" t="str">
        <f t="shared" si="22"/>
        <v>AlabamaColorado St.</v>
      </c>
      <c r="D751" t="s">
        <v>8</v>
      </c>
      <c r="E751">
        <v>92.8</v>
      </c>
      <c r="F751" s="1">
        <v>-16.762264150943398</v>
      </c>
      <c r="G751" s="2">
        <v>-1290.07515337319</v>
      </c>
      <c r="H751" s="1">
        <v>139.79055983344699</v>
      </c>
      <c r="I751" s="1">
        <f t="shared" si="23"/>
        <v>152.99979180287343</v>
      </c>
    </row>
    <row r="752" spans="1:9" x14ac:dyDescent="0.45">
      <c r="A752" t="s">
        <v>9</v>
      </c>
      <c r="B752" t="s">
        <v>18</v>
      </c>
      <c r="C752" t="str">
        <f t="shared" si="22"/>
        <v>Alabama St.Colorado St.</v>
      </c>
      <c r="D752" t="s">
        <v>18</v>
      </c>
      <c r="E752">
        <v>2.5</v>
      </c>
      <c r="F752" s="1">
        <v>23.8943396226415</v>
      </c>
      <c r="G752" s="2">
        <v>3828.2951306340301</v>
      </c>
      <c r="H752" s="1">
        <v>138.16971040527301</v>
      </c>
      <c r="I752" s="1">
        <f t="shared" si="23"/>
        <v>130.24028511650258</v>
      </c>
    </row>
    <row r="753" spans="1:9" x14ac:dyDescent="0.45">
      <c r="A753" t="s">
        <v>10</v>
      </c>
      <c r="B753" t="s">
        <v>18</v>
      </c>
      <c r="C753" t="str">
        <f t="shared" si="22"/>
        <v>AmericanColorado St.</v>
      </c>
      <c r="D753" t="s">
        <v>18</v>
      </c>
      <c r="E753">
        <v>2.8</v>
      </c>
      <c r="F753" s="1">
        <v>23.135849056603799</v>
      </c>
      <c r="G753" s="2">
        <v>3410.8226703160299</v>
      </c>
      <c r="H753" s="1">
        <v>137.93299992503501</v>
      </c>
      <c r="I753" s="1">
        <f t="shared" si="23"/>
        <v>126.91646387557445</v>
      </c>
    </row>
    <row r="754" spans="1:9" x14ac:dyDescent="0.45">
      <c r="A754" t="s">
        <v>11</v>
      </c>
      <c r="B754" t="s">
        <v>18</v>
      </c>
      <c r="C754" t="str">
        <f t="shared" si="22"/>
        <v>ArizonaColorado St.</v>
      </c>
      <c r="D754" t="s">
        <v>11</v>
      </c>
      <c r="E754">
        <v>89.4</v>
      </c>
      <c r="F754" s="1">
        <v>-14.0075471698113</v>
      </c>
      <c r="G754" s="2">
        <v>-847.34608670184605</v>
      </c>
      <c r="H754" s="1">
        <v>139.40103917362401</v>
      </c>
      <c r="I754" s="1">
        <f t="shared" si="23"/>
        <v>147.53025348079245</v>
      </c>
    </row>
    <row r="755" spans="1:9" x14ac:dyDescent="0.45">
      <c r="A755" t="s">
        <v>12</v>
      </c>
      <c r="B755" t="s">
        <v>18</v>
      </c>
      <c r="C755" t="str">
        <f t="shared" si="22"/>
        <v>ArkansasColorado St.</v>
      </c>
      <c r="D755" t="s">
        <v>18</v>
      </c>
      <c r="E755">
        <v>35.6</v>
      </c>
      <c r="F755" s="1">
        <v>3.8905660377358502</v>
      </c>
      <c r="G755" s="2">
        <v>181.06677898910499</v>
      </c>
      <c r="H755" s="1">
        <v>137.726963151413</v>
      </c>
      <c r="I755" s="1">
        <f t="shared" si="23"/>
        <v>124.02335409907218</v>
      </c>
    </row>
    <row r="756" spans="1:9" x14ac:dyDescent="0.45">
      <c r="A756" t="s">
        <v>13</v>
      </c>
      <c r="B756" t="s">
        <v>18</v>
      </c>
      <c r="C756" t="str">
        <f t="shared" si="22"/>
        <v>AuburnColorado St.</v>
      </c>
      <c r="D756" t="s">
        <v>13</v>
      </c>
      <c r="E756">
        <v>96.2</v>
      </c>
      <c r="F756" s="1">
        <v>-21.203773584905701</v>
      </c>
      <c r="G756" s="2">
        <v>-2539.3673655586899</v>
      </c>
      <c r="H756" s="1">
        <v>140.81277606679899</v>
      </c>
      <c r="I756" s="1">
        <f t="shared" si="23"/>
        <v>167.35346142417916</v>
      </c>
    </row>
    <row r="757" spans="1:9" x14ac:dyDescent="0.45">
      <c r="A757" t="s">
        <v>14</v>
      </c>
      <c r="B757" t="s">
        <v>18</v>
      </c>
      <c r="C757" t="str">
        <f t="shared" si="22"/>
        <v>BaylorColorado St.</v>
      </c>
      <c r="D757" t="s">
        <v>14</v>
      </c>
      <c r="E757">
        <v>71.900000000000006</v>
      </c>
      <c r="F757" s="1">
        <v>-6.1547169811320801</v>
      </c>
      <c r="G757" s="2">
        <v>-255.719196139633</v>
      </c>
      <c r="H757" s="1">
        <v>139.27569342798</v>
      </c>
      <c r="I757" s="1">
        <f t="shared" si="23"/>
        <v>145.77018416990839</v>
      </c>
    </row>
    <row r="758" spans="1:9" x14ac:dyDescent="0.45">
      <c r="A758" t="s">
        <v>15</v>
      </c>
      <c r="B758" t="s">
        <v>18</v>
      </c>
      <c r="C758" t="str">
        <f t="shared" si="22"/>
        <v>BryantColorado St.</v>
      </c>
      <c r="D758" t="s">
        <v>18</v>
      </c>
      <c r="E758">
        <v>10.7</v>
      </c>
      <c r="F758" s="1">
        <v>13.916981132075501</v>
      </c>
      <c r="G758" s="2">
        <v>835.50389786600704</v>
      </c>
      <c r="H758" s="1">
        <v>138.86801330362599</v>
      </c>
      <c r="I758" s="1">
        <f t="shared" si="23"/>
        <v>140.04565581159639</v>
      </c>
    </row>
    <row r="759" spans="1:9" x14ac:dyDescent="0.45">
      <c r="A759" t="s">
        <v>16</v>
      </c>
      <c r="B759" t="s">
        <v>18</v>
      </c>
      <c r="C759" t="str">
        <f t="shared" si="22"/>
        <v>BYUColorado St.</v>
      </c>
      <c r="D759" t="s">
        <v>16</v>
      </c>
      <c r="E759">
        <v>75.099999999999994</v>
      </c>
      <c r="F759" s="1">
        <v>-7.24905660377358</v>
      </c>
      <c r="G759" s="2">
        <v>-302.18511814651703</v>
      </c>
      <c r="H759" s="1">
        <v>139.038053978069</v>
      </c>
      <c r="I759" s="1">
        <f t="shared" si="23"/>
        <v>142.4333186010393</v>
      </c>
    </row>
    <row r="760" spans="1:9" x14ac:dyDescent="0.45">
      <c r="A760" t="s">
        <v>17</v>
      </c>
      <c r="B760" t="s">
        <v>18</v>
      </c>
      <c r="C760" t="str">
        <f t="shared" si="22"/>
        <v>ClemsonColorado St.</v>
      </c>
      <c r="D760" t="s">
        <v>17</v>
      </c>
      <c r="E760">
        <v>80.900000000000006</v>
      </c>
      <c r="F760" s="1">
        <v>-9.4528301886792505</v>
      </c>
      <c r="G760" s="2">
        <v>-422.97455133105098</v>
      </c>
      <c r="H760" s="1">
        <v>139.38810420051101</v>
      </c>
      <c r="I760" s="1">
        <f t="shared" si="23"/>
        <v>147.34862426716148</v>
      </c>
    </row>
    <row r="761" spans="1:9" x14ac:dyDescent="0.45">
      <c r="A761" t="s">
        <v>18</v>
      </c>
      <c r="B761" t="s">
        <v>18</v>
      </c>
      <c r="C761" t="str">
        <f t="shared" si="22"/>
        <v>Colorado St.Colorado St.</v>
      </c>
      <c r="D761" t="s">
        <v>18</v>
      </c>
      <c r="E761">
        <v>41.2</v>
      </c>
      <c r="F761" s="1">
        <v>2.3283018867924499</v>
      </c>
      <c r="G761" s="2">
        <v>142.64273539779199</v>
      </c>
      <c r="H761" s="1">
        <v>138.77771517530499</v>
      </c>
      <c r="I761" s="1">
        <f t="shared" si="23"/>
        <v>138.77771517530684</v>
      </c>
    </row>
    <row r="762" spans="1:9" x14ac:dyDescent="0.45">
      <c r="A762" t="s">
        <v>19</v>
      </c>
      <c r="B762" t="s">
        <v>18</v>
      </c>
      <c r="C762" t="str">
        <f t="shared" si="22"/>
        <v>ConnecticutColorado St.</v>
      </c>
      <c r="D762" t="s">
        <v>19</v>
      </c>
      <c r="E762">
        <v>86.8</v>
      </c>
      <c r="F762" s="1">
        <v>-12.3471698113208</v>
      </c>
      <c r="G762" s="2">
        <v>-657.65869563161505</v>
      </c>
      <c r="H762" s="1">
        <v>139.18835503125899</v>
      </c>
      <c r="I762" s="1">
        <f t="shared" si="23"/>
        <v>144.54380324297176</v>
      </c>
    </row>
    <row r="763" spans="1:9" x14ac:dyDescent="0.45">
      <c r="A763" t="s">
        <v>20</v>
      </c>
      <c r="B763" t="s">
        <v>18</v>
      </c>
      <c r="C763" t="str">
        <f t="shared" si="22"/>
        <v>CreightonColorado St.</v>
      </c>
      <c r="D763" t="s">
        <v>20</v>
      </c>
      <c r="E763">
        <v>67</v>
      </c>
      <c r="F763" s="1">
        <v>-4.6377358490566003</v>
      </c>
      <c r="G763" s="2">
        <v>-202.94011719539901</v>
      </c>
      <c r="H763" s="1">
        <v>138.73765178409801</v>
      </c>
      <c r="I763" s="1">
        <f t="shared" si="23"/>
        <v>138.21515643036452</v>
      </c>
    </row>
    <row r="764" spans="1:9" x14ac:dyDescent="0.45">
      <c r="A764" t="s">
        <v>21</v>
      </c>
      <c r="B764" t="s">
        <v>18</v>
      </c>
      <c r="C764" t="str">
        <f t="shared" si="22"/>
        <v>DrakeColorado St.</v>
      </c>
      <c r="D764" t="s">
        <v>18</v>
      </c>
      <c r="E764">
        <v>40.5</v>
      </c>
      <c r="F764" s="1">
        <v>2.5320754716981102</v>
      </c>
      <c r="G764" s="2">
        <v>147.170168324201</v>
      </c>
      <c r="H764" s="1">
        <v>138.97232758977299</v>
      </c>
      <c r="I764" s="1">
        <f t="shared" si="23"/>
        <v>141.51040734975831</v>
      </c>
    </row>
    <row r="765" spans="1:9" x14ac:dyDescent="0.45">
      <c r="A765" t="s">
        <v>22</v>
      </c>
      <c r="B765" t="s">
        <v>18</v>
      </c>
      <c r="C765" t="str">
        <f t="shared" si="22"/>
        <v>DukeColorado St.</v>
      </c>
      <c r="D765" t="s">
        <v>22</v>
      </c>
      <c r="E765">
        <v>97.3</v>
      </c>
      <c r="F765" s="1">
        <v>-23.4188679245283</v>
      </c>
      <c r="G765" s="2">
        <v>-3559.85771088405</v>
      </c>
      <c r="H765" s="1">
        <v>141.05266747837501</v>
      </c>
      <c r="I765" s="1">
        <f t="shared" si="23"/>
        <v>170.72194839827051</v>
      </c>
    </row>
    <row r="766" spans="1:9" x14ac:dyDescent="0.45">
      <c r="A766" t="s">
        <v>23</v>
      </c>
      <c r="B766" t="s">
        <v>18</v>
      </c>
      <c r="C766" t="str">
        <f t="shared" si="22"/>
        <v>FloridaColorado St.</v>
      </c>
      <c r="D766" t="s">
        <v>23</v>
      </c>
      <c r="E766">
        <v>95.2</v>
      </c>
      <c r="F766" s="1">
        <v>-19.562264150943399</v>
      </c>
      <c r="G766" s="2">
        <v>-1976.5166594529401</v>
      </c>
      <c r="H766" s="1">
        <v>140.78731800592999</v>
      </c>
      <c r="I766" s="1">
        <f t="shared" si="23"/>
        <v>166.99598657395646</v>
      </c>
    </row>
    <row r="767" spans="1:9" x14ac:dyDescent="0.45">
      <c r="A767" t="s">
        <v>24</v>
      </c>
      <c r="B767" t="s">
        <v>18</v>
      </c>
      <c r="C767" t="str">
        <f t="shared" si="22"/>
        <v>GeorgiaColorado St.</v>
      </c>
      <c r="D767" t="s">
        <v>18</v>
      </c>
      <c r="E767">
        <v>44.3</v>
      </c>
      <c r="F767" s="1">
        <v>1.5018867924528301</v>
      </c>
      <c r="G767" s="2">
        <v>125.723087752091</v>
      </c>
      <c r="H767" s="1">
        <v>138.051276302215</v>
      </c>
      <c r="I767" s="1">
        <f t="shared" si="23"/>
        <v>128.57726712507832</v>
      </c>
    </row>
    <row r="768" spans="1:9" x14ac:dyDescent="0.45">
      <c r="A768" t="s">
        <v>25</v>
      </c>
      <c r="B768" t="s">
        <v>18</v>
      </c>
      <c r="C768" t="str">
        <f t="shared" si="22"/>
        <v>GonzagaColorado St.</v>
      </c>
      <c r="D768" t="s">
        <v>25</v>
      </c>
      <c r="E768">
        <v>80.099999999999994</v>
      </c>
      <c r="F768" s="1">
        <v>-9.1283018867924497</v>
      </c>
      <c r="G768" s="2">
        <v>-402.55368256524298</v>
      </c>
      <c r="H768" s="1">
        <v>140.02823803272</v>
      </c>
      <c r="I768" s="1">
        <f t="shared" si="23"/>
        <v>156.33720147926314</v>
      </c>
    </row>
    <row r="769" spans="1:9" x14ac:dyDescent="0.45">
      <c r="A769" t="s">
        <v>26</v>
      </c>
      <c r="B769" t="s">
        <v>18</v>
      </c>
      <c r="C769" t="str">
        <f t="shared" si="22"/>
        <v>Grand CanyonColorado St.</v>
      </c>
      <c r="D769" t="s">
        <v>18</v>
      </c>
      <c r="E769">
        <v>30.4</v>
      </c>
      <c r="F769" s="1">
        <v>5.4226415094339604</v>
      </c>
      <c r="G769" s="2">
        <v>228.64148441876301</v>
      </c>
      <c r="H769" s="1">
        <v>138.84620975025999</v>
      </c>
      <c r="I769" s="1">
        <f t="shared" si="23"/>
        <v>139.73949651635627</v>
      </c>
    </row>
    <row r="770" spans="1:9" x14ac:dyDescent="0.45">
      <c r="A770" t="s">
        <v>27</v>
      </c>
      <c r="B770" t="s">
        <v>18</v>
      </c>
      <c r="C770" t="str">
        <f t="shared" si="22"/>
        <v>High PointColorado St.</v>
      </c>
      <c r="D770" t="s">
        <v>18</v>
      </c>
      <c r="E770">
        <v>21.4</v>
      </c>
      <c r="F770" s="1">
        <v>8.5094339622641506</v>
      </c>
      <c r="G770" s="2">
        <v>366.30014643465898</v>
      </c>
      <c r="H770" s="1">
        <v>139.03741688380799</v>
      </c>
      <c r="I770" s="1">
        <f t="shared" si="23"/>
        <v>142.4243727046215</v>
      </c>
    </row>
    <row r="771" spans="1:9" x14ac:dyDescent="0.45">
      <c r="A771" t="s">
        <v>28</v>
      </c>
      <c r="B771" t="s">
        <v>18</v>
      </c>
      <c r="C771" t="str">
        <f t="shared" ref="C771:C834" si="24">A771&amp;B771</f>
        <v>HoustonColorado St.</v>
      </c>
      <c r="D771" t="s">
        <v>28</v>
      </c>
      <c r="E771">
        <v>98.3</v>
      </c>
      <c r="F771" s="1">
        <v>-26.7735849056604</v>
      </c>
      <c r="G771" s="2">
        <v>-5938.3091035561401</v>
      </c>
      <c r="H771" s="1">
        <v>141.15087924101201</v>
      </c>
      <c r="I771" s="1">
        <f t="shared" ref="I771:I834" si="25">18*(H771-AVERAGE($H$2:$H$4625))/_xlfn.STDEV.P($H$2:$H$4625)+AVERAGE($H$2:$H$4625)</f>
        <v>172.10101003691705</v>
      </c>
    </row>
    <row r="772" spans="1:9" x14ac:dyDescent="0.45">
      <c r="A772" t="s">
        <v>29</v>
      </c>
      <c r="B772" t="s">
        <v>18</v>
      </c>
      <c r="C772" t="str">
        <f t="shared" si="24"/>
        <v>IllinoisColorado St.</v>
      </c>
      <c r="D772" t="s">
        <v>29</v>
      </c>
      <c r="E772">
        <v>85.4</v>
      </c>
      <c r="F772" s="1">
        <v>-11.5849056603774</v>
      </c>
      <c r="G772" s="2">
        <v>-585.39528481320599</v>
      </c>
      <c r="H772" s="1">
        <v>139.20934301597299</v>
      </c>
      <c r="I772" s="1">
        <f t="shared" si="25"/>
        <v>144.83851055515547</v>
      </c>
    </row>
    <row r="773" spans="1:9" x14ac:dyDescent="0.45">
      <c r="A773" t="s">
        <v>30</v>
      </c>
      <c r="B773" t="s">
        <v>18</v>
      </c>
      <c r="C773" t="str">
        <f t="shared" si="24"/>
        <v>Iowa St.Colorado St.</v>
      </c>
      <c r="D773" t="s">
        <v>30</v>
      </c>
      <c r="E773">
        <v>92.5</v>
      </c>
      <c r="F773" s="1">
        <v>-16.445283018867901</v>
      </c>
      <c r="G773" s="2">
        <v>-1228.86812458698</v>
      </c>
      <c r="H773" s="1">
        <v>140.10588530755899</v>
      </c>
      <c r="I773" s="1">
        <f t="shared" si="25"/>
        <v>157.42750242897412</v>
      </c>
    </row>
    <row r="774" spans="1:9" x14ac:dyDescent="0.45">
      <c r="A774" t="s">
        <v>31</v>
      </c>
      <c r="B774" t="s">
        <v>18</v>
      </c>
      <c r="C774" t="str">
        <f t="shared" si="24"/>
        <v>KansasColorado St.</v>
      </c>
      <c r="D774" t="s">
        <v>31</v>
      </c>
      <c r="E774">
        <v>79.099999999999994</v>
      </c>
      <c r="F774" s="1">
        <v>-8.7283018867924493</v>
      </c>
      <c r="G774" s="2">
        <v>-378.707881405188</v>
      </c>
      <c r="H774" s="1">
        <v>139.156473196413</v>
      </c>
      <c r="I774" s="1">
        <f t="shared" si="25"/>
        <v>144.09612758554283</v>
      </c>
    </row>
    <row r="775" spans="1:9" x14ac:dyDescent="0.45">
      <c r="A775" t="s">
        <v>32</v>
      </c>
      <c r="B775" t="s">
        <v>18</v>
      </c>
      <c r="C775" t="str">
        <f t="shared" si="24"/>
        <v>KentuckyColorado St.</v>
      </c>
      <c r="D775" t="s">
        <v>32</v>
      </c>
      <c r="E775">
        <v>86.4</v>
      </c>
      <c r="F775" s="1">
        <v>-12.094339622641501</v>
      </c>
      <c r="G775" s="2">
        <v>-632.68900349435796</v>
      </c>
      <c r="H775" s="1">
        <v>139.09075552853801</v>
      </c>
      <c r="I775" s="1">
        <f t="shared" si="25"/>
        <v>143.17333878393364</v>
      </c>
    </row>
    <row r="776" spans="1:9" x14ac:dyDescent="0.45">
      <c r="A776" t="s">
        <v>33</v>
      </c>
      <c r="B776" t="s">
        <v>18</v>
      </c>
      <c r="C776" t="str">
        <f t="shared" si="24"/>
        <v>LibertyColorado St.</v>
      </c>
      <c r="D776" t="s">
        <v>18</v>
      </c>
      <c r="E776">
        <v>16</v>
      </c>
      <c r="F776" s="1">
        <v>10.8943396226415</v>
      </c>
      <c r="G776" s="2">
        <v>526.79012919744503</v>
      </c>
      <c r="H776" s="1">
        <v>138.435756572256</v>
      </c>
      <c r="I776" s="1">
        <f t="shared" si="25"/>
        <v>133.97602972737255</v>
      </c>
    </row>
    <row r="777" spans="1:9" x14ac:dyDescent="0.45">
      <c r="A777" t="s">
        <v>34</v>
      </c>
      <c r="B777" t="s">
        <v>18</v>
      </c>
      <c r="C777" t="str">
        <f t="shared" si="24"/>
        <v>LipscombColorado St.</v>
      </c>
      <c r="D777" t="s">
        <v>18</v>
      </c>
      <c r="E777">
        <v>12.5</v>
      </c>
      <c r="F777" s="1">
        <v>12.7584905660377</v>
      </c>
      <c r="G777" s="2">
        <v>700.22228659622704</v>
      </c>
      <c r="H777" s="1">
        <v>138.84207476984801</v>
      </c>
      <c r="I777" s="1">
        <f t="shared" si="25"/>
        <v>139.68143429743665</v>
      </c>
    </row>
    <row r="778" spans="1:9" x14ac:dyDescent="0.45">
      <c r="A778" t="s">
        <v>35</v>
      </c>
      <c r="B778" t="s">
        <v>18</v>
      </c>
      <c r="C778" t="str">
        <f t="shared" si="24"/>
        <v>LouisvilleColorado St.</v>
      </c>
      <c r="D778" t="s">
        <v>18</v>
      </c>
      <c r="E778">
        <v>26.4</v>
      </c>
      <c r="F778" s="1">
        <v>6.7094339622641499</v>
      </c>
      <c r="G778" s="2">
        <v>278.29031623391199</v>
      </c>
      <c r="H778" s="1">
        <v>138.087436775665</v>
      </c>
      <c r="I778" s="1">
        <f t="shared" si="25"/>
        <v>129.08502220890168</v>
      </c>
    </row>
    <row r="779" spans="1:9" x14ac:dyDescent="0.45">
      <c r="A779" t="s">
        <v>36</v>
      </c>
      <c r="B779" t="s">
        <v>18</v>
      </c>
      <c r="C779" t="str">
        <f t="shared" si="24"/>
        <v>MarquetteColorado St.</v>
      </c>
      <c r="D779" t="s">
        <v>36</v>
      </c>
      <c r="E779">
        <v>82.9</v>
      </c>
      <c r="F779" s="1">
        <v>-10.3584905660377</v>
      </c>
      <c r="G779" s="2">
        <v>-485.56257194329498</v>
      </c>
      <c r="H779" s="1">
        <v>139.34957061912701</v>
      </c>
      <c r="I779" s="1">
        <f t="shared" si="25"/>
        <v>146.8075466766619</v>
      </c>
    </row>
    <row r="780" spans="1:9" x14ac:dyDescent="0.45">
      <c r="A780" t="s">
        <v>37</v>
      </c>
      <c r="B780" t="s">
        <v>18</v>
      </c>
      <c r="C780" t="str">
        <f t="shared" si="24"/>
        <v>MarylandColorado St.</v>
      </c>
      <c r="D780" t="s">
        <v>37</v>
      </c>
      <c r="E780">
        <v>75</v>
      </c>
      <c r="F780" s="1">
        <v>-7.1924528301886799</v>
      </c>
      <c r="G780" s="2">
        <v>-299.51003055794303</v>
      </c>
      <c r="H780" s="1">
        <v>138.80794021766999</v>
      </c>
      <c r="I780" s="1">
        <f t="shared" si="25"/>
        <v>139.20212662392433</v>
      </c>
    </row>
    <row r="781" spans="1:9" x14ac:dyDescent="0.45">
      <c r="A781" t="s">
        <v>38</v>
      </c>
      <c r="B781" t="s">
        <v>18</v>
      </c>
      <c r="C781" t="str">
        <f t="shared" si="24"/>
        <v>McNeese St.Colorado St.</v>
      </c>
      <c r="D781" t="s">
        <v>18</v>
      </c>
      <c r="E781">
        <v>41.1</v>
      </c>
      <c r="F781" s="1">
        <v>2.3509433962264099</v>
      </c>
      <c r="G781" s="2">
        <v>143.10615137147201</v>
      </c>
      <c r="H781" s="1">
        <v>139.40117563063501</v>
      </c>
      <c r="I781" s="1">
        <f t="shared" si="25"/>
        <v>147.53216957133125</v>
      </c>
    </row>
    <row r="782" spans="1:9" x14ac:dyDescent="0.45">
      <c r="A782" t="s">
        <v>39</v>
      </c>
      <c r="B782" t="s">
        <v>18</v>
      </c>
      <c r="C782" t="str">
        <f t="shared" si="24"/>
        <v>MemphisColorado St.</v>
      </c>
      <c r="D782" t="s">
        <v>39</v>
      </c>
      <c r="E782">
        <v>62.8</v>
      </c>
      <c r="F782" s="1">
        <v>-3.4264150943396201</v>
      </c>
      <c r="G782" s="2">
        <v>-168.65957622487801</v>
      </c>
      <c r="H782" s="1">
        <v>137.93545745716</v>
      </c>
      <c r="I782" s="1">
        <f t="shared" si="25"/>
        <v>126.95097184272952</v>
      </c>
    </row>
    <row r="783" spans="1:9" x14ac:dyDescent="0.45">
      <c r="A783" t="s">
        <v>40</v>
      </c>
      <c r="B783" t="s">
        <v>18</v>
      </c>
      <c r="C783" t="str">
        <f t="shared" si="24"/>
        <v>MichiganColorado St.</v>
      </c>
      <c r="D783" t="s">
        <v>18</v>
      </c>
      <c r="E783">
        <v>45.4</v>
      </c>
      <c r="F783" s="1">
        <v>1.2</v>
      </c>
      <c r="G783" s="2">
        <v>120.055933623998</v>
      </c>
      <c r="H783" s="1">
        <v>137.498078754077</v>
      </c>
      <c r="I783" s="1">
        <f t="shared" si="25"/>
        <v>120.8094244884461</v>
      </c>
    </row>
    <row r="784" spans="1:9" x14ac:dyDescent="0.45">
      <c r="A784" t="s">
        <v>41</v>
      </c>
      <c r="B784" t="s">
        <v>18</v>
      </c>
      <c r="C784" t="str">
        <f t="shared" si="24"/>
        <v>Michigan St.Colorado St.</v>
      </c>
      <c r="D784" t="s">
        <v>41</v>
      </c>
      <c r="E784">
        <v>88.8</v>
      </c>
      <c r="F784" s="1">
        <v>-13.547169811320799</v>
      </c>
      <c r="G784" s="2">
        <v>-789.89890541201601</v>
      </c>
      <c r="H784" s="1">
        <v>139.14515846328399</v>
      </c>
      <c r="I784" s="1">
        <f t="shared" si="25"/>
        <v>143.93724932095637</v>
      </c>
    </row>
    <row r="785" spans="1:9" x14ac:dyDescent="0.45">
      <c r="A785" t="s">
        <v>42</v>
      </c>
      <c r="B785" t="s">
        <v>18</v>
      </c>
      <c r="C785" t="str">
        <f t="shared" si="24"/>
        <v>MississippiColorado St.</v>
      </c>
      <c r="D785" t="s">
        <v>42</v>
      </c>
      <c r="E785">
        <v>68.400000000000006</v>
      </c>
      <c r="F785" s="1">
        <v>-5.0528301886792502</v>
      </c>
      <c r="G785" s="2">
        <v>-216.12255686975001</v>
      </c>
      <c r="H785" s="1">
        <v>138.41284981317301</v>
      </c>
      <c r="I785" s="1">
        <f t="shared" si="25"/>
        <v>133.65437953121608</v>
      </c>
    </row>
    <row r="786" spans="1:9" x14ac:dyDescent="0.45">
      <c r="A786" t="s">
        <v>43</v>
      </c>
      <c r="B786" t="s">
        <v>18</v>
      </c>
      <c r="C786" t="str">
        <f t="shared" si="24"/>
        <v>Mississippi St.Colorado St.</v>
      </c>
      <c r="D786" t="s">
        <v>43</v>
      </c>
      <c r="E786">
        <v>62.4</v>
      </c>
      <c r="F786" s="1">
        <v>-3.3283018867924499</v>
      </c>
      <c r="G786" s="2">
        <v>-166.15858337145599</v>
      </c>
      <c r="H786" s="1">
        <v>138.55259628585</v>
      </c>
      <c r="I786" s="1">
        <f t="shared" si="25"/>
        <v>135.61665975540188</v>
      </c>
    </row>
    <row r="787" spans="1:9" x14ac:dyDescent="0.45">
      <c r="A787" t="s">
        <v>44</v>
      </c>
      <c r="B787" t="s">
        <v>18</v>
      </c>
      <c r="C787" t="str">
        <f t="shared" si="24"/>
        <v>MissouriColorado St.</v>
      </c>
      <c r="D787" t="s">
        <v>18</v>
      </c>
      <c r="E787">
        <v>43.9</v>
      </c>
      <c r="F787" s="1">
        <v>1.60377358490566</v>
      </c>
      <c r="G787" s="2">
        <v>127.748409284684</v>
      </c>
      <c r="H787" s="1">
        <v>137.970258184496</v>
      </c>
      <c r="I787" s="1">
        <f t="shared" si="25"/>
        <v>127.43963375834416</v>
      </c>
    </row>
    <row r="788" spans="1:9" x14ac:dyDescent="0.45">
      <c r="A788" t="s">
        <v>45</v>
      </c>
      <c r="B788" t="s">
        <v>18</v>
      </c>
      <c r="C788" t="str">
        <f t="shared" si="24"/>
        <v>MontanaColorado St.</v>
      </c>
      <c r="D788" t="s">
        <v>18</v>
      </c>
      <c r="E788">
        <v>6.6</v>
      </c>
      <c r="F788" s="1">
        <v>17.411320754717</v>
      </c>
      <c r="G788" s="2">
        <v>1423.9713243578001</v>
      </c>
      <c r="H788" s="1">
        <v>137.10696974790201</v>
      </c>
      <c r="I788" s="1">
        <f t="shared" si="25"/>
        <v>115.31758305863009</v>
      </c>
    </row>
    <row r="789" spans="1:9" x14ac:dyDescent="0.45">
      <c r="A789" t="s">
        <v>46</v>
      </c>
      <c r="B789" t="s">
        <v>18</v>
      </c>
      <c r="C789" t="str">
        <f t="shared" si="24"/>
        <v>Mount St. Mary'sColorado St.</v>
      </c>
      <c r="D789" t="s">
        <v>18</v>
      </c>
      <c r="E789">
        <v>2.6</v>
      </c>
      <c r="F789" s="1">
        <v>23.747169811320799</v>
      </c>
      <c r="G789" s="2">
        <v>3742.1861074317599</v>
      </c>
      <c r="H789" s="1">
        <v>138.410257702053</v>
      </c>
      <c r="I789" s="1">
        <f t="shared" si="25"/>
        <v>133.61798184408843</v>
      </c>
    </row>
    <row r="790" spans="1:9" x14ac:dyDescent="0.45">
      <c r="A790" t="s">
        <v>47</v>
      </c>
      <c r="B790" t="s">
        <v>18</v>
      </c>
      <c r="C790" t="str">
        <f t="shared" si="24"/>
        <v>Nebraska OmahaColorado St.</v>
      </c>
      <c r="D790" t="s">
        <v>18</v>
      </c>
      <c r="E790">
        <v>3.6</v>
      </c>
      <c r="F790" s="1">
        <v>21.554716981132099</v>
      </c>
      <c r="G790" s="2">
        <v>2679.3093570123201</v>
      </c>
      <c r="H790" s="1">
        <v>137.828033834156</v>
      </c>
      <c r="I790" s="1">
        <f t="shared" si="25"/>
        <v>125.44255988074487</v>
      </c>
    </row>
    <row r="791" spans="1:9" x14ac:dyDescent="0.45">
      <c r="A791" t="s">
        <v>48</v>
      </c>
      <c r="B791" t="s">
        <v>18</v>
      </c>
      <c r="C791" t="str">
        <f t="shared" si="24"/>
        <v>New MexicoColorado St.</v>
      </c>
      <c r="D791" t="s">
        <v>18</v>
      </c>
      <c r="E791">
        <v>47.2</v>
      </c>
      <c r="F791" s="1">
        <v>0.72452830188679196</v>
      </c>
      <c r="G791" s="2">
        <v>111.670810208511</v>
      </c>
      <c r="H791" s="1">
        <v>138.59802376597301</v>
      </c>
      <c r="I791" s="1">
        <f t="shared" si="25"/>
        <v>136.25453951130828</v>
      </c>
    </row>
    <row r="792" spans="1:9" x14ac:dyDescent="0.45">
      <c r="A792" t="s">
        <v>49</v>
      </c>
      <c r="B792" t="s">
        <v>18</v>
      </c>
      <c r="C792" t="str">
        <f t="shared" si="24"/>
        <v>Norfolk St.Colorado St.</v>
      </c>
      <c r="D792" t="s">
        <v>18</v>
      </c>
      <c r="E792">
        <v>5</v>
      </c>
      <c r="F792" s="1">
        <v>19.2905660377359</v>
      </c>
      <c r="G792" s="2">
        <v>1896.5750123125299</v>
      </c>
      <c r="H792" s="1">
        <v>137.63414952993699</v>
      </c>
      <c r="I792" s="1">
        <f t="shared" si="25"/>
        <v>122.72009162332861</v>
      </c>
    </row>
    <row r="793" spans="1:9" x14ac:dyDescent="0.45">
      <c r="A793" t="s">
        <v>50</v>
      </c>
      <c r="B793" t="s">
        <v>18</v>
      </c>
      <c r="C793" t="str">
        <f t="shared" si="24"/>
        <v>North CarolinaColorado St.</v>
      </c>
      <c r="D793" t="s">
        <v>50</v>
      </c>
      <c r="E793">
        <v>75.400000000000006</v>
      </c>
      <c r="F793" s="1">
        <v>-7.3283018867924499</v>
      </c>
      <c r="G793" s="2">
        <v>-305.78581662685002</v>
      </c>
      <c r="H793" s="1">
        <v>139.70775548440699</v>
      </c>
      <c r="I793" s="1">
        <f t="shared" si="25"/>
        <v>151.83707668394985</v>
      </c>
    </row>
    <row r="794" spans="1:9" x14ac:dyDescent="0.45">
      <c r="A794" t="s">
        <v>51</v>
      </c>
      <c r="B794" t="s">
        <v>18</v>
      </c>
      <c r="C794" t="str">
        <f t="shared" si="24"/>
        <v>OklahomaColorado St.</v>
      </c>
      <c r="D794" t="s">
        <v>51</v>
      </c>
      <c r="E794">
        <v>51.7</v>
      </c>
      <c r="F794" s="1">
        <v>-0.44528301886792498</v>
      </c>
      <c r="G794" s="2">
        <v>-107.01388173818501</v>
      </c>
      <c r="H794" s="1">
        <v>138.13137861058101</v>
      </c>
      <c r="I794" s="1">
        <f t="shared" si="25"/>
        <v>129.70204095734215</v>
      </c>
    </row>
    <row r="795" spans="1:9" x14ac:dyDescent="0.45">
      <c r="A795" t="s">
        <v>52</v>
      </c>
      <c r="B795" t="s">
        <v>18</v>
      </c>
      <c r="C795" t="str">
        <f t="shared" si="24"/>
        <v>OregonColorado St.</v>
      </c>
      <c r="D795" t="s">
        <v>52</v>
      </c>
      <c r="E795">
        <v>75</v>
      </c>
      <c r="F795" s="1">
        <v>-7.2113207547169802</v>
      </c>
      <c r="G795" s="2">
        <v>-300.404451166135</v>
      </c>
      <c r="H795" s="1">
        <v>138.42209600211001</v>
      </c>
      <c r="I795" s="1">
        <f t="shared" si="25"/>
        <v>133.78421188657072</v>
      </c>
    </row>
    <row r="796" spans="1:9" x14ac:dyDescent="0.45">
      <c r="A796" t="s">
        <v>53</v>
      </c>
      <c r="B796" t="s">
        <v>18</v>
      </c>
      <c r="C796" t="str">
        <f t="shared" si="24"/>
        <v>PurdueColorado St.</v>
      </c>
      <c r="D796" t="s">
        <v>53</v>
      </c>
      <c r="E796">
        <v>94.5</v>
      </c>
      <c r="F796" s="1">
        <v>-18.5811320754717</v>
      </c>
      <c r="G796" s="2">
        <v>-1702.57394653242</v>
      </c>
      <c r="H796" s="1">
        <v>139.91018320190801</v>
      </c>
      <c r="I796" s="1">
        <f t="shared" si="25"/>
        <v>154.6795091208491</v>
      </c>
    </row>
    <row r="797" spans="1:9" x14ac:dyDescent="0.45">
      <c r="A797" t="s">
        <v>54</v>
      </c>
      <c r="B797" t="s">
        <v>18</v>
      </c>
      <c r="C797" t="str">
        <f t="shared" si="24"/>
        <v>Robert MorrisColorado St.</v>
      </c>
      <c r="D797" t="s">
        <v>18</v>
      </c>
      <c r="E797">
        <v>2.1</v>
      </c>
      <c r="F797" s="1">
        <v>25.3056603773585</v>
      </c>
      <c r="G797" s="2">
        <v>4748.1990537148904</v>
      </c>
      <c r="H797" s="1">
        <v>136.99314853059499</v>
      </c>
      <c r="I797" s="1">
        <f t="shared" si="25"/>
        <v>113.7193378969753</v>
      </c>
    </row>
    <row r="798" spans="1:9" x14ac:dyDescent="0.45">
      <c r="A798" t="s">
        <v>55</v>
      </c>
      <c r="B798" t="s">
        <v>18</v>
      </c>
      <c r="C798" t="str">
        <f t="shared" si="24"/>
        <v>Saint FrancisColorado St.</v>
      </c>
      <c r="D798" t="s">
        <v>18</v>
      </c>
      <c r="E798">
        <v>1.2</v>
      </c>
      <c r="F798" s="1">
        <v>28.667924528301899</v>
      </c>
      <c r="G798" s="2">
        <v>7930.6925084416498</v>
      </c>
      <c r="H798" s="1">
        <v>137.699996412638</v>
      </c>
      <c r="I798" s="1">
        <f t="shared" si="25"/>
        <v>123.64469482277487</v>
      </c>
    </row>
    <row r="799" spans="1:9" x14ac:dyDescent="0.45">
      <c r="A799" t="s">
        <v>56</v>
      </c>
      <c r="B799" t="s">
        <v>18</v>
      </c>
      <c r="C799" t="str">
        <f t="shared" si="24"/>
        <v>Saint Mary'sColorado St.</v>
      </c>
      <c r="D799" t="s">
        <v>56</v>
      </c>
      <c r="E799">
        <v>74.599999999999994</v>
      </c>
      <c r="F799" s="1">
        <v>-7.0679245283018899</v>
      </c>
      <c r="G799" s="2">
        <v>-293.86851837101301</v>
      </c>
      <c r="H799" s="1">
        <v>139.42920252857999</v>
      </c>
      <c r="I799" s="1">
        <f t="shared" si="25"/>
        <v>147.92571530117471</v>
      </c>
    </row>
    <row r="800" spans="1:9" x14ac:dyDescent="0.45">
      <c r="A800" t="s">
        <v>57</v>
      </c>
      <c r="B800" t="s">
        <v>18</v>
      </c>
      <c r="C800" t="str">
        <f t="shared" si="24"/>
        <v>San Diego St.Colorado St.</v>
      </c>
      <c r="D800" t="s">
        <v>18</v>
      </c>
      <c r="E800">
        <v>47.7</v>
      </c>
      <c r="F800" s="1">
        <v>0.60754716981132095</v>
      </c>
      <c r="G800" s="2">
        <v>109.710072663449</v>
      </c>
      <c r="H800" s="1">
        <v>138.64390169160899</v>
      </c>
      <c r="I800" s="1">
        <f t="shared" si="25"/>
        <v>136.89874429499702</v>
      </c>
    </row>
    <row r="801" spans="1:9" x14ac:dyDescent="0.45">
      <c r="A801" t="s">
        <v>58</v>
      </c>
      <c r="B801" t="s">
        <v>18</v>
      </c>
      <c r="C801" t="str">
        <f t="shared" si="24"/>
        <v>SIU EdwardsvilleColorado St.</v>
      </c>
      <c r="D801" t="s">
        <v>18</v>
      </c>
      <c r="E801">
        <v>4.2</v>
      </c>
      <c r="F801" s="1">
        <v>20.5811320754717</v>
      </c>
      <c r="G801" s="2">
        <v>2309.5468798321399</v>
      </c>
      <c r="H801" s="1">
        <v>138.70315987179299</v>
      </c>
      <c r="I801" s="1">
        <f t="shared" si="25"/>
        <v>137.73083080758528</v>
      </c>
    </row>
    <row r="802" spans="1:9" x14ac:dyDescent="0.45">
      <c r="A802" t="s">
        <v>59</v>
      </c>
      <c r="B802" t="s">
        <v>18</v>
      </c>
      <c r="C802" t="str">
        <f t="shared" si="24"/>
        <v>St. John'sColorado St.</v>
      </c>
      <c r="D802" t="s">
        <v>59</v>
      </c>
      <c r="E802">
        <v>89.5</v>
      </c>
      <c r="F802" s="1">
        <v>-14.0490566037736</v>
      </c>
      <c r="G802" s="2">
        <v>-852.71266349186601</v>
      </c>
      <c r="H802" s="1">
        <v>139.522616320347</v>
      </c>
      <c r="I802" s="1">
        <f t="shared" si="25"/>
        <v>149.23740519745064</v>
      </c>
    </row>
    <row r="803" spans="1:9" x14ac:dyDescent="0.45">
      <c r="A803" t="s">
        <v>60</v>
      </c>
      <c r="B803" t="s">
        <v>18</v>
      </c>
      <c r="C803" t="str">
        <f t="shared" si="24"/>
        <v>TennesseeColorado St.</v>
      </c>
      <c r="D803" t="s">
        <v>60</v>
      </c>
      <c r="E803">
        <v>95</v>
      </c>
      <c r="F803" s="1">
        <v>-19.264150943396199</v>
      </c>
      <c r="G803" s="2">
        <v>-1889.55790455804</v>
      </c>
      <c r="H803" s="1">
        <v>140.31584869448201</v>
      </c>
      <c r="I803" s="1">
        <f t="shared" si="25"/>
        <v>160.3757485926854</v>
      </c>
    </row>
    <row r="804" spans="1:9" x14ac:dyDescent="0.45">
      <c r="A804" t="s">
        <v>61</v>
      </c>
      <c r="B804" t="s">
        <v>18</v>
      </c>
      <c r="C804" t="str">
        <f t="shared" si="24"/>
        <v>TexasColorado St.</v>
      </c>
      <c r="D804" t="s">
        <v>18</v>
      </c>
      <c r="E804">
        <v>43.1</v>
      </c>
      <c r="F804" s="1">
        <v>1.8301886792452799</v>
      </c>
      <c r="G804" s="2">
        <v>132.21618398351299</v>
      </c>
      <c r="H804" s="1">
        <v>138.01573052212001</v>
      </c>
      <c r="I804" s="1">
        <f t="shared" si="25"/>
        <v>128.07814339052163</v>
      </c>
    </row>
    <row r="805" spans="1:9" x14ac:dyDescent="0.45">
      <c r="A805" t="s">
        <v>62</v>
      </c>
      <c r="B805" t="s">
        <v>18</v>
      </c>
      <c r="C805" t="str">
        <f t="shared" si="24"/>
        <v>Texas A&amp;MColorado St.</v>
      </c>
      <c r="D805" t="s">
        <v>62</v>
      </c>
      <c r="E805">
        <v>81.2</v>
      </c>
      <c r="F805" s="1">
        <v>-9.5698113207547202</v>
      </c>
      <c r="G805" s="2">
        <v>-430.59567241590202</v>
      </c>
      <c r="H805" s="1">
        <v>138.80270583151699</v>
      </c>
      <c r="I805" s="1">
        <f t="shared" si="25"/>
        <v>139.12862686226998</v>
      </c>
    </row>
    <row r="806" spans="1:9" x14ac:dyDescent="0.45">
      <c r="A806" t="s">
        <v>63</v>
      </c>
      <c r="B806" t="s">
        <v>18</v>
      </c>
      <c r="C806" t="str">
        <f t="shared" si="24"/>
        <v>Texas TechColorado St.</v>
      </c>
      <c r="D806" t="s">
        <v>63</v>
      </c>
      <c r="E806">
        <v>89.3</v>
      </c>
      <c r="F806" s="1">
        <v>-13.905660377358499</v>
      </c>
      <c r="G806" s="2">
        <v>-834.03658667842296</v>
      </c>
      <c r="H806" s="1">
        <v>139.793218436757</v>
      </c>
      <c r="I806" s="1">
        <f t="shared" si="25"/>
        <v>153.03712315442209</v>
      </c>
    </row>
    <row r="807" spans="1:9" x14ac:dyDescent="0.45">
      <c r="A807" t="s">
        <v>64</v>
      </c>
      <c r="B807" t="s">
        <v>18</v>
      </c>
      <c r="C807" t="str">
        <f t="shared" si="24"/>
        <v>TroyColorado St.</v>
      </c>
      <c r="D807" t="s">
        <v>18</v>
      </c>
      <c r="E807">
        <v>10.7</v>
      </c>
      <c r="F807" s="1">
        <v>13.905660377358499</v>
      </c>
      <c r="G807" s="2">
        <v>833.98100998574103</v>
      </c>
      <c r="H807" s="1">
        <v>138.55952303131599</v>
      </c>
      <c r="I807" s="1">
        <f t="shared" si="25"/>
        <v>135.71392314520705</v>
      </c>
    </row>
    <row r="808" spans="1:9" x14ac:dyDescent="0.45">
      <c r="A808" t="s">
        <v>65</v>
      </c>
      <c r="B808" t="s">
        <v>18</v>
      </c>
      <c r="C808" t="str">
        <f t="shared" si="24"/>
        <v>UC San DiegoColorado St.</v>
      </c>
      <c r="D808" t="s">
        <v>18</v>
      </c>
      <c r="E808">
        <v>23.5</v>
      </c>
      <c r="F808" s="1">
        <v>7.7245283018867896</v>
      </c>
      <c r="G808" s="2">
        <v>324.80914569463903</v>
      </c>
      <c r="H808" s="1">
        <v>138.62964326097801</v>
      </c>
      <c r="I808" s="1">
        <f t="shared" si="25"/>
        <v>136.69853146730185</v>
      </c>
    </row>
    <row r="809" spans="1:9" x14ac:dyDescent="0.45">
      <c r="A809" t="s">
        <v>66</v>
      </c>
      <c r="B809" t="s">
        <v>18</v>
      </c>
      <c r="C809" t="str">
        <f t="shared" si="24"/>
        <v>UCLAColorado St.</v>
      </c>
      <c r="D809" t="s">
        <v>66</v>
      </c>
      <c r="E809">
        <v>51.4</v>
      </c>
      <c r="F809" s="1">
        <v>-0.37735849056603799</v>
      </c>
      <c r="G809" s="2">
        <v>-105.940788827364</v>
      </c>
      <c r="H809" s="1">
        <v>137.850901840191</v>
      </c>
      <c r="I809" s="1">
        <f t="shared" si="25"/>
        <v>125.76366591762321</v>
      </c>
    </row>
    <row r="810" spans="1:9" x14ac:dyDescent="0.45">
      <c r="A810" t="s">
        <v>67</v>
      </c>
      <c r="B810" t="s">
        <v>18</v>
      </c>
      <c r="C810" t="str">
        <f t="shared" si="24"/>
        <v>UNC WilmingtonColorado St.</v>
      </c>
      <c r="D810" t="s">
        <v>18</v>
      </c>
      <c r="E810">
        <v>15.1</v>
      </c>
      <c r="F810" s="1">
        <v>11.313207547169799</v>
      </c>
      <c r="G810" s="2">
        <v>561.81229478556497</v>
      </c>
      <c r="H810" s="1">
        <v>139.16631173164299</v>
      </c>
      <c r="I810" s="1">
        <f t="shared" si="25"/>
        <v>144.23427749907506</v>
      </c>
    </row>
    <row r="811" spans="1:9" x14ac:dyDescent="0.45">
      <c r="A811" t="s">
        <v>68</v>
      </c>
      <c r="B811" t="s">
        <v>18</v>
      </c>
      <c r="C811" t="str">
        <f t="shared" si="24"/>
        <v>Utah St.Colorado St.</v>
      </c>
      <c r="D811" t="s">
        <v>68</v>
      </c>
      <c r="E811">
        <v>50</v>
      </c>
      <c r="F811" s="1">
        <v>-1.13207547169811E-2</v>
      </c>
      <c r="G811" s="2">
        <v>-100.195207553169</v>
      </c>
      <c r="H811" s="1">
        <v>138.713498230222</v>
      </c>
      <c r="I811" s="1">
        <f t="shared" si="25"/>
        <v>137.87599909632402</v>
      </c>
    </row>
    <row r="812" spans="1:9" x14ac:dyDescent="0.45">
      <c r="A812" t="s">
        <v>69</v>
      </c>
      <c r="B812" t="s">
        <v>18</v>
      </c>
      <c r="C812" t="str">
        <f t="shared" si="24"/>
        <v>VanderbiltColorado St.</v>
      </c>
      <c r="D812" t="s">
        <v>18</v>
      </c>
      <c r="E812">
        <v>16.5</v>
      </c>
      <c r="F812" s="1">
        <v>10.633962264150901</v>
      </c>
      <c r="G812" s="2">
        <v>506.49133432828302</v>
      </c>
      <c r="H812" s="1">
        <v>137.14753611150499</v>
      </c>
      <c r="I812" s="1">
        <f t="shared" si="25"/>
        <v>115.88720439890712</v>
      </c>
    </row>
    <row r="813" spans="1:9" x14ac:dyDescent="0.45">
      <c r="A813" t="s">
        <v>70</v>
      </c>
      <c r="B813" t="s">
        <v>18</v>
      </c>
      <c r="C813" t="str">
        <f t="shared" si="24"/>
        <v>VCUColorado St.</v>
      </c>
      <c r="D813" t="s">
        <v>18</v>
      </c>
      <c r="E813">
        <v>38.799999999999997</v>
      </c>
      <c r="F813" s="1">
        <v>2.98867924528302</v>
      </c>
      <c r="G813" s="2">
        <v>157.77938879676299</v>
      </c>
      <c r="H813" s="1">
        <v>139.072709240698</v>
      </c>
      <c r="I813" s="1">
        <f t="shared" si="25"/>
        <v>142.91993794260964</v>
      </c>
    </row>
    <row r="814" spans="1:9" x14ac:dyDescent="0.45">
      <c r="A814" t="s">
        <v>71</v>
      </c>
      <c r="B814" t="s">
        <v>18</v>
      </c>
      <c r="C814" t="str">
        <f t="shared" si="24"/>
        <v>WisconsinColorado St.</v>
      </c>
      <c r="D814" t="s">
        <v>71</v>
      </c>
      <c r="E814">
        <v>87.8</v>
      </c>
      <c r="F814" s="1">
        <v>-12.962264150943399</v>
      </c>
      <c r="G814" s="2">
        <v>-722.49587094276797</v>
      </c>
      <c r="H814" s="1">
        <v>139.72596484902999</v>
      </c>
      <c r="I814" s="1">
        <f t="shared" si="25"/>
        <v>152.09276740308022</v>
      </c>
    </row>
    <row r="815" spans="1:9" x14ac:dyDescent="0.45">
      <c r="A815" t="s">
        <v>80</v>
      </c>
      <c r="B815" t="s">
        <v>18</v>
      </c>
      <c r="C815" t="str">
        <f t="shared" si="24"/>
        <v>WoffordColorado St.</v>
      </c>
      <c r="D815" t="s">
        <v>18</v>
      </c>
      <c r="E815">
        <v>5.9</v>
      </c>
      <c r="F815" s="1">
        <v>18.211320754717001</v>
      </c>
      <c r="G815" s="2">
        <v>1608.60981438152</v>
      </c>
      <c r="H815" s="1">
        <v>137.823613278256</v>
      </c>
      <c r="I815" s="1">
        <f t="shared" si="25"/>
        <v>125.38048769204266</v>
      </c>
    </row>
    <row r="816" spans="1:9" x14ac:dyDescent="0.45">
      <c r="A816" t="s">
        <v>72</v>
      </c>
      <c r="B816" t="s">
        <v>18</v>
      </c>
      <c r="C816" t="str">
        <f t="shared" si="24"/>
        <v>XavierColorado St.</v>
      </c>
      <c r="D816" t="s">
        <v>18</v>
      </c>
      <c r="E816">
        <v>38.5</v>
      </c>
      <c r="F816" s="1">
        <v>3.0641509433962302</v>
      </c>
      <c r="G816" s="2">
        <v>159.54979655453999</v>
      </c>
      <c r="H816" s="1">
        <v>138.56641544887799</v>
      </c>
      <c r="I816" s="1">
        <f t="shared" si="25"/>
        <v>135.81070451234757</v>
      </c>
    </row>
    <row r="817" spans="1:9" x14ac:dyDescent="0.45">
      <c r="A817" t="s">
        <v>73</v>
      </c>
      <c r="B817" t="s">
        <v>18</v>
      </c>
      <c r="C817" t="str">
        <f t="shared" si="24"/>
        <v>YaleColorado St.</v>
      </c>
      <c r="D817" t="s">
        <v>18</v>
      </c>
      <c r="E817">
        <v>24.7</v>
      </c>
      <c r="F817" s="1">
        <v>7.3132075471698101</v>
      </c>
      <c r="G817" s="2">
        <v>305.09967583103003</v>
      </c>
      <c r="H817" s="1">
        <v>139.16612158527201</v>
      </c>
      <c r="I817" s="1">
        <f t="shared" si="25"/>
        <v>144.23160751781305</v>
      </c>
    </row>
    <row r="818" spans="1:9" x14ac:dyDescent="0.45">
      <c r="A818" t="s">
        <v>7</v>
      </c>
      <c r="B818" t="s">
        <v>19</v>
      </c>
      <c r="C818" t="str">
        <f t="shared" si="24"/>
        <v>AkronConnecticut</v>
      </c>
      <c r="D818" t="s">
        <v>19</v>
      </c>
      <c r="E818">
        <v>1.8</v>
      </c>
      <c r="F818" s="1">
        <v>26.252830188679201</v>
      </c>
      <c r="G818" s="2">
        <v>5484.8646978617498</v>
      </c>
      <c r="H818" s="1">
        <v>137.57230878989799</v>
      </c>
      <c r="I818" s="1">
        <f t="shared" si="25"/>
        <v>121.85174153975952</v>
      </c>
    </row>
    <row r="819" spans="1:9" x14ac:dyDescent="0.45">
      <c r="A819" t="s">
        <v>8</v>
      </c>
      <c r="B819" t="s">
        <v>19</v>
      </c>
      <c r="C819" t="str">
        <f t="shared" si="24"/>
        <v>AlabamaConnecticut</v>
      </c>
      <c r="D819" t="s">
        <v>8</v>
      </c>
      <c r="E819">
        <v>57.9</v>
      </c>
      <c r="F819" s="1">
        <v>-2.0867924528301902</v>
      </c>
      <c r="G819" s="2">
        <v>-137.51965861782901</v>
      </c>
      <c r="H819" s="1">
        <v>139.37991997749299</v>
      </c>
      <c r="I819" s="1">
        <f t="shared" si="25"/>
        <v>147.23370373520854</v>
      </c>
    </row>
    <row r="820" spans="1:9" x14ac:dyDescent="0.45">
      <c r="A820" t="s">
        <v>9</v>
      </c>
      <c r="B820" t="s">
        <v>19</v>
      </c>
      <c r="C820" t="str">
        <f t="shared" si="24"/>
        <v>Alabama St.Connecticut</v>
      </c>
      <c r="D820" t="s">
        <v>19</v>
      </c>
      <c r="E820">
        <v>0.3</v>
      </c>
      <c r="F820" s="1">
        <v>38.569811320754702</v>
      </c>
      <c r="G820" s="2">
        <v>35913.326701425103</v>
      </c>
      <c r="H820" s="1">
        <v>137.75907054931901</v>
      </c>
      <c r="I820" s="1">
        <f t="shared" si="25"/>
        <v>124.47419704883767</v>
      </c>
    </row>
    <row r="821" spans="1:9" x14ac:dyDescent="0.45">
      <c r="A821" t="s">
        <v>10</v>
      </c>
      <c r="B821" t="s">
        <v>19</v>
      </c>
      <c r="C821" t="str">
        <f t="shared" si="24"/>
        <v>AmericanConnecticut</v>
      </c>
      <c r="D821" t="s">
        <v>19</v>
      </c>
      <c r="E821">
        <v>0.3</v>
      </c>
      <c r="F821" s="1">
        <v>37.811320754717002</v>
      </c>
      <c r="G821" s="2">
        <v>31997.007727928099</v>
      </c>
      <c r="H821" s="1">
        <v>137.522360069081</v>
      </c>
      <c r="I821" s="1">
        <f t="shared" si="25"/>
        <v>121.15037580790954</v>
      </c>
    </row>
    <row r="822" spans="1:9" x14ac:dyDescent="0.45">
      <c r="A822" t="s">
        <v>11</v>
      </c>
      <c r="B822" t="s">
        <v>19</v>
      </c>
      <c r="C822" t="str">
        <f t="shared" si="24"/>
        <v>ArizonaConnecticut</v>
      </c>
      <c r="D822" t="s">
        <v>19</v>
      </c>
      <c r="E822">
        <v>47.5</v>
      </c>
      <c r="F822" s="1">
        <v>0.66792452830188698</v>
      </c>
      <c r="G822" s="2">
        <v>110.710649137684</v>
      </c>
      <c r="H822" s="1">
        <v>138.99039931767001</v>
      </c>
      <c r="I822" s="1">
        <f t="shared" si="25"/>
        <v>141.76416541312756</v>
      </c>
    </row>
    <row r="823" spans="1:9" x14ac:dyDescent="0.45">
      <c r="A823" t="s">
        <v>12</v>
      </c>
      <c r="B823" t="s">
        <v>19</v>
      </c>
      <c r="C823" t="str">
        <f t="shared" si="24"/>
        <v>ArkansasConnecticut</v>
      </c>
      <c r="D823" t="s">
        <v>19</v>
      </c>
      <c r="E823">
        <v>5.6</v>
      </c>
      <c r="F823" s="1">
        <v>18.5660377358491</v>
      </c>
      <c r="G823" s="2">
        <v>1698.5917142531</v>
      </c>
      <c r="H823" s="1">
        <v>137.316323295459</v>
      </c>
      <c r="I823" s="1">
        <f t="shared" si="25"/>
        <v>118.25726603140728</v>
      </c>
    </row>
    <row r="824" spans="1:9" x14ac:dyDescent="0.45">
      <c r="A824" t="s">
        <v>13</v>
      </c>
      <c r="B824" t="s">
        <v>19</v>
      </c>
      <c r="C824" t="str">
        <f t="shared" si="24"/>
        <v>AuburnConnecticut</v>
      </c>
      <c r="D824" t="s">
        <v>13</v>
      </c>
      <c r="E824">
        <v>73</v>
      </c>
      <c r="F824" s="1">
        <v>-6.52830188679245</v>
      </c>
      <c r="G824" s="2">
        <v>-270.69193008158601</v>
      </c>
      <c r="H824" s="1">
        <v>140.40213621084499</v>
      </c>
      <c r="I824" s="1">
        <f t="shared" si="25"/>
        <v>161.58737335651423</v>
      </c>
    </row>
    <row r="825" spans="1:9" x14ac:dyDescent="0.45">
      <c r="A825" t="s">
        <v>14</v>
      </c>
      <c r="B825" t="s">
        <v>19</v>
      </c>
      <c r="C825" t="str">
        <f t="shared" si="24"/>
        <v>BaylorConnecticut</v>
      </c>
      <c r="D825" t="s">
        <v>19</v>
      </c>
      <c r="E825">
        <v>21.4</v>
      </c>
      <c r="F825" s="1">
        <v>8.5207547169811306</v>
      </c>
      <c r="G825" s="2">
        <v>366.848624269151</v>
      </c>
      <c r="H825" s="1">
        <v>138.865053572026</v>
      </c>
      <c r="I825" s="1">
        <f t="shared" si="25"/>
        <v>140.00409610224347</v>
      </c>
    </row>
    <row r="826" spans="1:9" x14ac:dyDescent="0.45">
      <c r="A826" t="s">
        <v>15</v>
      </c>
      <c r="B826" t="s">
        <v>19</v>
      </c>
      <c r="C826" t="str">
        <f t="shared" si="24"/>
        <v>BryantConnecticut</v>
      </c>
      <c r="D826" t="s">
        <v>19</v>
      </c>
      <c r="E826">
        <v>1.3</v>
      </c>
      <c r="F826" s="1">
        <v>28.592452830188702</v>
      </c>
      <c r="G826" s="2">
        <v>7837.8817255415097</v>
      </c>
      <c r="H826" s="1">
        <v>138.45737344767201</v>
      </c>
      <c r="I826" s="1">
        <f t="shared" si="25"/>
        <v>134.27956774393189</v>
      </c>
    </row>
    <row r="827" spans="1:9" x14ac:dyDescent="0.45">
      <c r="A827" t="s">
        <v>16</v>
      </c>
      <c r="B827" t="s">
        <v>19</v>
      </c>
      <c r="C827" t="str">
        <f t="shared" si="24"/>
        <v>BYUConnecticut</v>
      </c>
      <c r="D827" t="s">
        <v>19</v>
      </c>
      <c r="E827">
        <v>24.4</v>
      </c>
      <c r="F827" s="1">
        <v>7.4264150943396201</v>
      </c>
      <c r="G827" s="2">
        <v>310.43962680370203</v>
      </c>
      <c r="H827" s="1">
        <v>138.627414122115</v>
      </c>
      <c r="I827" s="1">
        <f t="shared" si="25"/>
        <v>136.66723053337438</v>
      </c>
    </row>
    <row r="828" spans="1:9" x14ac:dyDescent="0.45">
      <c r="A828" t="s">
        <v>17</v>
      </c>
      <c r="B828" t="s">
        <v>19</v>
      </c>
      <c r="C828" t="str">
        <f t="shared" si="24"/>
        <v>ClemsonConnecticut</v>
      </c>
      <c r="D828" t="s">
        <v>19</v>
      </c>
      <c r="E828">
        <v>31.1</v>
      </c>
      <c r="F828" s="1">
        <v>5.2226415094339602</v>
      </c>
      <c r="G828" s="2">
        <v>221.78694913873099</v>
      </c>
      <c r="H828" s="1">
        <v>138.97746434455701</v>
      </c>
      <c r="I828" s="1">
        <f t="shared" si="25"/>
        <v>141.58253619949656</v>
      </c>
    </row>
    <row r="829" spans="1:9" x14ac:dyDescent="0.45">
      <c r="A829" t="s">
        <v>18</v>
      </c>
      <c r="B829" t="s">
        <v>19</v>
      </c>
      <c r="C829" t="str">
        <f t="shared" si="24"/>
        <v>Colorado St.Connecticut</v>
      </c>
      <c r="D829" t="s">
        <v>19</v>
      </c>
      <c r="E829">
        <v>7</v>
      </c>
      <c r="F829" s="1">
        <v>17.003773584905701</v>
      </c>
      <c r="G829" s="2">
        <v>1338.13485719358</v>
      </c>
      <c r="H829" s="1">
        <v>138.36707531935099</v>
      </c>
      <c r="I829" s="1">
        <f t="shared" si="25"/>
        <v>133.01162710764194</v>
      </c>
    </row>
    <row r="830" spans="1:9" x14ac:dyDescent="0.45">
      <c r="A830" t="s">
        <v>19</v>
      </c>
      <c r="B830" t="s">
        <v>19</v>
      </c>
      <c r="C830" t="str">
        <f t="shared" si="24"/>
        <v>ConnecticutConnecticut</v>
      </c>
      <c r="D830" t="s">
        <v>19</v>
      </c>
      <c r="E830">
        <v>41.2</v>
      </c>
      <c r="F830" s="1">
        <v>2.3283018867924499</v>
      </c>
      <c r="G830" s="2">
        <v>142.64273539779199</v>
      </c>
      <c r="H830" s="1">
        <v>138.77771517530499</v>
      </c>
      <c r="I830" s="1">
        <f t="shared" si="25"/>
        <v>138.77771517530684</v>
      </c>
    </row>
    <row r="831" spans="1:9" x14ac:dyDescent="0.45">
      <c r="A831" t="s">
        <v>20</v>
      </c>
      <c r="B831" t="s">
        <v>19</v>
      </c>
      <c r="C831" t="str">
        <f t="shared" si="24"/>
        <v>CreightonConnecticut</v>
      </c>
      <c r="D831" t="s">
        <v>19</v>
      </c>
      <c r="E831">
        <v>17.8</v>
      </c>
      <c r="F831" s="1">
        <v>10.037735849056601</v>
      </c>
      <c r="G831" s="2">
        <v>462.25574617517901</v>
      </c>
      <c r="H831" s="1">
        <v>138.327011928144</v>
      </c>
      <c r="I831" s="1">
        <f t="shared" si="25"/>
        <v>132.44906836269959</v>
      </c>
    </row>
    <row r="832" spans="1:9" x14ac:dyDescent="0.45">
      <c r="A832" t="s">
        <v>21</v>
      </c>
      <c r="B832" t="s">
        <v>19</v>
      </c>
      <c r="C832" t="str">
        <f t="shared" si="24"/>
        <v>DrakeConnecticut</v>
      </c>
      <c r="D832" t="s">
        <v>19</v>
      </c>
      <c r="E832">
        <v>6.8</v>
      </c>
      <c r="F832" s="1">
        <v>17.207547169811299</v>
      </c>
      <c r="G832" s="2">
        <v>1380.6068120080899</v>
      </c>
      <c r="H832" s="1">
        <v>138.56168773381901</v>
      </c>
      <c r="I832" s="1">
        <f t="shared" si="25"/>
        <v>135.74431928209378</v>
      </c>
    </row>
    <row r="833" spans="1:9" x14ac:dyDescent="0.45">
      <c r="A833" t="s">
        <v>22</v>
      </c>
      <c r="B833" t="s">
        <v>19</v>
      </c>
      <c r="C833" t="str">
        <f t="shared" si="24"/>
        <v>DukeConnecticut</v>
      </c>
      <c r="D833" t="s">
        <v>22</v>
      </c>
      <c r="E833">
        <v>79.099999999999994</v>
      </c>
      <c r="F833" s="1">
        <v>-8.74339622641509</v>
      </c>
      <c r="G833" s="2">
        <v>-379.474339807864</v>
      </c>
      <c r="H833" s="1">
        <v>140.64202762242101</v>
      </c>
      <c r="I833" s="1">
        <f t="shared" si="25"/>
        <v>164.95586033060559</v>
      </c>
    </row>
    <row r="834" spans="1:9" x14ac:dyDescent="0.45">
      <c r="A834" t="s">
        <v>23</v>
      </c>
      <c r="B834" t="s">
        <v>19</v>
      </c>
      <c r="C834" t="str">
        <f t="shared" si="24"/>
        <v>FloridaConnecticut</v>
      </c>
      <c r="D834" t="s">
        <v>23</v>
      </c>
      <c r="E834">
        <v>67.8</v>
      </c>
      <c r="F834" s="1">
        <v>-4.88679245283019</v>
      </c>
      <c r="G834" s="2">
        <v>-210.69307129101099</v>
      </c>
      <c r="H834" s="1">
        <v>140.37667814997599</v>
      </c>
      <c r="I834" s="1">
        <f t="shared" si="25"/>
        <v>161.22989850629156</v>
      </c>
    </row>
    <row r="835" spans="1:9" x14ac:dyDescent="0.45">
      <c r="A835" t="s">
        <v>24</v>
      </c>
      <c r="B835" t="s">
        <v>19</v>
      </c>
      <c r="C835" t="str">
        <f t="shared" ref="C835:C898" si="26">A835&amp;B835</f>
        <v>GeorgiaConnecticut</v>
      </c>
      <c r="D835" t="s">
        <v>19</v>
      </c>
      <c r="E835">
        <v>7.8</v>
      </c>
      <c r="F835" s="1">
        <v>16.177358490566</v>
      </c>
      <c r="G835" s="2">
        <v>1179.4112445048099</v>
      </c>
      <c r="H835" s="1">
        <v>137.640636446261</v>
      </c>
      <c r="I835" s="1">
        <f t="shared" ref="I835:I898" si="27">18*(H835-AVERAGE($H$2:$H$4625))/_xlfn.STDEV.P($H$2:$H$4625)+AVERAGE($H$2:$H$4625)</f>
        <v>122.81117905741341</v>
      </c>
    </row>
    <row r="836" spans="1:9" x14ac:dyDescent="0.45">
      <c r="A836" t="s">
        <v>25</v>
      </c>
      <c r="B836" t="s">
        <v>19</v>
      </c>
      <c r="C836" t="str">
        <f t="shared" si="26"/>
        <v>GonzagaConnecticut</v>
      </c>
      <c r="D836" t="s">
        <v>19</v>
      </c>
      <c r="E836">
        <v>30</v>
      </c>
      <c r="F836" s="1">
        <v>5.5471698113207504</v>
      </c>
      <c r="G836" s="2">
        <v>233.03782667006999</v>
      </c>
      <c r="H836" s="1">
        <v>139.61759817676599</v>
      </c>
      <c r="I836" s="1">
        <f t="shared" si="27"/>
        <v>150.57111341159822</v>
      </c>
    </row>
    <row r="837" spans="1:9" x14ac:dyDescent="0.45">
      <c r="A837" t="s">
        <v>26</v>
      </c>
      <c r="B837" t="s">
        <v>19</v>
      </c>
      <c r="C837" t="str">
        <f t="shared" si="26"/>
        <v>Grand CanyonConnecticut</v>
      </c>
      <c r="D837" t="s">
        <v>19</v>
      </c>
      <c r="E837">
        <v>4.5</v>
      </c>
      <c r="F837" s="1">
        <v>20.0981132075472</v>
      </c>
      <c r="G837" s="2">
        <v>2144.8911453359901</v>
      </c>
      <c r="H837" s="1">
        <v>138.43556989430601</v>
      </c>
      <c r="I837" s="1">
        <f t="shared" si="27"/>
        <v>133.97340844869177</v>
      </c>
    </row>
    <row r="838" spans="1:9" x14ac:dyDescent="0.45">
      <c r="A838" t="s">
        <v>27</v>
      </c>
      <c r="B838" t="s">
        <v>19</v>
      </c>
      <c r="C838" t="str">
        <f t="shared" si="26"/>
        <v>High PointConnecticut</v>
      </c>
      <c r="D838" t="s">
        <v>19</v>
      </c>
      <c r="E838">
        <v>2.8</v>
      </c>
      <c r="F838" s="1">
        <v>23.1849056603774</v>
      </c>
      <c r="G838" s="2">
        <v>3436.2702928572398</v>
      </c>
      <c r="H838" s="1">
        <v>138.62677702785399</v>
      </c>
      <c r="I838" s="1">
        <f t="shared" si="27"/>
        <v>136.65828463695658</v>
      </c>
    </row>
    <row r="839" spans="1:9" x14ac:dyDescent="0.45">
      <c r="A839" t="s">
        <v>28</v>
      </c>
      <c r="B839" t="s">
        <v>19</v>
      </c>
      <c r="C839" t="str">
        <f t="shared" si="26"/>
        <v>HoustonConnecticut</v>
      </c>
      <c r="D839" t="s">
        <v>28</v>
      </c>
      <c r="E839">
        <v>86.4</v>
      </c>
      <c r="F839" s="1">
        <v>-12.0981132075472</v>
      </c>
      <c r="G839" s="2">
        <v>-633.01292064490406</v>
      </c>
      <c r="H839" s="1">
        <v>140.74023938505701</v>
      </c>
      <c r="I839" s="1">
        <f t="shared" si="27"/>
        <v>166.33492196923817</v>
      </c>
    </row>
    <row r="840" spans="1:9" x14ac:dyDescent="0.45">
      <c r="A840" t="s">
        <v>29</v>
      </c>
      <c r="B840" t="s">
        <v>19</v>
      </c>
      <c r="C840" t="str">
        <f t="shared" si="26"/>
        <v>IllinoisConnecticut</v>
      </c>
      <c r="D840" t="s">
        <v>19</v>
      </c>
      <c r="E840">
        <v>38.4</v>
      </c>
      <c r="F840" s="1">
        <v>3.0905660377358499</v>
      </c>
      <c r="G840" s="2">
        <v>160.25109483581099</v>
      </c>
      <c r="H840" s="1">
        <v>138.79870316001899</v>
      </c>
      <c r="I840" s="1">
        <f t="shared" si="27"/>
        <v>139.07242248749057</v>
      </c>
    </row>
    <row r="841" spans="1:9" x14ac:dyDescent="0.45">
      <c r="A841" t="s">
        <v>30</v>
      </c>
      <c r="B841" t="s">
        <v>19</v>
      </c>
      <c r="C841" t="str">
        <f t="shared" si="26"/>
        <v>Iowa St.Connecticut</v>
      </c>
      <c r="D841" t="s">
        <v>30</v>
      </c>
      <c r="E841">
        <v>56.7</v>
      </c>
      <c r="F841" s="1">
        <v>-1.7698113207547199</v>
      </c>
      <c r="G841" s="2">
        <v>-130.995100973506</v>
      </c>
      <c r="H841" s="1">
        <v>139.69524545160499</v>
      </c>
      <c r="I841" s="1">
        <f t="shared" si="27"/>
        <v>151.6614143613092</v>
      </c>
    </row>
    <row r="842" spans="1:9" x14ac:dyDescent="0.45">
      <c r="A842" t="s">
        <v>31</v>
      </c>
      <c r="B842" t="s">
        <v>19</v>
      </c>
      <c r="C842" t="str">
        <f t="shared" si="26"/>
        <v>KansasConnecticut</v>
      </c>
      <c r="D842" t="s">
        <v>19</v>
      </c>
      <c r="E842">
        <v>28.8</v>
      </c>
      <c r="F842" s="1">
        <v>5.9471698113207498</v>
      </c>
      <c r="G842" s="2">
        <v>247.711336122598</v>
      </c>
      <c r="H842" s="1">
        <v>138.745833340459</v>
      </c>
      <c r="I842" s="1">
        <f t="shared" si="27"/>
        <v>138.33003951787794</v>
      </c>
    </row>
    <row r="843" spans="1:9" x14ac:dyDescent="0.45">
      <c r="A843" t="s">
        <v>32</v>
      </c>
      <c r="B843" t="s">
        <v>19</v>
      </c>
      <c r="C843" t="str">
        <f t="shared" si="26"/>
        <v>KentuckyConnecticut</v>
      </c>
      <c r="D843" t="s">
        <v>19</v>
      </c>
      <c r="E843">
        <v>40.299999999999997</v>
      </c>
      <c r="F843" s="1">
        <v>2.5811320754717002</v>
      </c>
      <c r="G843" s="2">
        <v>148.27227087071401</v>
      </c>
      <c r="H843" s="1">
        <v>138.68011567258401</v>
      </c>
      <c r="I843" s="1">
        <f t="shared" si="27"/>
        <v>137.40725071626875</v>
      </c>
    </row>
    <row r="844" spans="1:9" x14ac:dyDescent="0.45">
      <c r="A844" t="s">
        <v>33</v>
      </c>
      <c r="B844" t="s">
        <v>19</v>
      </c>
      <c r="C844" t="str">
        <f t="shared" si="26"/>
        <v>LibertyConnecticut</v>
      </c>
      <c r="D844" t="s">
        <v>19</v>
      </c>
      <c r="E844">
        <v>2</v>
      </c>
      <c r="F844" s="1">
        <v>25.569811320754699</v>
      </c>
      <c r="G844" s="2">
        <v>4941.8305975329804</v>
      </c>
      <c r="H844" s="1">
        <v>138.02511671630199</v>
      </c>
      <c r="I844" s="1">
        <f t="shared" si="27"/>
        <v>128.20994165970765</v>
      </c>
    </row>
    <row r="845" spans="1:9" x14ac:dyDescent="0.45">
      <c r="A845" t="s">
        <v>34</v>
      </c>
      <c r="B845" t="s">
        <v>19</v>
      </c>
      <c r="C845" t="str">
        <f t="shared" si="26"/>
        <v>LipscombConnecticut</v>
      </c>
      <c r="D845" t="s">
        <v>19</v>
      </c>
      <c r="E845">
        <v>1.5</v>
      </c>
      <c r="F845" s="1">
        <v>27.4339622641509</v>
      </c>
      <c r="G845" s="2">
        <v>6568.8017470022996</v>
      </c>
      <c r="H845" s="1">
        <v>138.43143491389401</v>
      </c>
      <c r="I845" s="1">
        <f t="shared" si="27"/>
        <v>133.91534622977176</v>
      </c>
    </row>
    <row r="846" spans="1:9" x14ac:dyDescent="0.45">
      <c r="A846" t="s">
        <v>35</v>
      </c>
      <c r="B846" t="s">
        <v>19</v>
      </c>
      <c r="C846" t="str">
        <f t="shared" si="26"/>
        <v>LouisvilleConnecticut</v>
      </c>
      <c r="D846" t="s">
        <v>19</v>
      </c>
      <c r="E846">
        <v>3.7</v>
      </c>
      <c r="F846" s="1">
        <v>21.384905660377399</v>
      </c>
      <c r="G846" s="2">
        <v>2610.6480048459998</v>
      </c>
      <c r="H846" s="1">
        <v>137.67679691971099</v>
      </c>
      <c r="I846" s="1">
        <f t="shared" si="27"/>
        <v>123.31893414123677</v>
      </c>
    </row>
    <row r="847" spans="1:9" x14ac:dyDescent="0.45">
      <c r="A847" t="s">
        <v>36</v>
      </c>
      <c r="B847" t="s">
        <v>19</v>
      </c>
      <c r="C847" t="str">
        <f t="shared" si="26"/>
        <v>MarquetteConnecticut</v>
      </c>
      <c r="D847" t="s">
        <v>19</v>
      </c>
      <c r="E847">
        <v>34.1</v>
      </c>
      <c r="F847" s="1">
        <v>4.3169811320754699</v>
      </c>
      <c r="G847" s="2">
        <v>193.19906583325499</v>
      </c>
      <c r="H847" s="1">
        <v>138.938930763173</v>
      </c>
      <c r="I847" s="1">
        <f t="shared" si="27"/>
        <v>141.04145860899698</v>
      </c>
    </row>
    <row r="848" spans="1:9" x14ac:dyDescent="0.45">
      <c r="A848" t="s">
        <v>37</v>
      </c>
      <c r="B848" t="s">
        <v>19</v>
      </c>
      <c r="C848" t="str">
        <f t="shared" si="26"/>
        <v>MarylandConnecticut</v>
      </c>
      <c r="D848" t="s">
        <v>19</v>
      </c>
      <c r="E848">
        <v>24.2</v>
      </c>
      <c r="F848" s="1">
        <v>7.48301886792453</v>
      </c>
      <c r="G848" s="2">
        <v>313.21233258292801</v>
      </c>
      <c r="H848" s="1">
        <v>138.39730036171599</v>
      </c>
      <c r="I848" s="1">
        <f t="shared" si="27"/>
        <v>133.43603855625943</v>
      </c>
    </row>
    <row r="849" spans="1:9" x14ac:dyDescent="0.45">
      <c r="A849" t="s">
        <v>38</v>
      </c>
      <c r="B849" t="s">
        <v>19</v>
      </c>
      <c r="C849" t="str">
        <f t="shared" si="26"/>
        <v>McNeese St.Connecticut</v>
      </c>
      <c r="D849" t="s">
        <v>19</v>
      </c>
      <c r="E849">
        <v>6.9</v>
      </c>
      <c r="F849" s="1">
        <v>17.026415094339601</v>
      </c>
      <c r="G849" s="2">
        <v>1342.4821733469901</v>
      </c>
      <c r="H849" s="1">
        <v>138.99053577468101</v>
      </c>
      <c r="I849" s="1">
        <f t="shared" si="27"/>
        <v>141.76608150366636</v>
      </c>
    </row>
    <row r="850" spans="1:9" x14ac:dyDescent="0.45">
      <c r="A850" t="s">
        <v>39</v>
      </c>
      <c r="B850" t="s">
        <v>19</v>
      </c>
      <c r="C850" t="str">
        <f t="shared" si="26"/>
        <v>MemphisConnecticut</v>
      </c>
      <c r="D850" t="s">
        <v>19</v>
      </c>
      <c r="E850">
        <v>15.2</v>
      </c>
      <c r="F850" s="1">
        <v>11.2490566037736</v>
      </c>
      <c r="G850" s="2">
        <v>556.21054791432596</v>
      </c>
      <c r="H850" s="1">
        <v>137.524817601206</v>
      </c>
      <c r="I850" s="1">
        <f t="shared" si="27"/>
        <v>121.18488377506461</v>
      </c>
    </row>
    <row r="851" spans="1:9" x14ac:dyDescent="0.45">
      <c r="A851" t="s">
        <v>40</v>
      </c>
      <c r="B851" t="s">
        <v>19</v>
      </c>
      <c r="C851" t="str">
        <f t="shared" si="26"/>
        <v>MichiganConnecticut</v>
      </c>
      <c r="D851" t="s">
        <v>19</v>
      </c>
      <c r="E851">
        <v>8.1999999999999993</v>
      </c>
      <c r="F851" s="1">
        <v>15.8754716981132</v>
      </c>
      <c r="G851" s="2">
        <v>1126.24753827931</v>
      </c>
      <c r="H851" s="1">
        <v>137.087438898123</v>
      </c>
      <c r="I851" s="1">
        <f t="shared" si="27"/>
        <v>115.04333642078119</v>
      </c>
    </row>
    <row r="852" spans="1:9" x14ac:dyDescent="0.45">
      <c r="A852" t="s">
        <v>41</v>
      </c>
      <c r="B852" t="s">
        <v>19</v>
      </c>
      <c r="C852" t="str">
        <f t="shared" si="26"/>
        <v>Michigan St.Connecticut</v>
      </c>
      <c r="D852" t="s">
        <v>19</v>
      </c>
      <c r="E852">
        <v>45.7</v>
      </c>
      <c r="F852" s="1">
        <v>1.1283018867924499</v>
      </c>
      <c r="G852" s="2">
        <v>118.762331053118</v>
      </c>
      <c r="H852" s="1">
        <v>138.73451860732999</v>
      </c>
      <c r="I852" s="1">
        <f t="shared" si="27"/>
        <v>138.17116125329144</v>
      </c>
    </row>
    <row r="853" spans="1:9" x14ac:dyDescent="0.45">
      <c r="A853" t="s">
        <v>42</v>
      </c>
      <c r="B853" t="s">
        <v>19</v>
      </c>
      <c r="C853" t="str">
        <f t="shared" si="26"/>
        <v>MississippiConnecticut</v>
      </c>
      <c r="D853" t="s">
        <v>19</v>
      </c>
      <c r="E853">
        <v>18.7</v>
      </c>
      <c r="F853" s="1">
        <v>9.6226415094339597</v>
      </c>
      <c r="G853" s="2">
        <v>434.06036214708399</v>
      </c>
      <c r="H853" s="1">
        <v>138.00220995721901</v>
      </c>
      <c r="I853" s="1">
        <f t="shared" si="27"/>
        <v>127.88829146355117</v>
      </c>
    </row>
    <row r="854" spans="1:9" x14ac:dyDescent="0.45">
      <c r="A854" t="s">
        <v>43</v>
      </c>
      <c r="B854" t="s">
        <v>19</v>
      </c>
      <c r="C854" t="str">
        <f t="shared" si="26"/>
        <v>Mississippi St.Connecticut</v>
      </c>
      <c r="D854" t="s">
        <v>19</v>
      </c>
      <c r="E854">
        <v>15</v>
      </c>
      <c r="F854" s="1">
        <v>11.3471698113208</v>
      </c>
      <c r="G854" s="2">
        <v>564.58254156704902</v>
      </c>
      <c r="H854" s="1">
        <v>138.141956429896</v>
      </c>
      <c r="I854" s="1">
        <f t="shared" si="27"/>
        <v>129.85057168773699</v>
      </c>
    </row>
    <row r="855" spans="1:9" x14ac:dyDescent="0.45">
      <c r="A855" t="s">
        <v>44</v>
      </c>
      <c r="B855" t="s">
        <v>19</v>
      </c>
      <c r="C855" t="str">
        <f t="shared" si="26"/>
        <v>MissouriConnecticut</v>
      </c>
      <c r="D855" t="s">
        <v>19</v>
      </c>
      <c r="E855">
        <v>7.7</v>
      </c>
      <c r="F855" s="1">
        <v>16.279245283018899</v>
      </c>
      <c r="G855" s="2">
        <v>1198.4108334585001</v>
      </c>
      <c r="H855" s="1">
        <v>137.559618328542</v>
      </c>
      <c r="I855" s="1">
        <f t="shared" si="27"/>
        <v>121.67354569067925</v>
      </c>
    </row>
    <row r="856" spans="1:9" x14ac:dyDescent="0.45">
      <c r="A856" t="s">
        <v>45</v>
      </c>
      <c r="B856" t="s">
        <v>19</v>
      </c>
      <c r="C856" t="str">
        <f t="shared" si="26"/>
        <v>MontanaConnecticut</v>
      </c>
      <c r="D856" t="s">
        <v>19</v>
      </c>
      <c r="E856">
        <v>0.7</v>
      </c>
      <c r="F856" s="1">
        <v>32.086792452830203</v>
      </c>
      <c r="G856" s="2">
        <v>13358.308500278299</v>
      </c>
      <c r="H856" s="1">
        <v>136.69632989194801</v>
      </c>
      <c r="I856" s="1">
        <f t="shared" si="27"/>
        <v>109.55149499096518</v>
      </c>
    </row>
    <row r="857" spans="1:9" x14ac:dyDescent="0.45">
      <c r="A857" t="s">
        <v>46</v>
      </c>
      <c r="B857" t="s">
        <v>19</v>
      </c>
      <c r="C857" t="str">
        <f t="shared" si="26"/>
        <v>Mount St. Mary'sConnecticut</v>
      </c>
      <c r="D857" t="s">
        <v>19</v>
      </c>
      <c r="E857">
        <v>0.3</v>
      </c>
      <c r="F857" s="1">
        <v>38.422641509434001</v>
      </c>
      <c r="G857" s="2">
        <v>35105.535928593097</v>
      </c>
      <c r="H857" s="1">
        <v>137.999617846099</v>
      </c>
      <c r="I857" s="1">
        <f t="shared" si="27"/>
        <v>127.85189377642354</v>
      </c>
    </row>
    <row r="858" spans="1:9" x14ac:dyDescent="0.45">
      <c r="A858" t="s">
        <v>47</v>
      </c>
      <c r="B858" t="s">
        <v>19</v>
      </c>
      <c r="C858" t="str">
        <f t="shared" si="26"/>
        <v>Nebraska OmahaConnecticut</v>
      </c>
      <c r="D858" t="s">
        <v>19</v>
      </c>
      <c r="E858">
        <v>0.4</v>
      </c>
      <c r="F858" s="1">
        <v>36.230188679245302</v>
      </c>
      <c r="G858" s="2">
        <v>25134.664123095601</v>
      </c>
      <c r="H858" s="1">
        <v>137.417393978202</v>
      </c>
      <c r="I858" s="1">
        <f t="shared" si="27"/>
        <v>119.67647181307996</v>
      </c>
    </row>
    <row r="859" spans="1:9" x14ac:dyDescent="0.45">
      <c r="A859" t="s">
        <v>48</v>
      </c>
      <c r="B859" t="s">
        <v>19</v>
      </c>
      <c r="C859" t="str">
        <f t="shared" si="26"/>
        <v>New MexicoConnecticut</v>
      </c>
      <c r="D859" t="s">
        <v>19</v>
      </c>
      <c r="E859">
        <v>8.6999999999999993</v>
      </c>
      <c r="F859" s="1">
        <v>15.4</v>
      </c>
      <c r="G859" s="2">
        <v>1047.58649821413</v>
      </c>
      <c r="H859" s="1">
        <v>138.18738391001901</v>
      </c>
      <c r="I859" s="1">
        <f t="shared" si="27"/>
        <v>130.48845144364336</v>
      </c>
    </row>
    <row r="860" spans="1:9" x14ac:dyDescent="0.45">
      <c r="A860" t="s">
        <v>49</v>
      </c>
      <c r="B860" t="s">
        <v>19</v>
      </c>
      <c r="C860" t="str">
        <f t="shared" si="26"/>
        <v>Norfolk St.Connecticut</v>
      </c>
      <c r="D860" t="s">
        <v>19</v>
      </c>
      <c r="E860">
        <v>0.6</v>
      </c>
      <c r="F860" s="1">
        <v>33.966037735849099</v>
      </c>
      <c r="G860" s="2">
        <v>17791.8148174899</v>
      </c>
      <c r="H860" s="1">
        <v>137.22350967398299</v>
      </c>
      <c r="I860" s="1">
        <f t="shared" si="27"/>
        <v>116.9540035556637</v>
      </c>
    </row>
    <row r="861" spans="1:9" x14ac:dyDescent="0.45">
      <c r="A861" t="s">
        <v>50</v>
      </c>
      <c r="B861" t="s">
        <v>19</v>
      </c>
      <c r="C861" t="str">
        <f t="shared" si="26"/>
        <v>North CarolinaConnecticut</v>
      </c>
      <c r="D861" t="s">
        <v>19</v>
      </c>
      <c r="E861">
        <v>24.6</v>
      </c>
      <c r="F861" s="1">
        <v>7.3471698113207502</v>
      </c>
      <c r="G861" s="2">
        <v>306.78412863574403</v>
      </c>
      <c r="H861" s="1">
        <v>139.29711562845199</v>
      </c>
      <c r="I861" s="1">
        <f t="shared" si="27"/>
        <v>146.07098861627097</v>
      </c>
    </row>
    <row r="862" spans="1:9" x14ac:dyDescent="0.45">
      <c r="A862" t="s">
        <v>51</v>
      </c>
      <c r="B862" t="s">
        <v>19</v>
      </c>
      <c r="C862" t="str">
        <f t="shared" si="26"/>
        <v>OklahomaConnecticut</v>
      </c>
      <c r="D862" t="s">
        <v>19</v>
      </c>
      <c r="E862">
        <v>10.199999999999999</v>
      </c>
      <c r="F862" s="1">
        <v>14.2301886792453</v>
      </c>
      <c r="G862" s="2">
        <v>876.61744232910905</v>
      </c>
      <c r="H862" s="1">
        <v>137.72073875462701</v>
      </c>
      <c r="I862" s="1">
        <f t="shared" si="27"/>
        <v>123.93595288967725</v>
      </c>
    </row>
    <row r="863" spans="1:9" x14ac:dyDescent="0.45">
      <c r="A863" t="s">
        <v>52</v>
      </c>
      <c r="B863" t="s">
        <v>19</v>
      </c>
      <c r="C863" t="str">
        <f t="shared" si="26"/>
        <v>OregonConnecticut</v>
      </c>
      <c r="D863" t="s">
        <v>19</v>
      </c>
      <c r="E863">
        <v>24.3</v>
      </c>
      <c r="F863" s="1">
        <v>7.4641509433962296</v>
      </c>
      <c r="G863" s="2">
        <v>312.27977794229503</v>
      </c>
      <c r="H863" s="1">
        <v>138.01145614615601</v>
      </c>
      <c r="I863" s="1">
        <f t="shared" si="27"/>
        <v>128.01812381890582</v>
      </c>
    </row>
    <row r="864" spans="1:9" x14ac:dyDescent="0.45">
      <c r="A864" t="s">
        <v>53</v>
      </c>
      <c r="B864" t="s">
        <v>19</v>
      </c>
      <c r="C864" t="str">
        <f t="shared" si="26"/>
        <v>PurdueConnecticut</v>
      </c>
      <c r="D864" t="s">
        <v>53</v>
      </c>
      <c r="E864">
        <v>64.5</v>
      </c>
      <c r="F864" s="1">
        <v>-3.9056603773584899</v>
      </c>
      <c r="G864" s="2">
        <v>-181.49127768761599</v>
      </c>
      <c r="H864" s="1">
        <v>139.49954334595401</v>
      </c>
      <c r="I864" s="1">
        <f t="shared" si="27"/>
        <v>148.91342105318421</v>
      </c>
    </row>
    <row r="865" spans="1:9" x14ac:dyDescent="0.45">
      <c r="A865" t="s">
        <v>54</v>
      </c>
      <c r="B865" t="s">
        <v>19</v>
      </c>
      <c r="C865" t="str">
        <f t="shared" si="26"/>
        <v>Robert MorrisConnecticut</v>
      </c>
      <c r="D865" t="s">
        <v>19</v>
      </c>
      <c r="E865">
        <v>0.2</v>
      </c>
      <c r="F865" s="1">
        <v>39.981132075471699</v>
      </c>
      <c r="G865" s="2">
        <v>44542.967049465296</v>
      </c>
      <c r="H865" s="1">
        <v>136.58250867464099</v>
      </c>
      <c r="I865" s="1">
        <f t="shared" si="27"/>
        <v>107.95324982931039</v>
      </c>
    </row>
    <row r="866" spans="1:9" x14ac:dyDescent="0.45">
      <c r="A866" t="s">
        <v>55</v>
      </c>
      <c r="B866" t="s">
        <v>19</v>
      </c>
      <c r="C866" t="str">
        <f t="shared" si="26"/>
        <v>Saint FrancisConnecticut</v>
      </c>
      <c r="D866" t="s">
        <v>19</v>
      </c>
      <c r="E866">
        <v>0.1</v>
      </c>
      <c r="F866" s="1">
        <v>43.343396226415102</v>
      </c>
      <c r="G866" s="2">
        <v>74398.013033294701</v>
      </c>
      <c r="H866" s="1">
        <v>137.289356556684</v>
      </c>
      <c r="I866" s="1">
        <f t="shared" si="27"/>
        <v>117.87860675510996</v>
      </c>
    </row>
    <row r="867" spans="1:9" x14ac:dyDescent="0.45">
      <c r="A867" t="s">
        <v>56</v>
      </c>
      <c r="B867" t="s">
        <v>19</v>
      </c>
      <c r="C867" t="str">
        <f t="shared" si="26"/>
        <v>Saint Mary'sConnecticut</v>
      </c>
      <c r="D867" t="s">
        <v>19</v>
      </c>
      <c r="E867">
        <v>23.9</v>
      </c>
      <c r="F867" s="1">
        <v>7.60754716981132</v>
      </c>
      <c r="G867" s="2">
        <v>319.22519575438298</v>
      </c>
      <c r="H867" s="1">
        <v>139.01856267262599</v>
      </c>
      <c r="I867" s="1">
        <f t="shared" si="27"/>
        <v>142.15962723350981</v>
      </c>
    </row>
    <row r="868" spans="1:9" x14ac:dyDescent="0.45">
      <c r="A868" t="s">
        <v>57</v>
      </c>
      <c r="B868" t="s">
        <v>19</v>
      </c>
      <c r="C868" t="str">
        <f t="shared" si="26"/>
        <v>San Diego St.Connecticut</v>
      </c>
      <c r="D868" t="s">
        <v>19</v>
      </c>
      <c r="E868">
        <v>8.9</v>
      </c>
      <c r="F868" s="1">
        <v>15.2830188679245</v>
      </c>
      <c r="G868" s="2">
        <v>1029.1927731671501</v>
      </c>
      <c r="H868" s="1">
        <v>138.23326183565499</v>
      </c>
      <c r="I868" s="1">
        <f t="shared" si="27"/>
        <v>131.13265622733212</v>
      </c>
    </row>
    <row r="869" spans="1:9" x14ac:dyDescent="0.45">
      <c r="A869" t="s">
        <v>58</v>
      </c>
      <c r="B869" t="s">
        <v>19</v>
      </c>
      <c r="C869" t="str">
        <f t="shared" si="26"/>
        <v>SIU EdwardsvilleConnecticut</v>
      </c>
      <c r="D869" t="s">
        <v>19</v>
      </c>
      <c r="E869">
        <v>0.5</v>
      </c>
      <c r="F869" s="1">
        <v>35.256603773584899</v>
      </c>
      <c r="G869" s="2">
        <v>21665.913624044901</v>
      </c>
      <c r="H869" s="1">
        <v>138.29252001583899</v>
      </c>
      <c r="I869" s="1">
        <f t="shared" si="27"/>
        <v>131.96474273992038</v>
      </c>
    </row>
    <row r="870" spans="1:9" x14ac:dyDescent="0.45">
      <c r="A870" t="s">
        <v>59</v>
      </c>
      <c r="B870" t="s">
        <v>19</v>
      </c>
      <c r="C870" t="str">
        <f t="shared" si="26"/>
        <v>St. John'sConnecticut</v>
      </c>
      <c r="D870" t="s">
        <v>19</v>
      </c>
      <c r="E870">
        <v>47.6</v>
      </c>
      <c r="F870" s="1">
        <v>0.62641509433962295</v>
      </c>
      <c r="G870" s="2">
        <v>110.013887818768</v>
      </c>
      <c r="H870" s="1">
        <v>139.111976464393</v>
      </c>
      <c r="I870" s="1">
        <f t="shared" si="27"/>
        <v>143.47131712978572</v>
      </c>
    </row>
    <row r="871" spans="1:9" x14ac:dyDescent="0.45">
      <c r="A871" t="s">
        <v>60</v>
      </c>
      <c r="B871" t="s">
        <v>19</v>
      </c>
      <c r="C871" t="str">
        <f t="shared" si="26"/>
        <v>TennesseeConnecticut</v>
      </c>
      <c r="D871" t="s">
        <v>60</v>
      </c>
      <c r="E871">
        <v>66.8</v>
      </c>
      <c r="F871" s="1">
        <v>-4.5886792452830196</v>
      </c>
      <c r="G871" s="2">
        <v>-201.42342660735801</v>
      </c>
      <c r="H871" s="1">
        <v>139.90520883852801</v>
      </c>
      <c r="I871" s="1">
        <f t="shared" si="27"/>
        <v>154.6096605250205</v>
      </c>
    </row>
    <row r="872" spans="1:9" x14ac:dyDescent="0.45">
      <c r="A872" t="s">
        <v>61</v>
      </c>
      <c r="B872" t="s">
        <v>19</v>
      </c>
      <c r="C872" t="str">
        <f t="shared" si="26"/>
        <v>TexasConnecticut</v>
      </c>
      <c r="D872" t="s">
        <v>19</v>
      </c>
      <c r="E872">
        <v>7.5</v>
      </c>
      <c r="F872" s="1">
        <v>16.505660377358499</v>
      </c>
      <c r="G872" s="2">
        <v>1240.3231330363001</v>
      </c>
      <c r="H872" s="1">
        <v>137.60509066616601</v>
      </c>
      <c r="I872" s="1">
        <f t="shared" si="27"/>
        <v>122.31205532285674</v>
      </c>
    </row>
    <row r="873" spans="1:9" x14ac:dyDescent="0.45">
      <c r="A873" t="s">
        <v>62</v>
      </c>
      <c r="B873" t="s">
        <v>19</v>
      </c>
      <c r="C873" t="str">
        <f t="shared" si="26"/>
        <v>Texas A&amp;MConnecticut</v>
      </c>
      <c r="D873" t="s">
        <v>19</v>
      </c>
      <c r="E873">
        <v>31.5</v>
      </c>
      <c r="F873" s="1">
        <v>5.1056603773584897</v>
      </c>
      <c r="G873" s="2">
        <v>217.86153766178199</v>
      </c>
      <c r="H873" s="1">
        <v>138.39206597556301</v>
      </c>
      <c r="I873" s="1">
        <f t="shared" si="27"/>
        <v>133.36253879460546</v>
      </c>
    </row>
    <row r="874" spans="1:9" x14ac:dyDescent="0.45">
      <c r="A874" t="s">
        <v>63</v>
      </c>
      <c r="B874" t="s">
        <v>19</v>
      </c>
      <c r="C874" t="str">
        <f t="shared" si="26"/>
        <v>Texas TechConnecticut</v>
      </c>
      <c r="D874" t="s">
        <v>19</v>
      </c>
      <c r="E874">
        <v>47.1</v>
      </c>
      <c r="F874" s="1">
        <v>0.76981132075471703</v>
      </c>
      <c r="G874" s="2">
        <v>112.477362266132</v>
      </c>
      <c r="H874" s="1">
        <v>139.382578580803</v>
      </c>
      <c r="I874" s="1">
        <f t="shared" si="27"/>
        <v>147.27103508675717</v>
      </c>
    </row>
    <row r="875" spans="1:9" x14ac:dyDescent="0.45">
      <c r="A875" t="s">
        <v>64</v>
      </c>
      <c r="B875" t="s">
        <v>19</v>
      </c>
      <c r="C875" t="str">
        <f t="shared" si="26"/>
        <v>TroyConnecticut</v>
      </c>
      <c r="D875" t="s">
        <v>19</v>
      </c>
      <c r="E875">
        <v>1.3</v>
      </c>
      <c r="F875" s="1">
        <v>28.5811320754717</v>
      </c>
      <c r="G875" s="2">
        <v>7823.5954785027097</v>
      </c>
      <c r="H875" s="1">
        <v>138.14888317536199</v>
      </c>
      <c r="I875" s="1">
        <f t="shared" si="27"/>
        <v>129.94783507754215</v>
      </c>
    </row>
    <row r="876" spans="1:9" x14ac:dyDescent="0.45">
      <c r="A876" t="s">
        <v>65</v>
      </c>
      <c r="B876" t="s">
        <v>19</v>
      </c>
      <c r="C876" t="str">
        <f t="shared" si="26"/>
        <v>UC San DiegoConnecticut</v>
      </c>
      <c r="D876" t="s">
        <v>19</v>
      </c>
      <c r="E876">
        <v>3.2</v>
      </c>
      <c r="F876" s="1">
        <v>22.4</v>
      </c>
      <c r="G876" s="2">
        <v>3047.0422386192599</v>
      </c>
      <c r="H876" s="1">
        <v>138.21900340502401</v>
      </c>
      <c r="I876" s="1">
        <f t="shared" si="27"/>
        <v>130.93244339963695</v>
      </c>
    </row>
    <row r="877" spans="1:9" x14ac:dyDescent="0.45">
      <c r="A877" t="s">
        <v>66</v>
      </c>
      <c r="B877" t="s">
        <v>19</v>
      </c>
      <c r="C877" t="str">
        <f t="shared" si="26"/>
        <v>UCLAConnecticut</v>
      </c>
      <c r="D877" t="s">
        <v>19</v>
      </c>
      <c r="E877">
        <v>10.1</v>
      </c>
      <c r="F877" s="1">
        <v>14.2981132075472</v>
      </c>
      <c r="G877" s="2">
        <v>885.49685481298502</v>
      </c>
      <c r="H877" s="1">
        <v>137.440261984237</v>
      </c>
      <c r="I877" s="1">
        <f t="shared" si="27"/>
        <v>119.9975778499583</v>
      </c>
    </row>
    <row r="878" spans="1:9" x14ac:dyDescent="0.45">
      <c r="A878" t="s">
        <v>67</v>
      </c>
      <c r="B878" t="s">
        <v>19</v>
      </c>
      <c r="C878" t="str">
        <f t="shared" si="26"/>
        <v>UNC WilmingtonConnecticut</v>
      </c>
      <c r="D878" t="s">
        <v>19</v>
      </c>
      <c r="E878">
        <v>1.9</v>
      </c>
      <c r="F878" s="1">
        <v>25.988679245282999</v>
      </c>
      <c r="G878" s="2">
        <v>5270.3743569973203</v>
      </c>
      <c r="H878" s="1">
        <v>138.75567187568899</v>
      </c>
      <c r="I878" s="1">
        <f t="shared" si="27"/>
        <v>138.46818943141017</v>
      </c>
    </row>
    <row r="879" spans="1:9" x14ac:dyDescent="0.45">
      <c r="A879" t="s">
        <v>68</v>
      </c>
      <c r="B879" t="s">
        <v>19</v>
      </c>
      <c r="C879" t="str">
        <f t="shared" si="26"/>
        <v>Utah St.Connecticut</v>
      </c>
      <c r="D879" t="s">
        <v>19</v>
      </c>
      <c r="E879">
        <v>9.6</v>
      </c>
      <c r="F879" s="1">
        <v>14.6641509433962</v>
      </c>
      <c r="G879" s="2">
        <v>936.274674148033</v>
      </c>
      <c r="H879" s="1">
        <v>138.302858374268</v>
      </c>
      <c r="I879" s="1">
        <f t="shared" si="27"/>
        <v>132.1099110286591</v>
      </c>
    </row>
    <row r="880" spans="1:9" x14ac:dyDescent="0.45">
      <c r="A880" t="s">
        <v>69</v>
      </c>
      <c r="B880" t="s">
        <v>19</v>
      </c>
      <c r="C880" t="str">
        <f t="shared" si="26"/>
        <v>VanderbiltConnecticut</v>
      </c>
      <c r="D880" t="s">
        <v>19</v>
      </c>
      <c r="E880">
        <v>2.1</v>
      </c>
      <c r="F880" s="1">
        <v>25.309433962264201</v>
      </c>
      <c r="G880" s="2">
        <v>4751.4071252285603</v>
      </c>
      <c r="H880" s="1">
        <v>136.73689625555099</v>
      </c>
      <c r="I880" s="1">
        <f t="shared" si="27"/>
        <v>110.12111633124221</v>
      </c>
    </row>
    <row r="881" spans="1:9" x14ac:dyDescent="0.45">
      <c r="A881" t="s">
        <v>70</v>
      </c>
      <c r="B881" t="s">
        <v>19</v>
      </c>
      <c r="C881" t="str">
        <f t="shared" si="26"/>
        <v>VCUConnecticut</v>
      </c>
      <c r="D881" t="s">
        <v>19</v>
      </c>
      <c r="E881">
        <v>6.3</v>
      </c>
      <c r="F881" s="1">
        <v>17.664150943396201</v>
      </c>
      <c r="G881" s="2">
        <v>1480.1321588993701</v>
      </c>
      <c r="H881" s="1">
        <v>138.662069384744</v>
      </c>
      <c r="I881" s="1">
        <f t="shared" si="27"/>
        <v>137.15384987494474</v>
      </c>
    </row>
    <row r="882" spans="1:9" x14ac:dyDescent="0.45">
      <c r="A882" t="s">
        <v>71</v>
      </c>
      <c r="B882" t="s">
        <v>19</v>
      </c>
      <c r="C882" t="str">
        <f t="shared" si="26"/>
        <v>WisconsinConnecticut</v>
      </c>
      <c r="D882" t="s">
        <v>19</v>
      </c>
      <c r="E882">
        <v>43.5</v>
      </c>
      <c r="F882" s="1">
        <v>1.7132075471698101</v>
      </c>
      <c r="G882" s="2">
        <v>129.84189816977999</v>
      </c>
      <c r="H882" s="1">
        <v>139.31532499307599</v>
      </c>
      <c r="I882" s="1">
        <f t="shared" si="27"/>
        <v>146.32667933541529</v>
      </c>
    </row>
    <row r="883" spans="1:9" x14ac:dyDescent="0.45">
      <c r="A883" t="s">
        <v>80</v>
      </c>
      <c r="B883" t="s">
        <v>19</v>
      </c>
      <c r="C883" t="str">
        <f t="shared" si="26"/>
        <v>WoffordConnecticut</v>
      </c>
      <c r="D883" t="s">
        <v>19</v>
      </c>
      <c r="E883">
        <v>0.7</v>
      </c>
      <c r="F883" s="1">
        <v>32.8867924528302</v>
      </c>
      <c r="G883" s="2">
        <v>15090.4065197906</v>
      </c>
      <c r="H883" s="1">
        <v>137.412973422302</v>
      </c>
      <c r="I883" s="1">
        <f t="shared" si="27"/>
        <v>119.61439962437775</v>
      </c>
    </row>
    <row r="884" spans="1:9" x14ac:dyDescent="0.45">
      <c r="A884" t="s">
        <v>72</v>
      </c>
      <c r="B884" t="s">
        <v>19</v>
      </c>
      <c r="C884" t="str">
        <f t="shared" si="26"/>
        <v>XavierConnecticut</v>
      </c>
      <c r="D884" t="s">
        <v>19</v>
      </c>
      <c r="E884">
        <v>6.3</v>
      </c>
      <c r="F884" s="1">
        <v>17.739622641509399</v>
      </c>
      <c r="G884" s="2">
        <v>1496.7403957333199</v>
      </c>
      <c r="H884" s="1">
        <v>138.15577559292399</v>
      </c>
      <c r="I884" s="1">
        <f t="shared" si="27"/>
        <v>130.04461644468265</v>
      </c>
    </row>
    <row r="885" spans="1:9" x14ac:dyDescent="0.45">
      <c r="A885" t="s">
        <v>73</v>
      </c>
      <c r="B885" t="s">
        <v>19</v>
      </c>
      <c r="C885" t="str">
        <f t="shared" si="26"/>
        <v>YaleConnecticut</v>
      </c>
      <c r="D885" t="s">
        <v>19</v>
      </c>
      <c r="E885">
        <v>3.4</v>
      </c>
      <c r="F885" s="1">
        <v>21.988679245282999</v>
      </c>
      <c r="G885" s="2">
        <v>2862.1472380589398</v>
      </c>
      <c r="H885" s="1">
        <v>138.75548172931801</v>
      </c>
      <c r="I885" s="1">
        <f t="shared" si="27"/>
        <v>138.46551945014815</v>
      </c>
    </row>
    <row r="886" spans="1:9" x14ac:dyDescent="0.45">
      <c r="A886" t="s">
        <v>7</v>
      </c>
      <c r="B886" t="s">
        <v>20</v>
      </c>
      <c r="C886" t="str">
        <f t="shared" si="26"/>
        <v>AkronCreighton</v>
      </c>
      <c r="D886" t="s">
        <v>20</v>
      </c>
      <c r="E886">
        <v>5.6</v>
      </c>
      <c r="F886" s="1">
        <v>18.543396226415101</v>
      </c>
      <c r="G886" s="2">
        <v>1692.5178545931799</v>
      </c>
      <c r="H886" s="1">
        <v>138.023012037059</v>
      </c>
      <c r="I886" s="1">
        <f t="shared" si="27"/>
        <v>128.18038835236715</v>
      </c>
    </row>
    <row r="887" spans="1:9" x14ac:dyDescent="0.45">
      <c r="A887" t="s">
        <v>8</v>
      </c>
      <c r="B887" t="s">
        <v>20</v>
      </c>
      <c r="C887" t="str">
        <f t="shared" si="26"/>
        <v>AlabamaCreighton</v>
      </c>
      <c r="D887" t="s">
        <v>8</v>
      </c>
      <c r="E887">
        <v>81.7</v>
      </c>
      <c r="F887" s="1">
        <v>-9.7962264150943401</v>
      </c>
      <c r="G887" s="2">
        <v>-445.653627090528</v>
      </c>
      <c r="H887" s="1">
        <v>139.830623224654</v>
      </c>
      <c r="I887" s="1">
        <f t="shared" si="27"/>
        <v>153.56235054781618</v>
      </c>
    </row>
    <row r="888" spans="1:9" x14ac:dyDescent="0.45">
      <c r="A888" t="s">
        <v>9</v>
      </c>
      <c r="B888" t="s">
        <v>20</v>
      </c>
      <c r="C888" t="str">
        <f t="shared" si="26"/>
        <v>Alabama St.Creighton</v>
      </c>
      <c r="D888" t="s">
        <v>20</v>
      </c>
      <c r="E888">
        <v>0.9</v>
      </c>
      <c r="F888" s="1">
        <v>30.860377358490599</v>
      </c>
      <c r="G888" s="2">
        <v>11082.1232625294</v>
      </c>
      <c r="H888" s="1">
        <v>138.20977379647999</v>
      </c>
      <c r="I888" s="1">
        <f t="shared" si="27"/>
        <v>130.8028438614449</v>
      </c>
    </row>
    <row r="889" spans="1:9" x14ac:dyDescent="0.45">
      <c r="A889" t="s">
        <v>10</v>
      </c>
      <c r="B889" t="s">
        <v>20</v>
      </c>
      <c r="C889" t="str">
        <f t="shared" si="26"/>
        <v>AmericanCreighton</v>
      </c>
      <c r="D889" t="s">
        <v>20</v>
      </c>
      <c r="E889">
        <v>1</v>
      </c>
      <c r="F889" s="1">
        <v>30.1056603773585</v>
      </c>
      <c r="G889" s="2">
        <v>9873.6267631517694</v>
      </c>
      <c r="H889" s="1">
        <v>137.97306331624199</v>
      </c>
      <c r="I889" s="1">
        <f t="shared" si="27"/>
        <v>127.47902262051679</v>
      </c>
    </row>
    <row r="890" spans="1:9" x14ac:dyDescent="0.45">
      <c r="A890" t="s">
        <v>11</v>
      </c>
      <c r="B890" t="s">
        <v>20</v>
      </c>
      <c r="C890" t="str">
        <f t="shared" si="26"/>
        <v>ArizonaCreighton</v>
      </c>
      <c r="D890" t="s">
        <v>11</v>
      </c>
      <c r="E890">
        <v>74.5</v>
      </c>
      <c r="F890" s="1">
        <v>-7.0415094339622604</v>
      </c>
      <c r="G890" s="2">
        <v>-292.71384380379999</v>
      </c>
      <c r="H890" s="1">
        <v>139.441102564831</v>
      </c>
      <c r="I890" s="1">
        <f t="shared" si="27"/>
        <v>148.0928122257348</v>
      </c>
    </row>
    <row r="891" spans="1:9" x14ac:dyDescent="0.45">
      <c r="A891" t="s">
        <v>12</v>
      </c>
      <c r="B891" t="s">
        <v>20</v>
      </c>
      <c r="C891" t="str">
        <f t="shared" si="26"/>
        <v>ArkansasCreighton</v>
      </c>
      <c r="D891" t="s">
        <v>20</v>
      </c>
      <c r="E891">
        <v>16</v>
      </c>
      <c r="F891" s="1">
        <v>10.8603773584906</v>
      </c>
      <c r="G891" s="2">
        <v>524.15090661364297</v>
      </c>
      <c r="H891" s="1">
        <v>137.76702654261999</v>
      </c>
      <c r="I891" s="1">
        <f t="shared" si="27"/>
        <v>124.58591284401453</v>
      </c>
    </row>
    <row r="892" spans="1:9" x14ac:dyDescent="0.45">
      <c r="A892" t="s">
        <v>13</v>
      </c>
      <c r="B892" t="s">
        <v>20</v>
      </c>
      <c r="C892" t="str">
        <f t="shared" si="26"/>
        <v>AuburnCreighton</v>
      </c>
      <c r="D892" t="s">
        <v>13</v>
      </c>
      <c r="E892">
        <v>89.8</v>
      </c>
      <c r="F892" s="1">
        <v>-14.2339622641509</v>
      </c>
      <c r="G892" s="2">
        <v>-877.21887675886603</v>
      </c>
      <c r="H892" s="1">
        <v>140.852839458007</v>
      </c>
      <c r="I892" s="1">
        <f t="shared" si="27"/>
        <v>167.91602016913586</v>
      </c>
    </row>
    <row r="893" spans="1:9" x14ac:dyDescent="0.45">
      <c r="A893" t="s">
        <v>14</v>
      </c>
      <c r="B893" t="s">
        <v>20</v>
      </c>
      <c r="C893" t="str">
        <f t="shared" si="26"/>
        <v>BaylorCreighton</v>
      </c>
      <c r="D893" t="s">
        <v>20</v>
      </c>
      <c r="E893">
        <v>46.9</v>
      </c>
      <c r="F893" s="1">
        <v>0.81132075471698095</v>
      </c>
      <c r="G893" s="2">
        <v>113.20203518430201</v>
      </c>
      <c r="H893" s="1">
        <v>139.31575681918699</v>
      </c>
      <c r="I893" s="1">
        <f t="shared" si="27"/>
        <v>146.33274291485071</v>
      </c>
    </row>
    <row r="894" spans="1:9" x14ac:dyDescent="0.45">
      <c r="A894" t="s">
        <v>15</v>
      </c>
      <c r="B894" t="s">
        <v>20</v>
      </c>
      <c r="C894" t="str">
        <f t="shared" si="26"/>
        <v>BryantCreighton</v>
      </c>
      <c r="D894" t="s">
        <v>20</v>
      </c>
      <c r="E894">
        <v>4</v>
      </c>
      <c r="F894" s="1">
        <v>20.883018867924498</v>
      </c>
      <c r="G894" s="2">
        <v>2418.61112231997</v>
      </c>
      <c r="H894" s="1">
        <v>138.908076694833</v>
      </c>
      <c r="I894" s="1">
        <f t="shared" si="27"/>
        <v>140.60821455653914</v>
      </c>
    </row>
    <row r="895" spans="1:9" x14ac:dyDescent="0.45">
      <c r="A895" t="s">
        <v>16</v>
      </c>
      <c r="B895" t="s">
        <v>20</v>
      </c>
      <c r="C895" t="str">
        <f t="shared" si="26"/>
        <v>BYUCreighton</v>
      </c>
      <c r="D895" t="s">
        <v>16</v>
      </c>
      <c r="E895">
        <v>51.1</v>
      </c>
      <c r="F895" s="1">
        <v>-0.28301886792452802</v>
      </c>
      <c r="G895" s="2">
        <v>-104.389185081699</v>
      </c>
      <c r="H895" s="1">
        <v>139.07811736927599</v>
      </c>
      <c r="I895" s="1">
        <f t="shared" si="27"/>
        <v>142.99587734598163</v>
      </c>
    </row>
    <row r="896" spans="1:9" x14ac:dyDescent="0.45">
      <c r="A896" t="s">
        <v>17</v>
      </c>
      <c r="B896" t="s">
        <v>20</v>
      </c>
      <c r="C896" t="str">
        <f t="shared" si="26"/>
        <v>ClemsonCreighton</v>
      </c>
      <c r="D896" t="s">
        <v>17</v>
      </c>
      <c r="E896">
        <v>59.4</v>
      </c>
      <c r="F896" s="1">
        <v>-2.4867924528301901</v>
      </c>
      <c r="G896" s="2">
        <v>-146.11562936841</v>
      </c>
      <c r="H896" s="1">
        <v>139.42816759171799</v>
      </c>
      <c r="I896" s="1">
        <f t="shared" si="27"/>
        <v>147.91118301210381</v>
      </c>
    </row>
    <row r="897" spans="1:9" x14ac:dyDescent="0.45">
      <c r="A897" t="s">
        <v>18</v>
      </c>
      <c r="B897" t="s">
        <v>20</v>
      </c>
      <c r="C897" t="str">
        <f t="shared" si="26"/>
        <v>Colorado St.Creighton</v>
      </c>
      <c r="D897" t="s">
        <v>20</v>
      </c>
      <c r="E897">
        <v>19.5</v>
      </c>
      <c r="F897" s="1">
        <v>9.2943396226415107</v>
      </c>
      <c r="G897" s="2">
        <v>412.92124098093899</v>
      </c>
      <c r="H897" s="1">
        <v>138.817778566513</v>
      </c>
      <c r="I897" s="1">
        <f t="shared" si="27"/>
        <v>139.34027392026354</v>
      </c>
    </row>
    <row r="898" spans="1:9" x14ac:dyDescent="0.45">
      <c r="A898" t="s">
        <v>19</v>
      </c>
      <c r="B898" t="s">
        <v>20</v>
      </c>
      <c r="C898" t="str">
        <f t="shared" si="26"/>
        <v>ConnecticutCreighton</v>
      </c>
      <c r="D898" t="s">
        <v>19</v>
      </c>
      <c r="E898">
        <v>69.400000000000006</v>
      </c>
      <c r="F898" s="1">
        <v>-5.3811320754717</v>
      </c>
      <c r="G898" s="2">
        <v>-227.186751352827</v>
      </c>
      <c r="H898" s="1">
        <v>139.228418422467</v>
      </c>
      <c r="I898" s="1">
        <f t="shared" si="27"/>
        <v>145.10636198792847</v>
      </c>
    </row>
    <row r="899" spans="1:9" x14ac:dyDescent="0.45">
      <c r="A899" t="s">
        <v>20</v>
      </c>
      <c r="B899" t="s">
        <v>20</v>
      </c>
      <c r="C899" t="str">
        <f t="shared" ref="C899:C962" si="28">A899&amp;B899</f>
        <v>CreightonCreighton</v>
      </c>
      <c r="D899" t="s">
        <v>20</v>
      </c>
      <c r="E899">
        <v>41.2</v>
      </c>
      <c r="F899" s="1">
        <v>2.3283018867924499</v>
      </c>
      <c r="G899" s="2">
        <v>142.64273539779199</v>
      </c>
      <c r="H899" s="1">
        <v>138.77771517530499</v>
      </c>
      <c r="I899" s="1">
        <f t="shared" ref="I899:I962" si="29">18*(H899-AVERAGE($H$2:$H$4625))/_xlfn.STDEV.P($H$2:$H$4625)+AVERAGE($H$2:$H$4625)</f>
        <v>138.77771517530684</v>
      </c>
    </row>
    <row r="900" spans="1:9" x14ac:dyDescent="0.45">
      <c r="A900" t="s">
        <v>21</v>
      </c>
      <c r="B900" t="s">
        <v>20</v>
      </c>
      <c r="C900" t="str">
        <f t="shared" si="28"/>
        <v>DrakeCreighton</v>
      </c>
      <c r="D900" t="s">
        <v>20</v>
      </c>
      <c r="E900">
        <v>19</v>
      </c>
      <c r="F900" s="1">
        <v>9.5018867924528294</v>
      </c>
      <c r="G900" s="2">
        <v>426.02722368112597</v>
      </c>
      <c r="H900" s="1">
        <v>139.01239098098</v>
      </c>
      <c r="I900" s="1">
        <f t="shared" si="29"/>
        <v>142.07296609470103</v>
      </c>
    </row>
    <row r="901" spans="1:9" x14ac:dyDescent="0.45">
      <c r="A901" t="s">
        <v>22</v>
      </c>
      <c r="B901" t="s">
        <v>20</v>
      </c>
      <c r="C901" t="str">
        <f t="shared" si="28"/>
        <v>DukeCreighton</v>
      </c>
      <c r="D901" t="s">
        <v>22</v>
      </c>
      <c r="E901">
        <v>92.5</v>
      </c>
      <c r="F901" s="1">
        <v>-16.449056603773599</v>
      </c>
      <c r="G901" s="2">
        <v>-1229.7450242596301</v>
      </c>
      <c r="H901" s="1">
        <v>141.09273086958299</v>
      </c>
      <c r="I901" s="1">
        <f t="shared" si="29"/>
        <v>171.28450714322682</v>
      </c>
    </row>
    <row r="902" spans="1:9" x14ac:dyDescent="0.45">
      <c r="A902" t="s">
        <v>23</v>
      </c>
      <c r="B902" t="s">
        <v>20</v>
      </c>
      <c r="C902" t="str">
        <f t="shared" si="28"/>
        <v>FloridaCreighton</v>
      </c>
      <c r="D902" t="s">
        <v>23</v>
      </c>
      <c r="E902">
        <v>87.2</v>
      </c>
      <c r="F902" s="1">
        <v>-12.5924528301887</v>
      </c>
      <c r="G902" s="2">
        <v>-682.78333706908404</v>
      </c>
      <c r="H902" s="1">
        <v>140.827381397137</v>
      </c>
      <c r="I902" s="1">
        <f t="shared" si="29"/>
        <v>167.55854531889921</v>
      </c>
    </row>
    <row r="903" spans="1:9" x14ac:dyDescent="0.45">
      <c r="A903" t="s">
        <v>24</v>
      </c>
      <c r="B903" t="s">
        <v>20</v>
      </c>
      <c r="C903" t="str">
        <f t="shared" si="28"/>
        <v>GeorgiaCreighton</v>
      </c>
      <c r="D903" t="s">
        <v>20</v>
      </c>
      <c r="E903">
        <v>21.6</v>
      </c>
      <c r="F903" s="1">
        <v>8.4679245283018894</v>
      </c>
      <c r="G903" s="2">
        <v>363.942357595538</v>
      </c>
      <c r="H903" s="1">
        <v>138.09133969342199</v>
      </c>
      <c r="I903" s="1">
        <f t="shared" si="29"/>
        <v>129.13982587002064</v>
      </c>
    </row>
    <row r="904" spans="1:9" x14ac:dyDescent="0.45">
      <c r="A904" t="s">
        <v>25</v>
      </c>
      <c r="B904" t="s">
        <v>20</v>
      </c>
      <c r="C904" t="str">
        <f t="shared" si="28"/>
        <v>GonzagaCreighton</v>
      </c>
      <c r="D904" t="s">
        <v>25</v>
      </c>
      <c r="E904">
        <v>58.2</v>
      </c>
      <c r="F904" s="1">
        <v>-2.1622641509434</v>
      </c>
      <c r="G904" s="2">
        <v>-139.06128512340501</v>
      </c>
      <c r="H904" s="1">
        <v>140.06830142392801</v>
      </c>
      <c r="I904" s="1">
        <f t="shared" si="29"/>
        <v>156.89976022421985</v>
      </c>
    </row>
    <row r="905" spans="1:9" x14ac:dyDescent="0.45">
      <c r="A905" t="s">
        <v>26</v>
      </c>
      <c r="B905" t="s">
        <v>20</v>
      </c>
      <c r="C905" t="str">
        <f t="shared" si="28"/>
        <v>Grand CanyonCreighton</v>
      </c>
      <c r="D905" t="s">
        <v>20</v>
      </c>
      <c r="E905">
        <v>13.1</v>
      </c>
      <c r="F905" s="1">
        <v>12.388679245283001</v>
      </c>
      <c r="G905" s="2">
        <v>661.86984722799502</v>
      </c>
      <c r="H905" s="1">
        <v>138.886273141467</v>
      </c>
      <c r="I905" s="1">
        <f t="shared" si="29"/>
        <v>140.30205526129902</v>
      </c>
    </row>
    <row r="906" spans="1:9" x14ac:dyDescent="0.45">
      <c r="A906" t="s">
        <v>27</v>
      </c>
      <c r="B906" t="s">
        <v>20</v>
      </c>
      <c r="C906" t="str">
        <f t="shared" si="28"/>
        <v>High PointCreighton</v>
      </c>
      <c r="D906" t="s">
        <v>20</v>
      </c>
      <c r="E906">
        <v>8.6</v>
      </c>
      <c r="F906" s="1">
        <v>15.4792452830189</v>
      </c>
      <c r="G906" s="2">
        <v>1060.3632257576601</v>
      </c>
      <c r="H906" s="1">
        <v>139.07748027501501</v>
      </c>
      <c r="I906" s="1">
        <f t="shared" si="29"/>
        <v>142.98693144956422</v>
      </c>
    </row>
    <row r="907" spans="1:9" x14ac:dyDescent="0.45">
      <c r="A907" t="s">
        <v>28</v>
      </c>
      <c r="B907" t="s">
        <v>20</v>
      </c>
      <c r="C907" t="str">
        <f t="shared" si="28"/>
        <v>HoustonCreighton</v>
      </c>
      <c r="D907" t="s">
        <v>28</v>
      </c>
      <c r="E907">
        <v>95.4</v>
      </c>
      <c r="F907" s="1">
        <v>-19.803773584905699</v>
      </c>
      <c r="G907" s="2">
        <v>-2051.3758317605102</v>
      </c>
      <c r="H907" s="1">
        <v>141.19094263221899</v>
      </c>
      <c r="I907" s="1">
        <f t="shared" si="29"/>
        <v>172.66356878185937</v>
      </c>
    </row>
    <row r="908" spans="1:9" x14ac:dyDescent="0.45">
      <c r="A908" t="s">
        <v>29</v>
      </c>
      <c r="B908" t="s">
        <v>20</v>
      </c>
      <c r="C908" t="str">
        <f t="shared" si="28"/>
        <v>IllinoisCreighton</v>
      </c>
      <c r="D908" t="s">
        <v>29</v>
      </c>
      <c r="E908">
        <v>66.900000000000006</v>
      </c>
      <c r="F908" s="1">
        <v>-4.6150943396226403</v>
      </c>
      <c r="G908" s="2">
        <v>-202.223514867765</v>
      </c>
      <c r="H908" s="1">
        <v>139.24940640718</v>
      </c>
      <c r="I908" s="1">
        <f t="shared" si="29"/>
        <v>145.40106930009821</v>
      </c>
    </row>
    <row r="909" spans="1:9" x14ac:dyDescent="0.45">
      <c r="A909" t="s">
        <v>30</v>
      </c>
      <c r="B909" t="s">
        <v>20</v>
      </c>
      <c r="C909" t="str">
        <f t="shared" si="28"/>
        <v>Iowa St.Creighton</v>
      </c>
      <c r="D909" t="s">
        <v>30</v>
      </c>
      <c r="E909">
        <v>80.900000000000006</v>
      </c>
      <c r="F909" s="1">
        <v>-9.4792452830188694</v>
      </c>
      <c r="G909" s="2">
        <v>-424.50979348464199</v>
      </c>
      <c r="H909" s="1">
        <v>140.14594869876601</v>
      </c>
      <c r="I909" s="1">
        <f t="shared" si="29"/>
        <v>157.99006117391684</v>
      </c>
    </row>
    <row r="910" spans="1:9" x14ac:dyDescent="0.45">
      <c r="A910" t="s">
        <v>31</v>
      </c>
      <c r="B910" t="s">
        <v>20</v>
      </c>
      <c r="C910" t="str">
        <f t="shared" si="28"/>
        <v>KansasCreighton</v>
      </c>
      <c r="D910" t="s">
        <v>31</v>
      </c>
      <c r="E910">
        <v>56.7</v>
      </c>
      <c r="F910" s="1">
        <v>-1.7622641509434001</v>
      </c>
      <c r="G910" s="2">
        <v>-130.82380550830501</v>
      </c>
      <c r="H910" s="1">
        <v>139.19653658761999</v>
      </c>
      <c r="I910" s="1">
        <f t="shared" si="29"/>
        <v>144.65868633048518</v>
      </c>
    </row>
    <row r="911" spans="1:9" x14ac:dyDescent="0.45">
      <c r="A911" t="s">
        <v>32</v>
      </c>
      <c r="B911" t="s">
        <v>20</v>
      </c>
      <c r="C911" t="str">
        <f t="shared" si="28"/>
        <v>KentuckyCreighton</v>
      </c>
      <c r="D911" t="s">
        <v>32</v>
      </c>
      <c r="E911">
        <v>68.599999999999994</v>
      </c>
      <c r="F911" s="1">
        <v>-5.12452830188679</v>
      </c>
      <c r="G911" s="2">
        <v>-218.56102606914399</v>
      </c>
      <c r="H911" s="1">
        <v>139.13081891974599</v>
      </c>
      <c r="I911" s="1">
        <f t="shared" si="29"/>
        <v>143.73589752888998</v>
      </c>
    </row>
    <row r="912" spans="1:9" x14ac:dyDescent="0.45">
      <c r="A912" t="s">
        <v>33</v>
      </c>
      <c r="B912" t="s">
        <v>20</v>
      </c>
      <c r="C912" t="str">
        <f t="shared" si="28"/>
        <v>LibertyCreighton</v>
      </c>
      <c r="D912" t="s">
        <v>20</v>
      </c>
      <c r="E912">
        <v>6.2</v>
      </c>
      <c r="F912" s="1">
        <v>17.860377358490599</v>
      </c>
      <c r="G912" s="2">
        <v>1524.9485596171901</v>
      </c>
      <c r="H912" s="1">
        <v>138.47581996346301</v>
      </c>
      <c r="I912" s="1">
        <f t="shared" si="29"/>
        <v>134.5385884723153</v>
      </c>
    </row>
    <row r="913" spans="1:9" x14ac:dyDescent="0.45">
      <c r="A913" t="s">
        <v>34</v>
      </c>
      <c r="B913" t="s">
        <v>20</v>
      </c>
      <c r="C913" t="str">
        <f t="shared" si="28"/>
        <v>LipscombCreighton</v>
      </c>
      <c r="D913" t="s">
        <v>20</v>
      </c>
      <c r="E913">
        <v>4.7</v>
      </c>
      <c r="F913" s="1">
        <v>19.724528301886799</v>
      </c>
      <c r="G913" s="2">
        <v>2026.9988144682</v>
      </c>
      <c r="H913" s="1">
        <v>138.882138161055</v>
      </c>
      <c r="I913" s="1">
        <f t="shared" si="29"/>
        <v>140.243993042379</v>
      </c>
    </row>
    <row r="914" spans="1:9" x14ac:dyDescent="0.45">
      <c r="A914" t="s">
        <v>35</v>
      </c>
      <c r="B914" t="s">
        <v>20</v>
      </c>
      <c r="C914" t="str">
        <f t="shared" si="28"/>
        <v>LouisvilleCreighton</v>
      </c>
      <c r="D914" t="s">
        <v>20</v>
      </c>
      <c r="E914">
        <v>11</v>
      </c>
      <c r="F914" s="1">
        <v>13.675471698113199</v>
      </c>
      <c r="G914" s="2">
        <v>805.59295509741003</v>
      </c>
      <c r="H914" s="1">
        <v>138.12750016687201</v>
      </c>
      <c r="I914" s="1">
        <f t="shared" si="29"/>
        <v>129.64758095384443</v>
      </c>
    </row>
    <row r="915" spans="1:9" x14ac:dyDescent="0.45">
      <c r="A915" t="s">
        <v>36</v>
      </c>
      <c r="B915" t="s">
        <v>20</v>
      </c>
      <c r="C915" t="str">
        <f t="shared" si="28"/>
        <v>MarquetteCreighton</v>
      </c>
      <c r="D915" t="s">
        <v>36</v>
      </c>
      <c r="E915">
        <v>62.6</v>
      </c>
      <c r="F915" s="1">
        <v>-3.39245283018868</v>
      </c>
      <c r="G915" s="2">
        <v>-167.736523566188</v>
      </c>
      <c r="H915" s="1">
        <v>139.38963401033499</v>
      </c>
      <c r="I915" s="1">
        <f t="shared" si="29"/>
        <v>147.37010542161821</v>
      </c>
    </row>
    <row r="916" spans="1:9" x14ac:dyDescent="0.45">
      <c r="A916" t="s">
        <v>37</v>
      </c>
      <c r="B916" t="s">
        <v>20</v>
      </c>
      <c r="C916" t="str">
        <f t="shared" si="28"/>
        <v>MarylandCreighton</v>
      </c>
      <c r="D916" t="s">
        <v>37</v>
      </c>
      <c r="E916">
        <v>50.9</v>
      </c>
      <c r="F916" s="1">
        <v>-0.22264150943396199</v>
      </c>
      <c r="G916" s="2">
        <v>-103.465081952113</v>
      </c>
      <c r="H916" s="1">
        <v>138.84800360887701</v>
      </c>
      <c r="I916" s="1">
        <f t="shared" si="29"/>
        <v>139.76468536886708</v>
      </c>
    </row>
    <row r="917" spans="1:9" x14ac:dyDescent="0.45">
      <c r="A917" t="s">
        <v>38</v>
      </c>
      <c r="B917" t="s">
        <v>20</v>
      </c>
      <c r="C917" t="str">
        <f t="shared" si="28"/>
        <v>McNeese St.Creighton</v>
      </c>
      <c r="D917" t="s">
        <v>20</v>
      </c>
      <c r="E917">
        <v>19.399999999999999</v>
      </c>
      <c r="F917" s="1">
        <v>9.3169811320754707</v>
      </c>
      <c r="G917" s="2">
        <v>414.26273445699297</v>
      </c>
      <c r="H917" s="1">
        <v>139.44123902184199</v>
      </c>
      <c r="I917" s="1">
        <f t="shared" si="29"/>
        <v>148.0947283162736</v>
      </c>
    </row>
    <row r="918" spans="1:9" x14ac:dyDescent="0.45">
      <c r="A918" t="s">
        <v>39</v>
      </c>
      <c r="B918" t="s">
        <v>20</v>
      </c>
      <c r="C918" t="str">
        <f t="shared" si="28"/>
        <v>MemphisCreighton</v>
      </c>
      <c r="D918" t="s">
        <v>20</v>
      </c>
      <c r="E918">
        <v>36.799999999999997</v>
      </c>
      <c r="F918" s="1">
        <v>3.5396226415094301</v>
      </c>
      <c r="G918" s="2">
        <v>171.6352791027</v>
      </c>
      <c r="H918" s="1">
        <v>137.97552084836701</v>
      </c>
      <c r="I918" s="1">
        <f t="shared" si="29"/>
        <v>127.51353058767226</v>
      </c>
    </row>
    <row r="919" spans="1:9" x14ac:dyDescent="0.45">
      <c r="A919" t="s">
        <v>40</v>
      </c>
      <c r="B919" t="s">
        <v>20</v>
      </c>
      <c r="C919" t="str">
        <f t="shared" si="28"/>
        <v>MichiganCreighton</v>
      </c>
      <c r="D919" t="s">
        <v>20</v>
      </c>
      <c r="E919">
        <v>22.3</v>
      </c>
      <c r="F919" s="1">
        <v>8.1660377358490592</v>
      </c>
      <c r="G919" s="2">
        <v>347.53711754685003</v>
      </c>
      <c r="H919" s="1">
        <v>137.53814214528401</v>
      </c>
      <c r="I919" s="1">
        <f t="shared" si="29"/>
        <v>121.37198323338883</v>
      </c>
    </row>
    <row r="920" spans="1:9" x14ac:dyDescent="0.45">
      <c r="A920" t="s">
        <v>41</v>
      </c>
      <c r="B920" t="s">
        <v>20</v>
      </c>
      <c r="C920" t="str">
        <f t="shared" si="28"/>
        <v>Michigan St.Creighton</v>
      </c>
      <c r="D920" t="s">
        <v>41</v>
      </c>
      <c r="E920">
        <v>73.2</v>
      </c>
      <c r="F920" s="1">
        <v>-6.5811320754717002</v>
      </c>
      <c r="G920" s="2">
        <v>-272.86884125414298</v>
      </c>
      <c r="H920" s="1">
        <v>139.185221854491</v>
      </c>
      <c r="I920" s="1">
        <f t="shared" si="29"/>
        <v>144.49980806589909</v>
      </c>
    </row>
    <row r="921" spans="1:9" x14ac:dyDescent="0.45">
      <c r="A921" t="s">
        <v>42</v>
      </c>
      <c r="B921" t="s">
        <v>20</v>
      </c>
      <c r="C921" t="str">
        <f t="shared" si="28"/>
        <v>MississippiCreighton</v>
      </c>
      <c r="D921" t="s">
        <v>20</v>
      </c>
      <c r="E921">
        <v>42.7</v>
      </c>
      <c r="F921" s="1">
        <v>1.9169811320754699</v>
      </c>
      <c r="G921" s="2">
        <v>133.94221250189099</v>
      </c>
      <c r="H921" s="1">
        <v>138.45291320438</v>
      </c>
      <c r="I921" s="1">
        <f t="shared" si="29"/>
        <v>134.2169382761584</v>
      </c>
    </row>
    <row r="922" spans="1:9" x14ac:dyDescent="0.45">
      <c r="A922" t="s">
        <v>43</v>
      </c>
      <c r="B922" t="s">
        <v>20</v>
      </c>
      <c r="C922" t="str">
        <f t="shared" si="28"/>
        <v>Mississippi St.Creighton</v>
      </c>
      <c r="D922" t="s">
        <v>20</v>
      </c>
      <c r="E922">
        <v>36.5</v>
      </c>
      <c r="F922" s="1">
        <v>3.6377358490565999</v>
      </c>
      <c r="G922" s="2">
        <v>174.218706318562</v>
      </c>
      <c r="H922" s="1">
        <v>138.59265967705699</v>
      </c>
      <c r="I922" s="1">
        <f t="shared" si="29"/>
        <v>136.17921850034423</v>
      </c>
    </row>
    <row r="923" spans="1:9" x14ac:dyDescent="0.45">
      <c r="A923" t="s">
        <v>44</v>
      </c>
      <c r="B923" t="s">
        <v>20</v>
      </c>
      <c r="C923" t="str">
        <f t="shared" si="28"/>
        <v>MissouriCreighton</v>
      </c>
      <c r="D923" t="s">
        <v>20</v>
      </c>
      <c r="E923">
        <v>21.3</v>
      </c>
      <c r="F923" s="1">
        <v>8.5735849056603808</v>
      </c>
      <c r="G923" s="2">
        <v>369.80524488728599</v>
      </c>
      <c r="H923" s="1">
        <v>138.01032157570299</v>
      </c>
      <c r="I923" s="1">
        <f t="shared" si="29"/>
        <v>128.00219250328649</v>
      </c>
    </row>
    <row r="924" spans="1:9" x14ac:dyDescent="0.45">
      <c r="A924" t="s">
        <v>45</v>
      </c>
      <c r="B924" t="s">
        <v>20</v>
      </c>
      <c r="C924" t="str">
        <f t="shared" si="28"/>
        <v>MontanaCreighton</v>
      </c>
      <c r="D924" t="s">
        <v>20</v>
      </c>
      <c r="E924">
        <v>2.4</v>
      </c>
      <c r="F924" s="1">
        <v>24.377358490565999</v>
      </c>
      <c r="G924" s="2">
        <v>4122.1027116127198</v>
      </c>
      <c r="H924" s="1">
        <v>137.147033139109</v>
      </c>
      <c r="I924" s="1">
        <f t="shared" si="29"/>
        <v>115.88014180357243</v>
      </c>
    </row>
    <row r="925" spans="1:9" x14ac:dyDescent="0.45">
      <c r="A925" t="s">
        <v>46</v>
      </c>
      <c r="B925" t="s">
        <v>20</v>
      </c>
      <c r="C925" t="str">
        <f t="shared" si="28"/>
        <v>Mount St. Mary'sCreighton</v>
      </c>
      <c r="D925" t="s">
        <v>20</v>
      </c>
      <c r="E925">
        <v>0.9</v>
      </c>
      <c r="F925" s="1">
        <v>30.713207547169802</v>
      </c>
      <c r="G925" s="2">
        <v>10832.8554353163</v>
      </c>
      <c r="H925" s="1">
        <v>138.45032109325999</v>
      </c>
      <c r="I925" s="1">
        <f t="shared" si="29"/>
        <v>134.18054058903078</v>
      </c>
    </row>
    <row r="926" spans="1:9" x14ac:dyDescent="0.45">
      <c r="A926" t="s">
        <v>47</v>
      </c>
      <c r="B926" t="s">
        <v>20</v>
      </c>
      <c r="C926" t="str">
        <f t="shared" si="28"/>
        <v>Nebraska OmahaCreighton</v>
      </c>
      <c r="D926" t="s">
        <v>20</v>
      </c>
      <c r="E926">
        <v>1.3</v>
      </c>
      <c r="F926" s="1">
        <v>28.5245283018868</v>
      </c>
      <c r="G926" s="2">
        <v>7756.0468928479104</v>
      </c>
      <c r="H926" s="1">
        <v>137.86809722536299</v>
      </c>
      <c r="I926" s="1">
        <f t="shared" si="29"/>
        <v>126.0051186256872</v>
      </c>
    </row>
    <row r="927" spans="1:9" x14ac:dyDescent="0.45">
      <c r="A927" t="s">
        <v>48</v>
      </c>
      <c r="B927" t="s">
        <v>20</v>
      </c>
      <c r="C927" t="str">
        <f t="shared" si="28"/>
        <v>New MexicoCreighton</v>
      </c>
      <c r="D927" t="s">
        <v>20</v>
      </c>
      <c r="E927">
        <v>23.6</v>
      </c>
      <c r="F927" s="1">
        <v>7.6905660377358496</v>
      </c>
      <c r="G927" s="2">
        <v>323.26391809617002</v>
      </c>
      <c r="H927" s="1">
        <v>138.63808715718</v>
      </c>
      <c r="I927" s="1">
        <f t="shared" si="29"/>
        <v>136.8170982562506</v>
      </c>
    </row>
    <row r="928" spans="1:9" x14ac:dyDescent="0.45">
      <c r="A928" t="s">
        <v>49</v>
      </c>
      <c r="B928" t="s">
        <v>20</v>
      </c>
      <c r="C928" t="str">
        <f t="shared" si="28"/>
        <v>Norfolk St.Creighton</v>
      </c>
      <c r="D928" t="s">
        <v>20</v>
      </c>
      <c r="E928">
        <v>1.8</v>
      </c>
      <c r="F928" s="1">
        <v>26.256603773584899</v>
      </c>
      <c r="G928" s="2">
        <v>5490.1927217925004</v>
      </c>
      <c r="H928" s="1">
        <v>137.674212921144</v>
      </c>
      <c r="I928" s="1">
        <f t="shared" si="29"/>
        <v>123.28265036827135</v>
      </c>
    </row>
    <row r="929" spans="1:9" x14ac:dyDescent="0.45">
      <c r="A929" t="s">
        <v>50</v>
      </c>
      <c r="B929" t="s">
        <v>20</v>
      </c>
      <c r="C929" t="str">
        <f t="shared" si="28"/>
        <v>North CarolinaCreighton</v>
      </c>
      <c r="D929" t="s">
        <v>50</v>
      </c>
      <c r="E929">
        <v>51.4</v>
      </c>
      <c r="F929" s="1">
        <v>-0.35849056603773599</v>
      </c>
      <c r="G929" s="2">
        <v>-105.633038460026</v>
      </c>
      <c r="H929" s="1">
        <v>139.747818875614</v>
      </c>
      <c r="I929" s="1">
        <f t="shared" si="29"/>
        <v>152.39963542889259</v>
      </c>
    </row>
    <row r="930" spans="1:9" x14ac:dyDescent="0.45">
      <c r="A930" t="s">
        <v>51</v>
      </c>
      <c r="B930" t="s">
        <v>20</v>
      </c>
      <c r="C930" t="str">
        <f t="shared" si="28"/>
        <v>OklahomaCreighton</v>
      </c>
      <c r="D930" t="s">
        <v>20</v>
      </c>
      <c r="E930">
        <v>27</v>
      </c>
      <c r="F930" s="1">
        <v>6.5245283018867903</v>
      </c>
      <c r="G930" s="2">
        <v>270.50633963099102</v>
      </c>
      <c r="H930" s="1">
        <v>138.17144200178799</v>
      </c>
      <c r="I930" s="1">
        <f t="shared" si="29"/>
        <v>130.2645997022845</v>
      </c>
    </row>
    <row r="931" spans="1:9" x14ac:dyDescent="0.45">
      <c r="A931" t="s">
        <v>52</v>
      </c>
      <c r="B931" t="s">
        <v>20</v>
      </c>
      <c r="C931" t="str">
        <f t="shared" si="28"/>
        <v>OregonCreighton</v>
      </c>
      <c r="D931" t="s">
        <v>52</v>
      </c>
      <c r="E931">
        <v>50.9</v>
      </c>
      <c r="F931" s="1">
        <v>-0.24150943396226399</v>
      </c>
      <c r="G931" s="2">
        <v>-103.77405758593</v>
      </c>
      <c r="H931" s="1">
        <v>138.46215939331699</v>
      </c>
      <c r="I931" s="1">
        <f t="shared" si="29"/>
        <v>134.34677063151307</v>
      </c>
    </row>
    <row r="932" spans="1:9" x14ac:dyDescent="0.45">
      <c r="A932" t="s">
        <v>53</v>
      </c>
      <c r="B932" t="s">
        <v>20</v>
      </c>
      <c r="C932" t="str">
        <f t="shared" si="28"/>
        <v>PurdueCreighton</v>
      </c>
      <c r="D932" t="s">
        <v>53</v>
      </c>
      <c r="E932">
        <v>85.5</v>
      </c>
      <c r="F932" s="1">
        <v>-11.615094339622599</v>
      </c>
      <c r="G932" s="2">
        <v>-588.15042881654097</v>
      </c>
      <c r="H932" s="1">
        <v>139.950246593115</v>
      </c>
      <c r="I932" s="1">
        <f t="shared" si="29"/>
        <v>155.24206786579146</v>
      </c>
    </row>
    <row r="933" spans="1:9" x14ac:dyDescent="0.45">
      <c r="A933" t="s">
        <v>54</v>
      </c>
      <c r="B933" t="s">
        <v>20</v>
      </c>
      <c r="C933" t="str">
        <f t="shared" si="28"/>
        <v>Robert MorrisCreighton</v>
      </c>
      <c r="D933" t="s">
        <v>20</v>
      </c>
      <c r="E933">
        <v>0.7</v>
      </c>
      <c r="F933" s="1">
        <v>32.275471698113201</v>
      </c>
      <c r="G933" s="2">
        <v>13745.055016063799</v>
      </c>
      <c r="H933" s="1">
        <v>137.03321192180201</v>
      </c>
      <c r="I933" s="1">
        <f t="shared" si="29"/>
        <v>114.28189664191804</v>
      </c>
    </row>
    <row r="934" spans="1:9" x14ac:dyDescent="0.45">
      <c r="A934" t="s">
        <v>55</v>
      </c>
      <c r="B934" t="s">
        <v>20</v>
      </c>
      <c r="C934" t="str">
        <f t="shared" si="28"/>
        <v>Saint FrancisCreighton</v>
      </c>
      <c r="D934" t="s">
        <v>20</v>
      </c>
      <c r="E934">
        <v>0.4</v>
      </c>
      <c r="F934" s="1">
        <v>35.637735849056597</v>
      </c>
      <c r="G934" s="2">
        <v>22957.715885716701</v>
      </c>
      <c r="H934" s="1">
        <v>137.74005980384601</v>
      </c>
      <c r="I934" s="1">
        <f t="shared" si="29"/>
        <v>124.20725356773158</v>
      </c>
    </row>
    <row r="935" spans="1:9" x14ac:dyDescent="0.45">
      <c r="A935" t="s">
        <v>56</v>
      </c>
      <c r="B935" t="s">
        <v>20</v>
      </c>
      <c r="C935" t="str">
        <f t="shared" si="28"/>
        <v>Saint Mary'sCreighton</v>
      </c>
      <c r="D935" t="s">
        <v>56</v>
      </c>
      <c r="E935">
        <v>50.4</v>
      </c>
      <c r="F935" s="1">
        <v>-9.8113207547169803E-2</v>
      </c>
      <c r="G935" s="2">
        <v>-101.51623396305899</v>
      </c>
      <c r="H935" s="1">
        <v>139.469265919788</v>
      </c>
      <c r="I935" s="1">
        <f t="shared" si="29"/>
        <v>148.48827404613141</v>
      </c>
    </row>
    <row r="936" spans="1:9" x14ac:dyDescent="0.45">
      <c r="A936" t="s">
        <v>57</v>
      </c>
      <c r="B936" t="s">
        <v>20</v>
      </c>
      <c r="C936" t="str">
        <f t="shared" si="28"/>
        <v>San Diego St.Creighton</v>
      </c>
      <c r="D936" t="s">
        <v>20</v>
      </c>
      <c r="E936">
        <v>23.9</v>
      </c>
      <c r="F936" s="1">
        <v>7.5735849056603799</v>
      </c>
      <c r="G936" s="2">
        <v>317.58798810164899</v>
      </c>
      <c r="H936" s="1">
        <v>138.683965082816</v>
      </c>
      <c r="I936" s="1">
        <f t="shared" si="29"/>
        <v>137.46130303993976</v>
      </c>
    </row>
    <row r="937" spans="1:9" x14ac:dyDescent="0.45">
      <c r="A937" t="s">
        <v>58</v>
      </c>
      <c r="B937" t="s">
        <v>20</v>
      </c>
      <c r="C937" t="str">
        <f t="shared" si="28"/>
        <v>SIU EdwardsvilleCreighton</v>
      </c>
      <c r="D937" t="s">
        <v>20</v>
      </c>
      <c r="E937">
        <v>1.5</v>
      </c>
      <c r="F937" s="1">
        <v>27.550943396226401</v>
      </c>
      <c r="G937" s="2">
        <v>6685.6609350938297</v>
      </c>
      <c r="H937" s="1">
        <v>138.743223263</v>
      </c>
      <c r="I937" s="1">
        <f t="shared" si="29"/>
        <v>138.29338955252803</v>
      </c>
    </row>
    <row r="938" spans="1:9" x14ac:dyDescent="0.45">
      <c r="A938" t="s">
        <v>59</v>
      </c>
      <c r="B938" t="s">
        <v>20</v>
      </c>
      <c r="C938" t="str">
        <f t="shared" si="28"/>
        <v>St. John'sCreighton</v>
      </c>
      <c r="D938" t="s">
        <v>59</v>
      </c>
      <c r="E938">
        <v>74.7</v>
      </c>
      <c r="F938" s="1">
        <v>-7.0830188679245296</v>
      </c>
      <c r="G938" s="2">
        <v>-294.56771596409902</v>
      </c>
      <c r="H938" s="1">
        <v>139.56267971155401</v>
      </c>
      <c r="I938" s="1">
        <f t="shared" si="29"/>
        <v>149.79996394239339</v>
      </c>
    </row>
    <row r="939" spans="1:9" x14ac:dyDescent="0.45">
      <c r="A939" t="s">
        <v>60</v>
      </c>
      <c r="B939" t="s">
        <v>20</v>
      </c>
      <c r="C939" t="str">
        <f t="shared" si="28"/>
        <v>TennesseeCreighton</v>
      </c>
      <c r="D939" t="s">
        <v>60</v>
      </c>
      <c r="E939">
        <v>86.7</v>
      </c>
      <c r="F939" s="1">
        <v>-12.2981132075472</v>
      </c>
      <c r="G939" s="2">
        <v>-652.74362626242305</v>
      </c>
      <c r="H939" s="1">
        <v>140.355912085689</v>
      </c>
      <c r="I939" s="1">
        <f t="shared" si="29"/>
        <v>160.93830733762775</v>
      </c>
    </row>
    <row r="940" spans="1:9" x14ac:dyDescent="0.45">
      <c r="A940" t="s">
        <v>61</v>
      </c>
      <c r="B940" t="s">
        <v>20</v>
      </c>
      <c r="C940" t="str">
        <f t="shared" si="28"/>
        <v>TexasCreighton</v>
      </c>
      <c r="D940" t="s">
        <v>20</v>
      </c>
      <c r="E940">
        <v>20.7</v>
      </c>
      <c r="F940" s="1">
        <v>8.8000000000000007</v>
      </c>
      <c r="G940" s="2">
        <v>382.73852934736499</v>
      </c>
      <c r="H940" s="1">
        <v>138.05579391332699</v>
      </c>
      <c r="I940" s="1">
        <f t="shared" si="29"/>
        <v>128.64070213546398</v>
      </c>
    </row>
    <row r="941" spans="1:9" x14ac:dyDescent="0.45">
      <c r="A941" t="s">
        <v>62</v>
      </c>
      <c r="B941" t="s">
        <v>20</v>
      </c>
      <c r="C941" t="str">
        <f t="shared" si="28"/>
        <v>Texas A&amp;MCreighton</v>
      </c>
      <c r="D941" t="s">
        <v>62</v>
      </c>
      <c r="E941">
        <v>59.8</v>
      </c>
      <c r="F941" s="1">
        <v>-2.6037735849056598</v>
      </c>
      <c r="G941" s="2">
        <v>-148.74832890151799</v>
      </c>
      <c r="H941" s="1">
        <v>138.842769222725</v>
      </c>
      <c r="I941" s="1">
        <f t="shared" si="29"/>
        <v>139.69118560722669</v>
      </c>
    </row>
    <row r="942" spans="1:9" x14ac:dyDescent="0.45">
      <c r="A942" t="s">
        <v>63</v>
      </c>
      <c r="B942" t="s">
        <v>20</v>
      </c>
      <c r="C942" t="str">
        <f t="shared" si="28"/>
        <v>Texas TechCreighton</v>
      </c>
      <c r="D942" t="s">
        <v>63</v>
      </c>
      <c r="E942">
        <v>74.2</v>
      </c>
      <c r="F942" s="1">
        <v>-6.9358490566037698</v>
      </c>
      <c r="G942" s="2">
        <v>-288.11610626526101</v>
      </c>
      <c r="H942" s="1">
        <v>139.83328182796399</v>
      </c>
      <c r="I942" s="1">
        <f t="shared" si="29"/>
        <v>153.59968189936441</v>
      </c>
    </row>
    <row r="943" spans="1:9" x14ac:dyDescent="0.45">
      <c r="A943" t="s">
        <v>64</v>
      </c>
      <c r="B943" t="s">
        <v>20</v>
      </c>
      <c r="C943" t="str">
        <f t="shared" si="28"/>
        <v>TroyCreighton</v>
      </c>
      <c r="D943" t="s">
        <v>20</v>
      </c>
      <c r="E943">
        <v>4</v>
      </c>
      <c r="F943" s="1">
        <v>20.871698113207501</v>
      </c>
      <c r="G943" s="2">
        <v>2414.20267662071</v>
      </c>
      <c r="H943" s="1">
        <v>138.599586422523</v>
      </c>
      <c r="I943" s="1">
        <f t="shared" si="29"/>
        <v>136.2764818901498</v>
      </c>
    </row>
    <row r="944" spans="1:9" x14ac:dyDescent="0.45">
      <c r="A944" t="s">
        <v>65</v>
      </c>
      <c r="B944" t="s">
        <v>20</v>
      </c>
      <c r="C944" t="str">
        <f t="shared" si="28"/>
        <v>UC San DiegoCreighton</v>
      </c>
      <c r="D944" t="s">
        <v>20</v>
      </c>
      <c r="E944">
        <v>9.6</v>
      </c>
      <c r="F944" s="1">
        <v>14.690566037735801</v>
      </c>
      <c r="G944" s="2">
        <v>940.25535298494503</v>
      </c>
      <c r="H944" s="1">
        <v>138.66970665218599</v>
      </c>
      <c r="I944" s="1">
        <f t="shared" si="29"/>
        <v>137.26109021225815</v>
      </c>
    </row>
    <row r="945" spans="1:9" x14ac:dyDescent="0.45">
      <c r="A945" t="s">
        <v>66</v>
      </c>
      <c r="B945" t="s">
        <v>20</v>
      </c>
      <c r="C945" t="str">
        <f t="shared" si="28"/>
        <v>UCLACreighton</v>
      </c>
      <c r="D945" t="s">
        <v>20</v>
      </c>
      <c r="E945">
        <v>26.8</v>
      </c>
      <c r="F945" s="1">
        <v>6.5886792452830196</v>
      </c>
      <c r="G945" s="2">
        <v>273.24634599306501</v>
      </c>
      <c r="H945" s="1">
        <v>137.89096523139801</v>
      </c>
      <c r="I945" s="1">
        <f t="shared" si="29"/>
        <v>126.32622466256595</v>
      </c>
    </row>
    <row r="946" spans="1:9" x14ac:dyDescent="0.45">
      <c r="A946" t="s">
        <v>67</v>
      </c>
      <c r="B946" t="s">
        <v>20</v>
      </c>
      <c r="C946" t="str">
        <f t="shared" si="28"/>
        <v>UNC WilmingtonCreighton</v>
      </c>
      <c r="D946" t="s">
        <v>20</v>
      </c>
      <c r="E946">
        <v>5.8</v>
      </c>
      <c r="F946" s="1">
        <v>18.2830188679245</v>
      </c>
      <c r="G946" s="2">
        <v>1626.33049144959</v>
      </c>
      <c r="H946" s="1">
        <v>139.20637512285001</v>
      </c>
      <c r="I946" s="1">
        <f t="shared" si="29"/>
        <v>144.79683624401781</v>
      </c>
    </row>
    <row r="947" spans="1:9" x14ac:dyDescent="0.45">
      <c r="A947" t="s">
        <v>68</v>
      </c>
      <c r="B947" t="s">
        <v>20</v>
      </c>
      <c r="C947" t="str">
        <f t="shared" si="28"/>
        <v>Utah St.Creighton</v>
      </c>
      <c r="D947" t="s">
        <v>20</v>
      </c>
      <c r="E947">
        <v>25.7</v>
      </c>
      <c r="F947" s="1">
        <v>6.9547169811320799</v>
      </c>
      <c r="G947" s="2">
        <v>288.915349801925</v>
      </c>
      <c r="H947" s="1">
        <v>138.75356162142899</v>
      </c>
      <c r="I947" s="1">
        <f t="shared" si="29"/>
        <v>138.43855784126634</v>
      </c>
    </row>
    <row r="948" spans="1:9" x14ac:dyDescent="0.45">
      <c r="A948" t="s">
        <v>69</v>
      </c>
      <c r="B948" t="s">
        <v>20</v>
      </c>
      <c r="C948" t="str">
        <f t="shared" si="28"/>
        <v>VanderbiltCreighton</v>
      </c>
      <c r="D948" t="s">
        <v>20</v>
      </c>
      <c r="E948">
        <v>6.4</v>
      </c>
      <c r="F948" s="1">
        <v>17.603773584905699</v>
      </c>
      <c r="G948" s="2">
        <v>1466.1877433413599</v>
      </c>
      <c r="H948" s="1">
        <v>137.187599502712</v>
      </c>
      <c r="I948" s="1">
        <f t="shared" si="29"/>
        <v>116.44976314384985</v>
      </c>
    </row>
    <row r="949" spans="1:9" x14ac:dyDescent="0.45">
      <c r="A949" t="s">
        <v>70</v>
      </c>
      <c r="B949" t="s">
        <v>20</v>
      </c>
      <c r="C949" t="str">
        <f t="shared" si="28"/>
        <v>VCUCreighton</v>
      </c>
      <c r="D949" t="s">
        <v>20</v>
      </c>
      <c r="E949">
        <v>18</v>
      </c>
      <c r="F949" s="1">
        <v>9.9584905660377405</v>
      </c>
      <c r="G949" s="2">
        <v>456.73872448874801</v>
      </c>
      <c r="H949" s="1">
        <v>139.11277263190499</v>
      </c>
      <c r="I949" s="1">
        <f t="shared" si="29"/>
        <v>143.48249668755199</v>
      </c>
    </row>
    <row r="950" spans="1:9" x14ac:dyDescent="0.45">
      <c r="A950" t="s">
        <v>71</v>
      </c>
      <c r="B950" t="s">
        <v>20</v>
      </c>
      <c r="C950" t="str">
        <f t="shared" si="28"/>
        <v>WisconsinCreighton</v>
      </c>
      <c r="D950" t="s">
        <v>71</v>
      </c>
      <c r="E950">
        <v>71.400000000000006</v>
      </c>
      <c r="F950" s="1">
        <v>-5.9962264150943403</v>
      </c>
      <c r="G950" s="2">
        <v>-249.58461109934501</v>
      </c>
      <c r="H950" s="1">
        <v>139.76602824023701</v>
      </c>
      <c r="I950" s="1">
        <f t="shared" si="29"/>
        <v>152.65532614802294</v>
      </c>
    </row>
    <row r="951" spans="1:9" x14ac:dyDescent="0.45">
      <c r="A951" t="s">
        <v>80</v>
      </c>
      <c r="B951" t="s">
        <v>20</v>
      </c>
      <c r="C951" t="str">
        <f t="shared" si="28"/>
        <v>WoffordCreighton</v>
      </c>
      <c r="D951" t="s">
        <v>20</v>
      </c>
      <c r="E951">
        <v>2.1</v>
      </c>
      <c r="F951" s="1">
        <v>25.177358490566</v>
      </c>
      <c r="G951" s="2">
        <v>4656.5929835555999</v>
      </c>
      <c r="H951" s="1">
        <v>137.86367666946401</v>
      </c>
      <c r="I951" s="1">
        <f t="shared" si="29"/>
        <v>125.94304643699937</v>
      </c>
    </row>
    <row r="952" spans="1:9" x14ac:dyDescent="0.45">
      <c r="A952" t="s">
        <v>72</v>
      </c>
      <c r="B952" t="s">
        <v>20</v>
      </c>
      <c r="C952" t="str">
        <f t="shared" si="28"/>
        <v>XavierCreighton</v>
      </c>
      <c r="D952" t="s">
        <v>20</v>
      </c>
      <c r="E952">
        <v>17.8</v>
      </c>
      <c r="F952" s="1">
        <v>10.030188679245301</v>
      </c>
      <c r="G952" s="2">
        <v>461.86368908189797</v>
      </c>
      <c r="H952" s="1">
        <v>138.606478840085</v>
      </c>
      <c r="I952" s="1">
        <f t="shared" si="29"/>
        <v>136.37326325729032</v>
      </c>
    </row>
    <row r="953" spans="1:9" x14ac:dyDescent="0.45">
      <c r="A953" t="s">
        <v>73</v>
      </c>
      <c r="B953" t="s">
        <v>20</v>
      </c>
      <c r="C953" t="str">
        <f t="shared" si="28"/>
        <v>YaleCreighton</v>
      </c>
      <c r="D953" t="s">
        <v>20</v>
      </c>
      <c r="E953">
        <v>10.199999999999999</v>
      </c>
      <c r="F953" s="1">
        <v>14.2792452830189</v>
      </c>
      <c r="G953" s="2">
        <v>883.20051081256395</v>
      </c>
      <c r="H953" s="1">
        <v>139.20618497647899</v>
      </c>
      <c r="I953" s="1">
        <f t="shared" si="29"/>
        <v>144.7941662627554</v>
      </c>
    </row>
    <row r="954" spans="1:9" x14ac:dyDescent="0.45">
      <c r="A954" t="s">
        <v>7</v>
      </c>
      <c r="B954" t="s">
        <v>21</v>
      </c>
      <c r="C954" t="str">
        <f t="shared" si="28"/>
        <v>AkronDrake</v>
      </c>
      <c r="D954" t="s">
        <v>21</v>
      </c>
      <c r="E954">
        <v>15</v>
      </c>
      <c r="F954" s="1">
        <v>11.3698113207547</v>
      </c>
      <c r="G954" s="2">
        <v>566.69002136228698</v>
      </c>
      <c r="H954" s="1">
        <v>137.78833623138399</v>
      </c>
      <c r="I954" s="1">
        <f t="shared" si="29"/>
        <v>124.88513743297297</v>
      </c>
    </row>
    <row r="955" spans="1:9" x14ac:dyDescent="0.45">
      <c r="A955" t="s">
        <v>8</v>
      </c>
      <c r="B955" t="s">
        <v>21</v>
      </c>
      <c r="C955" t="str">
        <f t="shared" si="28"/>
        <v>AlabamaDrake</v>
      </c>
      <c r="D955" t="s">
        <v>8</v>
      </c>
      <c r="E955">
        <v>93</v>
      </c>
      <c r="F955" s="1">
        <v>-16.969811320754701</v>
      </c>
      <c r="G955" s="2">
        <v>-1331.02170919067</v>
      </c>
      <c r="H955" s="1">
        <v>139.59594741897999</v>
      </c>
      <c r="I955" s="1">
        <f t="shared" si="29"/>
        <v>150.26709962843594</v>
      </c>
    </row>
    <row r="956" spans="1:9" x14ac:dyDescent="0.45">
      <c r="A956" t="s">
        <v>9</v>
      </c>
      <c r="B956" t="s">
        <v>21</v>
      </c>
      <c r="C956" t="str">
        <f t="shared" si="28"/>
        <v>Alabama St.Drake</v>
      </c>
      <c r="D956" t="s">
        <v>21</v>
      </c>
      <c r="E956">
        <v>2.6</v>
      </c>
      <c r="F956" s="1">
        <v>23.690566037735799</v>
      </c>
      <c r="G956" s="2">
        <v>3710.5243240649902</v>
      </c>
      <c r="H956" s="1">
        <v>137.97509799080601</v>
      </c>
      <c r="I956" s="1">
        <f t="shared" si="29"/>
        <v>127.50759294206509</v>
      </c>
    </row>
    <row r="957" spans="1:9" x14ac:dyDescent="0.45">
      <c r="A957" t="s">
        <v>10</v>
      </c>
      <c r="B957" t="s">
        <v>21</v>
      </c>
      <c r="C957" t="str">
        <f t="shared" si="28"/>
        <v>AmericanDrake</v>
      </c>
      <c r="D957" t="s">
        <v>21</v>
      </c>
      <c r="E957">
        <v>2.9</v>
      </c>
      <c r="F957" s="1">
        <v>22.932075471698099</v>
      </c>
      <c r="G957" s="2">
        <v>3305.8946741088498</v>
      </c>
      <c r="H957" s="1">
        <v>137.738387510568</v>
      </c>
      <c r="I957" s="1">
        <f t="shared" si="29"/>
        <v>124.18377170113696</v>
      </c>
    </row>
    <row r="958" spans="1:9" x14ac:dyDescent="0.45">
      <c r="A958" t="s">
        <v>11</v>
      </c>
      <c r="B958" t="s">
        <v>21</v>
      </c>
      <c r="C958" t="str">
        <f t="shared" si="28"/>
        <v>ArizonaDrake</v>
      </c>
      <c r="D958" t="s">
        <v>11</v>
      </c>
      <c r="E958">
        <v>89.7</v>
      </c>
      <c r="F958" s="1">
        <v>-14.215094339622601</v>
      </c>
      <c r="G958" s="2">
        <v>-874.24056935670603</v>
      </c>
      <c r="H958" s="1">
        <v>139.20642675915701</v>
      </c>
      <c r="I958" s="1">
        <f t="shared" si="29"/>
        <v>144.79756130635496</v>
      </c>
    </row>
    <row r="959" spans="1:9" x14ac:dyDescent="0.45">
      <c r="A959" t="s">
        <v>12</v>
      </c>
      <c r="B959" t="s">
        <v>21</v>
      </c>
      <c r="C959" t="str">
        <f t="shared" si="28"/>
        <v>ArkansasDrake</v>
      </c>
      <c r="D959" t="s">
        <v>21</v>
      </c>
      <c r="E959">
        <v>36.299999999999997</v>
      </c>
      <c r="F959" s="1">
        <v>3.6867924528301899</v>
      </c>
      <c r="G959" s="2">
        <v>175.49657609806599</v>
      </c>
      <c r="H959" s="1">
        <v>137.532350736946</v>
      </c>
      <c r="I959" s="1">
        <f t="shared" si="29"/>
        <v>121.29066192463469</v>
      </c>
    </row>
    <row r="960" spans="1:9" x14ac:dyDescent="0.45">
      <c r="A960" t="s">
        <v>13</v>
      </c>
      <c r="B960" t="s">
        <v>21</v>
      </c>
      <c r="C960" t="str">
        <f t="shared" si="28"/>
        <v>AuburnDrake</v>
      </c>
      <c r="D960" t="s">
        <v>13</v>
      </c>
      <c r="E960">
        <v>96.3</v>
      </c>
      <c r="F960" s="1">
        <v>-21.407547169811298</v>
      </c>
      <c r="G960" s="2">
        <v>-2619.96604021967</v>
      </c>
      <c r="H960" s="1">
        <v>140.61816365233199</v>
      </c>
      <c r="I960" s="1">
        <f t="shared" si="29"/>
        <v>164.62076924974167</v>
      </c>
    </row>
    <row r="961" spans="1:9" x14ac:dyDescent="0.45">
      <c r="A961" t="s">
        <v>14</v>
      </c>
      <c r="B961" t="s">
        <v>21</v>
      </c>
      <c r="C961" t="str">
        <f t="shared" si="28"/>
        <v>BaylorDrake</v>
      </c>
      <c r="D961" t="s">
        <v>14</v>
      </c>
      <c r="E961">
        <v>72.5</v>
      </c>
      <c r="F961" s="1">
        <v>-6.35849056603774</v>
      </c>
      <c r="G961" s="2">
        <v>-263.83563827942203</v>
      </c>
      <c r="H961" s="1">
        <v>139.081081013513</v>
      </c>
      <c r="I961" s="1">
        <f t="shared" si="29"/>
        <v>143.0374919954709</v>
      </c>
    </row>
    <row r="962" spans="1:9" x14ac:dyDescent="0.45">
      <c r="A962" t="s">
        <v>15</v>
      </c>
      <c r="B962" t="s">
        <v>21</v>
      </c>
      <c r="C962" t="str">
        <f t="shared" si="28"/>
        <v>BryantDrake</v>
      </c>
      <c r="D962" t="s">
        <v>21</v>
      </c>
      <c r="E962">
        <v>11</v>
      </c>
      <c r="F962" s="1">
        <v>13.7132075471698</v>
      </c>
      <c r="G962" s="2">
        <v>809.80108118505598</v>
      </c>
      <c r="H962" s="1">
        <v>138.67340088915799</v>
      </c>
      <c r="I962" s="1">
        <f t="shared" si="29"/>
        <v>137.31296363714495</v>
      </c>
    </row>
    <row r="963" spans="1:9" x14ac:dyDescent="0.45">
      <c r="A963" t="s">
        <v>16</v>
      </c>
      <c r="B963" t="s">
        <v>21</v>
      </c>
      <c r="C963" t="str">
        <f t="shared" ref="C963:C1026" si="30">A963&amp;B963</f>
        <v>BYUDrake</v>
      </c>
      <c r="D963" t="s">
        <v>16</v>
      </c>
      <c r="E963">
        <v>75.7</v>
      </c>
      <c r="F963" s="1">
        <v>-7.4528301886792496</v>
      </c>
      <c r="G963" s="2">
        <v>-311.77637317925303</v>
      </c>
      <c r="H963" s="1">
        <v>138.843441563602</v>
      </c>
      <c r="I963" s="1">
        <f t="shared" ref="I963:I1026" si="31">18*(H963-AVERAGE($H$2:$H$4625))/_xlfn.STDEV.P($H$2:$H$4625)+AVERAGE($H$2:$H$4625)</f>
        <v>139.70062642660181</v>
      </c>
    </row>
    <row r="964" spans="1:9" x14ac:dyDescent="0.45">
      <c r="A964" t="s">
        <v>17</v>
      </c>
      <c r="B964" t="s">
        <v>21</v>
      </c>
      <c r="C964" t="str">
        <f t="shared" si="30"/>
        <v>ClemsonDrake</v>
      </c>
      <c r="D964" t="s">
        <v>17</v>
      </c>
      <c r="E964">
        <v>81.400000000000006</v>
      </c>
      <c r="F964" s="1">
        <v>-9.6603773584905692</v>
      </c>
      <c r="G964" s="2">
        <v>-436.39962275434402</v>
      </c>
      <c r="H964" s="1">
        <v>139.19349178604401</v>
      </c>
      <c r="I964" s="1">
        <f t="shared" si="31"/>
        <v>144.61593209272399</v>
      </c>
    </row>
    <row r="965" spans="1:9" x14ac:dyDescent="0.45">
      <c r="A965" t="s">
        <v>18</v>
      </c>
      <c r="B965" t="s">
        <v>21</v>
      </c>
      <c r="C965" t="str">
        <f t="shared" si="30"/>
        <v>Colorado St.Drake</v>
      </c>
      <c r="D965" t="s">
        <v>21</v>
      </c>
      <c r="E965">
        <v>42</v>
      </c>
      <c r="F965" s="1">
        <v>2.12452830188679</v>
      </c>
      <c r="G965" s="2">
        <v>138.25458102991499</v>
      </c>
      <c r="H965" s="1">
        <v>138.58310276083799</v>
      </c>
      <c r="I965" s="1">
        <f t="shared" si="31"/>
        <v>136.04502300086935</v>
      </c>
    </row>
    <row r="966" spans="1:9" x14ac:dyDescent="0.45">
      <c r="A966" t="s">
        <v>19</v>
      </c>
      <c r="B966" t="s">
        <v>21</v>
      </c>
      <c r="C966" t="str">
        <f t="shared" si="30"/>
        <v>ConnecticutDrake</v>
      </c>
      <c r="D966" t="s">
        <v>19</v>
      </c>
      <c r="E966">
        <v>87.2</v>
      </c>
      <c r="F966" s="1">
        <v>-12.550943396226399</v>
      </c>
      <c r="G966" s="2">
        <v>-678.53256365327297</v>
      </c>
      <c r="H966" s="1">
        <v>138.99374261679199</v>
      </c>
      <c r="I966" s="1">
        <f t="shared" si="31"/>
        <v>141.81111106853427</v>
      </c>
    </row>
    <row r="967" spans="1:9" x14ac:dyDescent="0.45">
      <c r="A967" t="s">
        <v>20</v>
      </c>
      <c r="B967" t="s">
        <v>21</v>
      </c>
      <c r="C967" t="str">
        <f t="shared" si="30"/>
        <v>CreightonDrake</v>
      </c>
      <c r="D967" t="s">
        <v>20</v>
      </c>
      <c r="E967">
        <v>67.7</v>
      </c>
      <c r="F967" s="1">
        <v>-4.8452830188679199</v>
      </c>
      <c r="G967" s="2">
        <v>-209.38136894311299</v>
      </c>
      <c r="H967" s="1">
        <v>138.543039369631</v>
      </c>
      <c r="I967" s="1">
        <f t="shared" si="31"/>
        <v>135.48246425592703</v>
      </c>
    </row>
    <row r="968" spans="1:9" x14ac:dyDescent="0.45">
      <c r="A968" t="s">
        <v>21</v>
      </c>
      <c r="B968" t="s">
        <v>21</v>
      </c>
      <c r="C968" t="str">
        <f t="shared" si="30"/>
        <v>DrakeDrake</v>
      </c>
      <c r="D968" t="s">
        <v>21</v>
      </c>
      <c r="E968">
        <v>41.2</v>
      </c>
      <c r="F968" s="1">
        <v>2.3283018867924499</v>
      </c>
      <c r="G968" s="2">
        <v>142.64273539779199</v>
      </c>
      <c r="H968" s="1">
        <v>138.77771517530499</v>
      </c>
      <c r="I968" s="1">
        <f t="shared" si="31"/>
        <v>138.77771517530684</v>
      </c>
    </row>
    <row r="969" spans="1:9" x14ac:dyDescent="0.45">
      <c r="A969" t="s">
        <v>22</v>
      </c>
      <c r="B969" t="s">
        <v>21</v>
      </c>
      <c r="C969" t="str">
        <f t="shared" si="30"/>
        <v>DukeDrake</v>
      </c>
      <c r="D969" t="s">
        <v>22</v>
      </c>
      <c r="E969">
        <v>97.3</v>
      </c>
      <c r="F969" s="1">
        <v>-23.622641509434001</v>
      </c>
      <c r="G969" s="2">
        <v>-3672.8464093175198</v>
      </c>
      <c r="H969" s="1">
        <v>140.85805506390801</v>
      </c>
      <c r="I969" s="1">
        <f t="shared" si="31"/>
        <v>167.98925622383302</v>
      </c>
    </row>
    <row r="970" spans="1:9" x14ac:dyDescent="0.45">
      <c r="A970" t="s">
        <v>23</v>
      </c>
      <c r="B970" t="s">
        <v>21</v>
      </c>
      <c r="C970" t="str">
        <f t="shared" si="30"/>
        <v>FloridaDrake</v>
      </c>
      <c r="D970" t="s">
        <v>23</v>
      </c>
      <c r="E970">
        <v>95.3</v>
      </c>
      <c r="F970" s="1">
        <v>-19.7660377358491</v>
      </c>
      <c r="G970" s="2">
        <v>-2039.2506401120199</v>
      </c>
      <c r="H970" s="1">
        <v>140.59270559146199</v>
      </c>
      <c r="I970" s="1">
        <f t="shared" si="31"/>
        <v>164.26329439950501</v>
      </c>
    </row>
    <row r="971" spans="1:9" x14ac:dyDescent="0.45">
      <c r="A971" t="s">
        <v>24</v>
      </c>
      <c r="B971" t="s">
        <v>21</v>
      </c>
      <c r="C971" t="str">
        <f t="shared" si="30"/>
        <v>GeorgiaDrake</v>
      </c>
      <c r="D971" t="s">
        <v>21</v>
      </c>
      <c r="E971">
        <v>45.1</v>
      </c>
      <c r="F971" s="1">
        <v>1.29433962264151</v>
      </c>
      <c r="G971" s="2">
        <v>121.855436762899</v>
      </c>
      <c r="H971" s="1">
        <v>137.856663887747</v>
      </c>
      <c r="I971" s="1">
        <f t="shared" si="31"/>
        <v>125.84457495062686</v>
      </c>
    </row>
    <row r="972" spans="1:9" x14ac:dyDescent="0.45">
      <c r="A972" t="s">
        <v>25</v>
      </c>
      <c r="B972" t="s">
        <v>21</v>
      </c>
      <c r="C972" t="str">
        <f t="shared" si="30"/>
        <v>GonzagaDrake</v>
      </c>
      <c r="D972" t="s">
        <v>25</v>
      </c>
      <c r="E972">
        <v>80.599999999999994</v>
      </c>
      <c r="F972" s="1">
        <v>-9.3358490566037702</v>
      </c>
      <c r="G972" s="2">
        <v>-415.33060241335602</v>
      </c>
      <c r="H972" s="1">
        <v>139.833625618253</v>
      </c>
      <c r="I972" s="1">
        <f t="shared" si="31"/>
        <v>153.60450930482565</v>
      </c>
    </row>
    <row r="973" spans="1:9" x14ac:dyDescent="0.45">
      <c r="A973" t="s">
        <v>26</v>
      </c>
      <c r="B973" t="s">
        <v>21</v>
      </c>
      <c r="C973" t="str">
        <f t="shared" si="30"/>
        <v>Grand CanyonDrake</v>
      </c>
      <c r="D973" t="s">
        <v>21</v>
      </c>
      <c r="E973">
        <v>31.1</v>
      </c>
      <c r="F973" s="1">
        <v>5.2150943396226399</v>
      </c>
      <c r="G973" s="2">
        <v>221.607728891487</v>
      </c>
      <c r="H973" s="1">
        <v>138.65159733579301</v>
      </c>
      <c r="I973" s="1">
        <f t="shared" si="31"/>
        <v>137.00680434191918</v>
      </c>
    </row>
    <row r="974" spans="1:9" x14ac:dyDescent="0.45">
      <c r="A974" t="s">
        <v>27</v>
      </c>
      <c r="B974" t="s">
        <v>21</v>
      </c>
      <c r="C974" t="str">
        <f t="shared" si="30"/>
        <v>High PointDrake</v>
      </c>
      <c r="D974" t="s">
        <v>21</v>
      </c>
      <c r="E974">
        <v>22</v>
      </c>
      <c r="F974" s="1">
        <v>8.3056603773584907</v>
      </c>
      <c r="G974" s="2">
        <v>355.03156284329299</v>
      </c>
      <c r="H974" s="1">
        <v>138.84280446934099</v>
      </c>
      <c r="I974" s="1">
        <f t="shared" si="31"/>
        <v>139.69168053018402</v>
      </c>
    </row>
    <row r="975" spans="1:9" x14ac:dyDescent="0.45">
      <c r="A975" t="s">
        <v>28</v>
      </c>
      <c r="B975" t="s">
        <v>21</v>
      </c>
      <c r="C975" t="str">
        <f t="shared" si="30"/>
        <v>HoustonDrake</v>
      </c>
      <c r="D975" t="s">
        <v>28</v>
      </c>
      <c r="E975">
        <v>98.4</v>
      </c>
      <c r="F975" s="1">
        <v>-26.977358490566001</v>
      </c>
      <c r="G975" s="2">
        <v>-6126.7890572506403</v>
      </c>
      <c r="H975" s="1">
        <v>140.95626682654401</v>
      </c>
      <c r="I975" s="1">
        <f t="shared" si="31"/>
        <v>169.36831786246557</v>
      </c>
    </row>
    <row r="976" spans="1:9" x14ac:dyDescent="0.45">
      <c r="A976" t="s">
        <v>29</v>
      </c>
      <c r="B976" t="s">
        <v>21</v>
      </c>
      <c r="C976" t="str">
        <f t="shared" si="30"/>
        <v>IllinoisDrake</v>
      </c>
      <c r="D976" t="s">
        <v>29</v>
      </c>
      <c r="E976">
        <v>85.8</v>
      </c>
      <c r="F976" s="1">
        <v>-11.788679245282999</v>
      </c>
      <c r="G976" s="2">
        <v>-603.97553623671399</v>
      </c>
      <c r="H976" s="1">
        <v>139.01473060150599</v>
      </c>
      <c r="I976" s="1">
        <f t="shared" si="31"/>
        <v>142.10581838071798</v>
      </c>
    </row>
    <row r="977" spans="1:9" x14ac:dyDescent="0.45">
      <c r="A977" t="s">
        <v>30</v>
      </c>
      <c r="B977" t="s">
        <v>21</v>
      </c>
      <c r="C977" t="str">
        <f t="shared" si="30"/>
        <v>Iowa St.Drake</v>
      </c>
      <c r="D977" t="s">
        <v>30</v>
      </c>
      <c r="E977">
        <v>92.7</v>
      </c>
      <c r="F977" s="1">
        <v>-16.649056603773602</v>
      </c>
      <c r="G977" s="2">
        <v>-1267.87198969062</v>
      </c>
      <c r="H977" s="1">
        <v>139.91127289309199</v>
      </c>
      <c r="I977" s="1">
        <f t="shared" si="31"/>
        <v>154.69481025453663</v>
      </c>
    </row>
    <row r="978" spans="1:9" x14ac:dyDescent="0.45">
      <c r="A978" t="s">
        <v>31</v>
      </c>
      <c r="B978" t="s">
        <v>21</v>
      </c>
      <c r="C978" t="str">
        <f t="shared" si="30"/>
        <v>KansasDrake</v>
      </c>
      <c r="D978" t="s">
        <v>31</v>
      </c>
      <c r="E978">
        <v>79.599999999999994</v>
      </c>
      <c r="F978" s="1">
        <v>-8.9320754716981092</v>
      </c>
      <c r="G978" s="2">
        <v>-390.72794346430999</v>
      </c>
      <c r="H978" s="1">
        <v>138.961860781946</v>
      </c>
      <c r="I978" s="1">
        <f t="shared" si="31"/>
        <v>141.36343541110534</v>
      </c>
    </row>
    <row r="979" spans="1:9" x14ac:dyDescent="0.45">
      <c r="A979" t="s">
        <v>32</v>
      </c>
      <c r="B979" t="s">
        <v>21</v>
      </c>
      <c r="C979" t="str">
        <f t="shared" si="30"/>
        <v>KentuckyDrake</v>
      </c>
      <c r="D979" t="s">
        <v>32</v>
      </c>
      <c r="E979">
        <v>86.7</v>
      </c>
      <c r="F979" s="1">
        <v>-12.2981132075472</v>
      </c>
      <c r="G979" s="2">
        <v>-652.77034180162696</v>
      </c>
      <c r="H979" s="1">
        <v>138.89614311407101</v>
      </c>
      <c r="I979" s="1">
        <f t="shared" si="31"/>
        <v>140.44064660949618</v>
      </c>
    </row>
    <row r="980" spans="1:9" x14ac:dyDescent="0.45">
      <c r="A980" t="s">
        <v>33</v>
      </c>
      <c r="B980" t="s">
        <v>21</v>
      </c>
      <c r="C980" t="str">
        <f t="shared" si="30"/>
        <v>LibertyDrake</v>
      </c>
      <c r="D980" t="s">
        <v>21</v>
      </c>
      <c r="E980">
        <v>16.399999999999999</v>
      </c>
      <c r="F980" s="1">
        <v>10.686792452830201</v>
      </c>
      <c r="G980" s="2">
        <v>510.58435187590402</v>
      </c>
      <c r="H980" s="1">
        <v>138.24114415778899</v>
      </c>
      <c r="I980" s="1">
        <f t="shared" si="31"/>
        <v>131.24333755293509</v>
      </c>
    </row>
    <row r="981" spans="1:9" x14ac:dyDescent="0.45">
      <c r="A981" t="s">
        <v>34</v>
      </c>
      <c r="B981" t="s">
        <v>21</v>
      </c>
      <c r="C981" t="str">
        <f t="shared" si="30"/>
        <v>LipscombDrake</v>
      </c>
      <c r="D981" t="s">
        <v>21</v>
      </c>
      <c r="E981">
        <v>12.8</v>
      </c>
      <c r="F981" s="1">
        <v>12.554716981132101</v>
      </c>
      <c r="G981" s="2">
        <v>678.68117216903204</v>
      </c>
      <c r="H981" s="1">
        <v>138.64746235537999</v>
      </c>
      <c r="I981" s="1">
        <f t="shared" si="31"/>
        <v>136.94874212298481</v>
      </c>
    </row>
    <row r="982" spans="1:9" x14ac:dyDescent="0.45">
      <c r="A982" t="s">
        <v>35</v>
      </c>
      <c r="B982" t="s">
        <v>21</v>
      </c>
      <c r="C982" t="str">
        <f t="shared" si="30"/>
        <v>LouisvilleDrake</v>
      </c>
      <c r="D982" t="s">
        <v>21</v>
      </c>
      <c r="E982">
        <v>27</v>
      </c>
      <c r="F982" s="1">
        <v>6.50566037735849</v>
      </c>
      <c r="G982" s="2">
        <v>269.729201198407</v>
      </c>
      <c r="H982" s="1">
        <v>137.892824361198</v>
      </c>
      <c r="I982" s="1">
        <f t="shared" si="31"/>
        <v>126.35233003446419</v>
      </c>
    </row>
    <row r="983" spans="1:9" x14ac:dyDescent="0.45">
      <c r="A983" t="s">
        <v>36</v>
      </c>
      <c r="B983" t="s">
        <v>21</v>
      </c>
      <c r="C983" t="str">
        <f t="shared" si="30"/>
        <v>MarquetteDrake</v>
      </c>
      <c r="D983" t="s">
        <v>36</v>
      </c>
      <c r="E983">
        <v>83.4</v>
      </c>
      <c r="F983" s="1">
        <v>-10.562264150943401</v>
      </c>
      <c r="G983" s="2">
        <v>-500.97416630116697</v>
      </c>
      <c r="H983" s="1">
        <v>139.15495820466001</v>
      </c>
      <c r="I983" s="1">
        <f t="shared" si="31"/>
        <v>144.07485450222441</v>
      </c>
    </row>
    <row r="984" spans="1:9" x14ac:dyDescent="0.45">
      <c r="A984" t="s">
        <v>37</v>
      </c>
      <c r="B984" t="s">
        <v>21</v>
      </c>
      <c r="C984" t="str">
        <f t="shared" si="30"/>
        <v>MarylandDrake</v>
      </c>
      <c r="D984" t="s">
        <v>37</v>
      </c>
      <c r="E984">
        <v>75.599999999999994</v>
      </c>
      <c r="F984" s="1">
        <v>-7.3962264150943398</v>
      </c>
      <c r="G984" s="2">
        <v>-309.01637920132998</v>
      </c>
      <c r="H984" s="1">
        <v>138.61332780320299</v>
      </c>
      <c r="I984" s="1">
        <f t="shared" si="31"/>
        <v>136.46943444948684</v>
      </c>
    </row>
    <row r="985" spans="1:9" x14ac:dyDescent="0.45">
      <c r="A985" t="s">
        <v>38</v>
      </c>
      <c r="B985" t="s">
        <v>21</v>
      </c>
      <c r="C985" t="str">
        <f t="shared" si="30"/>
        <v>McNeese St.Drake</v>
      </c>
      <c r="D985" t="s">
        <v>21</v>
      </c>
      <c r="E985">
        <v>41.9</v>
      </c>
      <c r="F985" s="1">
        <v>2.1433962264150899</v>
      </c>
      <c r="G985" s="2">
        <v>138.70374082136999</v>
      </c>
      <c r="H985" s="1">
        <v>139.20656321616701</v>
      </c>
      <c r="I985" s="1">
        <f t="shared" si="31"/>
        <v>144.79947739687981</v>
      </c>
    </row>
    <row r="986" spans="1:9" x14ac:dyDescent="0.45">
      <c r="A986" t="s">
        <v>39</v>
      </c>
      <c r="B986" t="s">
        <v>21</v>
      </c>
      <c r="C986" t="str">
        <f t="shared" si="30"/>
        <v>MemphisDrake</v>
      </c>
      <c r="D986" t="s">
        <v>39</v>
      </c>
      <c r="E986">
        <v>63.5</v>
      </c>
      <c r="F986" s="1">
        <v>-3.63018867924528</v>
      </c>
      <c r="G986" s="2">
        <v>-174.01277501642701</v>
      </c>
      <c r="H986" s="1">
        <v>137.740845042693</v>
      </c>
      <c r="I986" s="1">
        <f t="shared" si="31"/>
        <v>124.21827966829204</v>
      </c>
    </row>
    <row r="987" spans="1:9" x14ac:dyDescent="0.45">
      <c r="A987" t="s">
        <v>40</v>
      </c>
      <c r="B987" t="s">
        <v>21</v>
      </c>
      <c r="C987" t="str">
        <f t="shared" si="30"/>
        <v>MichiganDrake</v>
      </c>
      <c r="D987" t="s">
        <v>21</v>
      </c>
      <c r="E987">
        <v>46.2</v>
      </c>
      <c r="F987" s="1">
        <v>0.99245283018867902</v>
      </c>
      <c r="G987" s="2">
        <v>116.362622723499</v>
      </c>
      <c r="H987" s="1">
        <v>137.30346633961</v>
      </c>
      <c r="I987" s="1">
        <f t="shared" si="31"/>
        <v>118.07673231400861</v>
      </c>
    </row>
    <row r="988" spans="1:9" x14ac:dyDescent="0.45">
      <c r="A988" t="s">
        <v>41</v>
      </c>
      <c r="B988" t="s">
        <v>21</v>
      </c>
      <c r="C988" t="str">
        <f t="shared" si="30"/>
        <v>Michigan St.Drake</v>
      </c>
      <c r="D988" t="s">
        <v>41</v>
      </c>
      <c r="E988">
        <v>89.1</v>
      </c>
      <c r="F988" s="1">
        <v>-13.7547169811321</v>
      </c>
      <c r="G988" s="2">
        <v>-814.97003366066895</v>
      </c>
      <c r="H988" s="1">
        <v>138.95054604881699</v>
      </c>
      <c r="I988" s="1">
        <f t="shared" si="31"/>
        <v>141.20455714651888</v>
      </c>
    </row>
    <row r="989" spans="1:9" x14ac:dyDescent="0.45">
      <c r="A989" t="s">
        <v>42</v>
      </c>
      <c r="B989" t="s">
        <v>21</v>
      </c>
      <c r="C989" t="str">
        <f t="shared" si="30"/>
        <v>MississippiDrake</v>
      </c>
      <c r="D989" t="s">
        <v>42</v>
      </c>
      <c r="E989">
        <v>69</v>
      </c>
      <c r="F989" s="1">
        <v>-5.25660377358491</v>
      </c>
      <c r="G989" s="2">
        <v>-222.98221486342999</v>
      </c>
      <c r="H989" s="1">
        <v>138.21823739870601</v>
      </c>
      <c r="I989" s="1">
        <f t="shared" si="31"/>
        <v>130.92168735677859</v>
      </c>
    </row>
    <row r="990" spans="1:9" x14ac:dyDescent="0.45">
      <c r="A990" t="s">
        <v>43</v>
      </c>
      <c r="B990" t="s">
        <v>21</v>
      </c>
      <c r="C990" t="str">
        <f t="shared" si="30"/>
        <v>Mississippi St.Drake</v>
      </c>
      <c r="D990" t="s">
        <v>43</v>
      </c>
      <c r="E990">
        <v>63.2</v>
      </c>
      <c r="F990" s="1">
        <v>-3.5320754716981102</v>
      </c>
      <c r="G990" s="2">
        <v>-171.43240148258201</v>
      </c>
      <c r="H990" s="1">
        <v>138.357983871383</v>
      </c>
      <c r="I990" s="1">
        <f t="shared" si="31"/>
        <v>132.88396758096439</v>
      </c>
    </row>
    <row r="991" spans="1:9" x14ac:dyDescent="0.45">
      <c r="A991" t="s">
        <v>44</v>
      </c>
      <c r="B991" t="s">
        <v>21</v>
      </c>
      <c r="C991" t="str">
        <f t="shared" si="30"/>
        <v>MissouriDrake</v>
      </c>
      <c r="D991" t="s">
        <v>21</v>
      </c>
      <c r="E991">
        <v>44.7</v>
      </c>
      <c r="F991" s="1">
        <v>1.4</v>
      </c>
      <c r="G991" s="2">
        <v>123.81845281947299</v>
      </c>
      <c r="H991" s="1">
        <v>137.775645770029</v>
      </c>
      <c r="I991" s="1">
        <f t="shared" si="31"/>
        <v>124.70694158390667</v>
      </c>
    </row>
    <row r="992" spans="1:9" x14ac:dyDescent="0.45">
      <c r="A992" t="s">
        <v>45</v>
      </c>
      <c r="B992" t="s">
        <v>21</v>
      </c>
      <c r="C992" t="str">
        <f t="shared" si="30"/>
        <v>MontanaDrake</v>
      </c>
      <c r="D992" t="s">
        <v>21</v>
      </c>
      <c r="E992">
        <v>6.8</v>
      </c>
      <c r="F992" s="1">
        <v>17.207547169811299</v>
      </c>
      <c r="G992" s="2">
        <v>1380.1653361363401</v>
      </c>
      <c r="H992" s="1">
        <v>136.91235733343501</v>
      </c>
      <c r="I992" s="1">
        <f t="shared" si="31"/>
        <v>112.5848908841926</v>
      </c>
    </row>
    <row r="993" spans="1:9" x14ac:dyDescent="0.45">
      <c r="A993" t="s">
        <v>46</v>
      </c>
      <c r="B993" t="s">
        <v>21</v>
      </c>
      <c r="C993" t="str">
        <f t="shared" si="30"/>
        <v>Mount St. Mary'sDrake</v>
      </c>
      <c r="D993" t="s">
        <v>21</v>
      </c>
      <c r="E993">
        <v>2.7</v>
      </c>
      <c r="F993" s="1">
        <v>23.5396226415094</v>
      </c>
      <c r="G993" s="2">
        <v>3627.0642944145102</v>
      </c>
      <c r="H993" s="1">
        <v>138.215645287586</v>
      </c>
      <c r="I993" s="1">
        <f t="shared" si="31"/>
        <v>130.88528966965097</v>
      </c>
    </row>
    <row r="994" spans="1:9" x14ac:dyDescent="0.45">
      <c r="A994" t="s">
        <v>47</v>
      </c>
      <c r="B994" t="s">
        <v>21</v>
      </c>
      <c r="C994" t="str">
        <f t="shared" si="30"/>
        <v>Nebraska OmahaDrake</v>
      </c>
      <c r="D994" t="s">
        <v>21</v>
      </c>
      <c r="E994">
        <v>3.7</v>
      </c>
      <c r="F994" s="1">
        <v>21.350943396226398</v>
      </c>
      <c r="G994" s="2">
        <v>2596.8850889619498</v>
      </c>
      <c r="H994" s="1">
        <v>137.633421419689</v>
      </c>
      <c r="I994" s="1">
        <f t="shared" si="31"/>
        <v>122.70986770630738</v>
      </c>
    </row>
    <row r="995" spans="1:9" x14ac:dyDescent="0.45">
      <c r="A995" t="s">
        <v>48</v>
      </c>
      <c r="B995" t="s">
        <v>21</v>
      </c>
      <c r="C995" t="str">
        <f t="shared" si="30"/>
        <v>New MexicoDrake</v>
      </c>
      <c r="D995" t="s">
        <v>21</v>
      </c>
      <c r="E995">
        <v>48</v>
      </c>
      <c r="F995" s="1">
        <v>0.51698113207547203</v>
      </c>
      <c r="G995" s="2">
        <v>108.235452969923</v>
      </c>
      <c r="H995" s="1">
        <v>138.40341135150601</v>
      </c>
      <c r="I995" s="1">
        <f t="shared" si="31"/>
        <v>133.52184733687079</v>
      </c>
    </row>
    <row r="996" spans="1:9" x14ac:dyDescent="0.45">
      <c r="A996" t="s">
        <v>49</v>
      </c>
      <c r="B996" t="s">
        <v>21</v>
      </c>
      <c r="C996" t="str">
        <f t="shared" si="30"/>
        <v>Norfolk St.Drake</v>
      </c>
      <c r="D996" t="s">
        <v>21</v>
      </c>
      <c r="E996">
        <v>5.2</v>
      </c>
      <c r="F996" s="1">
        <v>19.086792452830199</v>
      </c>
      <c r="G996" s="2">
        <v>1838.2301978985599</v>
      </c>
      <c r="H996" s="1">
        <v>137.43953711546999</v>
      </c>
      <c r="I996" s="1">
        <f t="shared" si="31"/>
        <v>119.98739944889113</v>
      </c>
    </row>
    <row r="997" spans="1:9" x14ac:dyDescent="0.45">
      <c r="A997" t="s">
        <v>50</v>
      </c>
      <c r="B997" t="s">
        <v>21</v>
      </c>
      <c r="C997" t="str">
        <f t="shared" si="30"/>
        <v>North CarolinaDrake</v>
      </c>
      <c r="D997" t="s">
        <v>50</v>
      </c>
      <c r="E997">
        <v>75.900000000000006</v>
      </c>
      <c r="F997" s="1">
        <v>-7.5320754716981098</v>
      </c>
      <c r="G997" s="2">
        <v>-315.49135663044399</v>
      </c>
      <c r="H997" s="1">
        <v>139.51314306993899</v>
      </c>
      <c r="I997" s="1">
        <f t="shared" si="31"/>
        <v>149.1043845094984</v>
      </c>
    </row>
    <row r="998" spans="1:9" x14ac:dyDescent="0.45">
      <c r="A998" t="s">
        <v>51</v>
      </c>
      <c r="B998" t="s">
        <v>21</v>
      </c>
      <c r="C998" t="str">
        <f t="shared" si="30"/>
        <v>OklahomaDrake</v>
      </c>
      <c r="D998" t="s">
        <v>51</v>
      </c>
      <c r="E998">
        <v>52.5</v>
      </c>
      <c r="F998" s="1">
        <v>-0.64905660377358498</v>
      </c>
      <c r="G998" s="2">
        <v>-110.410466712619</v>
      </c>
      <c r="H998" s="1">
        <v>137.93676619611401</v>
      </c>
      <c r="I998" s="1">
        <f t="shared" si="31"/>
        <v>126.96934878290467</v>
      </c>
    </row>
    <row r="999" spans="1:9" x14ac:dyDescent="0.45">
      <c r="A999" t="s">
        <v>52</v>
      </c>
      <c r="B999" t="s">
        <v>21</v>
      </c>
      <c r="C999" t="str">
        <f t="shared" si="30"/>
        <v>OregonDrake</v>
      </c>
      <c r="D999" t="s">
        <v>52</v>
      </c>
      <c r="E999">
        <v>75.599999999999994</v>
      </c>
      <c r="F999" s="1">
        <v>-7.4150943396226401</v>
      </c>
      <c r="G999" s="2">
        <v>-309.93918842181398</v>
      </c>
      <c r="H999" s="1">
        <v>138.22748358764301</v>
      </c>
      <c r="I999" s="1">
        <f t="shared" si="31"/>
        <v>131.05151971213323</v>
      </c>
    </row>
    <row r="1000" spans="1:9" x14ac:dyDescent="0.45">
      <c r="A1000" t="s">
        <v>53</v>
      </c>
      <c r="B1000" t="s">
        <v>21</v>
      </c>
      <c r="C1000" t="str">
        <f t="shared" si="30"/>
        <v>PurdueDrake</v>
      </c>
      <c r="D1000" t="s">
        <v>53</v>
      </c>
      <c r="E1000">
        <v>94.6</v>
      </c>
      <c r="F1000" s="1">
        <v>-18.788679245282999</v>
      </c>
      <c r="G1000" s="2">
        <v>-1756.6130766968899</v>
      </c>
      <c r="H1000" s="1">
        <v>139.71557078744101</v>
      </c>
      <c r="I1000" s="1">
        <f t="shared" si="31"/>
        <v>151.94681694641162</v>
      </c>
    </row>
    <row r="1001" spans="1:9" x14ac:dyDescent="0.45">
      <c r="A1001" t="s">
        <v>54</v>
      </c>
      <c r="B1001" t="s">
        <v>21</v>
      </c>
      <c r="C1001" t="str">
        <f t="shared" si="30"/>
        <v>Robert MorrisDrake</v>
      </c>
      <c r="D1001" t="s">
        <v>21</v>
      </c>
      <c r="E1001">
        <v>2.1</v>
      </c>
      <c r="F1001" s="1">
        <v>25.101886792452799</v>
      </c>
      <c r="G1001" s="2">
        <v>4602.1290112482902</v>
      </c>
      <c r="H1001" s="1">
        <v>136.79853611612799</v>
      </c>
      <c r="I1001" s="1">
        <f t="shared" si="31"/>
        <v>110.98664572253782</v>
      </c>
    </row>
    <row r="1002" spans="1:9" x14ac:dyDescent="0.45">
      <c r="A1002" t="s">
        <v>55</v>
      </c>
      <c r="B1002" t="s">
        <v>21</v>
      </c>
      <c r="C1002" t="str">
        <f t="shared" si="30"/>
        <v>Saint FrancisDrake</v>
      </c>
      <c r="D1002" t="s">
        <v>21</v>
      </c>
      <c r="E1002">
        <v>1.3</v>
      </c>
      <c r="F1002" s="1">
        <v>28.464150943396199</v>
      </c>
      <c r="G1002" s="2">
        <v>7686.7186188905598</v>
      </c>
      <c r="H1002" s="1">
        <v>137.505383998171</v>
      </c>
      <c r="I1002" s="1">
        <f t="shared" si="31"/>
        <v>120.91200264833739</v>
      </c>
    </row>
    <row r="1003" spans="1:9" x14ac:dyDescent="0.45">
      <c r="A1003" t="s">
        <v>56</v>
      </c>
      <c r="B1003" t="s">
        <v>21</v>
      </c>
      <c r="C1003" t="str">
        <f t="shared" si="30"/>
        <v>Saint Mary'sDrake</v>
      </c>
      <c r="D1003" t="s">
        <v>56</v>
      </c>
      <c r="E1003">
        <v>75.2</v>
      </c>
      <c r="F1003" s="1">
        <v>-7.2716981132075498</v>
      </c>
      <c r="G1003" s="2">
        <v>-303.19580729601699</v>
      </c>
      <c r="H1003" s="1">
        <v>139.23459011411299</v>
      </c>
      <c r="I1003" s="1">
        <f t="shared" si="31"/>
        <v>145.19302312673722</v>
      </c>
    </row>
    <row r="1004" spans="1:9" x14ac:dyDescent="0.45">
      <c r="A1004" t="s">
        <v>57</v>
      </c>
      <c r="B1004" t="s">
        <v>21</v>
      </c>
      <c r="C1004" t="str">
        <f t="shared" si="30"/>
        <v>San Diego St.Drake</v>
      </c>
      <c r="D1004" t="s">
        <v>21</v>
      </c>
      <c r="E1004">
        <v>48.5</v>
      </c>
      <c r="F1004" s="1">
        <v>0.40377358490566001</v>
      </c>
      <c r="G1004" s="2">
        <v>106.33503408741799</v>
      </c>
      <c r="H1004" s="1">
        <v>138.44928927714199</v>
      </c>
      <c r="I1004" s="1">
        <f t="shared" si="31"/>
        <v>134.16605212055953</v>
      </c>
    </row>
    <row r="1005" spans="1:9" x14ac:dyDescent="0.45">
      <c r="A1005" t="s">
        <v>58</v>
      </c>
      <c r="B1005" t="s">
        <v>21</v>
      </c>
      <c r="C1005" t="str">
        <f t="shared" si="30"/>
        <v>SIU EdwardsvilleDrake</v>
      </c>
      <c r="D1005" t="s">
        <v>21</v>
      </c>
      <c r="E1005">
        <v>4.3</v>
      </c>
      <c r="F1005" s="1">
        <v>20.377358490565999</v>
      </c>
      <c r="G1005" s="2">
        <v>2238.4977079252099</v>
      </c>
      <c r="H1005" s="1">
        <v>138.50854745732599</v>
      </c>
      <c r="I1005" s="1">
        <f t="shared" si="31"/>
        <v>134.99813863314779</v>
      </c>
    </row>
    <row r="1006" spans="1:9" x14ac:dyDescent="0.45">
      <c r="A1006" t="s">
        <v>59</v>
      </c>
      <c r="B1006" t="s">
        <v>21</v>
      </c>
      <c r="C1006" t="str">
        <f t="shared" si="30"/>
        <v>St. John'sDrake</v>
      </c>
      <c r="D1006" t="s">
        <v>59</v>
      </c>
      <c r="E1006">
        <v>89.8</v>
      </c>
      <c r="F1006" s="1">
        <v>-14.2528301886792</v>
      </c>
      <c r="G1006" s="2">
        <v>-879.77747950715695</v>
      </c>
      <c r="H1006" s="1">
        <v>139.32800390588</v>
      </c>
      <c r="I1006" s="1">
        <f t="shared" si="31"/>
        <v>146.50471302301315</v>
      </c>
    </row>
    <row r="1007" spans="1:9" x14ac:dyDescent="0.45">
      <c r="A1007" t="s">
        <v>60</v>
      </c>
      <c r="B1007" t="s">
        <v>21</v>
      </c>
      <c r="C1007" t="str">
        <f t="shared" si="30"/>
        <v>TennesseeDrake</v>
      </c>
      <c r="D1007" t="s">
        <v>60</v>
      </c>
      <c r="E1007">
        <v>95.1</v>
      </c>
      <c r="F1007" s="1">
        <v>-19.471698113207498</v>
      </c>
      <c r="G1007" s="2">
        <v>-1949.5318432910201</v>
      </c>
      <c r="H1007" s="1">
        <v>140.12123628001399</v>
      </c>
      <c r="I1007" s="1">
        <f t="shared" si="31"/>
        <v>157.64305641823356</v>
      </c>
    </row>
    <row r="1008" spans="1:9" x14ac:dyDescent="0.45">
      <c r="A1008" t="s">
        <v>61</v>
      </c>
      <c r="B1008" t="s">
        <v>21</v>
      </c>
      <c r="C1008" t="str">
        <f t="shared" si="30"/>
        <v>TexasDrake</v>
      </c>
      <c r="D1008" t="s">
        <v>21</v>
      </c>
      <c r="E1008">
        <v>43.8</v>
      </c>
      <c r="F1008" s="1">
        <v>1.6264150943396201</v>
      </c>
      <c r="G1008" s="2">
        <v>128.14878424083901</v>
      </c>
      <c r="H1008" s="1">
        <v>137.82111810765201</v>
      </c>
      <c r="I1008" s="1">
        <f t="shared" si="31"/>
        <v>125.34545121607019</v>
      </c>
    </row>
    <row r="1009" spans="1:9" x14ac:dyDescent="0.45">
      <c r="A1009" t="s">
        <v>62</v>
      </c>
      <c r="B1009" t="s">
        <v>21</v>
      </c>
      <c r="C1009" t="str">
        <f t="shared" si="30"/>
        <v>Texas A&amp;MDrake</v>
      </c>
      <c r="D1009" t="s">
        <v>62</v>
      </c>
      <c r="E1009">
        <v>81.599999999999994</v>
      </c>
      <c r="F1009" s="1">
        <v>-9.7773584905660407</v>
      </c>
      <c r="G1009" s="2">
        <v>-444.26263568485803</v>
      </c>
      <c r="H1009" s="1">
        <v>138.60809341704999</v>
      </c>
      <c r="I1009" s="1">
        <f t="shared" si="31"/>
        <v>136.39593468783249</v>
      </c>
    </row>
    <row r="1010" spans="1:9" x14ac:dyDescent="0.45">
      <c r="A1010" t="s">
        <v>63</v>
      </c>
      <c r="B1010" t="s">
        <v>21</v>
      </c>
      <c r="C1010" t="str">
        <f t="shared" si="30"/>
        <v>Texas TechDrake</v>
      </c>
      <c r="D1010" t="s">
        <v>63</v>
      </c>
      <c r="E1010">
        <v>89.6</v>
      </c>
      <c r="F1010" s="1">
        <v>-14.1094339622642</v>
      </c>
      <c r="G1010" s="2">
        <v>-860.50863023414502</v>
      </c>
      <c r="H1010" s="1">
        <v>139.59860602229</v>
      </c>
      <c r="I1010" s="1">
        <f t="shared" si="31"/>
        <v>150.3044309799846</v>
      </c>
    </row>
    <row r="1011" spans="1:9" x14ac:dyDescent="0.45">
      <c r="A1011" t="s">
        <v>64</v>
      </c>
      <c r="B1011" t="s">
        <v>21</v>
      </c>
      <c r="C1011" t="str">
        <f t="shared" si="30"/>
        <v>TroyDrake</v>
      </c>
      <c r="D1011" t="s">
        <v>21</v>
      </c>
      <c r="E1011">
        <v>11</v>
      </c>
      <c r="F1011" s="1">
        <v>13.6981132075472</v>
      </c>
      <c r="G1011" s="2">
        <v>808.32504228791504</v>
      </c>
      <c r="H1011" s="1">
        <v>138.36491061684799</v>
      </c>
      <c r="I1011" s="1">
        <f t="shared" si="31"/>
        <v>132.9812309707556</v>
      </c>
    </row>
    <row r="1012" spans="1:9" x14ac:dyDescent="0.45">
      <c r="A1012" t="s">
        <v>65</v>
      </c>
      <c r="B1012" t="s">
        <v>21</v>
      </c>
      <c r="C1012" t="str">
        <f t="shared" si="30"/>
        <v>UC San DiegoDrake</v>
      </c>
      <c r="D1012" t="s">
        <v>21</v>
      </c>
      <c r="E1012">
        <v>24.1</v>
      </c>
      <c r="F1012" s="1">
        <v>7.51698113207547</v>
      </c>
      <c r="G1012" s="2">
        <v>314.81696020105898</v>
      </c>
      <c r="H1012" s="1">
        <v>138.43503084651101</v>
      </c>
      <c r="I1012" s="1">
        <f t="shared" si="31"/>
        <v>133.96583929286436</v>
      </c>
    </row>
    <row r="1013" spans="1:9" x14ac:dyDescent="0.45">
      <c r="A1013" t="s">
        <v>66</v>
      </c>
      <c r="B1013" t="s">
        <v>21</v>
      </c>
      <c r="C1013" t="str">
        <f t="shared" si="30"/>
        <v>UCLADrake</v>
      </c>
      <c r="D1013" t="s">
        <v>66</v>
      </c>
      <c r="E1013">
        <v>52.2</v>
      </c>
      <c r="F1013" s="1">
        <v>-0.58490566037735803</v>
      </c>
      <c r="G1013" s="2">
        <v>-109.303314190111</v>
      </c>
      <c r="H1013" s="1">
        <v>137.656289425723</v>
      </c>
      <c r="I1013" s="1">
        <f t="shared" si="31"/>
        <v>123.03097374317176</v>
      </c>
    </row>
    <row r="1014" spans="1:9" x14ac:dyDescent="0.45">
      <c r="A1014" t="s">
        <v>67</v>
      </c>
      <c r="B1014" t="s">
        <v>21</v>
      </c>
      <c r="C1014" t="str">
        <f t="shared" si="30"/>
        <v>UNC WilmingtonDrake</v>
      </c>
      <c r="D1014" t="s">
        <v>21</v>
      </c>
      <c r="E1014">
        <v>15.5</v>
      </c>
      <c r="F1014" s="1">
        <v>11.1094339622642</v>
      </c>
      <c r="G1014" s="2">
        <v>544.52912177002304</v>
      </c>
      <c r="H1014" s="1">
        <v>138.97169931717599</v>
      </c>
      <c r="I1014" s="1">
        <f t="shared" si="31"/>
        <v>141.50158532463757</v>
      </c>
    </row>
    <row r="1015" spans="1:9" x14ac:dyDescent="0.45">
      <c r="A1015" t="s">
        <v>68</v>
      </c>
      <c r="B1015" t="s">
        <v>21</v>
      </c>
      <c r="C1015" t="str">
        <f t="shared" si="30"/>
        <v>Utah St.Drake</v>
      </c>
      <c r="D1015" t="s">
        <v>68</v>
      </c>
      <c r="E1015">
        <v>50.8</v>
      </c>
      <c r="F1015" s="1">
        <v>-0.218867924528302</v>
      </c>
      <c r="G1015" s="2">
        <v>-103.375370079354</v>
      </c>
      <c r="H1015" s="1">
        <v>138.518885815755</v>
      </c>
      <c r="I1015" s="1">
        <f t="shared" si="31"/>
        <v>135.14330692188653</v>
      </c>
    </row>
    <row r="1016" spans="1:9" x14ac:dyDescent="0.45">
      <c r="A1016" t="s">
        <v>69</v>
      </c>
      <c r="B1016" t="s">
        <v>21</v>
      </c>
      <c r="C1016" t="str">
        <f t="shared" si="30"/>
        <v>VanderbiltDrake</v>
      </c>
      <c r="D1016" t="s">
        <v>21</v>
      </c>
      <c r="E1016">
        <v>16.899999999999999</v>
      </c>
      <c r="F1016" s="1">
        <v>10.430188679245299</v>
      </c>
      <c r="G1016" s="2">
        <v>490.91001394188999</v>
      </c>
      <c r="H1016" s="1">
        <v>136.95292369703799</v>
      </c>
      <c r="I1016" s="1">
        <f t="shared" si="31"/>
        <v>113.15451222446963</v>
      </c>
    </row>
    <row r="1017" spans="1:9" x14ac:dyDescent="0.45">
      <c r="A1017" t="s">
        <v>70</v>
      </c>
      <c r="B1017" t="s">
        <v>21</v>
      </c>
      <c r="C1017" t="str">
        <f t="shared" si="30"/>
        <v>VCUDrake</v>
      </c>
      <c r="D1017" t="s">
        <v>21</v>
      </c>
      <c r="E1017">
        <v>39.5</v>
      </c>
      <c r="F1017" s="1">
        <v>2.7849056603773601</v>
      </c>
      <c r="G1017" s="2">
        <v>152.92558175093899</v>
      </c>
      <c r="H1017" s="1">
        <v>138.878096826231</v>
      </c>
      <c r="I1017" s="1">
        <f t="shared" si="31"/>
        <v>140.18724576817215</v>
      </c>
    </row>
    <row r="1018" spans="1:9" x14ac:dyDescent="0.45">
      <c r="A1018" t="s">
        <v>71</v>
      </c>
      <c r="B1018" t="s">
        <v>21</v>
      </c>
      <c r="C1018" t="str">
        <f t="shared" si="30"/>
        <v>WisconsinDrake</v>
      </c>
      <c r="D1018" t="s">
        <v>71</v>
      </c>
      <c r="E1018">
        <v>88.2</v>
      </c>
      <c r="F1018" s="1">
        <v>-13.1698113207547</v>
      </c>
      <c r="G1018" s="2">
        <v>-745.42764932025705</v>
      </c>
      <c r="H1018" s="1">
        <v>139.53135243456299</v>
      </c>
      <c r="I1018" s="1">
        <f t="shared" si="31"/>
        <v>149.36007522864273</v>
      </c>
    </row>
    <row r="1019" spans="1:9" x14ac:dyDescent="0.45">
      <c r="A1019" t="s">
        <v>80</v>
      </c>
      <c r="B1019" t="s">
        <v>21</v>
      </c>
      <c r="C1019" t="str">
        <f t="shared" si="30"/>
        <v>WoffordDrake</v>
      </c>
      <c r="D1019" t="s">
        <v>21</v>
      </c>
      <c r="E1019">
        <v>6</v>
      </c>
      <c r="F1019" s="1">
        <v>18.0075471698113</v>
      </c>
      <c r="G1019" s="2">
        <v>1559.1237458235701</v>
      </c>
      <c r="H1019" s="1">
        <v>137.629000863789</v>
      </c>
      <c r="I1019" s="1">
        <f t="shared" si="31"/>
        <v>122.64779551760518</v>
      </c>
    </row>
    <row r="1020" spans="1:9" x14ac:dyDescent="0.45">
      <c r="A1020" t="s">
        <v>72</v>
      </c>
      <c r="B1020" t="s">
        <v>21</v>
      </c>
      <c r="C1020" t="str">
        <f t="shared" si="30"/>
        <v>XavierDrake</v>
      </c>
      <c r="D1020" t="s">
        <v>21</v>
      </c>
      <c r="E1020">
        <v>39.299999999999997</v>
      </c>
      <c r="F1020" s="1">
        <v>2.8566037735849101</v>
      </c>
      <c r="G1020" s="2">
        <v>154.64152600930601</v>
      </c>
      <c r="H1020" s="1">
        <v>138.37180303441099</v>
      </c>
      <c r="I1020" s="1">
        <f t="shared" si="31"/>
        <v>133.07801233791008</v>
      </c>
    </row>
    <row r="1021" spans="1:9" x14ac:dyDescent="0.45">
      <c r="A1021" t="s">
        <v>73</v>
      </c>
      <c r="B1021" t="s">
        <v>21</v>
      </c>
      <c r="C1021" t="str">
        <f t="shared" si="30"/>
        <v>YaleDrake</v>
      </c>
      <c r="D1021" t="s">
        <v>21</v>
      </c>
      <c r="E1021">
        <v>25.3</v>
      </c>
      <c r="F1021" s="1">
        <v>7.1056603773584897</v>
      </c>
      <c r="G1021" s="2">
        <v>295.71381771913798</v>
      </c>
      <c r="H1021" s="1">
        <v>138.97150917080501</v>
      </c>
      <c r="I1021" s="1">
        <f t="shared" si="31"/>
        <v>141.49891534337556</v>
      </c>
    </row>
    <row r="1022" spans="1:9" x14ac:dyDescent="0.45">
      <c r="A1022" t="s">
        <v>7</v>
      </c>
      <c r="B1022" t="s">
        <v>22</v>
      </c>
      <c r="C1022" t="str">
        <f t="shared" si="30"/>
        <v>AkronDuke</v>
      </c>
      <c r="D1022" t="s">
        <v>22</v>
      </c>
      <c r="E1022">
        <v>0.3</v>
      </c>
      <c r="F1022" s="1">
        <v>37.320754716981099</v>
      </c>
      <c r="G1022" s="2">
        <v>29689.1655467077</v>
      </c>
      <c r="H1022" s="1">
        <v>135.707996342782</v>
      </c>
      <c r="I1022" s="1">
        <f t="shared" si="31"/>
        <v>95.673596384461149</v>
      </c>
    </row>
    <row r="1023" spans="1:9" x14ac:dyDescent="0.45">
      <c r="A1023" t="s">
        <v>8</v>
      </c>
      <c r="B1023" t="s">
        <v>22</v>
      </c>
      <c r="C1023" t="str">
        <f t="shared" si="30"/>
        <v>AlabamaDuke</v>
      </c>
      <c r="D1023" t="s">
        <v>22</v>
      </c>
      <c r="E1023">
        <v>20.3</v>
      </c>
      <c r="F1023" s="1">
        <v>8.9811320754717006</v>
      </c>
      <c r="G1023" s="2">
        <v>393.61105450306297</v>
      </c>
      <c r="H1023" s="1">
        <v>137.515607530377</v>
      </c>
      <c r="I1023" s="1">
        <f t="shared" si="31"/>
        <v>121.05555857991018</v>
      </c>
    </row>
    <row r="1024" spans="1:9" x14ac:dyDescent="0.45">
      <c r="A1024" t="s">
        <v>9</v>
      </c>
      <c r="B1024" t="s">
        <v>22</v>
      </c>
      <c r="C1024" t="str">
        <f t="shared" si="30"/>
        <v>Alabama St.Duke</v>
      </c>
      <c r="D1024" t="s">
        <v>22</v>
      </c>
      <c r="E1024">
        <v>0.1</v>
      </c>
      <c r="F1024" s="1">
        <v>49.641509433962298</v>
      </c>
      <c r="G1024" s="2">
        <v>194396.17210380299</v>
      </c>
      <c r="H1024" s="1">
        <v>135.89475810220301</v>
      </c>
      <c r="I1024" s="1">
        <f t="shared" si="31"/>
        <v>98.2960518935393</v>
      </c>
    </row>
    <row r="1025" spans="1:9" x14ac:dyDescent="0.45">
      <c r="A1025" t="s">
        <v>10</v>
      </c>
      <c r="B1025" t="s">
        <v>22</v>
      </c>
      <c r="C1025" t="str">
        <f t="shared" si="30"/>
        <v>AmericanDuke</v>
      </c>
      <c r="D1025" t="s">
        <v>22</v>
      </c>
      <c r="E1025">
        <v>0.1</v>
      </c>
      <c r="F1025" s="1">
        <v>48.883018867924498</v>
      </c>
      <c r="G1025" s="2">
        <v>173197.42815243499</v>
      </c>
      <c r="H1025" s="1">
        <v>135.65804762196501</v>
      </c>
      <c r="I1025" s="1">
        <f t="shared" si="31"/>
        <v>94.972230652611188</v>
      </c>
    </row>
    <row r="1026" spans="1:9" x14ac:dyDescent="0.45">
      <c r="A1026" t="s">
        <v>11</v>
      </c>
      <c r="B1026" t="s">
        <v>22</v>
      </c>
      <c r="C1026" t="str">
        <f t="shared" si="30"/>
        <v>ArizonaDuke</v>
      </c>
      <c r="D1026" t="s">
        <v>22</v>
      </c>
      <c r="E1026">
        <v>14.3</v>
      </c>
      <c r="F1026" s="1">
        <v>11.735849056603801</v>
      </c>
      <c r="G1026" s="2">
        <v>599.26852731910401</v>
      </c>
      <c r="H1026" s="1">
        <v>137.12608687055399</v>
      </c>
      <c r="I1026" s="1">
        <f t="shared" si="31"/>
        <v>115.58602025782879</v>
      </c>
    </row>
    <row r="1027" spans="1:9" x14ac:dyDescent="0.45">
      <c r="A1027" t="s">
        <v>12</v>
      </c>
      <c r="B1027" t="s">
        <v>22</v>
      </c>
      <c r="C1027" t="str">
        <f t="shared" ref="C1027:C1090" si="32">A1027&amp;B1027</f>
        <v>ArkansasDuke</v>
      </c>
      <c r="D1027" t="s">
        <v>22</v>
      </c>
      <c r="E1027">
        <v>1.1000000000000001</v>
      </c>
      <c r="F1027" s="1">
        <v>29.6377358490566</v>
      </c>
      <c r="G1027" s="2">
        <v>9194.3508871578797</v>
      </c>
      <c r="H1027" s="1">
        <v>135.45201084834301</v>
      </c>
      <c r="I1027" s="1">
        <f t="shared" ref="I1027:I1090" si="33">18*(H1027-AVERAGE($H$2:$H$4625))/_xlfn.STDEV.P($H$2:$H$4625)+AVERAGE($H$2:$H$4625)</f>
        <v>92.079120876108931</v>
      </c>
    </row>
    <row r="1028" spans="1:9" x14ac:dyDescent="0.45">
      <c r="A1028" t="s">
        <v>13</v>
      </c>
      <c r="B1028" t="s">
        <v>22</v>
      </c>
      <c r="C1028" t="str">
        <f t="shared" si="32"/>
        <v>AuburnDuke</v>
      </c>
      <c r="D1028" t="s">
        <v>22</v>
      </c>
      <c r="E1028">
        <v>33.299999999999997</v>
      </c>
      <c r="F1028" s="1">
        <v>4.5433962264150898</v>
      </c>
      <c r="G1028" s="2">
        <v>199.96627837095201</v>
      </c>
      <c r="H1028" s="1">
        <v>138.53782376372899</v>
      </c>
      <c r="I1028" s="1">
        <f t="shared" si="33"/>
        <v>135.40922820121588</v>
      </c>
    </row>
    <row r="1029" spans="1:9" x14ac:dyDescent="0.45">
      <c r="A1029" t="s">
        <v>14</v>
      </c>
      <c r="B1029" t="s">
        <v>22</v>
      </c>
      <c r="C1029" t="str">
        <f t="shared" si="32"/>
        <v>BaylorDuke</v>
      </c>
      <c r="D1029" t="s">
        <v>22</v>
      </c>
      <c r="E1029">
        <v>4.8</v>
      </c>
      <c r="F1029" s="1">
        <v>19.592452830188702</v>
      </c>
      <c r="G1029" s="2">
        <v>1985.72437725852</v>
      </c>
      <c r="H1029" s="1">
        <v>137.00074112491001</v>
      </c>
      <c r="I1029" s="1">
        <f t="shared" si="33"/>
        <v>113.82595094694511</v>
      </c>
    </row>
    <row r="1030" spans="1:9" x14ac:dyDescent="0.45">
      <c r="A1030" t="s">
        <v>15</v>
      </c>
      <c r="B1030" t="s">
        <v>22</v>
      </c>
      <c r="C1030" t="str">
        <f t="shared" si="32"/>
        <v>BryantDuke</v>
      </c>
      <c r="D1030" t="s">
        <v>22</v>
      </c>
      <c r="E1030">
        <v>0.2</v>
      </c>
      <c r="F1030" s="1">
        <v>39.664150943396201</v>
      </c>
      <c r="G1030" s="2">
        <v>42425.8720868417</v>
      </c>
      <c r="H1030" s="1">
        <v>136.593061000555</v>
      </c>
      <c r="I1030" s="1">
        <f t="shared" si="33"/>
        <v>108.10142258861916</v>
      </c>
    </row>
    <row r="1031" spans="1:9" x14ac:dyDescent="0.45">
      <c r="A1031" t="s">
        <v>16</v>
      </c>
      <c r="B1031" t="s">
        <v>22</v>
      </c>
      <c r="C1031" t="str">
        <f t="shared" si="32"/>
        <v>BYUDuke</v>
      </c>
      <c r="D1031" t="s">
        <v>22</v>
      </c>
      <c r="E1031">
        <v>5.6</v>
      </c>
      <c r="F1031" s="1">
        <v>18.498113207547199</v>
      </c>
      <c r="G1031" s="2">
        <v>1680.38666040866</v>
      </c>
      <c r="H1031" s="1">
        <v>136.76310167499901</v>
      </c>
      <c r="I1031" s="1">
        <f t="shared" si="33"/>
        <v>110.48908537807603</v>
      </c>
    </row>
    <row r="1032" spans="1:9" x14ac:dyDescent="0.45">
      <c r="A1032" t="s">
        <v>17</v>
      </c>
      <c r="B1032" t="s">
        <v>22</v>
      </c>
      <c r="C1032" t="str">
        <f t="shared" si="32"/>
        <v>ClemsonDuke</v>
      </c>
      <c r="D1032" t="s">
        <v>22</v>
      </c>
      <c r="E1032">
        <v>7.7</v>
      </c>
      <c r="F1032" s="1">
        <v>16.2905660377359</v>
      </c>
      <c r="G1032" s="2">
        <v>1200.5162956245799</v>
      </c>
      <c r="H1032" s="1">
        <v>137.11315189744101</v>
      </c>
      <c r="I1032" s="1">
        <f t="shared" si="33"/>
        <v>115.40439104419821</v>
      </c>
    </row>
    <row r="1033" spans="1:9" x14ac:dyDescent="0.45">
      <c r="A1033" t="s">
        <v>18</v>
      </c>
      <c r="B1033" t="s">
        <v>22</v>
      </c>
      <c r="C1033" t="str">
        <f t="shared" si="32"/>
        <v>Colorado St.Duke</v>
      </c>
      <c r="D1033" t="s">
        <v>22</v>
      </c>
      <c r="E1033">
        <v>1.4</v>
      </c>
      <c r="F1033" s="1">
        <v>28.075471698113201</v>
      </c>
      <c r="G1033" s="2">
        <v>7243.2246714358898</v>
      </c>
      <c r="H1033" s="1">
        <v>136.502762872235</v>
      </c>
      <c r="I1033" s="1">
        <f t="shared" si="33"/>
        <v>106.83348195234359</v>
      </c>
    </row>
    <row r="1034" spans="1:9" x14ac:dyDescent="0.45">
      <c r="A1034" t="s">
        <v>19</v>
      </c>
      <c r="B1034" t="s">
        <v>22</v>
      </c>
      <c r="C1034" t="str">
        <f t="shared" si="32"/>
        <v>ConnecticutDuke</v>
      </c>
      <c r="D1034" t="s">
        <v>22</v>
      </c>
      <c r="E1034">
        <v>11.5</v>
      </c>
      <c r="F1034" s="1">
        <v>13.4</v>
      </c>
      <c r="G1034" s="2">
        <v>772.114540384419</v>
      </c>
      <c r="H1034" s="1">
        <v>136.913402728189</v>
      </c>
      <c r="I1034" s="1">
        <f t="shared" si="33"/>
        <v>112.59957002000849</v>
      </c>
    </row>
    <row r="1035" spans="1:9" x14ac:dyDescent="0.45">
      <c r="A1035" t="s">
        <v>20</v>
      </c>
      <c r="B1035" t="s">
        <v>22</v>
      </c>
      <c r="C1035" t="str">
        <f t="shared" si="32"/>
        <v>CreightonDuke</v>
      </c>
      <c r="D1035" t="s">
        <v>22</v>
      </c>
      <c r="E1035">
        <v>3.8</v>
      </c>
      <c r="F1035" s="1">
        <v>21.1056603773585</v>
      </c>
      <c r="G1035" s="2">
        <v>2502.1560474339499</v>
      </c>
      <c r="H1035" s="1">
        <v>136.46269948102801</v>
      </c>
      <c r="I1035" s="1">
        <f t="shared" si="33"/>
        <v>106.27092320740124</v>
      </c>
    </row>
    <row r="1036" spans="1:9" x14ac:dyDescent="0.45">
      <c r="A1036" t="s">
        <v>21</v>
      </c>
      <c r="B1036" t="s">
        <v>22</v>
      </c>
      <c r="C1036" t="str">
        <f t="shared" si="32"/>
        <v>DrakeDuke</v>
      </c>
      <c r="D1036" t="s">
        <v>22</v>
      </c>
      <c r="E1036">
        <v>1.3</v>
      </c>
      <c r="F1036" s="1">
        <v>28.279245283018899</v>
      </c>
      <c r="G1036" s="2">
        <v>7473.1222107629801</v>
      </c>
      <c r="H1036" s="1">
        <v>136.69737528670299</v>
      </c>
      <c r="I1036" s="1">
        <f t="shared" si="33"/>
        <v>109.56617412679503</v>
      </c>
    </row>
    <row r="1037" spans="1:9" x14ac:dyDescent="0.45">
      <c r="A1037" t="s">
        <v>22</v>
      </c>
      <c r="B1037" t="s">
        <v>22</v>
      </c>
      <c r="C1037" t="str">
        <f t="shared" si="32"/>
        <v>DukeDuke</v>
      </c>
      <c r="D1037" t="s">
        <v>22</v>
      </c>
      <c r="E1037">
        <v>41.2</v>
      </c>
      <c r="F1037" s="1">
        <v>2.3283018867924499</v>
      </c>
      <c r="G1037" s="2">
        <v>142.64273539779199</v>
      </c>
      <c r="H1037" s="1">
        <v>138.77771517530499</v>
      </c>
      <c r="I1037" s="1">
        <f t="shared" si="33"/>
        <v>138.77771517530684</v>
      </c>
    </row>
    <row r="1038" spans="1:9" x14ac:dyDescent="0.45">
      <c r="A1038" t="s">
        <v>23</v>
      </c>
      <c r="B1038" t="s">
        <v>22</v>
      </c>
      <c r="C1038" t="str">
        <f t="shared" si="32"/>
        <v>FloridaDuke</v>
      </c>
      <c r="D1038" t="s">
        <v>22</v>
      </c>
      <c r="E1038">
        <v>28</v>
      </c>
      <c r="F1038" s="1">
        <v>6.1849056603773596</v>
      </c>
      <c r="G1038" s="2">
        <v>256.910478886612</v>
      </c>
      <c r="H1038" s="1">
        <v>138.51236570286</v>
      </c>
      <c r="I1038" s="1">
        <f t="shared" si="33"/>
        <v>135.05175335099321</v>
      </c>
    </row>
    <row r="1039" spans="1:9" x14ac:dyDescent="0.45">
      <c r="A1039" t="s">
        <v>24</v>
      </c>
      <c r="B1039" t="s">
        <v>22</v>
      </c>
      <c r="C1039" t="str">
        <f t="shared" si="32"/>
        <v>GeorgiaDuke</v>
      </c>
      <c r="D1039" t="s">
        <v>22</v>
      </c>
      <c r="E1039">
        <v>1.5</v>
      </c>
      <c r="F1039" s="1">
        <v>27.245283018867902</v>
      </c>
      <c r="G1039" s="2">
        <v>6384.0655357282303</v>
      </c>
      <c r="H1039" s="1">
        <v>135.77632399914401</v>
      </c>
      <c r="I1039" s="1">
        <f t="shared" si="33"/>
        <v>96.63303390210109</v>
      </c>
    </row>
    <row r="1040" spans="1:9" x14ac:dyDescent="0.45">
      <c r="A1040" t="s">
        <v>25</v>
      </c>
      <c r="B1040" t="s">
        <v>22</v>
      </c>
      <c r="C1040" t="str">
        <f t="shared" si="32"/>
        <v>GonzagaDuke</v>
      </c>
      <c r="D1040" t="s">
        <v>22</v>
      </c>
      <c r="E1040">
        <v>7.3</v>
      </c>
      <c r="F1040" s="1">
        <v>16.615094339622601</v>
      </c>
      <c r="G1040" s="2">
        <v>1261.4164607104899</v>
      </c>
      <c r="H1040" s="1">
        <v>137.75328572965</v>
      </c>
      <c r="I1040" s="1">
        <f t="shared" si="33"/>
        <v>124.39296825629988</v>
      </c>
    </row>
    <row r="1041" spans="1:9" x14ac:dyDescent="0.45">
      <c r="A1041" t="s">
        <v>26</v>
      </c>
      <c r="B1041" t="s">
        <v>22</v>
      </c>
      <c r="C1041" t="str">
        <f t="shared" si="32"/>
        <v>Grand CanyonDuke</v>
      </c>
      <c r="D1041" t="s">
        <v>22</v>
      </c>
      <c r="E1041">
        <v>0.9</v>
      </c>
      <c r="F1041" s="1">
        <v>31.166037735849098</v>
      </c>
      <c r="G1041" s="2">
        <v>11610.136585205701</v>
      </c>
      <c r="H1041" s="1">
        <v>136.57125744718999</v>
      </c>
      <c r="I1041" s="1">
        <f t="shared" si="33"/>
        <v>107.79526329339302</v>
      </c>
    </row>
    <row r="1042" spans="1:9" x14ac:dyDescent="0.45">
      <c r="A1042" t="s">
        <v>27</v>
      </c>
      <c r="B1042" t="s">
        <v>22</v>
      </c>
      <c r="C1042" t="str">
        <f t="shared" si="32"/>
        <v>High PointDuke</v>
      </c>
      <c r="D1042" t="s">
        <v>22</v>
      </c>
      <c r="E1042">
        <v>0.5</v>
      </c>
      <c r="F1042" s="1">
        <v>34.256603773584899</v>
      </c>
      <c r="G1042" s="2">
        <v>18600.276070190801</v>
      </c>
      <c r="H1042" s="1">
        <v>136.762464580738</v>
      </c>
      <c r="I1042" s="1">
        <f t="shared" si="33"/>
        <v>110.48013948165824</v>
      </c>
    </row>
    <row r="1043" spans="1:9" x14ac:dyDescent="0.45">
      <c r="A1043" t="s">
        <v>28</v>
      </c>
      <c r="B1043" t="s">
        <v>22</v>
      </c>
      <c r="C1043" t="str">
        <f t="shared" si="32"/>
        <v>HoustonDuke</v>
      </c>
      <c r="D1043" t="s">
        <v>28</v>
      </c>
      <c r="E1043">
        <v>53.9</v>
      </c>
      <c r="F1043" s="1">
        <v>-1.02641509433962</v>
      </c>
      <c r="G1043" s="2">
        <v>-116.94468867012699</v>
      </c>
      <c r="H1043" s="1">
        <v>138.87592693794099</v>
      </c>
      <c r="I1043" s="1">
        <f t="shared" si="33"/>
        <v>140.15677681393942</v>
      </c>
    </row>
    <row r="1044" spans="1:9" x14ac:dyDescent="0.45">
      <c r="A1044" t="s">
        <v>29</v>
      </c>
      <c r="B1044" t="s">
        <v>22</v>
      </c>
      <c r="C1044" t="str">
        <f t="shared" si="32"/>
        <v>IllinoisDuke</v>
      </c>
      <c r="D1044" t="s">
        <v>22</v>
      </c>
      <c r="E1044">
        <v>10.3</v>
      </c>
      <c r="F1044" s="1">
        <v>14.1622641509434</v>
      </c>
      <c r="G1044" s="2">
        <v>867.42728320651202</v>
      </c>
      <c r="H1044" s="1">
        <v>136.934390712903</v>
      </c>
      <c r="I1044" s="1">
        <f t="shared" si="33"/>
        <v>112.89427733219222</v>
      </c>
    </row>
    <row r="1045" spans="1:9" x14ac:dyDescent="0.45">
      <c r="A1045" t="s">
        <v>30</v>
      </c>
      <c r="B1045" t="s">
        <v>22</v>
      </c>
      <c r="C1045" t="str">
        <f t="shared" si="32"/>
        <v>Iowa St.Duke</v>
      </c>
      <c r="D1045" t="s">
        <v>22</v>
      </c>
      <c r="E1045">
        <v>19.5</v>
      </c>
      <c r="F1045" s="1">
        <v>9.3018867924528301</v>
      </c>
      <c r="G1045" s="2">
        <v>413.215894649468</v>
      </c>
      <c r="H1045" s="1">
        <v>137.830933004489</v>
      </c>
      <c r="I1045" s="1">
        <f t="shared" si="33"/>
        <v>125.48326920601085</v>
      </c>
    </row>
    <row r="1046" spans="1:9" x14ac:dyDescent="0.45">
      <c r="A1046" t="s">
        <v>31</v>
      </c>
      <c r="B1046" t="s">
        <v>22</v>
      </c>
      <c r="C1046" t="str">
        <f t="shared" si="32"/>
        <v>KansasDuke</v>
      </c>
      <c r="D1046" t="s">
        <v>22</v>
      </c>
      <c r="E1046">
        <v>6.9</v>
      </c>
      <c r="F1046" s="1">
        <v>17.018867924528301</v>
      </c>
      <c r="G1046" s="2">
        <v>1340.84307837293</v>
      </c>
      <c r="H1046" s="1">
        <v>136.88152089334301</v>
      </c>
      <c r="I1046" s="1">
        <f t="shared" si="33"/>
        <v>112.15189436257957</v>
      </c>
    </row>
    <row r="1047" spans="1:9" x14ac:dyDescent="0.45">
      <c r="A1047" t="s">
        <v>32</v>
      </c>
      <c r="B1047" t="s">
        <v>22</v>
      </c>
      <c r="C1047" t="str">
        <f t="shared" si="32"/>
        <v>KentuckyDuke</v>
      </c>
      <c r="D1047" t="s">
        <v>22</v>
      </c>
      <c r="E1047">
        <v>11.1</v>
      </c>
      <c r="F1047" s="1">
        <v>13.6528301886792</v>
      </c>
      <c r="G1047" s="2">
        <v>802.58679809969203</v>
      </c>
      <c r="H1047" s="1">
        <v>136.81580322546799</v>
      </c>
      <c r="I1047" s="1">
        <f t="shared" si="33"/>
        <v>111.22910556097</v>
      </c>
    </row>
    <row r="1048" spans="1:9" x14ac:dyDescent="0.45">
      <c r="A1048" t="s">
        <v>33</v>
      </c>
      <c r="B1048" t="s">
        <v>22</v>
      </c>
      <c r="C1048" t="str">
        <f t="shared" si="32"/>
        <v>LibertyDuke</v>
      </c>
      <c r="D1048" t="s">
        <v>22</v>
      </c>
      <c r="E1048">
        <v>0.4</v>
      </c>
      <c r="F1048" s="1">
        <v>36.637735849056597</v>
      </c>
      <c r="G1048" s="2">
        <v>26749.762263258701</v>
      </c>
      <c r="H1048" s="1">
        <v>136.160804269186</v>
      </c>
      <c r="I1048" s="1">
        <f t="shared" si="33"/>
        <v>102.0317965044093</v>
      </c>
    </row>
    <row r="1049" spans="1:9" x14ac:dyDescent="0.45">
      <c r="A1049" t="s">
        <v>34</v>
      </c>
      <c r="B1049" t="s">
        <v>22</v>
      </c>
      <c r="C1049" t="str">
        <f t="shared" si="32"/>
        <v>LipscombDuke</v>
      </c>
      <c r="D1049" t="s">
        <v>22</v>
      </c>
      <c r="E1049">
        <v>0.3</v>
      </c>
      <c r="F1049" s="1">
        <v>38.505660377358502</v>
      </c>
      <c r="G1049" s="2">
        <v>35556.436348608899</v>
      </c>
      <c r="H1049" s="1">
        <v>136.56712246677799</v>
      </c>
      <c r="I1049" s="1">
        <f t="shared" si="33"/>
        <v>107.73720107447299</v>
      </c>
    </row>
    <row r="1050" spans="1:9" x14ac:dyDescent="0.45">
      <c r="A1050" t="s">
        <v>35</v>
      </c>
      <c r="B1050" t="s">
        <v>22</v>
      </c>
      <c r="C1050" t="str">
        <f t="shared" si="32"/>
        <v>LouisvilleDuke</v>
      </c>
      <c r="D1050" t="s">
        <v>22</v>
      </c>
      <c r="E1050">
        <v>0.7</v>
      </c>
      <c r="F1050" s="1">
        <v>32.456603773584902</v>
      </c>
      <c r="G1050" s="2">
        <v>14131.2438992836</v>
      </c>
      <c r="H1050" s="1">
        <v>135.812484472595</v>
      </c>
      <c r="I1050" s="1">
        <f t="shared" si="33"/>
        <v>97.140788985938414</v>
      </c>
    </row>
    <row r="1051" spans="1:9" x14ac:dyDescent="0.45">
      <c r="A1051" t="s">
        <v>36</v>
      </c>
      <c r="B1051" t="s">
        <v>22</v>
      </c>
      <c r="C1051" t="str">
        <f t="shared" si="32"/>
        <v>MarquetteDuke</v>
      </c>
      <c r="D1051" t="s">
        <v>22</v>
      </c>
      <c r="E1051">
        <v>8.6999999999999993</v>
      </c>
      <c r="F1051" s="1">
        <v>15.388679245283001</v>
      </c>
      <c r="G1051" s="2">
        <v>1045.7722049604799</v>
      </c>
      <c r="H1051" s="1">
        <v>137.07461831605701</v>
      </c>
      <c r="I1051" s="1">
        <f t="shared" si="33"/>
        <v>114.86331345369864</v>
      </c>
    </row>
    <row r="1052" spans="1:9" x14ac:dyDescent="0.45">
      <c r="A1052" t="s">
        <v>37</v>
      </c>
      <c r="B1052" t="s">
        <v>22</v>
      </c>
      <c r="C1052" t="str">
        <f t="shared" si="32"/>
        <v>MarylandDuke</v>
      </c>
      <c r="D1052" t="s">
        <v>22</v>
      </c>
      <c r="E1052">
        <v>5.6</v>
      </c>
      <c r="F1052" s="1">
        <v>18.554716981132099</v>
      </c>
      <c r="G1052" s="2">
        <v>1695.3951110134401</v>
      </c>
      <c r="H1052" s="1">
        <v>136.5329879146</v>
      </c>
      <c r="I1052" s="1">
        <f t="shared" si="33"/>
        <v>107.25789340096107</v>
      </c>
    </row>
    <row r="1053" spans="1:9" x14ac:dyDescent="0.45">
      <c r="A1053" t="s">
        <v>38</v>
      </c>
      <c r="B1053" t="s">
        <v>22</v>
      </c>
      <c r="C1053" t="str">
        <f t="shared" si="32"/>
        <v>McNeese St.Duke</v>
      </c>
      <c r="D1053" t="s">
        <v>22</v>
      </c>
      <c r="E1053">
        <v>1.4</v>
      </c>
      <c r="F1053" s="1">
        <v>28.094339622641499</v>
      </c>
      <c r="G1053" s="2">
        <v>7266.7563711354296</v>
      </c>
      <c r="H1053" s="1">
        <v>137.12622332756499</v>
      </c>
      <c r="I1053" s="1">
        <f t="shared" si="33"/>
        <v>115.58793634836761</v>
      </c>
    </row>
    <row r="1054" spans="1:9" x14ac:dyDescent="0.45">
      <c r="A1054" t="s">
        <v>39</v>
      </c>
      <c r="B1054" t="s">
        <v>22</v>
      </c>
      <c r="C1054" t="str">
        <f t="shared" si="32"/>
        <v>MemphisDuke</v>
      </c>
      <c r="D1054" t="s">
        <v>22</v>
      </c>
      <c r="E1054">
        <v>3.2</v>
      </c>
      <c r="F1054" s="1">
        <v>22.320754716981099</v>
      </c>
      <c r="G1054" s="2">
        <v>3010.7264163309301</v>
      </c>
      <c r="H1054" s="1">
        <v>135.66050515409</v>
      </c>
      <c r="I1054" s="1">
        <f t="shared" si="33"/>
        <v>95.006738619766253</v>
      </c>
    </row>
    <row r="1055" spans="1:9" x14ac:dyDescent="0.45">
      <c r="A1055" t="s">
        <v>40</v>
      </c>
      <c r="B1055" t="s">
        <v>22</v>
      </c>
      <c r="C1055" t="str">
        <f t="shared" si="32"/>
        <v>MichiganDuke</v>
      </c>
      <c r="D1055" t="s">
        <v>22</v>
      </c>
      <c r="E1055">
        <v>1.6</v>
      </c>
      <c r="F1055" s="1">
        <v>26.9433962264151</v>
      </c>
      <c r="G1055" s="2">
        <v>6096.2943395088296</v>
      </c>
      <c r="H1055" s="1">
        <v>135.223126451007</v>
      </c>
      <c r="I1055" s="1">
        <f t="shared" si="33"/>
        <v>88.865191265482835</v>
      </c>
    </row>
    <row r="1056" spans="1:9" x14ac:dyDescent="0.45">
      <c r="A1056" t="s">
        <v>41</v>
      </c>
      <c r="B1056" t="s">
        <v>22</v>
      </c>
      <c r="C1056" t="str">
        <f t="shared" si="32"/>
        <v>Michigan St.Duke</v>
      </c>
      <c r="D1056" t="s">
        <v>22</v>
      </c>
      <c r="E1056">
        <v>13.5</v>
      </c>
      <c r="F1056" s="1">
        <v>12.1962264150943</v>
      </c>
      <c r="G1056" s="2">
        <v>642.85168396651602</v>
      </c>
      <c r="H1056" s="1">
        <v>136.870206160214</v>
      </c>
      <c r="I1056" s="1">
        <f t="shared" si="33"/>
        <v>111.99301609799309</v>
      </c>
    </row>
    <row r="1057" spans="1:9" x14ac:dyDescent="0.45">
      <c r="A1057" t="s">
        <v>42</v>
      </c>
      <c r="B1057" t="s">
        <v>22</v>
      </c>
      <c r="C1057" t="str">
        <f t="shared" si="32"/>
        <v>MississippiDuke</v>
      </c>
      <c r="D1057" t="s">
        <v>22</v>
      </c>
      <c r="E1057">
        <v>4.0999999999999996</v>
      </c>
      <c r="F1057" s="1">
        <v>20.6943396226415</v>
      </c>
      <c r="G1057" s="2">
        <v>2349.53652622872</v>
      </c>
      <c r="H1057" s="1">
        <v>136.13789751010299</v>
      </c>
      <c r="I1057" s="1">
        <f t="shared" si="33"/>
        <v>101.7101463082524</v>
      </c>
    </row>
    <row r="1058" spans="1:9" x14ac:dyDescent="0.45">
      <c r="A1058" t="s">
        <v>43</v>
      </c>
      <c r="B1058" t="s">
        <v>22</v>
      </c>
      <c r="C1058" t="str">
        <f t="shared" si="32"/>
        <v>Mississippi St.Duke</v>
      </c>
      <c r="D1058" t="s">
        <v>22</v>
      </c>
      <c r="E1058">
        <v>3.2</v>
      </c>
      <c r="F1058" s="1">
        <v>22.4188679245283</v>
      </c>
      <c r="G1058" s="2">
        <v>3056.0433966401501</v>
      </c>
      <c r="H1058" s="1">
        <v>136.27764398278001</v>
      </c>
      <c r="I1058" s="1">
        <f t="shared" si="33"/>
        <v>103.67242653243864</v>
      </c>
    </row>
    <row r="1059" spans="1:9" x14ac:dyDescent="0.45">
      <c r="A1059" t="s">
        <v>44</v>
      </c>
      <c r="B1059" t="s">
        <v>22</v>
      </c>
      <c r="C1059" t="str">
        <f t="shared" si="32"/>
        <v>MissouriDuke</v>
      </c>
      <c r="D1059" t="s">
        <v>22</v>
      </c>
      <c r="E1059">
        <v>1.5</v>
      </c>
      <c r="F1059" s="1">
        <v>27.350943396226398</v>
      </c>
      <c r="G1059" s="2">
        <v>6486.9089006676404</v>
      </c>
      <c r="H1059" s="1">
        <v>135.69530588142601</v>
      </c>
      <c r="I1059" s="1">
        <f t="shared" si="33"/>
        <v>95.495400535380895</v>
      </c>
    </row>
    <row r="1060" spans="1:9" x14ac:dyDescent="0.45">
      <c r="A1060" t="s">
        <v>45</v>
      </c>
      <c r="B1060" t="s">
        <v>22</v>
      </c>
      <c r="C1060" t="str">
        <f t="shared" si="32"/>
        <v>MontanaDuke</v>
      </c>
      <c r="D1060" t="s">
        <v>22</v>
      </c>
      <c r="E1060">
        <v>0.1</v>
      </c>
      <c r="F1060" s="1">
        <v>43.158490566037699</v>
      </c>
      <c r="G1060" s="2">
        <v>72307.532516410894</v>
      </c>
      <c r="H1060" s="1">
        <v>134.83201744483199</v>
      </c>
      <c r="I1060" s="1">
        <f t="shared" si="33"/>
        <v>83.373349835666431</v>
      </c>
    </row>
    <row r="1061" spans="1:9" x14ac:dyDescent="0.45">
      <c r="A1061" t="s">
        <v>46</v>
      </c>
      <c r="B1061" t="s">
        <v>22</v>
      </c>
      <c r="C1061" t="str">
        <f t="shared" si="32"/>
        <v>Mount St. Mary'sDuke</v>
      </c>
      <c r="D1061" t="s">
        <v>22</v>
      </c>
      <c r="E1061">
        <v>0.1</v>
      </c>
      <c r="F1061" s="1">
        <v>49.490566037735803</v>
      </c>
      <c r="G1061" s="2">
        <v>190023.66060118299</v>
      </c>
      <c r="H1061" s="1">
        <v>136.13530539898301</v>
      </c>
      <c r="I1061" s="1">
        <f t="shared" si="33"/>
        <v>101.67374862112518</v>
      </c>
    </row>
    <row r="1062" spans="1:9" x14ac:dyDescent="0.45">
      <c r="A1062" t="s">
        <v>47</v>
      </c>
      <c r="B1062" t="s">
        <v>22</v>
      </c>
      <c r="C1062" t="str">
        <f t="shared" si="32"/>
        <v>Nebraska OmahaDuke</v>
      </c>
      <c r="D1062" t="s">
        <v>22</v>
      </c>
      <c r="E1062">
        <v>0.1</v>
      </c>
      <c r="F1062" s="1">
        <v>47.301886792452798</v>
      </c>
      <c r="G1062" s="2">
        <v>136052.071512792</v>
      </c>
      <c r="H1062" s="1">
        <v>135.55308153108601</v>
      </c>
      <c r="I1062" s="1">
        <f t="shared" si="33"/>
        <v>93.498326657781604</v>
      </c>
    </row>
    <row r="1063" spans="1:9" x14ac:dyDescent="0.45">
      <c r="A1063" t="s">
        <v>48</v>
      </c>
      <c r="B1063" t="s">
        <v>22</v>
      </c>
      <c r="C1063" t="str">
        <f t="shared" si="32"/>
        <v>New MexicoDuke</v>
      </c>
      <c r="D1063" t="s">
        <v>22</v>
      </c>
      <c r="E1063">
        <v>1.7</v>
      </c>
      <c r="F1063" s="1">
        <v>26.4679245283019</v>
      </c>
      <c r="G1063" s="2">
        <v>5670.5079675164898</v>
      </c>
      <c r="H1063" s="1">
        <v>136.32307146290299</v>
      </c>
      <c r="I1063" s="1">
        <f t="shared" si="33"/>
        <v>104.31030628834461</v>
      </c>
    </row>
    <row r="1064" spans="1:9" x14ac:dyDescent="0.45">
      <c r="A1064" t="s">
        <v>49</v>
      </c>
      <c r="B1064" t="s">
        <v>22</v>
      </c>
      <c r="C1064" t="str">
        <f t="shared" si="32"/>
        <v>Norfolk St.Duke</v>
      </c>
      <c r="D1064" t="s">
        <v>22</v>
      </c>
      <c r="E1064">
        <v>0.1</v>
      </c>
      <c r="F1064" s="1">
        <v>45.037735849056602</v>
      </c>
      <c r="G1064" s="2">
        <v>96305.773175909097</v>
      </c>
      <c r="H1064" s="1">
        <v>135.359197226867</v>
      </c>
      <c r="I1064" s="1">
        <f t="shared" si="33"/>
        <v>90.775858400365351</v>
      </c>
    </row>
    <row r="1065" spans="1:9" x14ac:dyDescent="0.45">
      <c r="A1065" t="s">
        <v>50</v>
      </c>
      <c r="B1065" t="s">
        <v>22</v>
      </c>
      <c r="C1065" t="str">
        <f t="shared" si="32"/>
        <v>North CarolinaDuke</v>
      </c>
      <c r="D1065" t="s">
        <v>22</v>
      </c>
      <c r="E1065">
        <v>5.7</v>
      </c>
      <c r="F1065" s="1">
        <v>18.4188679245283</v>
      </c>
      <c r="G1065" s="2">
        <v>1660.5997201206801</v>
      </c>
      <c r="H1065" s="1">
        <v>137.432803181336</v>
      </c>
      <c r="I1065" s="1">
        <f t="shared" si="33"/>
        <v>119.89284346097261</v>
      </c>
    </row>
    <row r="1066" spans="1:9" x14ac:dyDescent="0.45">
      <c r="A1066" t="s">
        <v>51</v>
      </c>
      <c r="B1066" t="s">
        <v>22</v>
      </c>
      <c r="C1066" t="str">
        <f t="shared" si="32"/>
        <v>OklahomaDuke</v>
      </c>
      <c r="D1066" t="s">
        <v>22</v>
      </c>
      <c r="E1066">
        <v>2.1</v>
      </c>
      <c r="F1066" s="1">
        <v>25.301886792452802</v>
      </c>
      <c r="G1066" s="2">
        <v>4745.0651565910903</v>
      </c>
      <c r="H1066" s="1">
        <v>135.85642630751099</v>
      </c>
      <c r="I1066" s="1">
        <f t="shared" si="33"/>
        <v>97.757807734378503</v>
      </c>
    </row>
    <row r="1067" spans="1:9" x14ac:dyDescent="0.45">
      <c r="A1067" t="s">
        <v>52</v>
      </c>
      <c r="B1067" t="s">
        <v>22</v>
      </c>
      <c r="C1067" t="str">
        <f t="shared" si="32"/>
        <v>OregonDuke</v>
      </c>
      <c r="D1067" t="s">
        <v>22</v>
      </c>
      <c r="E1067">
        <v>5.6</v>
      </c>
      <c r="F1067" s="1">
        <v>18.535849056603801</v>
      </c>
      <c r="G1067" s="2">
        <v>1690.34726195384</v>
      </c>
      <c r="H1067" s="1">
        <v>136.14714369903999</v>
      </c>
      <c r="I1067" s="1">
        <f t="shared" si="33"/>
        <v>101.83997866360707</v>
      </c>
    </row>
    <row r="1068" spans="1:9" x14ac:dyDescent="0.45">
      <c r="A1068" t="s">
        <v>53</v>
      </c>
      <c r="B1068" t="s">
        <v>22</v>
      </c>
      <c r="C1068" t="str">
        <f t="shared" si="32"/>
        <v>PurdueDuke</v>
      </c>
      <c r="D1068" t="s">
        <v>22</v>
      </c>
      <c r="E1068">
        <v>25.1</v>
      </c>
      <c r="F1068" s="1">
        <v>7.1622641509434004</v>
      </c>
      <c r="G1068" s="2">
        <v>298.24715839310102</v>
      </c>
      <c r="H1068" s="1">
        <v>137.63523089883799</v>
      </c>
      <c r="I1068" s="1">
        <f t="shared" si="33"/>
        <v>122.73527589788546</v>
      </c>
    </row>
    <row r="1069" spans="1:9" x14ac:dyDescent="0.45">
      <c r="A1069" t="s">
        <v>54</v>
      </c>
      <c r="B1069" t="s">
        <v>22</v>
      </c>
      <c r="C1069" t="str">
        <f t="shared" si="32"/>
        <v>Robert MorrisDuke</v>
      </c>
      <c r="D1069" t="s">
        <v>22</v>
      </c>
      <c r="E1069">
        <v>0</v>
      </c>
      <c r="F1069" s="1">
        <v>51.052830188679302</v>
      </c>
      <c r="G1069" s="2">
        <v>241107.774853346</v>
      </c>
      <c r="H1069" s="1">
        <v>134.718196227525</v>
      </c>
      <c r="I1069" s="1">
        <f t="shared" si="33"/>
        <v>81.775104674012056</v>
      </c>
    </row>
    <row r="1070" spans="1:9" x14ac:dyDescent="0.45">
      <c r="A1070" t="s">
        <v>55</v>
      </c>
      <c r="B1070" t="s">
        <v>22</v>
      </c>
      <c r="C1070" t="str">
        <f t="shared" si="32"/>
        <v>Saint FrancisDuke</v>
      </c>
      <c r="D1070" t="s">
        <v>22</v>
      </c>
      <c r="E1070">
        <v>0</v>
      </c>
      <c r="F1070" s="1">
        <v>54.415094339622598</v>
      </c>
      <c r="G1070" s="2">
        <v>402710.92305206601</v>
      </c>
      <c r="H1070" s="1">
        <v>135.42504410956801</v>
      </c>
      <c r="I1070" s="1">
        <f t="shared" si="33"/>
        <v>91.700461599811604</v>
      </c>
    </row>
    <row r="1071" spans="1:9" x14ac:dyDescent="0.45">
      <c r="A1071" t="s">
        <v>56</v>
      </c>
      <c r="B1071" t="s">
        <v>22</v>
      </c>
      <c r="C1071" t="str">
        <f t="shared" si="32"/>
        <v>Saint Mary'sDuke</v>
      </c>
      <c r="D1071" t="s">
        <v>22</v>
      </c>
      <c r="E1071">
        <v>5.5</v>
      </c>
      <c r="F1071" s="1">
        <v>18.679245283018901</v>
      </c>
      <c r="G1071" s="2">
        <v>1727.94229311195</v>
      </c>
      <c r="H1071" s="1">
        <v>137.15425022551</v>
      </c>
      <c r="I1071" s="1">
        <f t="shared" si="33"/>
        <v>115.98148207821146</v>
      </c>
    </row>
    <row r="1072" spans="1:9" x14ac:dyDescent="0.45">
      <c r="A1072" t="s">
        <v>57</v>
      </c>
      <c r="B1072" t="s">
        <v>22</v>
      </c>
      <c r="C1072" t="str">
        <f t="shared" si="32"/>
        <v>San Diego St.Duke</v>
      </c>
      <c r="D1072" t="s">
        <v>22</v>
      </c>
      <c r="E1072">
        <v>1.8</v>
      </c>
      <c r="F1072" s="1">
        <v>26.3547169811321</v>
      </c>
      <c r="G1072" s="2">
        <v>5570.9440989395298</v>
      </c>
      <c r="H1072" s="1">
        <v>136.36894938853899</v>
      </c>
      <c r="I1072" s="1">
        <f t="shared" si="33"/>
        <v>104.95451107203377</v>
      </c>
    </row>
    <row r="1073" spans="1:9" x14ac:dyDescent="0.45">
      <c r="A1073" t="s">
        <v>58</v>
      </c>
      <c r="B1073" t="s">
        <v>22</v>
      </c>
      <c r="C1073" t="str">
        <f t="shared" si="32"/>
        <v>SIU EdwardsvilleDuke</v>
      </c>
      <c r="D1073" t="s">
        <v>22</v>
      </c>
      <c r="E1073">
        <v>0.1</v>
      </c>
      <c r="F1073" s="1">
        <v>46.328301886792502</v>
      </c>
      <c r="G1073" s="2">
        <v>117275.982497016</v>
      </c>
      <c r="H1073" s="1">
        <v>136.428207568723</v>
      </c>
      <c r="I1073" s="1">
        <f t="shared" si="33"/>
        <v>105.78659758462203</v>
      </c>
    </row>
    <row r="1074" spans="1:9" x14ac:dyDescent="0.45">
      <c r="A1074" t="s">
        <v>59</v>
      </c>
      <c r="B1074" t="s">
        <v>22</v>
      </c>
      <c r="C1074" t="str">
        <f t="shared" si="32"/>
        <v>St. John'sDuke</v>
      </c>
      <c r="D1074" t="s">
        <v>22</v>
      </c>
      <c r="E1074">
        <v>14.4</v>
      </c>
      <c r="F1074" s="1">
        <v>11.6981132075472</v>
      </c>
      <c r="G1074" s="2">
        <v>595.49701001041296</v>
      </c>
      <c r="H1074" s="1">
        <v>137.247664017277</v>
      </c>
      <c r="I1074" s="1">
        <f t="shared" si="33"/>
        <v>117.29317197448738</v>
      </c>
    </row>
    <row r="1075" spans="1:9" x14ac:dyDescent="0.45">
      <c r="A1075" t="s">
        <v>60</v>
      </c>
      <c r="B1075" t="s">
        <v>22</v>
      </c>
      <c r="C1075" t="str">
        <f t="shared" si="32"/>
        <v>TennesseeDuke</v>
      </c>
      <c r="D1075" t="s">
        <v>22</v>
      </c>
      <c r="E1075">
        <v>27.1</v>
      </c>
      <c r="F1075" s="1">
        <v>6.4792452830188703</v>
      </c>
      <c r="G1075" s="2">
        <v>268.73367589451698</v>
      </c>
      <c r="H1075" s="1">
        <v>138.040896391411</v>
      </c>
      <c r="I1075" s="1">
        <f t="shared" si="33"/>
        <v>128.43151536970777</v>
      </c>
    </row>
    <row r="1076" spans="1:9" x14ac:dyDescent="0.45">
      <c r="A1076" t="s">
        <v>61</v>
      </c>
      <c r="B1076" t="s">
        <v>22</v>
      </c>
      <c r="C1076" t="str">
        <f t="shared" si="32"/>
        <v>TexasDuke</v>
      </c>
      <c r="D1076" t="s">
        <v>22</v>
      </c>
      <c r="E1076">
        <v>1.5</v>
      </c>
      <c r="F1076" s="1">
        <v>27.577358490565999</v>
      </c>
      <c r="G1076" s="2">
        <v>6713.7770677336002</v>
      </c>
      <c r="H1076" s="1">
        <v>135.74077821904999</v>
      </c>
      <c r="I1076" s="1">
        <f t="shared" si="33"/>
        <v>96.133910167557985</v>
      </c>
    </row>
    <row r="1077" spans="1:9" x14ac:dyDescent="0.45">
      <c r="A1077" t="s">
        <v>62</v>
      </c>
      <c r="B1077" t="s">
        <v>22</v>
      </c>
      <c r="C1077" t="str">
        <f t="shared" si="32"/>
        <v>Texas A&amp;MDuke</v>
      </c>
      <c r="D1077" t="s">
        <v>22</v>
      </c>
      <c r="E1077">
        <v>7.8</v>
      </c>
      <c r="F1077" s="1">
        <v>16.173584905660402</v>
      </c>
      <c r="G1077" s="2">
        <v>1179.26833462683</v>
      </c>
      <c r="H1077" s="1">
        <v>136.52775352844699</v>
      </c>
      <c r="I1077" s="1">
        <f t="shared" si="33"/>
        <v>107.18439363930671</v>
      </c>
    </row>
    <row r="1078" spans="1:9" x14ac:dyDescent="0.45">
      <c r="A1078" t="s">
        <v>63</v>
      </c>
      <c r="B1078" t="s">
        <v>22</v>
      </c>
      <c r="C1078" t="str">
        <f t="shared" si="32"/>
        <v>Texas TechDuke</v>
      </c>
      <c r="D1078" t="s">
        <v>22</v>
      </c>
      <c r="E1078">
        <v>14.1</v>
      </c>
      <c r="F1078" s="1">
        <v>11.841509433962299</v>
      </c>
      <c r="G1078" s="2">
        <v>608.83161436562705</v>
      </c>
      <c r="H1078" s="1">
        <v>137.51826613368701</v>
      </c>
      <c r="I1078" s="1">
        <f t="shared" si="33"/>
        <v>121.09288993145883</v>
      </c>
    </row>
    <row r="1079" spans="1:9" x14ac:dyDescent="0.45">
      <c r="A1079" t="s">
        <v>64</v>
      </c>
      <c r="B1079" t="s">
        <v>22</v>
      </c>
      <c r="C1079" t="str">
        <f t="shared" si="32"/>
        <v>TroyDuke</v>
      </c>
      <c r="D1079" t="s">
        <v>22</v>
      </c>
      <c r="E1079">
        <v>0.2</v>
      </c>
      <c r="F1079" s="1">
        <v>39.649056603773602</v>
      </c>
      <c r="G1079" s="2">
        <v>42348.541691883802</v>
      </c>
      <c r="H1079" s="1">
        <v>136.284570728245</v>
      </c>
      <c r="I1079" s="1">
        <f t="shared" si="33"/>
        <v>103.76968992222983</v>
      </c>
    </row>
    <row r="1080" spans="1:9" x14ac:dyDescent="0.45">
      <c r="A1080" t="s">
        <v>65</v>
      </c>
      <c r="B1080" t="s">
        <v>22</v>
      </c>
      <c r="C1080" t="str">
        <f t="shared" si="32"/>
        <v>UC San DiegoDuke</v>
      </c>
      <c r="D1080" t="s">
        <v>22</v>
      </c>
      <c r="E1080">
        <v>0.6</v>
      </c>
      <c r="F1080" s="1">
        <v>33.4679245283019</v>
      </c>
      <c r="G1080" s="2">
        <v>16493.413499415001</v>
      </c>
      <c r="H1080" s="1">
        <v>136.35469095790799</v>
      </c>
      <c r="I1080" s="1">
        <f t="shared" si="33"/>
        <v>104.75429824433819</v>
      </c>
    </row>
    <row r="1081" spans="1:9" x14ac:dyDescent="0.45">
      <c r="A1081" t="s">
        <v>66</v>
      </c>
      <c r="B1081" t="s">
        <v>22</v>
      </c>
      <c r="C1081" t="str">
        <f t="shared" si="32"/>
        <v>UCLADuke</v>
      </c>
      <c r="D1081" t="s">
        <v>22</v>
      </c>
      <c r="E1081">
        <v>2</v>
      </c>
      <c r="F1081" s="1">
        <v>25.366037735849101</v>
      </c>
      <c r="G1081" s="2">
        <v>4793.1287573749196</v>
      </c>
      <c r="H1081" s="1">
        <v>135.57594953712101</v>
      </c>
      <c r="I1081" s="1">
        <f t="shared" si="33"/>
        <v>93.819432694659952</v>
      </c>
    </row>
    <row r="1082" spans="1:9" x14ac:dyDescent="0.45">
      <c r="A1082" t="s">
        <v>67</v>
      </c>
      <c r="B1082" t="s">
        <v>22</v>
      </c>
      <c r="C1082" t="str">
        <f t="shared" si="32"/>
        <v>UNC WilmingtonDuke</v>
      </c>
      <c r="D1082" t="s">
        <v>22</v>
      </c>
      <c r="E1082">
        <v>0.3</v>
      </c>
      <c r="F1082" s="1">
        <v>37.060377358490598</v>
      </c>
      <c r="G1082" s="2">
        <v>28528.1452501493</v>
      </c>
      <c r="H1082" s="1">
        <v>136.891359428573</v>
      </c>
      <c r="I1082" s="1">
        <f t="shared" si="33"/>
        <v>112.29004427611181</v>
      </c>
    </row>
    <row r="1083" spans="1:9" x14ac:dyDescent="0.45">
      <c r="A1083" t="s">
        <v>68</v>
      </c>
      <c r="B1083" t="s">
        <v>22</v>
      </c>
      <c r="C1083" t="str">
        <f t="shared" si="32"/>
        <v>Utah St.Duke</v>
      </c>
      <c r="D1083" t="s">
        <v>22</v>
      </c>
      <c r="E1083">
        <v>1.9</v>
      </c>
      <c r="F1083" s="1">
        <v>25.732075471698099</v>
      </c>
      <c r="G1083" s="2">
        <v>5067.9853249264797</v>
      </c>
      <c r="H1083" s="1">
        <v>136.43854592715201</v>
      </c>
      <c r="I1083" s="1">
        <f t="shared" si="33"/>
        <v>105.93176587336075</v>
      </c>
    </row>
    <row r="1084" spans="1:9" x14ac:dyDescent="0.45">
      <c r="A1084" t="s">
        <v>69</v>
      </c>
      <c r="B1084" t="s">
        <v>22</v>
      </c>
      <c r="C1084" t="str">
        <f t="shared" si="32"/>
        <v>VanderbiltDuke</v>
      </c>
      <c r="D1084" t="s">
        <v>22</v>
      </c>
      <c r="E1084">
        <v>0.4</v>
      </c>
      <c r="F1084" s="1">
        <v>36.381132075471697</v>
      </c>
      <c r="G1084" s="2">
        <v>25719.014140077299</v>
      </c>
      <c r="H1084" s="1">
        <v>134.872583808435</v>
      </c>
      <c r="I1084" s="1">
        <f t="shared" si="33"/>
        <v>83.942971175943853</v>
      </c>
    </row>
    <row r="1085" spans="1:9" x14ac:dyDescent="0.45">
      <c r="A1085" t="s">
        <v>70</v>
      </c>
      <c r="B1085" t="s">
        <v>22</v>
      </c>
      <c r="C1085" t="str">
        <f t="shared" si="32"/>
        <v>VCUDuke</v>
      </c>
      <c r="D1085" t="s">
        <v>22</v>
      </c>
      <c r="E1085">
        <v>1.2</v>
      </c>
      <c r="F1085" s="1">
        <v>28.735849056603801</v>
      </c>
      <c r="G1085" s="2">
        <v>8011.8455271468401</v>
      </c>
      <c r="H1085" s="1">
        <v>136.79775693762801</v>
      </c>
      <c r="I1085" s="1">
        <f t="shared" si="33"/>
        <v>110.97570471964639</v>
      </c>
    </row>
    <row r="1086" spans="1:9" x14ac:dyDescent="0.45">
      <c r="A1086" t="s">
        <v>71</v>
      </c>
      <c r="B1086" t="s">
        <v>22</v>
      </c>
      <c r="C1086" t="str">
        <f t="shared" si="32"/>
        <v>WisconsinDuke</v>
      </c>
      <c r="D1086" t="s">
        <v>22</v>
      </c>
      <c r="E1086">
        <v>12.5</v>
      </c>
      <c r="F1086" s="1">
        <v>12.781132075471699</v>
      </c>
      <c r="G1086" s="2">
        <v>702.82455849169105</v>
      </c>
      <c r="H1086" s="1">
        <v>137.45101254596</v>
      </c>
      <c r="I1086" s="1">
        <f t="shared" si="33"/>
        <v>120.14853418011694</v>
      </c>
    </row>
    <row r="1087" spans="1:9" x14ac:dyDescent="0.45">
      <c r="A1087" t="s">
        <v>80</v>
      </c>
      <c r="B1087" t="s">
        <v>22</v>
      </c>
      <c r="C1087" t="str">
        <f t="shared" si="32"/>
        <v>WoffordDuke</v>
      </c>
      <c r="D1087" t="s">
        <v>22</v>
      </c>
      <c r="E1087">
        <v>0.1</v>
      </c>
      <c r="F1087" s="1">
        <v>43.958490566037703</v>
      </c>
      <c r="G1087" s="2">
        <v>81683.250547244505</v>
      </c>
      <c r="H1087" s="1">
        <v>135.54866097518601</v>
      </c>
      <c r="I1087" s="1">
        <f t="shared" si="33"/>
        <v>93.436254469079401</v>
      </c>
    </row>
    <row r="1088" spans="1:9" x14ac:dyDescent="0.45">
      <c r="A1088" t="s">
        <v>72</v>
      </c>
      <c r="B1088" t="s">
        <v>22</v>
      </c>
      <c r="C1088" t="str">
        <f t="shared" si="32"/>
        <v>XavierDuke</v>
      </c>
      <c r="D1088" t="s">
        <v>22</v>
      </c>
      <c r="E1088">
        <v>1.2</v>
      </c>
      <c r="F1088" s="1">
        <v>28.807547169811301</v>
      </c>
      <c r="G1088" s="2">
        <v>8101.7446805378304</v>
      </c>
      <c r="H1088" s="1">
        <v>136.291463145808</v>
      </c>
      <c r="I1088" s="1">
        <f t="shared" si="33"/>
        <v>103.86647128938431</v>
      </c>
    </row>
    <row r="1089" spans="1:9" x14ac:dyDescent="0.45">
      <c r="A1089" t="s">
        <v>73</v>
      </c>
      <c r="B1089" t="s">
        <v>22</v>
      </c>
      <c r="C1089" t="str">
        <f t="shared" si="32"/>
        <v>YaleDuke</v>
      </c>
      <c r="D1089" t="s">
        <v>22</v>
      </c>
      <c r="E1089">
        <v>0.6</v>
      </c>
      <c r="F1089" s="1">
        <v>33.056603773584897</v>
      </c>
      <c r="G1089" s="2">
        <v>15492.5905834853</v>
      </c>
      <c r="H1089" s="1">
        <v>136.89116928220199</v>
      </c>
      <c r="I1089" s="1">
        <f t="shared" si="33"/>
        <v>112.2873742948494</v>
      </c>
    </row>
    <row r="1090" spans="1:9" x14ac:dyDescent="0.45">
      <c r="A1090" t="s">
        <v>7</v>
      </c>
      <c r="B1090" t="s">
        <v>23</v>
      </c>
      <c r="C1090" t="str">
        <f t="shared" si="32"/>
        <v>AkronFlorida</v>
      </c>
      <c r="D1090" t="s">
        <v>23</v>
      </c>
      <c r="E1090">
        <v>0.6</v>
      </c>
      <c r="F1090" s="1">
        <v>33.464150943396199</v>
      </c>
      <c r="G1090" s="2">
        <v>16484.122421216402</v>
      </c>
      <c r="H1090" s="1">
        <v>135.97334581522699</v>
      </c>
      <c r="I1090" s="1">
        <f t="shared" si="33"/>
        <v>99.399558208774806</v>
      </c>
    </row>
    <row r="1091" spans="1:9" x14ac:dyDescent="0.45">
      <c r="A1091" t="s">
        <v>8</v>
      </c>
      <c r="B1091" t="s">
        <v>23</v>
      </c>
      <c r="C1091" t="str">
        <f t="shared" ref="C1091:C1154" si="34">A1091&amp;B1091</f>
        <v>AlabamaFlorida</v>
      </c>
      <c r="D1091" t="s">
        <v>23</v>
      </c>
      <c r="E1091">
        <v>31.4</v>
      </c>
      <c r="F1091" s="1">
        <v>5.12452830188679</v>
      </c>
      <c r="G1091" s="2">
        <v>218.54210750938699</v>
      </c>
      <c r="H1091" s="1">
        <v>137.78095700282299</v>
      </c>
      <c r="I1091" s="1">
        <f t="shared" ref="I1091:I1154" si="35">18*(H1091-AVERAGE($H$2:$H$4625))/_xlfn.STDEV.P($H$2:$H$4625)+AVERAGE($H$2:$H$4625)</f>
        <v>124.7815204042378</v>
      </c>
    </row>
    <row r="1092" spans="1:9" x14ac:dyDescent="0.45">
      <c r="A1092" t="s">
        <v>9</v>
      </c>
      <c r="B1092" t="s">
        <v>23</v>
      </c>
      <c r="C1092" t="str">
        <f t="shared" si="34"/>
        <v>Alabama St.Florida</v>
      </c>
      <c r="D1092" t="s">
        <v>23</v>
      </c>
      <c r="E1092">
        <v>0.1</v>
      </c>
      <c r="F1092" s="1">
        <v>45.784905660377397</v>
      </c>
      <c r="G1092" s="2">
        <v>107933.323155669</v>
      </c>
      <c r="H1092" s="1">
        <v>136.160107574649</v>
      </c>
      <c r="I1092" s="1">
        <f t="shared" si="35"/>
        <v>102.02201371786691</v>
      </c>
    </row>
    <row r="1093" spans="1:9" x14ac:dyDescent="0.45">
      <c r="A1093" t="s">
        <v>10</v>
      </c>
      <c r="B1093" t="s">
        <v>23</v>
      </c>
      <c r="C1093" t="str">
        <f t="shared" si="34"/>
        <v>AmericanFlorida</v>
      </c>
      <c r="D1093" t="s">
        <v>23</v>
      </c>
      <c r="E1093">
        <v>0.1</v>
      </c>
      <c r="F1093" s="1">
        <v>45.026415094339598</v>
      </c>
      <c r="G1093" s="2">
        <v>96163.282333180599</v>
      </c>
      <c r="H1093" s="1">
        <v>135.923397094411</v>
      </c>
      <c r="I1093" s="1">
        <f t="shared" si="35"/>
        <v>98.6981924769388</v>
      </c>
    </row>
    <row r="1094" spans="1:9" x14ac:dyDescent="0.45">
      <c r="A1094" t="s">
        <v>11</v>
      </c>
      <c r="B1094" t="s">
        <v>23</v>
      </c>
      <c r="C1094" t="str">
        <f t="shared" si="34"/>
        <v>ArizonaFlorida</v>
      </c>
      <c r="D1094" t="s">
        <v>23</v>
      </c>
      <c r="E1094">
        <v>23.1</v>
      </c>
      <c r="F1094" s="1">
        <v>7.8792452830188697</v>
      </c>
      <c r="G1094" s="2">
        <v>332.72796946647998</v>
      </c>
      <c r="H1094" s="1">
        <v>137.39143634300001</v>
      </c>
      <c r="I1094" s="1">
        <f t="shared" si="35"/>
        <v>119.3119820821568</v>
      </c>
    </row>
    <row r="1095" spans="1:9" x14ac:dyDescent="0.45">
      <c r="A1095" t="s">
        <v>12</v>
      </c>
      <c r="B1095" t="s">
        <v>23</v>
      </c>
      <c r="C1095" t="str">
        <f t="shared" si="34"/>
        <v>ArkansasFlorida</v>
      </c>
      <c r="D1095" t="s">
        <v>23</v>
      </c>
      <c r="E1095">
        <v>1.9</v>
      </c>
      <c r="F1095" s="1">
        <v>25.781132075471699</v>
      </c>
      <c r="G1095" s="2">
        <v>5104.9196842225701</v>
      </c>
      <c r="H1095" s="1">
        <v>135.717360320789</v>
      </c>
      <c r="I1095" s="1">
        <f t="shared" si="35"/>
        <v>95.805082700436543</v>
      </c>
    </row>
    <row r="1096" spans="1:9" x14ac:dyDescent="0.45">
      <c r="A1096" t="s">
        <v>13</v>
      </c>
      <c r="B1096" t="s">
        <v>23</v>
      </c>
      <c r="C1096" t="str">
        <f t="shared" si="34"/>
        <v>AuburnFlorida</v>
      </c>
      <c r="D1096" t="s">
        <v>23</v>
      </c>
      <c r="E1096">
        <v>47.4</v>
      </c>
      <c r="F1096" s="1">
        <v>0.68679245283018897</v>
      </c>
      <c r="G1096" s="2">
        <v>111.025977055369</v>
      </c>
      <c r="H1096" s="1">
        <v>138.80317323617501</v>
      </c>
      <c r="I1096" s="1">
        <f t="shared" si="35"/>
        <v>139.13519002554389</v>
      </c>
    </row>
    <row r="1097" spans="1:9" x14ac:dyDescent="0.45">
      <c r="A1097" t="s">
        <v>14</v>
      </c>
      <c r="B1097" t="s">
        <v>23</v>
      </c>
      <c r="C1097" t="str">
        <f t="shared" si="34"/>
        <v>BaylorFlorida</v>
      </c>
      <c r="D1097" t="s">
        <v>23</v>
      </c>
      <c r="E1097">
        <v>8.3000000000000007</v>
      </c>
      <c r="F1097" s="1">
        <v>15.735849056603801</v>
      </c>
      <c r="G1097" s="2">
        <v>1102.5208397328299</v>
      </c>
      <c r="H1097" s="1">
        <v>137.266090597356</v>
      </c>
      <c r="I1097" s="1">
        <f t="shared" si="35"/>
        <v>117.55191277127273</v>
      </c>
    </row>
    <row r="1098" spans="1:9" x14ac:dyDescent="0.45">
      <c r="A1098" t="s">
        <v>15</v>
      </c>
      <c r="B1098" t="s">
        <v>23</v>
      </c>
      <c r="C1098" t="str">
        <f t="shared" si="34"/>
        <v>BryantFlorida</v>
      </c>
      <c r="D1098" t="s">
        <v>23</v>
      </c>
      <c r="E1098">
        <v>0.4</v>
      </c>
      <c r="F1098" s="1">
        <v>35.803773584905699</v>
      </c>
      <c r="G1098" s="2">
        <v>23555.841211034702</v>
      </c>
      <c r="H1098" s="1">
        <v>136.85841047300099</v>
      </c>
      <c r="I1098" s="1">
        <f t="shared" si="35"/>
        <v>111.82738441294677</v>
      </c>
    </row>
    <row r="1099" spans="1:9" x14ac:dyDescent="0.45">
      <c r="A1099" t="s">
        <v>16</v>
      </c>
      <c r="B1099" t="s">
        <v>23</v>
      </c>
      <c r="C1099" t="str">
        <f t="shared" si="34"/>
        <v>BYUFlorida</v>
      </c>
      <c r="D1099" t="s">
        <v>23</v>
      </c>
      <c r="E1099">
        <v>9.6999999999999993</v>
      </c>
      <c r="F1099" s="1">
        <v>14.6415094339623</v>
      </c>
      <c r="G1099" s="2">
        <v>932.99016375443603</v>
      </c>
      <c r="H1099" s="1">
        <v>137.028451147445</v>
      </c>
      <c r="I1099" s="1">
        <f t="shared" si="35"/>
        <v>114.21504720240364</v>
      </c>
    </row>
    <row r="1100" spans="1:9" x14ac:dyDescent="0.45">
      <c r="A1100" t="s">
        <v>17</v>
      </c>
      <c r="B1100" t="s">
        <v>23</v>
      </c>
      <c r="C1100" t="str">
        <f t="shared" si="34"/>
        <v>ClemsonFlorida</v>
      </c>
      <c r="D1100" t="s">
        <v>23</v>
      </c>
      <c r="E1100">
        <v>13</v>
      </c>
      <c r="F1100" s="1">
        <v>12.4339622641509</v>
      </c>
      <c r="G1100" s="2">
        <v>666.55486004170803</v>
      </c>
      <c r="H1100" s="1">
        <v>137.378501369887</v>
      </c>
      <c r="I1100" s="1">
        <f t="shared" si="35"/>
        <v>119.13035286852582</v>
      </c>
    </row>
    <row r="1101" spans="1:9" x14ac:dyDescent="0.45">
      <c r="A1101" t="s">
        <v>18</v>
      </c>
      <c r="B1101" t="s">
        <v>23</v>
      </c>
      <c r="C1101" t="str">
        <f t="shared" si="34"/>
        <v>Colorado St.Florida</v>
      </c>
      <c r="D1101" t="s">
        <v>23</v>
      </c>
      <c r="E1101">
        <v>2.4</v>
      </c>
      <c r="F1101" s="1">
        <v>24.218867924528301</v>
      </c>
      <c r="G1101" s="2">
        <v>4021.6085568482699</v>
      </c>
      <c r="H1101" s="1">
        <v>136.76811234468099</v>
      </c>
      <c r="I1101" s="1">
        <f t="shared" si="35"/>
        <v>110.5594437766712</v>
      </c>
    </row>
    <row r="1102" spans="1:9" x14ac:dyDescent="0.45">
      <c r="A1102" t="s">
        <v>19</v>
      </c>
      <c r="B1102" t="s">
        <v>23</v>
      </c>
      <c r="C1102" t="str">
        <f t="shared" si="34"/>
        <v>ConnecticutFlorida</v>
      </c>
      <c r="D1102" t="s">
        <v>23</v>
      </c>
      <c r="E1102">
        <v>18.899999999999999</v>
      </c>
      <c r="F1102" s="1">
        <v>9.5433962264150907</v>
      </c>
      <c r="G1102" s="2">
        <v>428.69613788486703</v>
      </c>
      <c r="H1102" s="1">
        <v>137.17875220063499</v>
      </c>
      <c r="I1102" s="1">
        <f t="shared" si="35"/>
        <v>116.3255318443361</v>
      </c>
    </row>
    <row r="1103" spans="1:9" x14ac:dyDescent="0.45">
      <c r="A1103" t="s">
        <v>20</v>
      </c>
      <c r="B1103" t="s">
        <v>23</v>
      </c>
      <c r="C1103" t="str">
        <f t="shared" si="34"/>
        <v>CreightonFlorida</v>
      </c>
      <c r="D1103" t="s">
        <v>23</v>
      </c>
      <c r="E1103">
        <v>6.7</v>
      </c>
      <c r="F1103" s="1">
        <v>17.2490566037736</v>
      </c>
      <c r="G1103" s="2">
        <v>1389.25583940712</v>
      </c>
      <c r="H1103" s="1">
        <v>136.728048953474</v>
      </c>
      <c r="I1103" s="1">
        <f t="shared" si="35"/>
        <v>109.99688503172885</v>
      </c>
    </row>
    <row r="1104" spans="1:9" x14ac:dyDescent="0.45">
      <c r="A1104" t="s">
        <v>21</v>
      </c>
      <c r="B1104" t="s">
        <v>23</v>
      </c>
      <c r="C1104" t="str">
        <f t="shared" si="34"/>
        <v>DrakeFlorida</v>
      </c>
      <c r="D1104" t="s">
        <v>23</v>
      </c>
      <c r="E1104">
        <v>2.4</v>
      </c>
      <c r="F1104" s="1">
        <v>24.422641509434001</v>
      </c>
      <c r="G1104" s="2">
        <v>4149.2530733855301</v>
      </c>
      <c r="H1104" s="1">
        <v>136.96272475914799</v>
      </c>
      <c r="I1104" s="1">
        <f t="shared" si="35"/>
        <v>113.29213595110869</v>
      </c>
    </row>
    <row r="1105" spans="1:9" x14ac:dyDescent="0.45">
      <c r="A1105" t="s">
        <v>22</v>
      </c>
      <c r="B1105" t="s">
        <v>23</v>
      </c>
      <c r="C1105" t="str">
        <f t="shared" si="34"/>
        <v>DukeFlorida</v>
      </c>
      <c r="D1105" t="s">
        <v>22</v>
      </c>
      <c r="E1105">
        <v>55.8</v>
      </c>
      <c r="F1105" s="1">
        <v>-1.52830188679245</v>
      </c>
      <c r="G1105" s="2">
        <v>-126.26486002540599</v>
      </c>
      <c r="H1105" s="1">
        <v>139.04306464775101</v>
      </c>
      <c r="I1105" s="1">
        <f t="shared" si="35"/>
        <v>142.50367699963485</v>
      </c>
    </row>
    <row r="1106" spans="1:9" x14ac:dyDescent="0.45">
      <c r="A1106" t="s">
        <v>23</v>
      </c>
      <c r="B1106" t="s">
        <v>23</v>
      </c>
      <c r="C1106" t="str">
        <f t="shared" si="34"/>
        <v>FloridaFlorida</v>
      </c>
      <c r="D1106" t="s">
        <v>23</v>
      </c>
      <c r="E1106">
        <v>41.2</v>
      </c>
      <c r="F1106" s="1">
        <v>2.3283018867924499</v>
      </c>
      <c r="G1106" s="2">
        <v>142.64273539779199</v>
      </c>
      <c r="H1106" s="1">
        <v>138.77771517530499</v>
      </c>
      <c r="I1106" s="1">
        <f t="shared" si="35"/>
        <v>138.77771517530684</v>
      </c>
    </row>
    <row r="1107" spans="1:9" x14ac:dyDescent="0.45">
      <c r="A1107" t="s">
        <v>24</v>
      </c>
      <c r="B1107" t="s">
        <v>23</v>
      </c>
      <c r="C1107" t="str">
        <f t="shared" si="34"/>
        <v>GeorgiaFlorida</v>
      </c>
      <c r="D1107" t="s">
        <v>23</v>
      </c>
      <c r="E1107">
        <v>2.7</v>
      </c>
      <c r="F1107" s="1">
        <v>23.388679245283001</v>
      </c>
      <c r="G1107" s="2">
        <v>3544.5832140500402</v>
      </c>
      <c r="H1107" s="1">
        <v>136.04167347159</v>
      </c>
      <c r="I1107" s="1">
        <f t="shared" si="35"/>
        <v>100.3589957264287</v>
      </c>
    </row>
    <row r="1108" spans="1:9" x14ac:dyDescent="0.45">
      <c r="A1108" t="s">
        <v>25</v>
      </c>
      <c r="B1108" t="s">
        <v>23</v>
      </c>
      <c r="C1108" t="str">
        <f t="shared" si="34"/>
        <v>GonzagaFlorida</v>
      </c>
      <c r="D1108" t="s">
        <v>23</v>
      </c>
      <c r="E1108">
        <v>12.5</v>
      </c>
      <c r="F1108" s="1">
        <v>12.7584905660377</v>
      </c>
      <c r="G1108" s="2">
        <v>700.36806288060302</v>
      </c>
      <c r="H1108" s="1">
        <v>138.01863520209599</v>
      </c>
      <c r="I1108" s="1">
        <f t="shared" si="35"/>
        <v>128.11893008062748</v>
      </c>
    </row>
    <row r="1109" spans="1:9" x14ac:dyDescent="0.45">
      <c r="A1109" t="s">
        <v>26</v>
      </c>
      <c r="B1109" t="s">
        <v>23</v>
      </c>
      <c r="C1109" t="str">
        <f t="shared" si="34"/>
        <v>Grand CanyonFlorida</v>
      </c>
      <c r="D1109" t="s">
        <v>23</v>
      </c>
      <c r="E1109">
        <v>1.5</v>
      </c>
      <c r="F1109" s="1">
        <v>27.309433962264201</v>
      </c>
      <c r="G1109" s="2">
        <v>6446.2206759056899</v>
      </c>
      <c r="H1109" s="1">
        <v>136.83660691963601</v>
      </c>
      <c r="I1109" s="1">
        <f t="shared" si="35"/>
        <v>111.52122511772103</v>
      </c>
    </row>
    <row r="1110" spans="1:9" x14ac:dyDescent="0.45">
      <c r="A1110" t="s">
        <v>27</v>
      </c>
      <c r="B1110" t="s">
        <v>23</v>
      </c>
      <c r="C1110" t="str">
        <f t="shared" si="34"/>
        <v>High PointFlorida</v>
      </c>
      <c r="D1110" t="s">
        <v>23</v>
      </c>
      <c r="E1110">
        <v>1</v>
      </c>
      <c r="F1110" s="1">
        <v>30.4</v>
      </c>
      <c r="G1110" s="2">
        <v>10327.3103896128</v>
      </c>
      <c r="H1110" s="1">
        <v>137.02781405318399</v>
      </c>
      <c r="I1110" s="1">
        <f t="shared" si="35"/>
        <v>114.20610130598585</v>
      </c>
    </row>
    <row r="1111" spans="1:9" x14ac:dyDescent="0.45">
      <c r="A1111" t="s">
        <v>28</v>
      </c>
      <c r="B1111" t="s">
        <v>23</v>
      </c>
      <c r="C1111" t="str">
        <f t="shared" si="34"/>
        <v>HoustonFlorida</v>
      </c>
      <c r="D1111" t="s">
        <v>28</v>
      </c>
      <c r="E1111">
        <v>67.8</v>
      </c>
      <c r="F1111" s="1">
        <v>-4.8830188679245303</v>
      </c>
      <c r="G1111" s="2">
        <v>-210.62633078160499</v>
      </c>
      <c r="H1111" s="1">
        <v>139.14127641038701</v>
      </c>
      <c r="I1111" s="1">
        <f t="shared" si="35"/>
        <v>143.88273863826743</v>
      </c>
    </row>
    <row r="1112" spans="1:9" x14ac:dyDescent="0.45">
      <c r="A1112" t="s">
        <v>29</v>
      </c>
      <c r="B1112" t="s">
        <v>23</v>
      </c>
      <c r="C1112" t="str">
        <f t="shared" si="34"/>
        <v>IllinoisFlorida</v>
      </c>
      <c r="D1112" t="s">
        <v>23</v>
      </c>
      <c r="E1112">
        <v>17.2</v>
      </c>
      <c r="F1112" s="1">
        <v>10.3056603773585</v>
      </c>
      <c r="G1112" s="2">
        <v>481.616012595038</v>
      </c>
      <c r="H1112" s="1">
        <v>137.19974018534899</v>
      </c>
      <c r="I1112" s="1">
        <f t="shared" si="35"/>
        <v>116.62023915651983</v>
      </c>
    </row>
    <row r="1113" spans="1:9" x14ac:dyDescent="0.45">
      <c r="A1113" t="s">
        <v>30</v>
      </c>
      <c r="B1113" t="s">
        <v>23</v>
      </c>
      <c r="C1113" t="str">
        <f t="shared" si="34"/>
        <v>Iowa St.Florida</v>
      </c>
      <c r="D1113" t="s">
        <v>23</v>
      </c>
      <c r="E1113">
        <v>30.4</v>
      </c>
      <c r="F1113" s="1">
        <v>5.4452830188679204</v>
      </c>
      <c r="G1113" s="2">
        <v>229.42717548185399</v>
      </c>
      <c r="H1113" s="1">
        <v>138.09628247693499</v>
      </c>
      <c r="I1113" s="1">
        <f t="shared" si="35"/>
        <v>129.20923103033846</v>
      </c>
    </row>
    <row r="1114" spans="1:9" x14ac:dyDescent="0.45">
      <c r="A1114" t="s">
        <v>31</v>
      </c>
      <c r="B1114" t="s">
        <v>23</v>
      </c>
      <c r="C1114" t="str">
        <f t="shared" si="34"/>
        <v>KansasFlorida</v>
      </c>
      <c r="D1114" t="s">
        <v>23</v>
      </c>
      <c r="E1114">
        <v>11.8</v>
      </c>
      <c r="F1114" s="1">
        <v>13.158490566037701</v>
      </c>
      <c r="G1114" s="2">
        <v>744.46758757054704</v>
      </c>
      <c r="H1114" s="1">
        <v>137.146870365789</v>
      </c>
      <c r="I1114" s="1">
        <f t="shared" si="35"/>
        <v>115.87785618690718</v>
      </c>
    </row>
    <row r="1115" spans="1:9" x14ac:dyDescent="0.45">
      <c r="A1115" t="s">
        <v>32</v>
      </c>
      <c r="B1115" t="s">
        <v>23</v>
      </c>
      <c r="C1115" t="str">
        <f t="shared" si="34"/>
        <v>KentuckyFlorida</v>
      </c>
      <c r="D1115" t="s">
        <v>23</v>
      </c>
      <c r="E1115">
        <v>18.3</v>
      </c>
      <c r="F1115" s="1">
        <v>9.7962264150943401</v>
      </c>
      <c r="G1115" s="2">
        <v>445.61505148111399</v>
      </c>
      <c r="H1115" s="1">
        <v>137.08115269791401</v>
      </c>
      <c r="I1115" s="1">
        <f t="shared" si="35"/>
        <v>114.95506738529801</v>
      </c>
    </row>
    <row r="1116" spans="1:9" x14ac:dyDescent="0.45">
      <c r="A1116" t="s">
        <v>33</v>
      </c>
      <c r="B1116" t="s">
        <v>23</v>
      </c>
      <c r="C1116" t="str">
        <f t="shared" si="34"/>
        <v>LibertyFlorida</v>
      </c>
      <c r="D1116" t="s">
        <v>23</v>
      </c>
      <c r="E1116">
        <v>0.7</v>
      </c>
      <c r="F1116" s="1">
        <v>32.781132075471703</v>
      </c>
      <c r="G1116" s="2">
        <v>14852.0966408532</v>
      </c>
      <c r="H1116" s="1">
        <v>136.42615374163199</v>
      </c>
      <c r="I1116" s="1">
        <f t="shared" si="35"/>
        <v>105.75775832873691</v>
      </c>
    </row>
    <row r="1117" spans="1:9" x14ac:dyDescent="0.45">
      <c r="A1117" t="s">
        <v>34</v>
      </c>
      <c r="B1117" t="s">
        <v>23</v>
      </c>
      <c r="C1117" t="str">
        <f t="shared" si="34"/>
        <v>LipscombFlorida</v>
      </c>
      <c r="D1117" t="s">
        <v>23</v>
      </c>
      <c r="E1117">
        <v>0.5</v>
      </c>
      <c r="F1117" s="1">
        <v>34.649056603773602</v>
      </c>
      <c r="G1117" s="2">
        <v>19741.769054120701</v>
      </c>
      <c r="H1117" s="1">
        <v>136.83247193922301</v>
      </c>
      <c r="I1117" s="1">
        <f t="shared" si="35"/>
        <v>111.46316289878703</v>
      </c>
    </row>
    <row r="1118" spans="1:9" x14ac:dyDescent="0.45">
      <c r="A1118" t="s">
        <v>35</v>
      </c>
      <c r="B1118" t="s">
        <v>23</v>
      </c>
      <c r="C1118" t="str">
        <f t="shared" si="34"/>
        <v>LouisvilleFlorida</v>
      </c>
      <c r="D1118" t="s">
        <v>23</v>
      </c>
      <c r="E1118">
        <v>1.3</v>
      </c>
      <c r="F1118" s="1">
        <v>28.6</v>
      </c>
      <c r="G1118" s="2">
        <v>7845.9987039174503</v>
      </c>
      <c r="H1118" s="1">
        <v>136.07783394504099</v>
      </c>
      <c r="I1118" s="1">
        <f t="shared" si="35"/>
        <v>100.86675081026603</v>
      </c>
    </row>
    <row r="1119" spans="1:9" x14ac:dyDescent="0.45">
      <c r="A1119" t="s">
        <v>36</v>
      </c>
      <c r="B1119" t="s">
        <v>23</v>
      </c>
      <c r="C1119" t="str">
        <f t="shared" si="34"/>
        <v>MarquetteFlorida</v>
      </c>
      <c r="D1119" t="s">
        <v>23</v>
      </c>
      <c r="E1119">
        <v>14.7</v>
      </c>
      <c r="F1119" s="1">
        <v>11.5320754716981</v>
      </c>
      <c r="G1119" s="2">
        <v>580.63730434436695</v>
      </c>
      <c r="H1119" s="1">
        <v>137.339967788503</v>
      </c>
      <c r="I1119" s="1">
        <f t="shared" si="35"/>
        <v>118.58927527802625</v>
      </c>
    </row>
    <row r="1120" spans="1:9" x14ac:dyDescent="0.45">
      <c r="A1120" t="s">
        <v>37</v>
      </c>
      <c r="B1120" t="s">
        <v>23</v>
      </c>
      <c r="C1120" t="str">
        <f t="shared" si="34"/>
        <v>MarylandFlorida</v>
      </c>
      <c r="D1120" t="s">
        <v>23</v>
      </c>
      <c r="E1120">
        <v>9.6</v>
      </c>
      <c r="F1120" s="1">
        <v>14.6981132075472</v>
      </c>
      <c r="G1120" s="2">
        <v>941.32320823602504</v>
      </c>
      <c r="H1120" s="1">
        <v>136.79833738704599</v>
      </c>
      <c r="I1120" s="1">
        <f t="shared" si="35"/>
        <v>110.98385522528868</v>
      </c>
    </row>
    <row r="1121" spans="1:9" x14ac:dyDescent="0.45">
      <c r="A1121" t="s">
        <v>38</v>
      </c>
      <c r="B1121" t="s">
        <v>23</v>
      </c>
      <c r="C1121" t="str">
        <f t="shared" si="34"/>
        <v>McNeese St.Florida</v>
      </c>
      <c r="D1121" t="s">
        <v>23</v>
      </c>
      <c r="E1121">
        <v>2.4</v>
      </c>
      <c r="F1121" s="1">
        <v>24.237735849056602</v>
      </c>
      <c r="G1121" s="2">
        <v>4034.6739095277298</v>
      </c>
      <c r="H1121" s="1">
        <v>137.39157280001001</v>
      </c>
      <c r="I1121" s="1">
        <f t="shared" si="35"/>
        <v>119.31389817268165</v>
      </c>
    </row>
    <row r="1122" spans="1:9" x14ac:dyDescent="0.45">
      <c r="A1122" t="s">
        <v>39</v>
      </c>
      <c r="B1122" t="s">
        <v>23</v>
      </c>
      <c r="C1122" t="str">
        <f t="shared" si="34"/>
        <v>MemphisFlorida</v>
      </c>
      <c r="D1122" t="s">
        <v>23</v>
      </c>
      <c r="E1122">
        <v>5.6</v>
      </c>
      <c r="F1122" s="1">
        <v>18.464150943396199</v>
      </c>
      <c r="G1122" s="2">
        <v>1671.62605986725</v>
      </c>
      <c r="H1122" s="1">
        <v>135.92585462653599</v>
      </c>
      <c r="I1122" s="1">
        <f t="shared" si="35"/>
        <v>98.732700444093865</v>
      </c>
    </row>
    <row r="1123" spans="1:9" x14ac:dyDescent="0.45">
      <c r="A1123" t="s">
        <v>40</v>
      </c>
      <c r="B1123" t="s">
        <v>23</v>
      </c>
      <c r="C1123" t="str">
        <f t="shared" si="34"/>
        <v>MichiganFlorida</v>
      </c>
      <c r="D1123" t="s">
        <v>23</v>
      </c>
      <c r="E1123">
        <v>2.9</v>
      </c>
      <c r="F1123" s="1">
        <v>23.086792452830199</v>
      </c>
      <c r="G1123" s="2">
        <v>3384.80588314737</v>
      </c>
      <c r="H1123" s="1">
        <v>135.488475923453</v>
      </c>
      <c r="I1123" s="1">
        <f t="shared" si="35"/>
        <v>92.591153089810447</v>
      </c>
    </row>
    <row r="1124" spans="1:9" x14ac:dyDescent="0.45">
      <c r="A1124" t="s">
        <v>41</v>
      </c>
      <c r="B1124" t="s">
        <v>23</v>
      </c>
      <c r="C1124" t="str">
        <f t="shared" si="34"/>
        <v>Michigan St.Florida</v>
      </c>
      <c r="D1124" t="s">
        <v>23</v>
      </c>
      <c r="E1124">
        <v>21.9</v>
      </c>
      <c r="F1124" s="1">
        <v>8.3396226415094308</v>
      </c>
      <c r="G1124" s="2">
        <v>356.926362262287</v>
      </c>
      <c r="H1124" s="1">
        <v>137.13555563265999</v>
      </c>
      <c r="I1124" s="1">
        <f t="shared" si="35"/>
        <v>115.7189779223207</v>
      </c>
    </row>
    <row r="1125" spans="1:9" x14ac:dyDescent="0.45">
      <c r="A1125" t="s">
        <v>42</v>
      </c>
      <c r="B1125" t="s">
        <v>23</v>
      </c>
      <c r="C1125" t="str">
        <f t="shared" si="34"/>
        <v>MississippiFlorida</v>
      </c>
      <c r="D1125" t="s">
        <v>23</v>
      </c>
      <c r="E1125">
        <v>7.1</v>
      </c>
      <c r="F1125" s="1">
        <v>16.8377358490566</v>
      </c>
      <c r="G1125" s="2">
        <v>1304.51789460175</v>
      </c>
      <c r="H1125" s="1">
        <v>136.40324698254901</v>
      </c>
      <c r="I1125" s="1">
        <f t="shared" si="35"/>
        <v>105.43610813258042</v>
      </c>
    </row>
    <row r="1126" spans="1:9" x14ac:dyDescent="0.45">
      <c r="A1126" t="s">
        <v>43</v>
      </c>
      <c r="B1126" t="s">
        <v>23</v>
      </c>
      <c r="C1126" t="str">
        <f t="shared" si="34"/>
        <v>Mississippi St.Florida</v>
      </c>
      <c r="D1126" t="s">
        <v>23</v>
      </c>
      <c r="E1126">
        <v>5.6</v>
      </c>
      <c r="F1126" s="1">
        <v>18.562264150943399</v>
      </c>
      <c r="G1126" s="2">
        <v>1696.7871123057801</v>
      </c>
      <c r="H1126" s="1">
        <v>136.542993455226</v>
      </c>
      <c r="I1126" s="1">
        <f t="shared" si="35"/>
        <v>107.39838835676623</v>
      </c>
    </row>
    <row r="1127" spans="1:9" x14ac:dyDescent="0.45">
      <c r="A1127" t="s">
        <v>44</v>
      </c>
      <c r="B1127" t="s">
        <v>23</v>
      </c>
      <c r="C1127" t="str">
        <f t="shared" si="34"/>
        <v>MissouriFlorida</v>
      </c>
      <c r="D1127" t="s">
        <v>23</v>
      </c>
      <c r="E1127">
        <v>2.7</v>
      </c>
      <c r="F1127" s="1">
        <v>23.494339622641501</v>
      </c>
      <c r="G1127" s="2">
        <v>3601.684267133</v>
      </c>
      <c r="H1127" s="1">
        <v>135.960655353872</v>
      </c>
      <c r="I1127" s="1">
        <f t="shared" si="35"/>
        <v>99.221362359708507</v>
      </c>
    </row>
    <row r="1128" spans="1:9" x14ac:dyDescent="0.45">
      <c r="A1128" t="s">
        <v>45</v>
      </c>
      <c r="B1128" t="s">
        <v>23</v>
      </c>
      <c r="C1128" t="str">
        <f t="shared" si="34"/>
        <v>MontanaFlorida</v>
      </c>
      <c r="D1128" t="s">
        <v>23</v>
      </c>
      <c r="E1128">
        <v>0.2</v>
      </c>
      <c r="F1128" s="1">
        <v>39.301886792452798</v>
      </c>
      <c r="G1128" s="2">
        <v>40146.841314938298</v>
      </c>
      <c r="H1128" s="1">
        <v>135.09736691727801</v>
      </c>
      <c r="I1128" s="1">
        <f t="shared" si="35"/>
        <v>87.099311659994441</v>
      </c>
    </row>
    <row r="1129" spans="1:9" x14ac:dyDescent="0.45">
      <c r="A1129" t="s">
        <v>46</v>
      </c>
      <c r="B1129" t="s">
        <v>23</v>
      </c>
      <c r="C1129" t="str">
        <f t="shared" si="34"/>
        <v>Mount St. Mary'sFlorida</v>
      </c>
      <c r="D1129" t="s">
        <v>23</v>
      </c>
      <c r="E1129">
        <v>0.1</v>
      </c>
      <c r="F1129" s="1">
        <v>45.633962264150902</v>
      </c>
      <c r="G1129" s="2">
        <v>105505.602013289</v>
      </c>
      <c r="H1129" s="1">
        <v>136.400654871429</v>
      </c>
      <c r="I1129" s="1">
        <f t="shared" si="35"/>
        <v>105.3997104454528</v>
      </c>
    </row>
    <row r="1130" spans="1:9" x14ac:dyDescent="0.45">
      <c r="A1130" t="s">
        <v>47</v>
      </c>
      <c r="B1130" t="s">
        <v>23</v>
      </c>
      <c r="C1130" t="str">
        <f t="shared" si="34"/>
        <v>Nebraska OmahaFlorida</v>
      </c>
      <c r="D1130" t="s">
        <v>23</v>
      </c>
      <c r="E1130">
        <v>0.1</v>
      </c>
      <c r="F1130" s="1">
        <v>43.445283018867897</v>
      </c>
      <c r="G1130" s="2">
        <v>75539.307393085794</v>
      </c>
      <c r="H1130" s="1">
        <v>135.818431003532</v>
      </c>
      <c r="I1130" s="1">
        <f t="shared" si="35"/>
        <v>97.224288482109216</v>
      </c>
    </row>
    <row r="1131" spans="1:9" x14ac:dyDescent="0.45">
      <c r="A1131" t="s">
        <v>48</v>
      </c>
      <c r="B1131" t="s">
        <v>23</v>
      </c>
      <c r="C1131" t="str">
        <f t="shared" si="34"/>
        <v>New MexicoFlorida</v>
      </c>
      <c r="D1131" t="s">
        <v>23</v>
      </c>
      <c r="E1131">
        <v>3.1</v>
      </c>
      <c r="F1131" s="1">
        <v>22.611320754716999</v>
      </c>
      <c r="G1131" s="2">
        <v>3148.3992832324898</v>
      </c>
      <c r="H1131" s="1">
        <v>136.58842093534901</v>
      </c>
      <c r="I1131" s="1">
        <f t="shared" si="35"/>
        <v>108.03626811267262</v>
      </c>
    </row>
    <row r="1132" spans="1:9" x14ac:dyDescent="0.45">
      <c r="A1132" t="s">
        <v>49</v>
      </c>
      <c r="B1132" t="s">
        <v>23</v>
      </c>
      <c r="C1132" t="str">
        <f t="shared" si="34"/>
        <v>Norfolk St.Florida</v>
      </c>
      <c r="D1132" t="s">
        <v>23</v>
      </c>
      <c r="E1132">
        <v>0.2</v>
      </c>
      <c r="F1132" s="1">
        <v>41.177358490566</v>
      </c>
      <c r="G1132" s="2">
        <v>53471.228499301302</v>
      </c>
      <c r="H1132" s="1">
        <v>135.62454669931299</v>
      </c>
      <c r="I1132" s="1">
        <f t="shared" si="35"/>
        <v>94.501820224692963</v>
      </c>
    </row>
    <row r="1133" spans="1:9" x14ac:dyDescent="0.45">
      <c r="A1133" t="s">
        <v>50</v>
      </c>
      <c r="B1133" t="s">
        <v>23</v>
      </c>
      <c r="C1133" t="str">
        <f t="shared" si="34"/>
        <v>North CarolinaFlorida</v>
      </c>
      <c r="D1133" t="s">
        <v>23</v>
      </c>
      <c r="E1133">
        <v>9.8000000000000007</v>
      </c>
      <c r="F1133" s="1">
        <v>14.562264150943401</v>
      </c>
      <c r="G1133" s="2">
        <v>922.00398950393105</v>
      </c>
      <c r="H1133" s="1">
        <v>137.69815265378199</v>
      </c>
      <c r="I1133" s="1">
        <f t="shared" si="35"/>
        <v>123.61880528530023</v>
      </c>
    </row>
    <row r="1134" spans="1:9" x14ac:dyDescent="0.45">
      <c r="A1134" t="s">
        <v>51</v>
      </c>
      <c r="B1134" t="s">
        <v>23</v>
      </c>
      <c r="C1134" t="str">
        <f t="shared" si="34"/>
        <v>OklahomaFlorida</v>
      </c>
      <c r="D1134" t="s">
        <v>23</v>
      </c>
      <c r="E1134">
        <v>3.7</v>
      </c>
      <c r="F1134" s="1">
        <v>21.445283018867901</v>
      </c>
      <c r="G1134" s="2">
        <v>2634.5716862550898</v>
      </c>
      <c r="H1134" s="1">
        <v>136.12177577995701</v>
      </c>
      <c r="I1134" s="1">
        <f t="shared" si="35"/>
        <v>101.48376955870651</v>
      </c>
    </row>
    <row r="1135" spans="1:9" x14ac:dyDescent="0.45">
      <c r="A1135" t="s">
        <v>52</v>
      </c>
      <c r="B1135" t="s">
        <v>23</v>
      </c>
      <c r="C1135" t="str">
        <f t="shared" si="34"/>
        <v>OregonFlorida</v>
      </c>
      <c r="D1135" t="s">
        <v>23</v>
      </c>
      <c r="E1135">
        <v>9.6</v>
      </c>
      <c r="F1135" s="1">
        <v>14.679245283018901</v>
      </c>
      <c r="G1135" s="2">
        <v>938.52052381125395</v>
      </c>
      <c r="H1135" s="1">
        <v>136.41249317148601</v>
      </c>
      <c r="I1135" s="1">
        <f t="shared" si="35"/>
        <v>105.56594048793508</v>
      </c>
    </row>
    <row r="1136" spans="1:9" x14ac:dyDescent="0.45">
      <c r="A1136" t="s">
        <v>53</v>
      </c>
      <c r="B1136" t="s">
        <v>23</v>
      </c>
      <c r="C1136" t="str">
        <f t="shared" si="34"/>
        <v>PurdueFlorida</v>
      </c>
      <c r="D1136" t="s">
        <v>23</v>
      </c>
      <c r="E1136">
        <v>37.700000000000003</v>
      </c>
      <c r="F1136" s="1">
        <v>3.3056603773584898</v>
      </c>
      <c r="G1136" s="2">
        <v>165.593831291665</v>
      </c>
      <c r="H1136" s="1">
        <v>137.90058037128401</v>
      </c>
      <c r="I1136" s="1">
        <f t="shared" si="35"/>
        <v>126.46123772221347</v>
      </c>
    </row>
    <row r="1137" spans="1:9" x14ac:dyDescent="0.45">
      <c r="A1137" t="s">
        <v>54</v>
      </c>
      <c r="B1137" t="s">
        <v>23</v>
      </c>
      <c r="C1137" t="str">
        <f t="shared" si="34"/>
        <v>Robert MorrisFlorida</v>
      </c>
      <c r="D1137" t="s">
        <v>23</v>
      </c>
      <c r="E1137">
        <v>0.1</v>
      </c>
      <c r="F1137" s="1">
        <v>47.196226415094301</v>
      </c>
      <c r="G1137" s="2">
        <v>133868.70274737</v>
      </c>
      <c r="H1137" s="1">
        <v>134.98354569997099</v>
      </c>
      <c r="I1137" s="1">
        <f t="shared" si="35"/>
        <v>85.501066498339654</v>
      </c>
    </row>
    <row r="1138" spans="1:9" x14ac:dyDescent="0.45">
      <c r="A1138" t="s">
        <v>55</v>
      </c>
      <c r="B1138" t="s">
        <v>23</v>
      </c>
      <c r="C1138" t="str">
        <f t="shared" si="34"/>
        <v>Saint FrancisFlorida</v>
      </c>
      <c r="D1138" t="s">
        <v>23</v>
      </c>
      <c r="E1138">
        <v>0</v>
      </c>
      <c r="F1138" s="1">
        <v>50.558490566037698</v>
      </c>
      <c r="G1138" s="2">
        <v>223594.56837908601</v>
      </c>
      <c r="H1138" s="1">
        <v>135.690393582014</v>
      </c>
      <c r="I1138" s="1">
        <f t="shared" si="35"/>
        <v>95.426423424139216</v>
      </c>
    </row>
    <row r="1139" spans="1:9" x14ac:dyDescent="0.45">
      <c r="A1139" t="s">
        <v>56</v>
      </c>
      <c r="B1139" t="s">
        <v>23</v>
      </c>
      <c r="C1139" t="str">
        <f t="shared" si="34"/>
        <v>Saint Mary'sFlorida</v>
      </c>
      <c r="D1139" t="s">
        <v>23</v>
      </c>
      <c r="E1139">
        <v>9.4</v>
      </c>
      <c r="F1139" s="1">
        <v>14.822641509434</v>
      </c>
      <c r="G1139" s="2">
        <v>959.39416861157201</v>
      </c>
      <c r="H1139" s="1">
        <v>137.41959969795599</v>
      </c>
      <c r="I1139" s="1">
        <f t="shared" si="35"/>
        <v>119.70744390253907</v>
      </c>
    </row>
    <row r="1140" spans="1:9" x14ac:dyDescent="0.45">
      <c r="A1140" t="s">
        <v>57</v>
      </c>
      <c r="B1140" t="s">
        <v>23</v>
      </c>
      <c r="C1140" t="str">
        <f t="shared" si="34"/>
        <v>San Diego St.Florida</v>
      </c>
      <c r="D1140" t="s">
        <v>23</v>
      </c>
      <c r="E1140">
        <v>3.1</v>
      </c>
      <c r="F1140" s="1">
        <v>22.498113207547199</v>
      </c>
      <c r="G1140" s="2">
        <v>3093.1190835997199</v>
      </c>
      <c r="H1140" s="1">
        <v>136.63429886098501</v>
      </c>
      <c r="I1140" s="1">
        <f t="shared" si="35"/>
        <v>108.68047289636178</v>
      </c>
    </row>
    <row r="1141" spans="1:9" x14ac:dyDescent="0.45">
      <c r="A1141" t="s">
        <v>58</v>
      </c>
      <c r="B1141" t="s">
        <v>23</v>
      </c>
      <c r="C1141" t="str">
        <f t="shared" si="34"/>
        <v>SIU EdwardsvilleFlorida</v>
      </c>
      <c r="D1141" t="s">
        <v>23</v>
      </c>
      <c r="E1141">
        <v>0.2</v>
      </c>
      <c r="F1141" s="1">
        <v>42.471698113207502</v>
      </c>
      <c r="G1141" s="2">
        <v>65114.381524395198</v>
      </c>
      <c r="H1141" s="1">
        <v>136.69355704116899</v>
      </c>
      <c r="I1141" s="1">
        <f t="shared" si="35"/>
        <v>109.51255940894964</v>
      </c>
    </row>
    <row r="1142" spans="1:9" x14ac:dyDescent="0.45">
      <c r="A1142" t="s">
        <v>59</v>
      </c>
      <c r="B1142" t="s">
        <v>23</v>
      </c>
      <c r="C1142" t="str">
        <f t="shared" si="34"/>
        <v>St. John'sFlorida</v>
      </c>
      <c r="D1142" t="s">
        <v>23</v>
      </c>
      <c r="E1142">
        <v>23.2</v>
      </c>
      <c r="F1142" s="1">
        <v>7.8377358490565996</v>
      </c>
      <c r="G1142" s="2">
        <v>330.63393442422102</v>
      </c>
      <c r="H1142" s="1">
        <v>137.51301348972299</v>
      </c>
      <c r="I1142" s="1">
        <f t="shared" si="35"/>
        <v>121.01913379881499</v>
      </c>
    </row>
    <row r="1143" spans="1:9" x14ac:dyDescent="0.45">
      <c r="A1143" t="s">
        <v>60</v>
      </c>
      <c r="B1143" t="s">
        <v>23</v>
      </c>
      <c r="C1143" t="str">
        <f t="shared" si="34"/>
        <v>TennesseeFlorida</v>
      </c>
      <c r="D1143" t="s">
        <v>23</v>
      </c>
      <c r="E1143">
        <v>40.1</v>
      </c>
      <c r="F1143" s="1">
        <v>2.6226415094339601</v>
      </c>
      <c r="G1143" s="2">
        <v>149.20725222740199</v>
      </c>
      <c r="H1143" s="1">
        <v>138.30624586385699</v>
      </c>
      <c r="I1143" s="1">
        <f t="shared" si="35"/>
        <v>132.15747719403538</v>
      </c>
    </row>
    <row r="1144" spans="1:9" x14ac:dyDescent="0.45">
      <c r="A1144" t="s">
        <v>61</v>
      </c>
      <c r="B1144" t="s">
        <v>23</v>
      </c>
      <c r="C1144" t="str">
        <f t="shared" si="34"/>
        <v>TexasFlorida</v>
      </c>
      <c r="D1144" t="s">
        <v>23</v>
      </c>
      <c r="E1144">
        <v>2.6</v>
      </c>
      <c r="F1144" s="1">
        <v>23.720754716981101</v>
      </c>
      <c r="G1144" s="2">
        <v>3727.6468049991699</v>
      </c>
      <c r="H1144" s="1">
        <v>136.00612769149501</v>
      </c>
      <c r="I1144" s="1">
        <f t="shared" si="35"/>
        <v>99.859871991872026</v>
      </c>
    </row>
    <row r="1145" spans="1:9" x14ac:dyDescent="0.45">
      <c r="A1145" t="s">
        <v>62</v>
      </c>
      <c r="B1145" t="s">
        <v>23</v>
      </c>
      <c r="C1145" t="str">
        <f t="shared" si="34"/>
        <v>Texas A&amp;MFlorida</v>
      </c>
      <c r="D1145" t="s">
        <v>23</v>
      </c>
      <c r="E1145">
        <v>13.2</v>
      </c>
      <c r="F1145" s="1">
        <v>12.316981132075499</v>
      </c>
      <c r="G1145" s="2">
        <v>654.75749275844601</v>
      </c>
      <c r="H1145" s="1">
        <v>136.79310300089301</v>
      </c>
      <c r="I1145" s="1">
        <f t="shared" si="35"/>
        <v>110.91035546363472</v>
      </c>
    </row>
    <row r="1146" spans="1:9" x14ac:dyDescent="0.45">
      <c r="A1146" t="s">
        <v>63</v>
      </c>
      <c r="B1146" t="s">
        <v>23</v>
      </c>
      <c r="C1146" t="str">
        <f t="shared" si="34"/>
        <v>Texas TechFlorida</v>
      </c>
      <c r="D1146" t="s">
        <v>23</v>
      </c>
      <c r="E1146">
        <v>22.8</v>
      </c>
      <c r="F1146" s="1">
        <v>7.9849056603773603</v>
      </c>
      <c r="G1146" s="2">
        <v>338.037620131859</v>
      </c>
      <c r="H1146" s="1">
        <v>137.783615606133</v>
      </c>
      <c r="I1146" s="1">
        <f t="shared" si="35"/>
        <v>124.81885175578644</v>
      </c>
    </row>
    <row r="1147" spans="1:9" x14ac:dyDescent="0.45">
      <c r="A1147" t="s">
        <v>64</v>
      </c>
      <c r="B1147" t="s">
        <v>23</v>
      </c>
      <c r="C1147" t="str">
        <f t="shared" si="34"/>
        <v>TroyFlorida</v>
      </c>
      <c r="D1147" t="s">
        <v>23</v>
      </c>
      <c r="E1147">
        <v>0.4</v>
      </c>
      <c r="F1147" s="1">
        <v>35.792452830188701</v>
      </c>
      <c r="G1147" s="2">
        <v>23512.9055584526</v>
      </c>
      <c r="H1147" s="1">
        <v>136.54992020069099</v>
      </c>
      <c r="I1147" s="1">
        <f t="shared" si="35"/>
        <v>107.49565174655744</v>
      </c>
    </row>
    <row r="1148" spans="1:9" x14ac:dyDescent="0.45">
      <c r="A1148" t="s">
        <v>65</v>
      </c>
      <c r="B1148" t="s">
        <v>23</v>
      </c>
      <c r="C1148" t="str">
        <f t="shared" si="34"/>
        <v>UC San DiegoFlorida</v>
      </c>
      <c r="D1148" t="s">
        <v>23</v>
      </c>
      <c r="E1148">
        <v>1.1000000000000001</v>
      </c>
      <c r="F1148" s="1">
        <v>29.611320754716999</v>
      </c>
      <c r="G1148" s="2">
        <v>9157.5307780332896</v>
      </c>
      <c r="H1148" s="1">
        <v>136.62004043035401</v>
      </c>
      <c r="I1148" s="1">
        <f t="shared" si="35"/>
        <v>108.4802600686662</v>
      </c>
    </row>
    <row r="1149" spans="1:9" x14ac:dyDescent="0.45">
      <c r="A1149" t="s">
        <v>66</v>
      </c>
      <c r="B1149" t="s">
        <v>23</v>
      </c>
      <c r="C1149" t="str">
        <f t="shared" si="34"/>
        <v>UCLAFlorida</v>
      </c>
      <c r="D1149" t="s">
        <v>23</v>
      </c>
      <c r="E1149">
        <v>3.6</v>
      </c>
      <c r="F1149" s="1">
        <v>21.5094339622642</v>
      </c>
      <c r="G1149" s="2">
        <v>2661.25772692803</v>
      </c>
      <c r="H1149" s="1">
        <v>135.841299009566</v>
      </c>
      <c r="I1149" s="1">
        <f t="shared" si="35"/>
        <v>97.545394518973609</v>
      </c>
    </row>
    <row r="1150" spans="1:9" x14ac:dyDescent="0.45">
      <c r="A1150" t="s">
        <v>67</v>
      </c>
      <c r="B1150" t="s">
        <v>23</v>
      </c>
      <c r="C1150" t="str">
        <f t="shared" si="34"/>
        <v>UNC WilmingtonFlorida</v>
      </c>
      <c r="D1150" t="s">
        <v>23</v>
      </c>
      <c r="E1150">
        <v>0.6</v>
      </c>
      <c r="F1150" s="1">
        <v>33.203773584905697</v>
      </c>
      <c r="G1150" s="2">
        <v>15839.496668031299</v>
      </c>
      <c r="H1150" s="1">
        <v>137.15670890101899</v>
      </c>
      <c r="I1150" s="1">
        <f t="shared" si="35"/>
        <v>116.01600610043943</v>
      </c>
    </row>
    <row r="1151" spans="1:9" x14ac:dyDescent="0.45">
      <c r="A1151" t="s">
        <v>68</v>
      </c>
      <c r="B1151" t="s">
        <v>23</v>
      </c>
      <c r="C1151" t="str">
        <f t="shared" si="34"/>
        <v>Utah St.Florida</v>
      </c>
      <c r="D1151" t="s">
        <v>23</v>
      </c>
      <c r="E1151">
        <v>3.4</v>
      </c>
      <c r="F1151" s="1">
        <v>21.875471698113198</v>
      </c>
      <c r="G1151" s="2">
        <v>2813.8645524943199</v>
      </c>
      <c r="H1151" s="1">
        <v>136.703895399598</v>
      </c>
      <c r="I1151" s="1">
        <f t="shared" si="35"/>
        <v>109.65772769768836</v>
      </c>
    </row>
    <row r="1152" spans="1:9" x14ac:dyDescent="0.45">
      <c r="A1152" t="s">
        <v>69</v>
      </c>
      <c r="B1152" t="s">
        <v>23</v>
      </c>
      <c r="C1152" t="str">
        <f t="shared" si="34"/>
        <v>VanderbiltFlorida</v>
      </c>
      <c r="D1152" t="s">
        <v>23</v>
      </c>
      <c r="E1152">
        <v>0.7</v>
      </c>
      <c r="F1152" s="1">
        <v>32.524528301886797</v>
      </c>
      <c r="G1152" s="2">
        <v>14279.801059785699</v>
      </c>
      <c r="H1152" s="1">
        <v>135.13793328088099</v>
      </c>
      <c r="I1152" s="1">
        <f t="shared" si="35"/>
        <v>87.668933000271466</v>
      </c>
    </row>
    <row r="1153" spans="1:9" x14ac:dyDescent="0.45">
      <c r="A1153" t="s">
        <v>70</v>
      </c>
      <c r="B1153" t="s">
        <v>23</v>
      </c>
      <c r="C1153" t="str">
        <f t="shared" si="34"/>
        <v>VCUFlorida</v>
      </c>
      <c r="D1153" t="s">
        <v>23</v>
      </c>
      <c r="E1153">
        <v>2.2000000000000002</v>
      </c>
      <c r="F1153" s="1">
        <v>24.8792452830189</v>
      </c>
      <c r="G1153" s="2">
        <v>4448.3649188991603</v>
      </c>
      <c r="H1153" s="1">
        <v>137.063106410074</v>
      </c>
      <c r="I1153" s="1">
        <f t="shared" si="35"/>
        <v>114.701666543974</v>
      </c>
    </row>
    <row r="1154" spans="1:9" x14ac:dyDescent="0.45">
      <c r="A1154" t="s">
        <v>71</v>
      </c>
      <c r="B1154" t="s">
        <v>23</v>
      </c>
      <c r="C1154" t="str">
        <f t="shared" si="34"/>
        <v>WisconsinFlorida</v>
      </c>
      <c r="D1154" t="s">
        <v>23</v>
      </c>
      <c r="E1154">
        <v>20.399999999999999</v>
      </c>
      <c r="F1154" s="1">
        <v>8.9245283018867898</v>
      </c>
      <c r="G1154" s="2">
        <v>390.22471159009001</v>
      </c>
      <c r="H1154" s="1">
        <v>137.71636201840599</v>
      </c>
      <c r="I1154" s="1">
        <f t="shared" si="35"/>
        <v>123.87449600444455</v>
      </c>
    </row>
    <row r="1155" spans="1:9" x14ac:dyDescent="0.45">
      <c r="A1155" t="s">
        <v>80</v>
      </c>
      <c r="B1155" t="s">
        <v>23</v>
      </c>
      <c r="C1155" t="str">
        <f t="shared" ref="C1155:C1218" si="36">A1155&amp;B1155</f>
        <v>WoffordFlorida</v>
      </c>
      <c r="D1155" t="s">
        <v>23</v>
      </c>
      <c r="E1155">
        <v>0.2</v>
      </c>
      <c r="F1155" s="1">
        <v>40.0981132075472</v>
      </c>
      <c r="G1155" s="2">
        <v>45352.460299544902</v>
      </c>
      <c r="H1155" s="1">
        <v>135.814010447632</v>
      </c>
      <c r="I1155" s="1">
        <f t="shared" ref="I1155:I1218" si="37">18*(H1155-AVERAGE($H$2:$H$4625))/_xlfn.STDEV.P($H$2:$H$4625)+AVERAGE($H$2:$H$4625)</f>
        <v>97.162216293407013</v>
      </c>
    </row>
    <row r="1156" spans="1:9" x14ac:dyDescent="0.45">
      <c r="A1156" t="s">
        <v>72</v>
      </c>
      <c r="B1156" t="s">
        <v>23</v>
      </c>
      <c r="C1156" t="str">
        <f t="shared" si="36"/>
        <v>XavierFlorida</v>
      </c>
      <c r="D1156" t="s">
        <v>23</v>
      </c>
      <c r="E1156">
        <v>2.2000000000000002</v>
      </c>
      <c r="F1156" s="1">
        <v>24.9509433962264</v>
      </c>
      <c r="G1156" s="2">
        <v>4498.2790415352201</v>
      </c>
      <c r="H1156" s="1">
        <v>136.55681261825401</v>
      </c>
      <c r="I1156" s="1">
        <f t="shared" si="37"/>
        <v>107.59243311371232</v>
      </c>
    </row>
    <row r="1157" spans="1:9" x14ac:dyDescent="0.45">
      <c r="A1157" t="s">
        <v>73</v>
      </c>
      <c r="B1157" t="s">
        <v>23</v>
      </c>
      <c r="C1157" t="str">
        <f t="shared" si="36"/>
        <v>YaleFlorida</v>
      </c>
      <c r="D1157" t="s">
        <v>23</v>
      </c>
      <c r="E1157">
        <v>1.1000000000000001</v>
      </c>
      <c r="F1157" s="1">
        <v>29.2</v>
      </c>
      <c r="G1157" s="2">
        <v>8601.8503752887209</v>
      </c>
      <c r="H1157" s="1">
        <v>137.156518754648</v>
      </c>
      <c r="I1157" s="1">
        <f t="shared" si="37"/>
        <v>116.01333611917741</v>
      </c>
    </row>
    <row r="1158" spans="1:9" x14ac:dyDescent="0.45">
      <c r="A1158" t="s">
        <v>7</v>
      </c>
      <c r="B1158" t="s">
        <v>24</v>
      </c>
      <c r="C1158" t="str">
        <f t="shared" si="36"/>
        <v>AkronGeorgia</v>
      </c>
      <c r="D1158" t="s">
        <v>24</v>
      </c>
      <c r="E1158">
        <v>13.1</v>
      </c>
      <c r="F1158" s="1">
        <v>12.4037735849057</v>
      </c>
      <c r="G1158" s="2">
        <v>663.36157759652099</v>
      </c>
      <c r="H1158" s="1">
        <v>138.70938751894201</v>
      </c>
      <c r="I1158" s="1">
        <f t="shared" si="37"/>
        <v>137.81827765765334</v>
      </c>
    </row>
    <row r="1159" spans="1:9" x14ac:dyDescent="0.45">
      <c r="A1159" t="s">
        <v>8</v>
      </c>
      <c r="B1159" t="s">
        <v>24</v>
      </c>
      <c r="C1159" t="str">
        <f t="shared" si="36"/>
        <v>AlabamaGeorgia</v>
      </c>
      <c r="D1159" t="s">
        <v>8</v>
      </c>
      <c r="E1159">
        <v>91.9</v>
      </c>
      <c r="F1159" s="1">
        <v>-15.9358490566038</v>
      </c>
      <c r="G1159" s="2">
        <v>-1137.05216926764</v>
      </c>
      <c r="H1159" s="1">
        <v>140.516998706538</v>
      </c>
      <c r="I1159" s="1">
        <f t="shared" si="37"/>
        <v>163.20023985311633</v>
      </c>
    </row>
    <row r="1160" spans="1:9" x14ac:dyDescent="0.45">
      <c r="A1160" t="s">
        <v>9</v>
      </c>
      <c r="B1160" t="s">
        <v>24</v>
      </c>
      <c r="C1160" t="str">
        <f t="shared" si="36"/>
        <v>Alabama St.Georgia</v>
      </c>
      <c r="D1160" t="s">
        <v>24</v>
      </c>
      <c r="E1160">
        <v>2.2999999999999998</v>
      </c>
      <c r="F1160" s="1">
        <v>24.720754716981101</v>
      </c>
      <c r="G1160" s="2">
        <v>4343.5020496830302</v>
      </c>
      <c r="H1160" s="1">
        <v>138.89614927836399</v>
      </c>
      <c r="I1160" s="1">
        <f t="shared" si="37"/>
        <v>140.44073316674508</v>
      </c>
    </row>
    <row r="1161" spans="1:9" x14ac:dyDescent="0.45">
      <c r="A1161" t="s">
        <v>10</v>
      </c>
      <c r="B1161" t="s">
        <v>24</v>
      </c>
      <c r="C1161" t="str">
        <f t="shared" si="36"/>
        <v>AmericanGeorgia</v>
      </c>
      <c r="D1161" t="s">
        <v>24</v>
      </c>
      <c r="E1161">
        <v>2.5</v>
      </c>
      <c r="F1161" s="1">
        <v>23.966037735849099</v>
      </c>
      <c r="G1161" s="2">
        <v>3869.8466952231502</v>
      </c>
      <c r="H1161" s="1">
        <v>138.65943879812599</v>
      </c>
      <c r="I1161" s="1">
        <f t="shared" si="37"/>
        <v>137.11691192581694</v>
      </c>
    </row>
    <row r="1162" spans="1:9" x14ac:dyDescent="0.45">
      <c r="A1162" t="s">
        <v>11</v>
      </c>
      <c r="B1162" t="s">
        <v>24</v>
      </c>
      <c r="C1162" t="str">
        <f t="shared" si="36"/>
        <v>ArizonaGeorgia</v>
      </c>
      <c r="D1162" t="s">
        <v>11</v>
      </c>
      <c r="E1162">
        <v>88.2</v>
      </c>
      <c r="F1162" s="1">
        <v>-13.1811320754717</v>
      </c>
      <c r="G1162" s="2">
        <v>-746.83765785702803</v>
      </c>
      <c r="H1162" s="1">
        <v>140.127478046715</v>
      </c>
      <c r="I1162" s="1">
        <f t="shared" si="37"/>
        <v>157.73070153103495</v>
      </c>
    </row>
    <row r="1163" spans="1:9" x14ac:dyDescent="0.45">
      <c r="A1163" t="s">
        <v>12</v>
      </c>
      <c r="B1163" t="s">
        <v>24</v>
      </c>
      <c r="C1163" t="str">
        <f t="shared" si="36"/>
        <v>ArkansasGeorgia</v>
      </c>
      <c r="D1163" t="s">
        <v>24</v>
      </c>
      <c r="E1163">
        <v>32.700000000000003</v>
      </c>
      <c r="F1163" s="1">
        <v>4.7207547169811299</v>
      </c>
      <c r="G1163" s="2">
        <v>205.43450774612299</v>
      </c>
      <c r="H1163" s="1">
        <v>138.45340202450399</v>
      </c>
      <c r="I1163" s="1">
        <f t="shared" si="37"/>
        <v>134.22380214931468</v>
      </c>
    </row>
    <row r="1164" spans="1:9" x14ac:dyDescent="0.45">
      <c r="A1164" t="s">
        <v>13</v>
      </c>
      <c r="B1164" t="s">
        <v>24</v>
      </c>
      <c r="C1164" t="str">
        <f t="shared" si="36"/>
        <v>AuburnGeorgia</v>
      </c>
      <c r="D1164" t="s">
        <v>13</v>
      </c>
      <c r="E1164">
        <v>95.7</v>
      </c>
      <c r="F1164" s="1">
        <v>-20.377358490565999</v>
      </c>
      <c r="G1164" s="2">
        <v>-2238.1588886711202</v>
      </c>
      <c r="H1164" s="1">
        <v>141.53921493989</v>
      </c>
      <c r="I1164" s="1">
        <f t="shared" si="37"/>
        <v>177.55390947442203</v>
      </c>
    </row>
    <row r="1165" spans="1:9" x14ac:dyDescent="0.45">
      <c r="A1165" t="s">
        <v>14</v>
      </c>
      <c r="B1165" t="s">
        <v>24</v>
      </c>
      <c r="C1165" t="str">
        <f t="shared" si="36"/>
        <v>BaylorGeorgia</v>
      </c>
      <c r="D1165" t="s">
        <v>14</v>
      </c>
      <c r="E1165">
        <v>69.3</v>
      </c>
      <c r="F1165" s="1">
        <v>-5.3283018867924499</v>
      </c>
      <c r="G1165" s="2">
        <v>-225.38692101283701</v>
      </c>
      <c r="H1165" s="1">
        <v>140.00213230107099</v>
      </c>
      <c r="I1165" s="1">
        <f t="shared" si="37"/>
        <v>155.97063222015089</v>
      </c>
    </row>
    <row r="1166" spans="1:9" x14ac:dyDescent="0.45">
      <c r="A1166" t="s">
        <v>15</v>
      </c>
      <c r="B1166" t="s">
        <v>24</v>
      </c>
      <c r="C1166" t="str">
        <f t="shared" si="36"/>
        <v>BryantGeorgia</v>
      </c>
      <c r="D1166" t="s">
        <v>24</v>
      </c>
      <c r="E1166">
        <v>9.5</v>
      </c>
      <c r="F1166" s="1">
        <v>14.743396226415101</v>
      </c>
      <c r="G1166" s="2">
        <v>947.94491256951005</v>
      </c>
      <c r="H1166" s="1">
        <v>139.594452176716</v>
      </c>
      <c r="I1166" s="1">
        <f t="shared" si="37"/>
        <v>150.24610386182533</v>
      </c>
    </row>
    <row r="1167" spans="1:9" x14ac:dyDescent="0.45">
      <c r="A1167" t="s">
        <v>16</v>
      </c>
      <c r="B1167" t="s">
        <v>24</v>
      </c>
      <c r="C1167" t="str">
        <f t="shared" si="36"/>
        <v>BYUGeorgia</v>
      </c>
      <c r="D1167" t="s">
        <v>16</v>
      </c>
      <c r="E1167">
        <v>72.7</v>
      </c>
      <c r="F1167" s="1">
        <v>-6.4226415094339604</v>
      </c>
      <c r="G1167" s="2">
        <v>-266.34126175554701</v>
      </c>
      <c r="H1167" s="1">
        <v>139.76449285116001</v>
      </c>
      <c r="I1167" s="1">
        <f t="shared" si="37"/>
        <v>152.6337666512822</v>
      </c>
    </row>
    <row r="1168" spans="1:9" x14ac:dyDescent="0.45">
      <c r="A1168" t="s">
        <v>17</v>
      </c>
      <c r="B1168" t="s">
        <v>24</v>
      </c>
      <c r="C1168" t="str">
        <f t="shared" si="36"/>
        <v>ClemsonGeorgia</v>
      </c>
      <c r="D1168" t="s">
        <v>17</v>
      </c>
      <c r="E1168">
        <v>78.8</v>
      </c>
      <c r="F1168" s="1">
        <v>-8.6264150943396203</v>
      </c>
      <c r="G1168" s="2">
        <v>-372.80318892929898</v>
      </c>
      <c r="H1168" s="1">
        <v>140.11454307360199</v>
      </c>
      <c r="I1168" s="1">
        <f t="shared" si="37"/>
        <v>157.54907231740398</v>
      </c>
    </row>
    <row r="1169" spans="1:9" x14ac:dyDescent="0.45">
      <c r="A1169" t="s">
        <v>18</v>
      </c>
      <c r="B1169" t="s">
        <v>24</v>
      </c>
      <c r="C1169" t="str">
        <f t="shared" si="36"/>
        <v>Colorado St.Georgia</v>
      </c>
      <c r="D1169" t="s">
        <v>24</v>
      </c>
      <c r="E1169">
        <v>38.200000000000003</v>
      </c>
      <c r="F1169" s="1">
        <v>3.1547169811320801</v>
      </c>
      <c r="G1169" s="2">
        <v>161.839406950344</v>
      </c>
      <c r="H1169" s="1">
        <v>139.504154048396</v>
      </c>
      <c r="I1169" s="1">
        <f t="shared" si="37"/>
        <v>148.97816322554974</v>
      </c>
    </row>
    <row r="1170" spans="1:9" x14ac:dyDescent="0.45">
      <c r="A1170" t="s">
        <v>19</v>
      </c>
      <c r="B1170" t="s">
        <v>24</v>
      </c>
      <c r="C1170" t="str">
        <f t="shared" si="36"/>
        <v>ConnecticutGeorgia</v>
      </c>
      <c r="D1170" t="s">
        <v>19</v>
      </c>
      <c r="E1170">
        <v>85.3</v>
      </c>
      <c r="F1170" s="1">
        <v>-11.5207547169811</v>
      </c>
      <c r="G1170" s="2">
        <v>-579.65014251331502</v>
      </c>
      <c r="H1170" s="1">
        <v>139.91479390435001</v>
      </c>
      <c r="I1170" s="1">
        <f t="shared" si="37"/>
        <v>154.74425129321466</v>
      </c>
    </row>
    <row r="1171" spans="1:9" x14ac:dyDescent="0.45">
      <c r="A1171" t="s">
        <v>20</v>
      </c>
      <c r="B1171" t="s">
        <v>24</v>
      </c>
      <c r="C1171" t="str">
        <f t="shared" si="36"/>
        <v>CreightonGeorgia</v>
      </c>
      <c r="D1171" t="s">
        <v>20</v>
      </c>
      <c r="E1171">
        <v>64.099999999999994</v>
      </c>
      <c r="F1171" s="1">
        <v>-3.8113207547169798</v>
      </c>
      <c r="G1171" s="2">
        <v>-178.86826196528199</v>
      </c>
      <c r="H1171" s="1">
        <v>139.46409065718899</v>
      </c>
      <c r="I1171" s="1">
        <f t="shared" si="37"/>
        <v>148.41560448060702</v>
      </c>
    </row>
    <row r="1172" spans="1:9" x14ac:dyDescent="0.45">
      <c r="A1172" t="s">
        <v>21</v>
      </c>
      <c r="B1172" t="s">
        <v>24</v>
      </c>
      <c r="C1172" t="str">
        <f t="shared" si="36"/>
        <v>DrakeGeorgia</v>
      </c>
      <c r="D1172" t="s">
        <v>24</v>
      </c>
      <c r="E1172">
        <v>37.5</v>
      </c>
      <c r="F1172" s="1">
        <v>3.3622641509434001</v>
      </c>
      <c r="G1172" s="2">
        <v>166.97613584000101</v>
      </c>
      <c r="H1172" s="1">
        <v>139.69876646286301</v>
      </c>
      <c r="I1172" s="1">
        <f t="shared" si="37"/>
        <v>151.71085539998722</v>
      </c>
    </row>
    <row r="1173" spans="1:9" x14ac:dyDescent="0.45">
      <c r="A1173" t="s">
        <v>22</v>
      </c>
      <c r="B1173" t="s">
        <v>24</v>
      </c>
      <c r="C1173" t="str">
        <f t="shared" si="36"/>
        <v>DukeGeorgia</v>
      </c>
      <c r="D1173" t="s">
        <v>22</v>
      </c>
      <c r="E1173">
        <v>96.9</v>
      </c>
      <c r="F1173" s="1">
        <v>-22.588679245283</v>
      </c>
      <c r="G1173" s="2">
        <v>-3137.6032023104099</v>
      </c>
      <c r="H1173" s="1">
        <v>141.779106351466</v>
      </c>
      <c r="I1173" s="1">
        <f t="shared" si="37"/>
        <v>180.92239644851298</v>
      </c>
    </row>
    <row r="1174" spans="1:9" x14ac:dyDescent="0.45">
      <c r="A1174" t="s">
        <v>23</v>
      </c>
      <c r="B1174" t="s">
        <v>24</v>
      </c>
      <c r="C1174" t="str">
        <f t="shared" si="36"/>
        <v>FloridaGeorgia</v>
      </c>
      <c r="D1174" t="s">
        <v>23</v>
      </c>
      <c r="E1174">
        <v>94.6</v>
      </c>
      <c r="F1174" s="1">
        <v>-18.732075471698099</v>
      </c>
      <c r="G1174" s="2">
        <v>-1742.07103310862</v>
      </c>
      <c r="H1174" s="1">
        <v>141.51375687902001</v>
      </c>
      <c r="I1174" s="1">
        <f t="shared" si="37"/>
        <v>177.19643462418537</v>
      </c>
    </row>
    <row r="1175" spans="1:9" x14ac:dyDescent="0.45">
      <c r="A1175" t="s">
        <v>24</v>
      </c>
      <c r="B1175" t="s">
        <v>24</v>
      </c>
      <c r="C1175" t="str">
        <f t="shared" si="36"/>
        <v>GeorgiaGeorgia</v>
      </c>
      <c r="D1175" t="s">
        <v>24</v>
      </c>
      <c r="E1175">
        <v>41.2</v>
      </c>
      <c r="F1175" s="1">
        <v>2.3283018867924499</v>
      </c>
      <c r="G1175" s="2">
        <v>142.64273539779199</v>
      </c>
      <c r="H1175" s="1">
        <v>138.77771517530499</v>
      </c>
      <c r="I1175" s="1">
        <f t="shared" si="37"/>
        <v>138.77771517530684</v>
      </c>
    </row>
    <row r="1176" spans="1:9" x14ac:dyDescent="0.45">
      <c r="A1176" t="s">
        <v>25</v>
      </c>
      <c r="B1176" t="s">
        <v>24</v>
      </c>
      <c r="C1176" t="str">
        <f t="shared" si="36"/>
        <v>GonzagaGeorgia</v>
      </c>
      <c r="D1176" t="s">
        <v>25</v>
      </c>
      <c r="E1176">
        <v>78</v>
      </c>
      <c r="F1176" s="1">
        <v>-8.3018867924528301</v>
      </c>
      <c r="G1176" s="2">
        <v>-354.80455290582501</v>
      </c>
      <c r="H1176" s="1">
        <v>140.75467690581101</v>
      </c>
      <c r="I1176" s="1">
        <f t="shared" si="37"/>
        <v>166.53764952950604</v>
      </c>
    </row>
    <row r="1177" spans="1:9" x14ac:dyDescent="0.45">
      <c r="A1177" t="s">
        <v>26</v>
      </c>
      <c r="B1177" t="s">
        <v>24</v>
      </c>
      <c r="C1177" t="str">
        <f t="shared" si="36"/>
        <v>Grand CanyonGeorgia</v>
      </c>
      <c r="D1177" t="s">
        <v>24</v>
      </c>
      <c r="E1177">
        <v>27.8</v>
      </c>
      <c r="F1177" s="1">
        <v>6.24905660377358</v>
      </c>
      <c r="G1177" s="2">
        <v>259.41175440436598</v>
      </c>
      <c r="H1177" s="1">
        <v>139.572648623351</v>
      </c>
      <c r="I1177" s="1">
        <f t="shared" si="37"/>
        <v>149.93994456659917</v>
      </c>
    </row>
    <row r="1178" spans="1:9" x14ac:dyDescent="0.45">
      <c r="A1178" t="s">
        <v>27</v>
      </c>
      <c r="B1178" t="s">
        <v>24</v>
      </c>
      <c r="C1178" t="str">
        <f t="shared" si="36"/>
        <v>High PointGeorgia</v>
      </c>
      <c r="D1178" t="s">
        <v>24</v>
      </c>
      <c r="E1178">
        <v>19.399999999999999</v>
      </c>
      <c r="F1178" s="1">
        <v>9.3396226415094308</v>
      </c>
      <c r="G1178" s="2">
        <v>415.596337938197</v>
      </c>
      <c r="H1178" s="1">
        <v>139.76385575689901</v>
      </c>
      <c r="I1178" s="1">
        <f t="shared" si="37"/>
        <v>152.6248207548644</v>
      </c>
    </row>
    <row r="1179" spans="1:9" x14ac:dyDescent="0.45">
      <c r="A1179" t="s">
        <v>28</v>
      </c>
      <c r="B1179" t="s">
        <v>24</v>
      </c>
      <c r="C1179" t="str">
        <f t="shared" si="36"/>
        <v>HoustonGeorgia</v>
      </c>
      <c r="D1179" t="s">
        <v>28</v>
      </c>
      <c r="E1179">
        <v>98.1</v>
      </c>
      <c r="F1179" s="1">
        <v>-25.9433962264151</v>
      </c>
      <c r="G1179" s="2">
        <v>-5233.9332560008297</v>
      </c>
      <c r="H1179" s="1">
        <v>141.877318114102</v>
      </c>
      <c r="I1179" s="1">
        <f t="shared" si="37"/>
        <v>182.30145808714556</v>
      </c>
    </row>
    <row r="1180" spans="1:9" x14ac:dyDescent="0.45">
      <c r="A1180" t="s">
        <v>29</v>
      </c>
      <c r="B1180" t="s">
        <v>24</v>
      </c>
      <c r="C1180" t="str">
        <f t="shared" si="36"/>
        <v>IllinoisGeorgia</v>
      </c>
      <c r="D1180" t="s">
        <v>29</v>
      </c>
      <c r="E1180">
        <v>83.8</v>
      </c>
      <c r="F1180" s="1">
        <v>-10.7547169811321</v>
      </c>
      <c r="G1180" s="2">
        <v>-515.95829648798394</v>
      </c>
      <c r="H1180" s="1">
        <v>139.935781889064</v>
      </c>
      <c r="I1180" s="1">
        <f t="shared" si="37"/>
        <v>155.03895860539836</v>
      </c>
    </row>
    <row r="1181" spans="1:9" x14ac:dyDescent="0.45">
      <c r="A1181" t="s">
        <v>30</v>
      </c>
      <c r="B1181" t="s">
        <v>24</v>
      </c>
      <c r="C1181" t="str">
        <f t="shared" si="36"/>
        <v>Iowa St.Georgia</v>
      </c>
      <c r="D1181" t="s">
        <v>30</v>
      </c>
      <c r="E1181">
        <v>91.5</v>
      </c>
      <c r="F1181" s="1">
        <v>-15.618867924528301</v>
      </c>
      <c r="G1181" s="2">
        <v>-1083.10524635093</v>
      </c>
      <c r="H1181" s="1">
        <v>140.83232418065001</v>
      </c>
      <c r="I1181" s="1">
        <f t="shared" si="37"/>
        <v>167.62795047921702</v>
      </c>
    </row>
    <row r="1182" spans="1:9" x14ac:dyDescent="0.45">
      <c r="A1182" t="s">
        <v>31</v>
      </c>
      <c r="B1182" t="s">
        <v>24</v>
      </c>
      <c r="C1182" t="str">
        <f t="shared" si="36"/>
        <v>KansasGeorgia</v>
      </c>
      <c r="D1182" t="s">
        <v>31</v>
      </c>
      <c r="E1182">
        <v>76.900000000000006</v>
      </c>
      <c r="F1182" s="1">
        <v>-7.9018867924528298</v>
      </c>
      <c r="G1182" s="2">
        <v>-333.78723475496298</v>
      </c>
      <c r="H1182" s="1">
        <v>139.88291206950399</v>
      </c>
      <c r="I1182" s="1">
        <f t="shared" si="37"/>
        <v>154.29657563578533</v>
      </c>
    </row>
    <row r="1183" spans="1:9" x14ac:dyDescent="0.45">
      <c r="A1183" t="s">
        <v>32</v>
      </c>
      <c r="B1183" t="s">
        <v>24</v>
      </c>
      <c r="C1183" t="str">
        <f t="shared" si="36"/>
        <v>KentuckyGeorgia</v>
      </c>
      <c r="D1183" t="s">
        <v>32</v>
      </c>
      <c r="E1183">
        <v>84.8</v>
      </c>
      <c r="F1183" s="1">
        <v>-11.264150943396199</v>
      </c>
      <c r="G1183" s="2">
        <v>-557.64224434057905</v>
      </c>
      <c r="H1183" s="1">
        <v>139.817194401629</v>
      </c>
      <c r="I1183" s="1">
        <f t="shared" si="37"/>
        <v>153.37378683417614</v>
      </c>
    </row>
    <row r="1184" spans="1:9" x14ac:dyDescent="0.45">
      <c r="A1184" t="s">
        <v>33</v>
      </c>
      <c r="B1184" t="s">
        <v>24</v>
      </c>
      <c r="C1184" t="str">
        <f t="shared" si="36"/>
        <v>LibertyGeorgia</v>
      </c>
      <c r="D1184" t="s">
        <v>24</v>
      </c>
      <c r="E1184">
        <v>14.3</v>
      </c>
      <c r="F1184" s="1">
        <v>11.7207547169811</v>
      </c>
      <c r="G1184" s="2">
        <v>597.68485130950103</v>
      </c>
      <c r="H1184" s="1">
        <v>139.16219544534701</v>
      </c>
      <c r="I1184" s="1">
        <f t="shared" si="37"/>
        <v>144.17647777761545</v>
      </c>
    </row>
    <row r="1185" spans="1:9" x14ac:dyDescent="0.45">
      <c r="A1185" t="s">
        <v>34</v>
      </c>
      <c r="B1185" t="s">
        <v>24</v>
      </c>
      <c r="C1185" t="str">
        <f t="shared" si="36"/>
        <v>LipscombGeorgia</v>
      </c>
      <c r="D1185" t="s">
        <v>24</v>
      </c>
      <c r="E1185">
        <v>11.2</v>
      </c>
      <c r="F1185" s="1">
        <v>13.5849056603774</v>
      </c>
      <c r="G1185" s="2">
        <v>794.45728014201904</v>
      </c>
      <c r="H1185" s="1">
        <v>139.568513642939</v>
      </c>
      <c r="I1185" s="1">
        <f t="shared" si="37"/>
        <v>149.88188234767915</v>
      </c>
    </row>
    <row r="1186" spans="1:9" x14ac:dyDescent="0.45">
      <c r="A1186" t="s">
        <v>35</v>
      </c>
      <c r="B1186" t="s">
        <v>24</v>
      </c>
      <c r="C1186" t="str">
        <f t="shared" si="36"/>
        <v>LouisvilleGeorgia</v>
      </c>
      <c r="D1186" t="s">
        <v>24</v>
      </c>
      <c r="E1186">
        <v>24.1</v>
      </c>
      <c r="F1186" s="1">
        <v>7.5358490566037704</v>
      </c>
      <c r="G1186" s="2">
        <v>315.742260646646</v>
      </c>
      <c r="H1186" s="1">
        <v>138.81387564875601</v>
      </c>
      <c r="I1186" s="1">
        <f t="shared" si="37"/>
        <v>139.28547025914457</v>
      </c>
    </row>
    <row r="1187" spans="1:9" x14ac:dyDescent="0.45">
      <c r="A1187" t="s">
        <v>36</v>
      </c>
      <c r="B1187" t="s">
        <v>24</v>
      </c>
      <c r="C1187" t="str">
        <f t="shared" si="36"/>
        <v>MarquetteGeorgia</v>
      </c>
      <c r="D1187" t="s">
        <v>36</v>
      </c>
      <c r="E1187">
        <v>81.099999999999994</v>
      </c>
      <c r="F1187" s="1">
        <v>-9.5320754716981106</v>
      </c>
      <c r="G1187" s="2">
        <v>-427.96729655608402</v>
      </c>
      <c r="H1187" s="1">
        <v>140.07600949221799</v>
      </c>
      <c r="I1187" s="1">
        <f t="shared" si="37"/>
        <v>157.0079947269044</v>
      </c>
    </row>
    <row r="1188" spans="1:9" x14ac:dyDescent="0.45">
      <c r="A1188" t="s">
        <v>37</v>
      </c>
      <c r="B1188" t="s">
        <v>24</v>
      </c>
      <c r="C1188" t="str">
        <f t="shared" si="36"/>
        <v>MarylandGeorgia</v>
      </c>
      <c r="D1188" t="s">
        <v>37</v>
      </c>
      <c r="E1188">
        <v>72.5</v>
      </c>
      <c r="F1188" s="1">
        <v>-6.3622641509433997</v>
      </c>
      <c r="G1188" s="2">
        <v>-263.98348117383699</v>
      </c>
      <c r="H1188" s="1">
        <v>139.53437909076101</v>
      </c>
      <c r="I1188" s="1">
        <f t="shared" si="37"/>
        <v>149.40257467416723</v>
      </c>
    </row>
    <row r="1189" spans="1:9" x14ac:dyDescent="0.45">
      <c r="A1189" t="s">
        <v>38</v>
      </c>
      <c r="B1189" t="s">
        <v>24</v>
      </c>
      <c r="C1189" t="str">
        <f t="shared" si="36"/>
        <v>McNeese St.Georgia</v>
      </c>
      <c r="D1189" t="s">
        <v>24</v>
      </c>
      <c r="E1189">
        <v>38.1</v>
      </c>
      <c r="F1189" s="1">
        <v>3.1773584905660401</v>
      </c>
      <c r="G1189" s="2">
        <v>162.36518883571401</v>
      </c>
      <c r="H1189" s="1">
        <v>140.12761450372599</v>
      </c>
      <c r="I1189" s="1">
        <f t="shared" si="37"/>
        <v>157.73261762157375</v>
      </c>
    </row>
    <row r="1190" spans="1:9" x14ac:dyDescent="0.45">
      <c r="A1190" t="s">
        <v>39</v>
      </c>
      <c r="B1190" t="s">
        <v>24</v>
      </c>
      <c r="C1190" t="str">
        <f t="shared" si="36"/>
        <v>MemphisGeorgia</v>
      </c>
      <c r="D1190" t="s">
        <v>39</v>
      </c>
      <c r="E1190">
        <v>59.8</v>
      </c>
      <c r="F1190" s="1">
        <v>-2.6</v>
      </c>
      <c r="G1190" s="2">
        <v>-148.65392648856201</v>
      </c>
      <c r="H1190" s="1">
        <v>138.66189633025101</v>
      </c>
      <c r="I1190" s="1">
        <f t="shared" si="37"/>
        <v>137.15141989297243</v>
      </c>
    </row>
    <row r="1191" spans="1:9" x14ac:dyDescent="0.45">
      <c r="A1191" t="s">
        <v>40</v>
      </c>
      <c r="B1191" t="s">
        <v>24</v>
      </c>
      <c r="C1191" t="str">
        <f t="shared" si="36"/>
        <v>MichiganGeorgia</v>
      </c>
      <c r="D1191" t="s">
        <v>24</v>
      </c>
      <c r="E1191">
        <v>42.3</v>
      </c>
      <c r="F1191" s="1">
        <v>2.0264150943396202</v>
      </c>
      <c r="G1191" s="2">
        <v>136.21290312747701</v>
      </c>
      <c r="H1191" s="1">
        <v>138.22451762716801</v>
      </c>
      <c r="I1191" s="1">
        <f t="shared" si="37"/>
        <v>131.009872538689</v>
      </c>
    </row>
    <row r="1192" spans="1:9" x14ac:dyDescent="0.45">
      <c r="A1192" t="s">
        <v>41</v>
      </c>
      <c r="B1192" t="s">
        <v>24</v>
      </c>
      <c r="C1192" t="str">
        <f t="shared" si="36"/>
        <v>Michigan St.Georgia</v>
      </c>
      <c r="D1192" t="s">
        <v>41</v>
      </c>
      <c r="E1192">
        <v>87.4</v>
      </c>
      <c r="F1192" s="1">
        <v>-12.7207547169811</v>
      </c>
      <c r="G1192" s="2">
        <v>-696.20460602813705</v>
      </c>
      <c r="H1192" s="1">
        <v>139.871597336375</v>
      </c>
      <c r="I1192" s="1">
        <f t="shared" si="37"/>
        <v>154.13769737119927</v>
      </c>
    </row>
    <row r="1193" spans="1:9" x14ac:dyDescent="0.45">
      <c r="A1193" t="s">
        <v>42</v>
      </c>
      <c r="B1193" t="s">
        <v>24</v>
      </c>
      <c r="C1193" t="str">
        <f t="shared" si="36"/>
        <v>MississippiGeorgia</v>
      </c>
      <c r="D1193" t="s">
        <v>42</v>
      </c>
      <c r="E1193">
        <v>65.599999999999994</v>
      </c>
      <c r="F1193" s="1">
        <v>-4.2226415094339602</v>
      </c>
      <c r="G1193" s="2">
        <v>-190.48705920261301</v>
      </c>
      <c r="H1193" s="1">
        <v>139.139288686264</v>
      </c>
      <c r="I1193" s="1">
        <f t="shared" si="37"/>
        <v>143.85482758145858</v>
      </c>
    </row>
    <row r="1194" spans="1:9" x14ac:dyDescent="0.45">
      <c r="A1194" t="s">
        <v>43</v>
      </c>
      <c r="B1194" t="s">
        <v>24</v>
      </c>
      <c r="C1194" t="str">
        <f t="shared" si="36"/>
        <v>Mississippi St.Georgia</v>
      </c>
      <c r="D1194" t="s">
        <v>43</v>
      </c>
      <c r="E1194">
        <v>59.4</v>
      </c>
      <c r="F1194" s="1">
        <v>-2.5018867924528299</v>
      </c>
      <c r="G1194" s="2">
        <v>-146.44959029786</v>
      </c>
      <c r="H1194" s="1">
        <v>139.27903515894101</v>
      </c>
      <c r="I1194" s="1">
        <f t="shared" si="37"/>
        <v>145.81710780564478</v>
      </c>
    </row>
    <row r="1195" spans="1:9" x14ac:dyDescent="0.45">
      <c r="A1195" t="s">
        <v>44</v>
      </c>
      <c r="B1195" t="s">
        <v>24</v>
      </c>
      <c r="C1195" t="str">
        <f t="shared" si="36"/>
        <v>MissouriGeorgia</v>
      </c>
      <c r="D1195" t="s">
        <v>24</v>
      </c>
      <c r="E1195">
        <v>40.799999999999997</v>
      </c>
      <c r="F1195" s="1">
        <v>2.43396226415094</v>
      </c>
      <c r="G1195" s="2">
        <v>144.94062203607501</v>
      </c>
      <c r="H1195" s="1">
        <v>138.69669705758699</v>
      </c>
      <c r="I1195" s="1">
        <f t="shared" si="37"/>
        <v>137.64008180858664</v>
      </c>
    </row>
    <row r="1196" spans="1:9" x14ac:dyDescent="0.45">
      <c r="A1196" t="s">
        <v>45</v>
      </c>
      <c r="B1196" t="s">
        <v>24</v>
      </c>
      <c r="C1196" t="str">
        <f t="shared" si="36"/>
        <v>MontanaGeorgia</v>
      </c>
      <c r="D1196" t="s">
        <v>24</v>
      </c>
      <c r="E1196">
        <v>5.8</v>
      </c>
      <c r="F1196" s="1">
        <v>18.237735849056602</v>
      </c>
      <c r="G1196" s="2">
        <v>1615.6075106502001</v>
      </c>
      <c r="H1196" s="1">
        <v>137.833408620993</v>
      </c>
      <c r="I1196" s="1">
        <f t="shared" si="37"/>
        <v>125.51803110887259</v>
      </c>
    </row>
    <row r="1197" spans="1:9" x14ac:dyDescent="0.45">
      <c r="A1197" t="s">
        <v>46</v>
      </c>
      <c r="B1197" t="s">
        <v>24</v>
      </c>
      <c r="C1197" t="str">
        <f t="shared" si="36"/>
        <v>Mount St. Mary'sGeorgia</v>
      </c>
      <c r="D1197" t="s">
        <v>24</v>
      </c>
      <c r="E1197">
        <v>2.2999999999999998</v>
      </c>
      <c r="F1197" s="1">
        <v>24.5735849056604</v>
      </c>
      <c r="G1197" s="2">
        <v>4245.8045874935497</v>
      </c>
      <c r="H1197" s="1">
        <v>139.13669657514399</v>
      </c>
      <c r="I1197" s="1">
        <f t="shared" si="37"/>
        <v>143.81842989433093</v>
      </c>
    </row>
    <row r="1198" spans="1:9" x14ac:dyDescent="0.45">
      <c r="A1198" t="s">
        <v>47</v>
      </c>
      <c r="B1198" t="s">
        <v>24</v>
      </c>
      <c r="C1198" t="str">
        <f t="shared" si="36"/>
        <v>Nebraska OmahaGeorgia</v>
      </c>
      <c r="D1198" t="s">
        <v>24</v>
      </c>
      <c r="E1198">
        <v>3.2</v>
      </c>
      <c r="F1198" s="1">
        <v>22.381132075471701</v>
      </c>
      <c r="G1198" s="2">
        <v>3039.88728319139</v>
      </c>
      <c r="H1198" s="1">
        <v>138.55447270724699</v>
      </c>
      <c r="I1198" s="1">
        <f t="shared" si="37"/>
        <v>135.64300793098735</v>
      </c>
    </row>
    <row r="1199" spans="1:9" x14ac:dyDescent="0.45">
      <c r="A1199" t="s">
        <v>48</v>
      </c>
      <c r="B1199" t="s">
        <v>24</v>
      </c>
      <c r="C1199" t="str">
        <f t="shared" si="36"/>
        <v>New MexicoGeorgia</v>
      </c>
      <c r="D1199" t="s">
        <v>24</v>
      </c>
      <c r="E1199">
        <v>44.1</v>
      </c>
      <c r="F1199" s="1">
        <v>1.5509433962264201</v>
      </c>
      <c r="G1199" s="2">
        <v>126.69932084105101</v>
      </c>
      <c r="H1199" s="1">
        <v>139.324462639064</v>
      </c>
      <c r="I1199" s="1">
        <f t="shared" si="37"/>
        <v>146.45498756155078</v>
      </c>
    </row>
    <row r="1200" spans="1:9" x14ac:dyDescent="0.45">
      <c r="A1200" t="s">
        <v>49</v>
      </c>
      <c r="B1200" t="s">
        <v>24</v>
      </c>
      <c r="C1200" t="str">
        <f t="shared" si="36"/>
        <v>Norfolk St.Georgia</v>
      </c>
      <c r="D1200" t="s">
        <v>24</v>
      </c>
      <c r="E1200">
        <v>4.4000000000000004</v>
      </c>
      <c r="F1200" s="1">
        <v>20.116981132075502</v>
      </c>
      <c r="G1200" s="2">
        <v>2151.8135807864801</v>
      </c>
      <c r="H1200" s="1">
        <v>138.360588403028</v>
      </c>
      <c r="I1200" s="1">
        <f t="shared" si="37"/>
        <v>132.92053967357151</v>
      </c>
    </row>
    <row r="1201" spans="1:9" x14ac:dyDescent="0.45">
      <c r="A1201" t="s">
        <v>50</v>
      </c>
      <c r="B1201" t="s">
        <v>24</v>
      </c>
      <c r="C1201" t="str">
        <f t="shared" si="36"/>
        <v>North CarolinaGeorgia</v>
      </c>
      <c r="D1201" t="s">
        <v>50</v>
      </c>
      <c r="E1201">
        <v>72.900000000000006</v>
      </c>
      <c r="F1201" s="1">
        <v>-6.4981132075471697</v>
      </c>
      <c r="G1201" s="2">
        <v>-269.51486137665103</v>
      </c>
      <c r="H1201" s="1">
        <v>140.43419435749701</v>
      </c>
      <c r="I1201" s="1">
        <f t="shared" si="37"/>
        <v>162.03752473417879</v>
      </c>
    </row>
    <row r="1202" spans="1:9" x14ac:dyDescent="0.45">
      <c r="A1202" t="s">
        <v>51</v>
      </c>
      <c r="B1202" t="s">
        <v>24</v>
      </c>
      <c r="C1202" t="str">
        <f t="shared" si="36"/>
        <v>OklahomaGeorgia</v>
      </c>
      <c r="D1202" t="s">
        <v>24</v>
      </c>
      <c r="E1202">
        <v>48.5</v>
      </c>
      <c r="F1202" s="1">
        <v>0.38490566037735802</v>
      </c>
      <c r="G1202" s="2">
        <v>106.021636179788</v>
      </c>
      <c r="H1202" s="1">
        <v>138.85781748367199</v>
      </c>
      <c r="I1202" s="1">
        <f t="shared" si="37"/>
        <v>139.90248900758465</v>
      </c>
    </row>
    <row r="1203" spans="1:9" x14ac:dyDescent="0.45">
      <c r="A1203" t="s">
        <v>52</v>
      </c>
      <c r="B1203" t="s">
        <v>24</v>
      </c>
      <c r="C1203" t="str">
        <f t="shared" si="36"/>
        <v>OregonGeorgia</v>
      </c>
      <c r="D1203" t="s">
        <v>52</v>
      </c>
      <c r="E1203">
        <v>72.599999999999994</v>
      </c>
      <c r="F1203" s="1">
        <v>-6.3811320754717</v>
      </c>
      <c r="G1203" s="2">
        <v>-264.77180958255298</v>
      </c>
      <c r="H1203" s="1">
        <v>139.14853487520099</v>
      </c>
      <c r="I1203" s="1">
        <f t="shared" si="37"/>
        <v>143.98465993681322</v>
      </c>
    </row>
    <row r="1204" spans="1:9" x14ac:dyDescent="0.45">
      <c r="A1204" t="s">
        <v>53</v>
      </c>
      <c r="B1204" t="s">
        <v>24</v>
      </c>
      <c r="C1204" t="str">
        <f t="shared" si="36"/>
        <v>PurdueGeorgia</v>
      </c>
      <c r="D1204" t="s">
        <v>53</v>
      </c>
      <c r="E1204">
        <v>93.8</v>
      </c>
      <c r="F1204" s="1">
        <v>-17.754716981132098</v>
      </c>
      <c r="G1204" s="2">
        <v>-1500.6221879255399</v>
      </c>
      <c r="H1204" s="1">
        <v>140.636622074999</v>
      </c>
      <c r="I1204" s="1">
        <f t="shared" si="37"/>
        <v>164.8799571710916</v>
      </c>
    </row>
    <row r="1205" spans="1:9" x14ac:dyDescent="0.45">
      <c r="A1205" t="s">
        <v>54</v>
      </c>
      <c r="B1205" t="s">
        <v>24</v>
      </c>
      <c r="C1205" t="str">
        <f t="shared" si="36"/>
        <v>Robert MorrisGeorgia</v>
      </c>
      <c r="D1205" t="s">
        <v>24</v>
      </c>
      <c r="E1205">
        <v>1.8</v>
      </c>
      <c r="F1205" s="1">
        <v>26.132075471698101</v>
      </c>
      <c r="G1205" s="2">
        <v>5387.2054317552002</v>
      </c>
      <c r="H1205" s="1">
        <v>137.71958740368601</v>
      </c>
      <c r="I1205" s="1">
        <f t="shared" si="37"/>
        <v>123.9197859472182</v>
      </c>
    </row>
    <row r="1206" spans="1:9" x14ac:dyDescent="0.45">
      <c r="A1206" t="s">
        <v>55</v>
      </c>
      <c r="B1206" t="s">
        <v>24</v>
      </c>
      <c r="C1206" t="str">
        <f t="shared" si="36"/>
        <v>Saint FrancisGeorgia</v>
      </c>
      <c r="D1206" t="s">
        <v>24</v>
      </c>
      <c r="E1206">
        <v>1.1000000000000001</v>
      </c>
      <c r="F1206" s="1">
        <v>29.498113207547199</v>
      </c>
      <c r="G1206" s="2">
        <v>8997.9946661314698</v>
      </c>
      <c r="H1206" s="1">
        <v>138.42643528572901</v>
      </c>
      <c r="I1206" s="1">
        <f t="shared" si="37"/>
        <v>133.84514287301778</v>
      </c>
    </row>
    <row r="1207" spans="1:9" x14ac:dyDescent="0.45">
      <c r="A1207" t="s">
        <v>56</v>
      </c>
      <c r="B1207" t="s">
        <v>24</v>
      </c>
      <c r="C1207" t="str">
        <f t="shared" si="36"/>
        <v>Saint Mary'sGeorgia</v>
      </c>
      <c r="D1207" t="s">
        <v>56</v>
      </c>
      <c r="E1207">
        <v>72.099999999999994</v>
      </c>
      <c r="F1207" s="1">
        <v>-6.2377358490565999</v>
      </c>
      <c r="G1207" s="2">
        <v>-259.01114010260198</v>
      </c>
      <c r="H1207" s="1">
        <v>140.15564140167101</v>
      </c>
      <c r="I1207" s="1">
        <f t="shared" si="37"/>
        <v>158.1261633514176</v>
      </c>
    </row>
    <row r="1208" spans="1:9" x14ac:dyDescent="0.45">
      <c r="A1208" t="s">
        <v>57</v>
      </c>
      <c r="B1208" t="s">
        <v>24</v>
      </c>
      <c r="C1208" t="str">
        <f t="shared" si="36"/>
        <v>San Diego St.Georgia</v>
      </c>
      <c r="D1208" t="s">
        <v>24</v>
      </c>
      <c r="E1208">
        <v>44.5</v>
      </c>
      <c r="F1208" s="1">
        <v>1.43396226415094</v>
      </c>
      <c r="G1208" s="2">
        <v>124.474709818322</v>
      </c>
      <c r="H1208" s="1">
        <v>139.3703405647</v>
      </c>
      <c r="I1208" s="1">
        <f t="shared" si="37"/>
        <v>147.09919234523991</v>
      </c>
    </row>
    <row r="1209" spans="1:9" x14ac:dyDescent="0.45">
      <c r="A1209" t="s">
        <v>58</v>
      </c>
      <c r="B1209" t="s">
        <v>24</v>
      </c>
      <c r="C1209" t="str">
        <f t="shared" si="36"/>
        <v>SIU EdwardsvilleGeorgia</v>
      </c>
      <c r="D1209" t="s">
        <v>24</v>
      </c>
      <c r="E1209">
        <v>3.7</v>
      </c>
      <c r="F1209" s="1">
        <v>21.407547169811298</v>
      </c>
      <c r="G1209" s="2">
        <v>2620.36265859381</v>
      </c>
      <c r="H1209" s="1">
        <v>139.429598744884</v>
      </c>
      <c r="I1209" s="1">
        <f t="shared" si="37"/>
        <v>147.93127885782818</v>
      </c>
    </row>
    <row r="1210" spans="1:9" x14ac:dyDescent="0.45">
      <c r="A1210" t="s">
        <v>59</v>
      </c>
      <c r="B1210" t="s">
        <v>24</v>
      </c>
      <c r="C1210" t="str">
        <f t="shared" si="36"/>
        <v>St. John'sGeorgia</v>
      </c>
      <c r="D1210" t="s">
        <v>59</v>
      </c>
      <c r="E1210">
        <v>88.3</v>
      </c>
      <c r="F1210" s="1">
        <v>-13.222641509434</v>
      </c>
      <c r="G1210" s="2">
        <v>-751.56767514685896</v>
      </c>
      <c r="H1210" s="1">
        <v>140.24905519343801</v>
      </c>
      <c r="I1210" s="1">
        <f t="shared" si="37"/>
        <v>159.43785324769354</v>
      </c>
    </row>
    <row r="1211" spans="1:9" x14ac:dyDescent="0.45">
      <c r="A1211" t="s">
        <v>60</v>
      </c>
      <c r="B1211" t="s">
        <v>24</v>
      </c>
      <c r="C1211" t="str">
        <f t="shared" si="36"/>
        <v>TennesseeGeorgia</v>
      </c>
      <c r="D1211" t="s">
        <v>60</v>
      </c>
      <c r="E1211">
        <v>94.3</v>
      </c>
      <c r="F1211" s="1">
        <v>-18.437735849056601</v>
      </c>
      <c r="G1211" s="2">
        <v>-1665.4269394435901</v>
      </c>
      <c r="H1211" s="1">
        <v>141.042287567572</v>
      </c>
      <c r="I1211" s="1">
        <f t="shared" si="37"/>
        <v>170.57619664291394</v>
      </c>
    </row>
    <row r="1212" spans="1:9" x14ac:dyDescent="0.45">
      <c r="A1212" t="s">
        <v>61</v>
      </c>
      <c r="B1212" t="s">
        <v>24</v>
      </c>
      <c r="C1212" t="str">
        <f t="shared" si="36"/>
        <v>TexasGeorgia</v>
      </c>
      <c r="D1212" t="s">
        <v>24</v>
      </c>
      <c r="E1212">
        <v>40</v>
      </c>
      <c r="F1212" s="1">
        <v>2.65660377358491</v>
      </c>
      <c r="G1212" s="2">
        <v>150.009663972418</v>
      </c>
      <c r="H1212" s="1">
        <v>138.74216939521</v>
      </c>
      <c r="I1212" s="1">
        <f t="shared" si="37"/>
        <v>138.27859144075018</v>
      </c>
    </row>
    <row r="1213" spans="1:9" x14ac:dyDescent="0.45">
      <c r="A1213" t="s">
        <v>62</v>
      </c>
      <c r="B1213" t="s">
        <v>24</v>
      </c>
      <c r="C1213" t="str">
        <f t="shared" si="36"/>
        <v>Texas A&amp;MGeorgia</v>
      </c>
      <c r="D1213" t="s">
        <v>62</v>
      </c>
      <c r="E1213">
        <v>79.099999999999994</v>
      </c>
      <c r="F1213" s="1">
        <v>-8.74339622641509</v>
      </c>
      <c r="G1213" s="2">
        <v>-379.52032648452001</v>
      </c>
      <c r="H1213" s="1">
        <v>139.529144704608</v>
      </c>
      <c r="I1213" s="1">
        <f t="shared" si="37"/>
        <v>149.32907491251288</v>
      </c>
    </row>
    <row r="1214" spans="1:9" x14ac:dyDescent="0.45">
      <c r="A1214" t="s">
        <v>63</v>
      </c>
      <c r="B1214" t="s">
        <v>24</v>
      </c>
      <c r="C1214" t="str">
        <f t="shared" si="36"/>
        <v>Texas TechGeorgia</v>
      </c>
      <c r="D1214" t="s">
        <v>63</v>
      </c>
      <c r="E1214">
        <v>88</v>
      </c>
      <c r="F1214" s="1">
        <v>-13.0754716981132</v>
      </c>
      <c r="G1214" s="2">
        <v>-735.10687160482496</v>
      </c>
      <c r="H1214" s="1">
        <v>140.51965730984799</v>
      </c>
      <c r="I1214" s="1">
        <f t="shared" si="37"/>
        <v>163.23757120466459</v>
      </c>
    </row>
    <row r="1215" spans="1:9" x14ac:dyDescent="0.45">
      <c r="A1215" t="s">
        <v>64</v>
      </c>
      <c r="B1215" t="s">
        <v>24</v>
      </c>
      <c r="C1215" t="str">
        <f t="shared" si="36"/>
        <v>TroyGeorgia</v>
      </c>
      <c r="D1215" t="s">
        <v>24</v>
      </c>
      <c r="E1215">
        <v>9.6</v>
      </c>
      <c r="F1215" s="1">
        <v>14.732075471698099</v>
      </c>
      <c r="G1215" s="2">
        <v>946.21707644307298</v>
      </c>
      <c r="H1215" s="1">
        <v>139.28596190440601</v>
      </c>
      <c r="I1215" s="1">
        <f t="shared" si="37"/>
        <v>145.91437119543599</v>
      </c>
    </row>
    <row r="1216" spans="1:9" x14ac:dyDescent="0.45">
      <c r="A1216" t="s">
        <v>65</v>
      </c>
      <c r="B1216" t="s">
        <v>24</v>
      </c>
      <c r="C1216" t="str">
        <f t="shared" si="36"/>
        <v>UC San DiegoGeorgia</v>
      </c>
      <c r="D1216" t="s">
        <v>24</v>
      </c>
      <c r="E1216">
        <v>21.3</v>
      </c>
      <c r="F1216" s="1">
        <v>8.5509433962264207</v>
      </c>
      <c r="G1216" s="2">
        <v>368.52153293803099</v>
      </c>
      <c r="H1216" s="1">
        <v>139.356082134069</v>
      </c>
      <c r="I1216" s="1">
        <f t="shared" si="37"/>
        <v>146.89897951754435</v>
      </c>
    </row>
    <row r="1217" spans="1:9" x14ac:dyDescent="0.45">
      <c r="A1217" t="s">
        <v>66</v>
      </c>
      <c r="B1217" t="s">
        <v>24</v>
      </c>
      <c r="C1217" t="str">
        <f t="shared" si="36"/>
        <v>UCLAGeorgia</v>
      </c>
      <c r="D1217" t="s">
        <v>24</v>
      </c>
      <c r="E1217">
        <v>48.3</v>
      </c>
      <c r="F1217" s="1">
        <v>0.44905660377358497</v>
      </c>
      <c r="G1217" s="2">
        <v>107.09554800768301</v>
      </c>
      <c r="H1217" s="1">
        <v>138.57734071328099</v>
      </c>
      <c r="I1217" s="1">
        <f t="shared" si="37"/>
        <v>135.96411396785174</v>
      </c>
    </row>
    <row r="1218" spans="1:9" x14ac:dyDescent="0.45">
      <c r="A1218" t="s">
        <v>67</v>
      </c>
      <c r="B1218" t="s">
        <v>24</v>
      </c>
      <c r="C1218" t="str">
        <f t="shared" si="36"/>
        <v>UNC WilmingtonGeorgia</v>
      </c>
      <c r="D1218" t="s">
        <v>24</v>
      </c>
      <c r="E1218">
        <v>13.6</v>
      </c>
      <c r="F1218" s="1">
        <v>12.143396226415099</v>
      </c>
      <c r="G1218" s="2">
        <v>637.420253838706</v>
      </c>
      <c r="H1218" s="1">
        <v>139.892750604734</v>
      </c>
      <c r="I1218" s="1">
        <f t="shared" si="37"/>
        <v>154.43472554931796</v>
      </c>
    </row>
    <row r="1219" spans="1:9" x14ac:dyDescent="0.45">
      <c r="A1219" t="s">
        <v>68</v>
      </c>
      <c r="B1219" t="s">
        <v>24</v>
      </c>
      <c r="C1219" t="str">
        <f t="shared" ref="C1219:C1282" si="38">A1219&amp;B1219</f>
        <v>Utah St.Georgia</v>
      </c>
      <c r="D1219" t="s">
        <v>24</v>
      </c>
      <c r="E1219">
        <v>46.9</v>
      </c>
      <c r="F1219" s="1">
        <v>0.81509433962264199</v>
      </c>
      <c r="G1219" s="2">
        <v>113.236821529734</v>
      </c>
      <c r="H1219" s="1">
        <v>139.43993710331301</v>
      </c>
      <c r="I1219" s="1">
        <f t="shared" ref="I1219:I1282" si="39">18*(H1219-AVERAGE($H$2:$H$4625))/_xlfn.STDEV.P($H$2:$H$4625)+AVERAGE($H$2:$H$4625)</f>
        <v>148.07644714656692</v>
      </c>
    </row>
    <row r="1220" spans="1:9" x14ac:dyDescent="0.45">
      <c r="A1220" t="s">
        <v>69</v>
      </c>
      <c r="B1220" t="s">
        <v>24</v>
      </c>
      <c r="C1220" t="str">
        <f t="shared" si="38"/>
        <v>VanderbiltGeorgia</v>
      </c>
      <c r="D1220" t="s">
        <v>24</v>
      </c>
      <c r="E1220">
        <v>14.8</v>
      </c>
      <c r="F1220" s="1">
        <v>11.4641509433962</v>
      </c>
      <c r="G1220" s="2">
        <v>574.65427134851996</v>
      </c>
      <c r="H1220" s="1">
        <v>137.873974984596</v>
      </c>
      <c r="I1220" s="1">
        <f t="shared" si="39"/>
        <v>126.08765244915001</v>
      </c>
    </row>
    <row r="1221" spans="1:9" x14ac:dyDescent="0.45">
      <c r="A1221" t="s">
        <v>70</v>
      </c>
      <c r="B1221" t="s">
        <v>24</v>
      </c>
      <c r="C1221" t="str">
        <f t="shared" si="38"/>
        <v>VCUGeorgia</v>
      </c>
      <c r="D1221" t="s">
        <v>24</v>
      </c>
      <c r="E1221">
        <v>35.799999999999997</v>
      </c>
      <c r="F1221" s="1">
        <v>3.8188679245283002</v>
      </c>
      <c r="G1221" s="2">
        <v>179.01313123760499</v>
      </c>
      <c r="H1221" s="1">
        <v>139.79914811378899</v>
      </c>
      <c r="I1221" s="1">
        <f t="shared" si="39"/>
        <v>153.12038599285214</v>
      </c>
    </row>
    <row r="1222" spans="1:9" x14ac:dyDescent="0.45">
      <c r="A1222" t="s">
        <v>71</v>
      </c>
      <c r="B1222" t="s">
        <v>24</v>
      </c>
      <c r="C1222" t="str">
        <f t="shared" si="38"/>
        <v>WisconsinGeorgia</v>
      </c>
      <c r="D1222" t="s">
        <v>71</v>
      </c>
      <c r="E1222">
        <v>86.4</v>
      </c>
      <c r="F1222" s="1">
        <v>-12.135849056603799</v>
      </c>
      <c r="G1222" s="2">
        <v>-636.79662009949902</v>
      </c>
      <c r="H1222" s="1">
        <v>140.45240372212101</v>
      </c>
      <c r="I1222" s="1">
        <f t="shared" si="39"/>
        <v>162.29321545332311</v>
      </c>
    </row>
    <row r="1223" spans="1:9" x14ac:dyDescent="0.45">
      <c r="A1223" t="s">
        <v>80</v>
      </c>
      <c r="B1223" t="s">
        <v>24</v>
      </c>
      <c r="C1223" t="str">
        <f t="shared" si="38"/>
        <v>WoffordGeorgia</v>
      </c>
      <c r="D1223" t="s">
        <v>24</v>
      </c>
      <c r="E1223">
        <v>5.2</v>
      </c>
      <c r="F1223" s="1">
        <v>19.037735849056599</v>
      </c>
      <c r="G1223" s="2">
        <v>1825.0944056001199</v>
      </c>
      <c r="H1223" s="1">
        <v>138.55005215134699</v>
      </c>
      <c r="I1223" s="1">
        <f t="shared" si="39"/>
        <v>135.58093574228516</v>
      </c>
    </row>
    <row r="1224" spans="1:9" x14ac:dyDescent="0.45">
      <c r="A1224" t="s">
        <v>72</v>
      </c>
      <c r="B1224" t="s">
        <v>24</v>
      </c>
      <c r="C1224" t="str">
        <f t="shared" si="38"/>
        <v>XavierGeorgia</v>
      </c>
      <c r="D1224" t="s">
        <v>24</v>
      </c>
      <c r="E1224">
        <v>35.6</v>
      </c>
      <c r="F1224" s="1">
        <v>3.8905660377358502</v>
      </c>
      <c r="G1224" s="2">
        <v>181.02179814082999</v>
      </c>
      <c r="H1224" s="1">
        <v>139.292854321969</v>
      </c>
      <c r="I1224" s="1">
        <f t="shared" si="39"/>
        <v>146.01115256259047</v>
      </c>
    </row>
    <row r="1225" spans="1:9" x14ac:dyDescent="0.45">
      <c r="A1225" t="s">
        <v>73</v>
      </c>
      <c r="B1225" t="s">
        <v>24</v>
      </c>
      <c r="C1225" t="str">
        <f t="shared" si="38"/>
        <v>YaleGeorgia</v>
      </c>
      <c r="D1225" t="s">
        <v>24</v>
      </c>
      <c r="E1225">
        <v>22.4</v>
      </c>
      <c r="F1225" s="1">
        <v>8.1396226415094297</v>
      </c>
      <c r="G1225" s="2">
        <v>346.15958856605403</v>
      </c>
      <c r="H1225" s="1">
        <v>139.89256045836299</v>
      </c>
      <c r="I1225" s="1">
        <f t="shared" si="39"/>
        <v>154.43205556805555</v>
      </c>
    </row>
    <row r="1226" spans="1:9" x14ac:dyDescent="0.45">
      <c r="A1226" t="s">
        <v>7</v>
      </c>
      <c r="B1226" t="s">
        <v>25</v>
      </c>
      <c r="C1226" t="str">
        <f t="shared" si="38"/>
        <v>AkronGonzaga</v>
      </c>
      <c r="D1226" t="s">
        <v>25</v>
      </c>
      <c r="E1226">
        <v>2.9</v>
      </c>
      <c r="F1226" s="1">
        <v>23.033962264150901</v>
      </c>
      <c r="G1226" s="2">
        <v>3357.2923115930698</v>
      </c>
      <c r="H1226" s="1">
        <v>136.73242578843701</v>
      </c>
      <c r="I1226" s="1">
        <f t="shared" si="39"/>
        <v>110.05834330346852</v>
      </c>
    </row>
    <row r="1227" spans="1:9" x14ac:dyDescent="0.45">
      <c r="A1227" t="s">
        <v>8</v>
      </c>
      <c r="B1227" t="s">
        <v>25</v>
      </c>
      <c r="C1227" t="str">
        <f t="shared" si="38"/>
        <v>AlabamaGonzaga</v>
      </c>
      <c r="D1227" t="s">
        <v>8</v>
      </c>
      <c r="E1227">
        <v>69.2</v>
      </c>
      <c r="F1227" s="1">
        <v>-5.3056603773584898</v>
      </c>
      <c r="G1227" s="2">
        <v>-224.668170302102</v>
      </c>
      <c r="H1227" s="1">
        <v>138.54003697603201</v>
      </c>
      <c r="I1227" s="1">
        <f t="shared" si="39"/>
        <v>135.44030549891755</v>
      </c>
    </row>
    <row r="1228" spans="1:9" x14ac:dyDescent="0.45">
      <c r="A1228" t="s">
        <v>9</v>
      </c>
      <c r="B1228" t="s">
        <v>25</v>
      </c>
      <c r="C1228" t="str">
        <f t="shared" si="38"/>
        <v>Alabama St.Gonzaga</v>
      </c>
      <c r="D1228" t="s">
        <v>25</v>
      </c>
      <c r="E1228">
        <v>0.5</v>
      </c>
      <c r="F1228" s="1">
        <v>35.350943396226398</v>
      </c>
      <c r="G1228" s="2">
        <v>21982.590685496602</v>
      </c>
      <c r="H1228" s="1">
        <v>136.919187547858</v>
      </c>
      <c r="I1228" s="1">
        <f t="shared" si="39"/>
        <v>112.68079881254627</v>
      </c>
    </row>
    <row r="1229" spans="1:9" x14ac:dyDescent="0.45">
      <c r="A1229" t="s">
        <v>10</v>
      </c>
      <c r="B1229" t="s">
        <v>25</v>
      </c>
      <c r="C1229" t="str">
        <f t="shared" si="38"/>
        <v>AmericanGonzaga</v>
      </c>
      <c r="D1229" t="s">
        <v>25</v>
      </c>
      <c r="E1229">
        <v>0.5</v>
      </c>
      <c r="F1229" s="1">
        <v>34.5962264150943</v>
      </c>
      <c r="G1229" s="2">
        <v>19585.407107824401</v>
      </c>
      <c r="H1229" s="1">
        <v>136.68247706762</v>
      </c>
      <c r="I1229" s="1">
        <f t="shared" si="39"/>
        <v>109.35697757161816</v>
      </c>
    </row>
    <row r="1230" spans="1:9" x14ac:dyDescent="0.45">
      <c r="A1230" t="s">
        <v>11</v>
      </c>
      <c r="B1230" t="s">
        <v>25</v>
      </c>
      <c r="C1230" t="str">
        <f t="shared" si="38"/>
        <v>ArizonaGonzaga</v>
      </c>
      <c r="D1230" t="s">
        <v>11</v>
      </c>
      <c r="E1230">
        <v>59.6</v>
      </c>
      <c r="F1230" s="1">
        <v>-2.5509433962264101</v>
      </c>
      <c r="G1230" s="2">
        <v>-147.56636031178499</v>
      </c>
      <c r="H1230" s="1">
        <v>138.15051631620901</v>
      </c>
      <c r="I1230" s="1">
        <f t="shared" si="39"/>
        <v>129.97076717683615</v>
      </c>
    </row>
    <row r="1231" spans="1:9" x14ac:dyDescent="0.45">
      <c r="A1231" t="s">
        <v>12</v>
      </c>
      <c r="B1231" t="s">
        <v>25</v>
      </c>
      <c r="C1231" t="str">
        <f t="shared" si="38"/>
        <v>ArkansasGonzaga</v>
      </c>
      <c r="D1231" t="s">
        <v>25</v>
      </c>
      <c r="E1231">
        <v>8.8000000000000007</v>
      </c>
      <c r="F1231" s="1">
        <v>15.3509433962264</v>
      </c>
      <c r="G1231" s="2">
        <v>1039.7100415295199</v>
      </c>
      <c r="H1231" s="1">
        <v>136.476440293998</v>
      </c>
      <c r="I1231" s="1">
        <f t="shared" si="39"/>
        <v>106.46386779511589</v>
      </c>
    </row>
    <row r="1232" spans="1:9" x14ac:dyDescent="0.45">
      <c r="A1232" t="s">
        <v>13</v>
      </c>
      <c r="B1232" t="s">
        <v>25</v>
      </c>
      <c r="C1232" t="str">
        <f t="shared" si="38"/>
        <v>AuburnGonzaga</v>
      </c>
      <c r="D1232" t="s">
        <v>13</v>
      </c>
      <c r="E1232">
        <v>81.599999999999994</v>
      </c>
      <c r="F1232" s="1">
        <v>-9.7471698113207594</v>
      </c>
      <c r="G1232" s="2">
        <v>-442.23394137403602</v>
      </c>
      <c r="H1232" s="1">
        <v>139.56225320938401</v>
      </c>
      <c r="I1232" s="1">
        <f t="shared" si="39"/>
        <v>149.79397512022325</v>
      </c>
    </row>
    <row r="1233" spans="1:9" x14ac:dyDescent="0.45">
      <c r="A1233" t="s">
        <v>14</v>
      </c>
      <c r="B1233" t="s">
        <v>25</v>
      </c>
      <c r="C1233" t="str">
        <f t="shared" si="38"/>
        <v>BaylorGonzaga</v>
      </c>
      <c r="D1233" t="s">
        <v>25</v>
      </c>
      <c r="E1233">
        <v>30.8</v>
      </c>
      <c r="F1233" s="1">
        <v>5.3018867924528301</v>
      </c>
      <c r="G1233" s="2">
        <v>224.54848635691101</v>
      </c>
      <c r="H1233" s="1">
        <v>138.025170570565</v>
      </c>
      <c r="I1233" s="1">
        <f t="shared" si="39"/>
        <v>128.21069786595208</v>
      </c>
    </row>
    <row r="1234" spans="1:9" x14ac:dyDescent="0.45">
      <c r="A1234" t="s">
        <v>15</v>
      </c>
      <c r="B1234" t="s">
        <v>25</v>
      </c>
      <c r="C1234" t="str">
        <f t="shared" si="38"/>
        <v>BryantGonzaga</v>
      </c>
      <c r="D1234" t="s">
        <v>25</v>
      </c>
      <c r="E1234">
        <v>2</v>
      </c>
      <c r="F1234" s="1">
        <v>25.373584905660401</v>
      </c>
      <c r="G1234" s="2">
        <v>4797.5768785316995</v>
      </c>
      <c r="H1234" s="1">
        <v>137.61749044621001</v>
      </c>
      <c r="I1234" s="1">
        <f t="shared" si="39"/>
        <v>122.48616950762653</v>
      </c>
    </row>
    <row r="1235" spans="1:9" x14ac:dyDescent="0.45">
      <c r="A1235" t="s">
        <v>16</v>
      </c>
      <c r="B1235" t="s">
        <v>25</v>
      </c>
      <c r="C1235" t="str">
        <f t="shared" si="38"/>
        <v>BYUGonzaga</v>
      </c>
      <c r="D1235" t="s">
        <v>25</v>
      </c>
      <c r="E1235">
        <v>34.5</v>
      </c>
      <c r="F1235" s="1">
        <v>4.2075471698113196</v>
      </c>
      <c r="G1235" s="2">
        <v>190.02047082185999</v>
      </c>
      <c r="H1235" s="1">
        <v>137.78753112065399</v>
      </c>
      <c r="I1235" s="1">
        <f t="shared" si="39"/>
        <v>124.873832297083</v>
      </c>
    </row>
    <row r="1236" spans="1:9" x14ac:dyDescent="0.45">
      <c r="A1236" t="s">
        <v>17</v>
      </c>
      <c r="B1236" t="s">
        <v>25</v>
      </c>
      <c r="C1236" t="str">
        <f t="shared" si="38"/>
        <v>ClemsonGonzaga</v>
      </c>
      <c r="D1236" t="s">
        <v>25</v>
      </c>
      <c r="E1236">
        <v>42.4</v>
      </c>
      <c r="F1236" s="1">
        <v>2.0037735849056602</v>
      </c>
      <c r="G1236" s="2">
        <v>135.75605966094699</v>
      </c>
      <c r="H1236" s="1">
        <v>138.137581343096</v>
      </c>
      <c r="I1236" s="1">
        <f t="shared" si="39"/>
        <v>129.78913796320518</v>
      </c>
    </row>
    <row r="1237" spans="1:9" x14ac:dyDescent="0.45">
      <c r="A1237" t="s">
        <v>18</v>
      </c>
      <c r="B1237" t="s">
        <v>25</v>
      </c>
      <c r="C1237" t="str">
        <f t="shared" si="38"/>
        <v>Colorado St.Gonzaga</v>
      </c>
      <c r="D1237" t="s">
        <v>25</v>
      </c>
      <c r="E1237">
        <v>10.9</v>
      </c>
      <c r="F1237" s="1">
        <v>13.784905660377399</v>
      </c>
      <c r="G1237" s="2">
        <v>819.07396360790096</v>
      </c>
      <c r="H1237" s="1">
        <v>137.52719231789001</v>
      </c>
      <c r="I1237" s="1">
        <f t="shared" si="39"/>
        <v>121.21822887135095</v>
      </c>
    </row>
    <row r="1238" spans="1:9" x14ac:dyDescent="0.45">
      <c r="A1238" t="s">
        <v>19</v>
      </c>
      <c r="B1238" t="s">
        <v>25</v>
      </c>
      <c r="C1238" t="str">
        <f t="shared" si="38"/>
        <v>ConnecticutGonzaga</v>
      </c>
      <c r="D1238" t="s">
        <v>19</v>
      </c>
      <c r="E1238">
        <v>53.4</v>
      </c>
      <c r="F1238" s="1">
        <v>-0.89056603773584897</v>
      </c>
      <c r="G1238" s="2">
        <v>-114.53206849576399</v>
      </c>
      <c r="H1238" s="1">
        <v>137.93783217384399</v>
      </c>
      <c r="I1238" s="1">
        <f t="shared" si="39"/>
        <v>126.98431693901546</v>
      </c>
    </row>
    <row r="1239" spans="1:9" x14ac:dyDescent="0.45">
      <c r="A1239" t="s">
        <v>20</v>
      </c>
      <c r="B1239" t="s">
        <v>25</v>
      </c>
      <c r="C1239" t="str">
        <f t="shared" si="38"/>
        <v>CreightonGonzaga</v>
      </c>
      <c r="D1239" t="s">
        <v>25</v>
      </c>
      <c r="E1239">
        <v>26.1</v>
      </c>
      <c r="F1239" s="1">
        <v>6.8188679245283002</v>
      </c>
      <c r="G1239" s="2">
        <v>282.947301002458</v>
      </c>
      <c r="H1239" s="1">
        <v>137.487128926683</v>
      </c>
      <c r="I1239" s="1">
        <f t="shared" si="39"/>
        <v>120.65567012640821</v>
      </c>
    </row>
    <row r="1240" spans="1:9" x14ac:dyDescent="0.45">
      <c r="A1240" t="s">
        <v>21</v>
      </c>
      <c r="B1240" t="s">
        <v>25</v>
      </c>
      <c r="C1240" t="str">
        <f t="shared" si="38"/>
        <v>DrakeGonzaga</v>
      </c>
      <c r="D1240" t="s">
        <v>25</v>
      </c>
      <c r="E1240">
        <v>10.6</v>
      </c>
      <c r="F1240" s="1">
        <v>13.9924528301887</v>
      </c>
      <c r="G1240" s="2">
        <v>845.07109848940297</v>
      </c>
      <c r="H1240" s="1">
        <v>137.72180473235801</v>
      </c>
      <c r="I1240" s="1">
        <f t="shared" si="39"/>
        <v>123.9509210458024</v>
      </c>
    </row>
    <row r="1241" spans="1:9" x14ac:dyDescent="0.45">
      <c r="A1241" t="s">
        <v>22</v>
      </c>
      <c r="B1241" t="s">
        <v>25</v>
      </c>
      <c r="C1241" t="str">
        <f t="shared" si="38"/>
        <v>DukeGonzaga</v>
      </c>
      <c r="D1241" t="s">
        <v>22</v>
      </c>
      <c r="E1241">
        <v>86.1</v>
      </c>
      <c r="F1241" s="1">
        <v>-11.9584905660377</v>
      </c>
      <c r="G1241" s="2">
        <v>-619.95358669526001</v>
      </c>
      <c r="H1241" s="1">
        <v>139.80214462096001</v>
      </c>
      <c r="I1241" s="1">
        <f t="shared" si="39"/>
        <v>153.16246209431421</v>
      </c>
    </row>
    <row r="1242" spans="1:9" x14ac:dyDescent="0.45">
      <c r="A1242" t="s">
        <v>23</v>
      </c>
      <c r="B1242" t="s">
        <v>25</v>
      </c>
      <c r="C1242" t="str">
        <f t="shared" si="38"/>
        <v>FloridaGonzaga</v>
      </c>
      <c r="D1242" t="s">
        <v>23</v>
      </c>
      <c r="E1242">
        <v>77.5</v>
      </c>
      <c r="F1242" s="1">
        <v>-8.1018867924528308</v>
      </c>
      <c r="G1242" s="2">
        <v>-344.21280054097599</v>
      </c>
      <c r="H1242" s="1">
        <v>139.53679514851399</v>
      </c>
      <c r="I1242" s="1">
        <f t="shared" si="39"/>
        <v>149.4365002699862</v>
      </c>
    </row>
    <row r="1243" spans="1:9" x14ac:dyDescent="0.45">
      <c r="A1243" t="s">
        <v>24</v>
      </c>
      <c r="B1243" t="s">
        <v>25</v>
      </c>
      <c r="C1243" t="str">
        <f t="shared" si="38"/>
        <v>GeorgiaGonzaga</v>
      </c>
      <c r="D1243" t="s">
        <v>25</v>
      </c>
      <c r="E1243">
        <v>12.2</v>
      </c>
      <c r="F1243" s="1">
        <v>12.9584905660377</v>
      </c>
      <c r="G1243" s="2">
        <v>721.91904841810197</v>
      </c>
      <c r="H1243" s="1">
        <v>136.800753444799</v>
      </c>
      <c r="I1243" s="1">
        <f t="shared" si="39"/>
        <v>111.01778082110805</v>
      </c>
    </row>
    <row r="1244" spans="1:9" x14ac:dyDescent="0.45">
      <c r="A1244" t="s">
        <v>25</v>
      </c>
      <c r="B1244" t="s">
        <v>25</v>
      </c>
      <c r="C1244" t="str">
        <f t="shared" si="38"/>
        <v>GonzagaGonzaga</v>
      </c>
      <c r="D1244" t="s">
        <v>25</v>
      </c>
      <c r="E1244">
        <v>41.2</v>
      </c>
      <c r="F1244" s="1">
        <v>2.3283018867924499</v>
      </c>
      <c r="G1244" s="2">
        <v>142.64273539779199</v>
      </c>
      <c r="H1244" s="1">
        <v>138.77771517530499</v>
      </c>
      <c r="I1244" s="1">
        <f t="shared" si="39"/>
        <v>138.77771517530684</v>
      </c>
    </row>
    <row r="1245" spans="1:9" x14ac:dyDescent="0.45">
      <c r="A1245" t="s">
        <v>26</v>
      </c>
      <c r="B1245" t="s">
        <v>25</v>
      </c>
      <c r="C1245" t="str">
        <f t="shared" si="38"/>
        <v>Grand CanyonGonzaga</v>
      </c>
      <c r="D1245" t="s">
        <v>25</v>
      </c>
      <c r="E1245">
        <v>7.1</v>
      </c>
      <c r="F1245" s="1">
        <v>16.8792452830189</v>
      </c>
      <c r="G1245" s="2">
        <v>1312.8904627761999</v>
      </c>
      <c r="H1245" s="1">
        <v>137.59568689284501</v>
      </c>
      <c r="I1245" s="1">
        <f t="shared" si="39"/>
        <v>122.18001021240039</v>
      </c>
    </row>
    <row r="1246" spans="1:9" x14ac:dyDescent="0.45">
      <c r="A1246" t="s">
        <v>27</v>
      </c>
      <c r="B1246" t="s">
        <v>25</v>
      </c>
      <c r="C1246" t="str">
        <f t="shared" si="38"/>
        <v>High PointGonzaga</v>
      </c>
      <c r="D1246" t="s">
        <v>25</v>
      </c>
      <c r="E1246">
        <v>4.5</v>
      </c>
      <c r="F1246" s="1">
        <v>19.969811320754701</v>
      </c>
      <c r="G1246" s="2">
        <v>2103.34519997599</v>
      </c>
      <c r="H1246" s="1">
        <v>137.78689402639301</v>
      </c>
      <c r="I1246" s="1">
        <f t="shared" si="39"/>
        <v>124.8648864006656</v>
      </c>
    </row>
    <row r="1247" spans="1:9" x14ac:dyDescent="0.45">
      <c r="A1247" t="s">
        <v>28</v>
      </c>
      <c r="B1247" t="s">
        <v>25</v>
      </c>
      <c r="C1247" t="str">
        <f t="shared" si="38"/>
        <v>HoustonGonzaga</v>
      </c>
      <c r="D1247" t="s">
        <v>28</v>
      </c>
      <c r="E1247">
        <v>91.2</v>
      </c>
      <c r="F1247" s="1">
        <v>-15.313207547169799</v>
      </c>
      <c r="G1247" s="2">
        <v>-1034.16381401955</v>
      </c>
      <c r="H1247" s="1">
        <v>139.90035638359601</v>
      </c>
      <c r="I1247" s="1">
        <f t="shared" si="39"/>
        <v>154.54152373294676</v>
      </c>
    </row>
    <row r="1248" spans="1:9" x14ac:dyDescent="0.45">
      <c r="A1248" t="s">
        <v>29</v>
      </c>
      <c r="B1248" t="s">
        <v>25</v>
      </c>
      <c r="C1248" t="str">
        <f t="shared" si="38"/>
        <v>IllinoisGonzaga</v>
      </c>
      <c r="D1248" t="s">
        <v>29</v>
      </c>
      <c r="E1248">
        <v>50.5</v>
      </c>
      <c r="F1248" s="1">
        <v>-0.128301886792453</v>
      </c>
      <c r="G1248" s="2">
        <v>-101.94730686702501</v>
      </c>
      <c r="H1248" s="1">
        <v>137.95882015855801</v>
      </c>
      <c r="I1248" s="1">
        <f t="shared" si="39"/>
        <v>127.27902425119957</v>
      </c>
    </row>
    <row r="1249" spans="1:9" x14ac:dyDescent="0.45">
      <c r="A1249" t="s">
        <v>30</v>
      </c>
      <c r="B1249" t="s">
        <v>25</v>
      </c>
      <c r="C1249" t="str">
        <f t="shared" si="38"/>
        <v>Iowa St.Gonzaga</v>
      </c>
      <c r="D1249" t="s">
        <v>30</v>
      </c>
      <c r="E1249">
        <v>68.2</v>
      </c>
      <c r="F1249" s="1">
        <v>-4.98867924528302</v>
      </c>
      <c r="G1249" s="2">
        <v>-214.00889116547901</v>
      </c>
      <c r="H1249" s="1">
        <v>138.85536245014401</v>
      </c>
      <c r="I1249" s="1">
        <f t="shared" si="39"/>
        <v>139.86801612501822</v>
      </c>
    </row>
    <row r="1250" spans="1:9" x14ac:dyDescent="0.45">
      <c r="A1250" t="s">
        <v>31</v>
      </c>
      <c r="B1250" t="s">
        <v>25</v>
      </c>
      <c r="C1250" t="str">
        <f t="shared" si="38"/>
        <v>KansasGonzaga</v>
      </c>
      <c r="D1250" t="s">
        <v>25</v>
      </c>
      <c r="E1250">
        <v>39.700000000000003</v>
      </c>
      <c r="F1250" s="1">
        <v>2.7283018867924498</v>
      </c>
      <c r="G1250" s="2">
        <v>151.62440827082801</v>
      </c>
      <c r="H1250" s="1">
        <v>137.905950338998</v>
      </c>
      <c r="I1250" s="1">
        <f t="shared" si="39"/>
        <v>126.53664128158654</v>
      </c>
    </row>
    <row r="1251" spans="1:9" x14ac:dyDescent="0.45">
      <c r="A1251" t="s">
        <v>32</v>
      </c>
      <c r="B1251" t="s">
        <v>25</v>
      </c>
      <c r="C1251" t="str">
        <f t="shared" si="38"/>
        <v>KentuckyGonzaga</v>
      </c>
      <c r="D1251" t="s">
        <v>32</v>
      </c>
      <c r="E1251">
        <v>52.4</v>
      </c>
      <c r="F1251" s="1">
        <v>-0.63396226415094303</v>
      </c>
      <c r="G1251" s="2">
        <v>-110.183565983476</v>
      </c>
      <c r="H1251" s="1">
        <v>137.840232671123</v>
      </c>
      <c r="I1251" s="1">
        <f t="shared" si="39"/>
        <v>125.61385247997737</v>
      </c>
    </row>
    <row r="1252" spans="1:9" x14ac:dyDescent="0.45">
      <c r="A1252" t="s">
        <v>33</v>
      </c>
      <c r="B1252" t="s">
        <v>25</v>
      </c>
      <c r="C1252" t="str">
        <f t="shared" si="38"/>
        <v>LibertyGonzaga</v>
      </c>
      <c r="D1252" t="s">
        <v>25</v>
      </c>
      <c r="E1252">
        <v>3.2</v>
      </c>
      <c r="F1252" s="1">
        <v>22.350943396226398</v>
      </c>
      <c r="G1252" s="2">
        <v>3024.9004823693899</v>
      </c>
      <c r="H1252" s="1">
        <v>137.18523371484099</v>
      </c>
      <c r="I1252" s="1">
        <f t="shared" si="39"/>
        <v>116.41654342341627</v>
      </c>
    </row>
    <row r="1253" spans="1:9" x14ac:dyDescent="0.45">
      <c r="A1253" t="s">
        <v>34</v>
      </c>
      <c r="B1253" t="s">
        <v>25</v>
      </c>
      <c r="C1253" t="str">
        <f t="shared" si="38"/>
        <v>LipscombGonzaga</v>
      </c>
      <c r="D1253" t="s">
        <v>25</v>
      </c>
      <c r="E1253">
        <v>2.4</v>
      </c>
      <c r="F1253" s="1">
        <v>24.215094339622599</v>
      </c>
      <c r="G1253" s="2">
        <v>4020.7714896207599</v>
      </c>
      <c r="H1253" s="1">
        <v>137.591551912433</v>
      </c>
      <c r="I1253" s="1">
        <f t="shared" si="39"/>
        <v>122.12194799348036</v>
      </c>
    </row>
    <row r="1254" spans="1:9" x14ac:dyDescent="0.45">
      <c r="A1254" t="s">
        <v>35</v>
      </c>
      <c r="B1254" t="s">
        <v>25</v>
      </c>
      <c r="C1254" t="str">
        <f t="shared" si="38"/>
        <v>LouisvilleGonzaga</v>
      </c>
      <c r="D1254" t="s">
        <v>25</v>
      </c>
      <c r="E1254">
        <v>5.9</v>
      </c>
      <c r="F1254" s="1">
        <v>18.166037735849098</v>
      </c>
      <c r="G1254" s="2">
        <v>1597.9807994830101</v>
      </c>
      <c r="H1254" s="1">
        <v>136.83691391824999</v>
      </c>
      <c r="I1254" s="1">
        <f t="shared" si="39"/>
        <v>111.52553590494537</v>
      </c>
    </row>
    <row r="1255" spans="1:9" x14ac:dyDescent="0.45">
      <c r="A1255" t="s">
        <v>36</v>
      </c>
      <c r="B1255" t="s">
        <v>25</v>
      </c>
      <c r="C1255" t="str">
        <f t="shared" si="38"/>
        <v>MarquetteGonzaga</v>
      </c>
      <c r="D1255" t="s">
        <v>25</v>
      </c>
      <c r="E1255">
        <v>45.8</v>
      </c>
      <c r="F1255" s="1">
        <v>1.09811320754717</v>
      </c>
      <c r="G1255" s="2">
        <v>118.257381733011</v>
      </c>
      <c r="H1255" s="1">
        <v>138.099047761712</v>
      </c>
      <c r="I1255" s="1">
        <f t="shared" si="39"/>
        <v>129.2480603727056</v>
      </c>
    </row>
    <row r="1256" spans="1:9" x14ac:dyDescent="0.45">
      <c r="A1256" t="s">
        <v>37</v>
      </c>
      <c r="B1256" t="s">
        <v>25</v>
      </c>
      <c r="C1256" t="str">
        <f t="shared" si="38"/>
        <v>MarylandGonzaga</v>
      </c>
      <c r="D1256" t="s">
        <v>25</v>
      </c>
      <c r="E1256">
        <v>34.299999999999997</v>
      </c>
      <c r="F1256" s="1">
        <v>4.2679245283018901</v>
      </c>
      <c r="G1256" s="2">
        <v>191.71764738093501</v>
      </c>
      <c r="H1256" s="1">
        <v>137.55741736025499</v>
      </c>
      <c r="I1256" s="1">
        <f t="shared" si="39"/>
        <v>121.64264031996804</v>
      </c>
    </row>
    <row r="1257" spans="1:9" x14ac:dyDescent="0.45">
      <c r="A1257" t="s">
        <v>38</v>
      </c>
      <c r="B1257" t="s">
        <v>25</v>
      </c>
      <c r="C1257" t="str">
        <f t="shared" si="38"/>
        <v>McNeese St.Gonzaga</v>
      </c>
      <c r="D1257" t="s">
        <v>25</v>
      </c>
      <c r="E1257">
        <v>10.8</v>
      </c>
      <c r="F1257" s="1">
        <v>13.807547169811301</v>
      </c>
      <c r="G1257" s="2">
        <v>821.73496108038603</v>
      </c>
      <c r="H1257" s="1">
        <v>138.15065277322</v>
      </c>
      <c r="I1257" s="1">
        <f t="shared" si="39"/>
        <v>129.97268326737498</v>
      </c>
    </row>
    <row r="1258" spans="1:9" x14ac:dyDescent="0.45">
      <c r="A1258" t="s">
        <v>39</v>
      </c>
      <c r="B1258" t="s">
        <v>25</v>
      </c>
      <c r="C1258" t="str">
        <f t="shared" si="38"/>
        <v>MemphisGonzaga</v>
      </c>
      <c r="D1258" t="s">
        <v>25</v>
      </c>
      <c r="E1258">
        <v>22.7</v>
      </c>
      <c r="F1258" s="1">
        <v>8.0301886792452795</v>
      </c>
      <c r="G1258" s="2">
        <v>340.45714871831098</v>
      </c>
      <c r="H1258" s="1">
        <v>136.68493459974499</v>
      </c>
      <c r="I1258" s="1">
        <f t="shared" si="39"/>
        <v>109.39148553877322</v>
      </c>
    </row>
    <row r="1259" spans="1:9" x14ac:dyDescent="0.45">
      <c r="A1259" t="s">
        <v>40</v>
      </c>
      <c r="B1259" t="s">
        <v>25</v>
      </c>
      <c r="C1259" t="str">
        <f t="shared" si="38"/>
        <v>MichiganGonzaga</v>
      </c>
      <c r="D1259" t="s">
        <v>25</v>
      </c>
      <c r="E1259">
        <v>12.7</v>
      </c>
      <c r="F1259" s="1">
        <v>12.6566037735849</v>
      </c>
      <c r="G1259" s="2">
        <v>689.37747957389195</v>
      </c>
      <c r="H1259" s="1">
        <v>136.24755589666199</v>
      </c>
      <c r="I1259" s="1">
        <f t="shared" si="39"/>
        <v>103.24993818448979</v>
      </c>
    </row>
    <row r="1260" spans="1:9" x14ac:dyDescent="0.45">
      <c r="A1260" t="s">
        <v>41</v>
      </c>
      <c r="B1260" t="s">
        <v>25</v>
      </c>
      <c r="C1260" t="str">
        <f t="shared" si="38"/>
        <v>Michigan St.Gonzaga</v>
      </c>
      <c r="D1260" t="s">
        <v>41</v>
      </c>
      <c r="E1260">
        <v>57.9</v>
      </c>
      <c r="F1260" s="1">
        <v>-2.0905660377358499</v>
      </c>
      <c r="G1260" s="2">
        <v>-137.56186322830001</v>
      </c>
      <c r="H1260" s="1">
        <v>137.89463560586901</v>
      </c>
      <c r="I1260" s="1">
        <f t="shared" si="39"/>
        <v>126.37776301700046</v>
      </c>
    </row>
    <row r="1261" spans="1:9" x14ac:dyDescent="0.45">
      <c r="A1261" t="s">
        <v>42</v>
      </c>
      <c r="B1261" t="s">
        <v>25</v>
      </c>
      <c r="C1261" t="str">
        <f t="shared" si="38"/>
        <v>MississippiGonzaga</v>
      </c>
      <c r="D1261" t="s">
        <v>25</v>
      </c>
      <c r="E1261">
        <v>27.3</v>
      </c>
      <c r="F1261" s="1">
        <v>6.4037735849056601</v>
      </c>
      <c r="G1261" s="2">
        <v>265.68887235665397</v>
      </c>
      <c r="H1261" s="1">
        <v>137.162326955758</v>
      </c>
      <c r="I1261" s="1">
        <f t="shared" si="39"/>
        <v>116.09489322725977</v>
      </c>
    </row>
    <row r="1262" spans="1:9" x14ac:dyDescent="0.45">
      <c r="A1262" t="s">
        <v>43</v>
      </c>
      <c r="B1262" t="s">
        <v>25</v>
      </c>
      <c r="C1262" t="str">
        <f t="shared" si="38"/>
        <v>Mississippi St.Gonzaga</v>
      </c>
      <c r="D1262" t="s">
        <v>25</v>
      </c>
      <c r="E1262">
        <v>22.4</v>
      </c>
      <c r="F1262" s="1">
        <v>8.1283018867924497</v>
      </c>
      <c r="G1262" s="2">
        <v>345.581656153099</v>
      </c>
      <c r="H1262" s="1">
        <v>137.30207342843499</v>
      </c>
      <c r="I1262" s="1">
        <f t="shared" si="39"/>
        <v>118.05717345144559</v>
      </c>
    </row>
    <row r="1263" spans="1:9" x14ac:dyDescent="0.45">
      <c r="A1263" t="s">
        <v>44</v>
      </c>
      <c r="B1263" t="s">
        <v>25</v>
      </c>
      <c r="C1263" t="str">
        <f t="shared" si="38"/>
        <v>MissouriGonzaga</v>
      </c>
      <c r="D1263" t="s">
        <v>25</v>
      </c>
      <c r="E1263">
        <v>12</v>
      </c>
      <c r="F1263" s="1">
        <v>13.0641509433962</v>
      </c>
      <c r="G1263" s="2">
        <v>733.548719783107</v>
      </c>
      <c r="H1263" s="1">
        <v>136.719735327081</v>
      </c>
      <c r="I1263" s="1">
        <f t="shared" si="39"/>
        <v>109.88014745438787</v>
      </c>
    </row>
    <row r="1264" spans="1:9" x14ac:dyDescent="0.45">
      <c r="A1264" t="s">
        <v>45</v>
      </c>
      <c r="B1264" t="s">
        <v>25</v>
      </c>
      <c r="C1264" t="str">
        <f t="shared" si="38"/>
        <v>MontanaGonzaga</v>
      </c>
      <c r="D1264" t="s">
        <v>25</v>
      </c>
      <c r="E1264">
        <v>1.2</v>
      </c>
      <c r="F1264" s="1">
        <v>28.867924528301899</v>
      </c>
      <c r="G1264" s="2">
        <v>8176.63678036693</v>
      </c>
      <c r="H1264" s="1">
        <v>135.85644689048701</v>
      </c>
      <c r="I1264" s="1">
        <f t="shared" si="39"/>
        <v>97.758096754673801</v>
      </c>
    </row>
    <row r="1265" spans="1:9" x14ac:dyDescent="0.45">
      <c r="A1265" t="s">
        <v>46</v>
      </c>
      <c r="B1265" t="s">
        <v>25</v>
      </c>
      <c r="C1265" t="str">
        <f t="shared" si="38"/>
        <v>Mount St. Mary'sGonzaga</v>
      </c>
      <c r="D1265" t="s">
        <v>25</v>
      </c>
      <c r="E1265">
        <v>0.5</v>
      </c>
      <c r="F1265" s="1">
        <v>35.203773584905697</v>
      </c>
      <c r="G1265" s="2">
        <v>21488.140976999301</v>
      </c>
      <c r="H1265" s="1">
        <v>137.159734844638</v>
      </c>
      <c r="I1265" s="1">
        <f t="shared" si="39"/>
        <v>116.05849554013216</v>
      </c>
    </row>
    <row r="1266" spans="1:9" x14ac:dyDescent="0.45">
      <c r="A1266" t="s">
        <v>47</v>
      </c>
      <c r="B1266" t="s">
        <v>25</v>
      </c>
      <c r="C1266" t="str">
        <f t="shared" si="38"/>
        <v>Nebraska OmahaGonzaga</v>
      </c>
      <c r="D1266" t="s">
        <v>25</v>
      </c>
      <c r="E1266">
        <v>0.6</v>
      </c>
      <c r="F1266" s="1">
        <v>33.011320754716998</v>
      </c>
      <c r="G1266" s="2">
        <v>15384.958292196299</v>
      </c>
      <c r="H1266" s="1">
        <v>136.577510976741</v>
      </c>
      <c r="I1266" s="1">
        <f t="shared" si="39"/>
        <v>107.88307357678858</v>
      </c>
    </row>
    <row r="1267" spans="1:9" x14ac:dyDescent="0.45">
      <c r="A1267" t="s">
        <v>48</v>
      </c>
      <c r="B1267" t="s">
        <v>25</v>
      </c>
      <c r="C1267" t="str">
        <f t="shared" si="38"/>
        <v>New MexicoGonzaga</v>
      </c>
      <c r="D1267" t="s">
        <v>25</v>
      </c>
      <c r="E1267">
        <v>13.5</v>
      </c>
      <c r="F1267" s="1">
        <v>12.1811320754717</v>
      </c>
      <c r="G1267" s="2">
        <v>641.22896186556898</v>
      </c>
      <c r="H1267" s="1">
        <v>137.347500908558</v>
      </c>
      <c r="I1267" s="1">
        <f t="shared" si="39"/>
        <v>118.69505320735198</v>
      </c>
    </row>
    <row r="1268" spans="1:9" x14ac:dyDescent="0.45">
      <c r="A1268" t="s">
        <v>49</v>
      </c>
      <c r="B1268" t="s">
        <v>25</v>
      </c>
      <c r="C1268" t="str">
        <f t="shared" si="38"/>
        <v>Norfolk St.Gonzaga</v>
      </c>
      <c r="D1268" t="s">
        <v>25</v>
      </c>
      <c r="E1268">
        <v>0.9</v>
      </c>
      <c r="F1268" s="1">
        <v>30.747169811320799</v>
      </c>
      <c r="G1268" s="2">
        <v>10890.391356296001</v>
      </c>
      <c r="H1268" s="1">
        <v>136.38362667252201</v>
      </c>
      <c r="I1268" s="1">
        <f t="shared" si="39"/>
        <v>105.16060531937271</v>
      </c>
    </row>
    <row r="1269" spans="1:9" x14ac:dyDescent="0.45">
      <c r="A1269" t="s">
        <v>50</v>
      </c>
      <c r="B1269" t="s">
        <v>25</v>
      </c>
      <c r="C1269" t="str">
        <f t="shared" si="38"/>
        <v>North CarolinaGonzaga</v>
      </c>
      <c r="D1269" t="s">
        <v>25</v>
      </c>
      <c r="E1269">
        <v>34.700000000000003</v>
      </c>
      <c r="F1269" s="1">
        <v>4.1320754716981103</v>
      </c>
      <c r="G1269" s="2">
        <v>187.78293597453501</v>
      </c>
      <c r="H1269" s="1">
        <v>138.45723262699099</v>
      </c>
      <c r="I1269" s="1">
        <f t="shared" si="39"/>
        <v>134.27759037997959</v>
      </c>
    </row>
    <row r="1270" spans="1:9" x14ac:dyDescent="0.45">
      <c r="A1270" t="s">
        <v>51</v>
      </c>
      <c r="B1270" t="s">
        <v>25</v>
      </c>
      <c r="C1270" t="str">
        <f t="shared" si="38"/>
        <v>OklahomaGonzaga</v>
      </c>
      <c r="D1270" t="s">
        <v>25</v>
      </c>
      <c r="E1270">
        <v>15.7</v>
      </c>
      <c r="F1270" s="1">
        <v>11.0150943396226</v>
      </c>
      <c r="G1270" s="2">
        <v>536.57859609321497</v>
      </c>
      <c r="H1270" s="1">
        <v>136.880855753166</v>
      </c>
      <c r="I1270" s="1">
        <f t="shared" si="39"/>
        <v>112.14255465338586</v>
      </c>
    </row>
    <row r="1271" spans="1:9" x14ac:dyDescent="0.45">
      <c r="A1271" t="s">
        <v>52</v>
      </c>
      <c r="B1271" t="s">
        <v>25</v>
      </c>
      <c r="C1271" t="str">
        <f t="shared" si="38"/>
        <v>OregonGonzaga</v>
      </c>
      <c r="D1271" t="s">
        <v>25</v>
      </c>
      <c r="E1271">
        <v>34.299999999999997</v>
      </c>
      <c r="F1271" s="1">
        <v>4.2452830188679203</v>
      </c>
      <c r="G1271" s="2">
        <v>191.146829558143</v>
      </c>
      <c r="H1271" s="1">
        <v>137.171573144695</v>
      </c>
      <c r="I1271" s="1">
        <f t="shared" si="39"/>
        <v>116.22472558261443</v>
      </c>
    </row>
    <row r="1272" spans="1:9" x14ac:dyDescent="0.45">
      <c r="A1272" t="s">
        <v>53</v>
      </c>
      <c r="B1272" t="s">
        <v>25</v>
      </c>
      <c r="C1272" t="str">
        <f t="shared" si="38"/>
        <v>PurdueGonzaga</v>
      </c>
      <c r="D1272" t="s">
        <v>53</v>
      </c>
      <c r="E1272">
        <v>74.8</v>
      </c>
      <c r="F1272" s="1">
        <v>-7.12452830188679</v>
      </c>
      <c r="G1272" s="2">
        <v>-296.50534108133002</v>
      </c>
      <c r="H1272" s="1">
        <v>138.65966034449301</v>
      </c>
      <c r="I1272" s="1">
        <f t="shared" si="39"/>
        <v>137.12002281689283</v>
      </c>
    </row>
    <row r="1273" spans="1:9" x14ac:dyDescent="0.45">
      <c r="A1273" t="s">
        <v>54</v>
      </c>
      <c r="B1273" t="s">
        <v>25</v>
      </c>
      <c r="C1273" t="str">
        <f t="shared" si="38"/>
        <v>Robert MorrisGonzaga</v>
      </c>
      <c r="D1273" t="s">
        <v>25</v>
      </c>
      <c r="E1273">
        <v>0.4</v>
      </c>
      <c r="F1273" s="1">
        <v>36.762264150943402</v>
      </c>
      <c r="G1273" s="2">
        <v>27264.803973927101</v>
      </c>
      <c r="H1273" s="1">
        <v>135.74262567317999</v>
      </c>
      <c r="I1273" s="1">
        <f t="shared" si="39"/>
        <v>96.159851593018999</v>
      </c>
    </row>
    <row r="1274" spans="1:9" x14ac:dyDescent="0.45">
      <c r="A1274" t="s">
        <v>55</v>
      </c>
      <c r="B1274" t="s">
        <v>25</v>
      </c>
      <c r="C1274" t="str">
        <f t="shared" si="38"/>
        <v>Saint FrancisGonzaga</v>
      </c>
      <c r="D1274" t="s">
        <v>25</v>
      </c>
      <c r="E1274">
        <v>0.2</v>
      </c>
      <c r="F1274" s="1">
        <v>40.128301886792499</v>
      </c>
      <c r="G1274" s="2">
        <v>45539.113709013698</v>
      </c>
      <c r="H1274" s="1">
        <v>136.44947355522299</v>
      </c>
      <c r="I1274" s="1">
        <f t="shared" si="39"/>
        <v>106.08520851881858</v>
      </c>
    </row>
    <row r="1275" spans="1:9" x14ac:dyDescent="0.45">
      <c r="A1275" t="s">
        <v>56</v>
      </c>
      <c r="B1275" t="s">
        <v>25</v>
      </c>
      <c r="C1275" t="str">
        <f t="shared" si="38"/>
        <v>Saint Mary'sGonzaga</v>
      </c>
      <c r="D1275" t="s">
        <v>25</v>
      </c>
      <c r="E1275">
        <v>33.9</v>
      </c>
      <c r="F1275" s="1">
        <v>4.39245283018868</v>
      </c>
      <c r="G1275" s="2">
        <v>195.39812819645201</v>
      </c>
      <c r="H1275" s="1">
        <v>138.17867967116501</v>
      </c>
      <c r="I1275" s="1">
        <f t="shared" si="39"/>
        <v>130.36622899721883</v>
      </c>
    </row>
    <row r="1276" spans="1:9" x14ac:dyDescent="0.45">
      <c r="A1276" t="s">
        <v>57</v>
      </c>
      <c r="B1276" t="s">
        <v>25</v>
      </c>
      <c r="C1276" t="str">
        <f t="shared" si="38"/>
        <v>San Diego St.Gonzaga</v>
      </c>
      <c r="D1276" t="s">
        <v>25</v>
      </c>
      <c r="E1276">
        <v>13.7</v>
      </c>
      <c r="F1276" s="1">
        <v>12.0641509433962</v>
      </c>
      <c r="G1276" s="2">
        <v>629.97014053022303</v>
      </c>
      <c r="H1276" s="1">
        <v>137.39337883419401</v>
      </c>
      <c r="I1276" s="1">
        <f t="shared" si="39"/>
        <v>119.33925799104112</v>
      </c>
    </row>
    <row r="1277" spans="1:9" x14ac:dyDescent="0.45">
      <c r="A1277" t="s">
        <v>58</v>
      </c>
      <c r="B1277" t="s">
        <v>25</v>
      </c>
      <c r="C1277" t="str">
        <f t="shared" si="38"/>
        <v>SIU EdwardsvilleGonzaga</v>
      </c>
      <c r="D1277" t="s">
        <v>25</v>
      </c>
      <c r="E1277">
        <v>0.7</v>
      </c>
      <c r="F1277" s="1">
        <v>32.037735849056602</v>
      </c>
      <c r="G1277" s="2">
        <v>13261.731918747701</v>
      </c>
      <c r="H1277" s="1">
        <v>137.45263701437801</v>
      </c>
      <c r="I1277" s="1">
        <f t="shared" si="39"/>
        <v>120.1713445036294</v>
      </c>
    </row>
    <row r="1278" spans="1:9" x14ac:dyDescent="0.45">
      <c r="A1278" t="s">
        <v>59</v>
      </c>
      <c r="B1278" t="s">
        <v>25</v>
      </c>
      <c r="C1278" t="str">
        <f t="shared" si="38"/>
        <v>St. John'sGonzaga</v>
      </c>
      <c r="D1278" t="s">
        <v>59</v>
      </c>
      <c r="E1278">
        <v>59.8</v>
      </c>
      <c r="F1278" s="1">
        <v>-2.5924528301886798</v>
      </c>
      <c r="G1278" s="2">
        <v>-148.50095624214401</v>
      </c>
      <c r="H1278" s="1">
        <v>138.27209346293199</v>
      </c>
      <c r="I1278" s="1">
        <f t="shared" si="39"/>
        <v>131.67791889349434</v>
      </c>
    </row>
    <row r="1279" spans="1:9" x14ac:dyDescent="0.45">
      <c r="A1279" t="s">
        <v>60</v>
      </c>
      <c r="B1279" t="s">
        <v>25</v>
      </c>
      <c r="C1279" t="str">
        <f t="shared" si="38"/>
        <v>TennesseeGonzaga</v>
      </c>
      <c r="D1279" t="s">
        <v>60</v>
      </c>
      <c r="E1279">
        <v>76.7</v>
      </c>
      <c r="F1279" s="1">
        <v>-7.8075471698113201</v>
      </c>
      <c r="G1279" s="2">
        <v>-329.06882671673497</v>
      </c>
      <c r="H1279" s="1">
        <v>139.06532583706601</v>
      </c>
      <c r="I1279" s="1">
        <f t="shared" si="39"/>
        <v>142.81626228871514</v>
      </c>
    </row>
    <row r="1280" spans="1:9" x14ac:dyDescent="0.45">
      <c r="A1280" t="s">
        <v>61</v>
      </c>
      <c r="B1280" t="s">
        <v>25</v>
      </c>
      <c r="C1280" t="str">
        <f t="shared" si="38"/>
        <v>TexasGonzaga</v>
      </c>
      <c r="D1280" t="s">
        <v>25</v>
      </c>
      <c r="E1280">
        <v>11.6</v>
      </c>
      <c r="F1280" s="1">
        <v>13.2867924528302</v>
      </c>
      <c r="G1280" s="2">
        <v>759.20328901771495</v>
      </c>
      <c r="H1280" s="1">
        <v>136.765207664705</v>
      </c>
      <c r="I1280" s="1">
        <f t="shared" si="39"/>
        <v>110.51865708656536</v>
      </c>
    </row>
    <row r="1281" spans="1:9" x14ac:dyDescent="0.45">
      <c r="A1281" t="s">
        <v>62</v>
      </c>
      <c r="B1281" t="s">
        <v>25</v>
      </c>
      <c r="C1281" t="str">
        <f t="shared" si="38"/>
        <v>Texas A&amp;MGonzaga</v>
      </c>
      <c r="D1281" t="s">
        <v>25</v>
      </c>
      <c r="E1281">
        <v>42.9</v>
      </c>
      <c r="F1281" s="1">
        <v>1.88679245283019</v>
      </c>
      <c r="G1281" s="2">
        <v>133.353310550922</v>
      </c>
      <c r="H1281" s="1">
        <v>137.55218297410201</v>
      </c>
      <c r="I1281" s="1">
        <f t="shared" si="39"/>
        <v>121.56914055831407</v>
      </c>
    </row>
    <row r="1282" spans="1:9" x14ac:dyDescent="0.45">
      <c r="A1282" t="s">
        <v>63</v>
      </c>
      <c r="B1282" t="s">
        <v>25</v>
      </c>
      <c r="C1282" t="str">
        <f t="shared" si="38"/>
        <v>Texas TechGonzaga</v>
      </c>
      <c r="D1282" t="s">
        <v>63</v>
      </c>
      <c r="E1282">
        <v>59.2</v>
      </c>
      <c r="F1282" s="1">
        <v>-2.44528301886792</v>
      </c>
      <c r="G1282" s="2">
        <v>-145.24849455793401</v>
      </c>
      <c r="H1282" s="1">
        <v>138.54269557934199</v>
      </c>
      <c r="I1282" s="1">
        <f t="shared" si="39"/>
        <v>135.47763685046579</v>
      </c>
    </row>
    <row r="1283" spans="1:9" x14ac:dyDescent="0.45">
      <c r="A1283" t="s">
        <v>64</v>
      </c>
      <c r="B1283" t="s">
        <v>25</v>
      </c>
      <c r="C1283" t="str">
        <f t="shared" ref="C1283:C1346" si="40">A1283&amp;B1283</f>
        <v>TroyGonzaga</v>
      </c>
      <c r="D1283" t="s">
        <v>25</v>
      </c>
      <c r="E1283">
        <v>2</v>
      </c>
      <c r="F1283" s="1">
        <v>25.3622641509434</v>
      </c>
      <c r="G1283" s="2">
        <v>4788.8322494502299</v>
      </c>
      <c r="H1283" s="1">
        <v>137.30900017389999</v>
      </c>
      <c r="I1283" s="1">
        <f t="shared" ref="I1283:I1346" si="41">18*(H1283-AVERAGE($H$2:$H$4625))/_xlfn.STDEV.P($H$2:$H$4625)+AVERAGE($H$2:$H$4625)</f>
        <v>118.15443684123679</v>
      </c>
    </row>
    <row r="1284" spans="1:9" x14ac:dyDescent="0.45">
      <c r="A1284" t="s">
        <v>65</v>
      </c>
      <c r="B1284" t="s">
        <v>25</v>
      </c>
      <c r="C1284" t="str">
        <f t="shared" si="40"/>
        <v>UC San DiegoGonzaga</v>
      </c>
      <c r="D1284" t="s">
        <v>25</v>
      </c>
      <c r="E1284">
        <v>5.0999999999999996</v>
      </c>
      <c r="F1284" s="1">
        <v>19.181132075471702</v>
      </c>
      <c r="G1284" s="2">
        <v>1865.0982374831999</v>
      </c>
      <c r="H1284" s="1">
        <v>137.37912040356301</v>
      </c>
      <c r="I1284" s="1">
        <f t="shared" si="41"/>
        <v>119.13904516334556</v>
      </c>
    </row>
    <row r="1285" spans="1:9" x14ac:dyDescent="0.45">
      <c r="A1285" t="s">
        <v>66</v>
      </c>
      <c r="B1285" t="s">
        <v>25</v>
      </c>
      <c r="C1285" t="str">
        <f t="shared" si="40"/>
        <v>UCLAGonzaga</v>
      </c>
      <c r="D1285" t="s">
        <v>25</v>
      </c>
      <c r="E1285">
        <v>15.6</v>
      </c>
      <c r="F1285" s="1">
        <v>11.079245283018899</v>
      </c>
      <c r="G1285" s="2">
        <v>542.01369520791297</v>
      </c>
      <c r="H1285" s="1">
        <v>136.60037898277599</v>
      </c>
      <c r="I1285" s="1">
        <f t="shared" si="41"/>
        <v>108.20417961366692</v>
      </c>
    </row>
    <row r="1286" spans="1:9" x14ac:dyDescent="0.45">
      <c r="A1286" t="s">
        <v>67</v>
      </c>
      <c r="B1286" t="s">
        <v>25</v>
      </c>
      <c r="C1286" t="str">
        <f t="shared" si="40"/>
        <v>UNC WilmingtonGonzaga</v>
      </c>
      <c r="D1286" t="s">
        <v>25</v>
      </c>
      <c r="E1286">
        <v>3</v>
      </c>
      <c r="F1286" s="1">
        <v>22.7735849056604</v>
      </c>
      <c r="G1286" s="2">
        <v>3226.0025146768699</v>
      </c>
      <c r="H1286" s="1">
        <v>137.91578887422801</v>
      </c>
      <c r="I1286" s="1">
        <f t="shared" si="41"/>
        <v>126.67479119511917</v>
      </c>
    </row>
    <row r="1287" spans="1:9" x14ac:dyDescent="0.45">
      <c r="A1287" t="s">
        <v>68</v>
      </c>
      <c r="B1287" t="s">
        <v>25</v>
      </c>
      <c r="C1287" t="str">
        <f t="shared" si="40"/>
        <v>Utah St.Gonzaga</v>
      </c>
      <c r="D1287" t="s">
        <v>25</v>
      </c>
      <c r="E1287">
        <v>14.9</v>
      </c>
      <c r="F1287" s="1">
        <v>11.445283018867899</v>
      </c>
      <c r="G1287" s="2">
        <v>573.09485980245097</v>
      </c>
      <c r="H1287" s="1">
        <v>137.46297537280699</v>
      </c>
      <c r="I1287" s="1">
        <f t="shared" si="41"/>
        <v>120.31651279236772</v>
      </c>
    </row>
    <row r="1288" spans="1:9" x14ac:dyDescent="0.45">
      <c r="A1288" t="s">
        <v>69</v>
      </c>
      <c r="B1288" t="s">
        <v>25</v>
      </c>
      <c r="C1288" t="str">
        <f t="shared" si="40"/>
        <v>VanderbiltGonzaga</v>
      </c>
      <c r="D1288" t="s">
        <v>25</v>
      </c>
      <c r="E1288">
        <v>3.3</v>
      </c>
      <c r="F1288" s="1">
        <v>22.094339622641499</v>
      </c>
      <c r="G1288" s="2">
        <v>2908.34204479048</v>
      </c>
      <c r="H1288" s="1">
        <v>135.89701325409001</v>
      </c>
      <c r="I1288" s="1">
        <f t="shared" si="41"/>
        <v>98.327718094951223</v>
      </c>
    </row>
    <row r="1289" spans="1:9" x14ac:dyDescent="0.45">
      <c r="A1289" t="s">
        <v>70</v>
      </c>
      <c r="B1289" t="s">
        <v>25</v>
      </c>
      <c r="C1289" t="str">
        <f t="shared" si="40"/>
        <v>VCUGonzaga</v>
      </c>
      <c r="D1289" t="s">
        <v>25</v>
      </c>
      <c r="E1289">
        <v>9.9</v>
      </c>
      <c r="F1289" s="1">
        <v>14.445283018867899</v>
      </c>
      <c r="G1289" s="2">
        <v>905.99068362648097</v>
      </c>
      <c r="H1289" s="1">
        <v>137.822186383283</v>
      </c>
      <c r="I1289" s="1">
        <f t="shared" si="41"/>
        <v>125.36045163865334</v>
      </c>
    </row>
    <row r="1290" spans="1:9" x14ac:dyDescent="0.45">
      <c r="A1290" t="s">
        <v>71</v>
      </c>
      <c r="B1290" t="s">
        <v>25</v>
      </c>
      <c r="C1290" t="str">
        <f t="shared" si="40"/>
        <v>WisconsinGonzaga</v>
      </c>
      <c r="D1290" t="s">
        <v>71</v>
      </c>
      <c r="E1290">
        <v>55.7</v>
      </c>
      <c r="F1290" s="1">
        <v>-1.50566037735849</v>
      </c>
      <c r="G1290" s="2">
        <v>-125.823542102263</v>
      </c>
      <c r="H1290" s="1">
        <v>138.47544199161501</v>
      </c>
      <c r="I1290" s="1">
        <f t="shared" si="41"/>
        <v>134.53328109912431</v>
      </c>
    </row>
    <row r="1291" spans="1:9" x14ac:dyDescent="0.45">
      <c r="A1291" t="s">
        <v>80</v>
      </c>
      <c r="B1291" t="s">
        <v>25</v>
      </c>
      <c r="C1291" t="str">
        <f t="shared" si="40"/>
        <v>WoffordGonzaga</v>
      </c>
      <c r="D1291" t="s">
        <v>25</v>
      </c>
      <c r="E1291">
        <v>1.1000000000000001</v>
      </c>
      <c r="F1291" s="1">
        <v>29.667924528301899</v>
      </c>
      <c r="G1291" s="2">
        <v>9236.8560718475801</v>
      </c>
      <c r="H1291" s="1">
        <v>136.573090420841</v>
      </c>
      <c r="I1291" s="1">
        <f t="shared" si="41"/>
        <v>107.82100138808636</v>
      </c>
    </row>
    <row r="1292" spans="1:9" x14ac:dyDescent="0.45">
      <c r="A1292" t="s">
        <v>72</v>
      </c>
      <c r="B1292" t="s">
        <v>25</v>
      </c>
      <c r="C1292" t="str">
        <f t="shared" si="40"/>
        <v>XavierGonzaga</v>
      </c>
      <c r="D1292" t="s">
        <v>25</v>
      </c>
      <c r="E1292">
        <v>9.8000000000000007</v>
      </c>
      <c r="F1292" s="1">
        <v>14.5207547169811</v>
      </c>
      <c r="G1292" s="2">
        <v>916.156605468355</v>
      </c>
      <c r="H1292" s="1">
        <v>137.31589259146301</v>
      </c>
      <c r="I1292" s="1">
        <f t="shared" si="41"/>
        <v>118.25121820839166</v>
      </c>
    </row>
    <row r="1293" spans="1:9" x14ac:dyDescent="0.45">
      <c r="A1293" t="s">
        <v>73</v>
      </c>
      <c r="B1293" t="s">
        <v>25</v>
      </c>
      <c r="C1293" t="str">
        <f t="shared" si="40"/>
        <v>YaleGonzaga</v>
      </c>
      <c r="D1293" t="s">
        <v>25</v>
      </c>
      <c r="E1293">
        <v>5.4</v>
      </c>
      <c r="F1293" s="1">
        <v>18.769811320754702</v>
      </c>
      <c r="G1293" s="2">
        <v>1751.92378414159</v>
      </c>
      <c r="H1293" s="1">
        <v>137.915598727857</v>
      </c>
      <c r="I1293" s="1">
        <f t="shared" si="41"/>
        <v>126.67212121385677</v>
      </c>
    </row>
    <row r="1294" spans="1:9" x14ac:dyDescent="0.45">
      <c r="A1294" t="s">
        <v>7</v>
      </c>
      <c r="B1294" t="s">
        <v>26</v>
      </c>
      <c r="C1294" t="str">
        <f t="shared" si="40"/>
        <v>AkronGrand Canyon</v>
      </c>
      <c r="D1294" t="s">
        <v>26</v>
      </c>
      <c r="E1294">
        <v>21.5</v>
      </c>
      <c r="F1294" s="1">
        <v>8.48301886792453</v>
      </c>
      <c r="G1294" s="2">
        <v>364.76261533879699</v>
      </c>
      <c r="H1294" s="1">
        <v>137.91445407089699</v>
      </c>
      <c r="I1294" s="1">
        <f t="shared" si="41"/>
        <v>126.65604826637498</v>
      </c>
    </row>
    <row r="1295" spans="1:9" x14ac:dyDescent="0.45">
      <c r="A1295" t="s">
        <v>8</v>
      </c>
      <c r="B1295" t="s">
        <v>26</v>
      </c>
      <c r="C1295" t="str">
        <f t="shared" si="40"/>
        <v>AlabamaGrand Canyon</v>
      </c>
      <c r="D1295" t="s">
        <v>8</v>
      </c>
      <c r="E1295">
        <v>95.4</v>
      </c>
      <c r="F1295" s="1">
        <v>-19.856603773584901</v>
      </c>
      <c r="G1295" s="2">
        <v>-2067.8564334624798</v>
      </c>
      <c r="H1295" s="1">
        <v>139.72206525849199</v>
      </c>
      <c r="I1295" s="1">
        <f t="shared" si="41"/>
        <v>152.038010461824</v>
      </c>
    </row>
    <row r="1296" spans="1:9" x14ac:dyDescent="0.45">
      <c r="A1296" t="s">
        <v>9</v>
      </c>
      <c r="B1296" t="s">
        <v>26</v>
      </c>
      <c r="C1296" t="str">
        <f t="shared" si="40"/>
        <v>Alabama St.Grand Canyon</v>
      </c>
      <c r="D1296" t="s">
        <v>26</v>
      </c>
      <c r="E1296">
        <v>4</v>
      </c>
      <c r="F1296" s="1">
        <v>20.8</v>
      </c>
      <c r="G1296" s="2">
        <v>2388.36137165523</v>
      </c>
      <c r="H1296" s="1">
        <v>138.10121583031901</v>
      </c>
      <c r="I1296" s="1">
        <f t="shared" si="41"/>
        <v>129.2785037754671</v>
      </c>
    </row>
    <row r="1297" spans="1:9" x14ac:dyDescent="0.45">
      <c r="A1297" t="s">
        <v>10</v>
      </c>
      <c r="B1297" t="s">
        <v>26</v>
      </c>
      <c r="C1297" t="str">
        <f t="shared" si="40"/>
        <v>AmericanGrand Canyon</v>
      </c>
      <c r="D1297" t="s">
        <v>26</v>
      </c>
      <c r="E1297">
        <v>4.5</v>
      </c>
      <c r="F1297" s="1">
        <v>20.045283018867899</v>
      </c>
      <c r="G1297" s="2">
        <v>2127.9125128473502</v>
      </c>
      <c r="H1297" s="1">
        <v>137.86450535008001</v>
      </c>
      <c r="I1297" s="1">
        <f t="shared" si="41"/>
        <v>125.95468253452502</v>
      </c>
    </row>
    <row r="1298" spans="1:9" x14ac:dyDescent="0.45">
      <c r="A1298" t="s">
        <v>11</v>
      </c>
      <c r="B1298" t="s">
        <v>26</v>
      </c>
      <c r="C1298" t="str">
        <f t="shared" si="40"/>
        <v>ArizonaGrand Canyon</v>
      </c>
      <c r="D1298" t="s">
        <v>11</v>
      </c>
      <c r="E1298">
        <v>93.1</v>
      </c>
      <c r="F1298" s="1">
        <v>-17.101886792452799</v>
      </c>
      <c r="G1298" s="2">
        <v>-1358.2077386531901</v>
      </c>
      <c r="H1298" s="1">
        <v>139.33254459867001</v>
      </c>
      <c r="I1298" s="1">
        <f t="shared" si="41"/>
        <v>146.56847213975698</v>
      </c>
    </row>
    <row r="1299" spans="1:9" x14ac:dyDescent="0.45">
      <c r="A1299" t="s">
        <v>12</v>
      </c>
      <c r="B1299" t="s">
        <v>26</v>
      </c>
      <c r="C1299" t="str">
        <f t="shared" si="40"/>
        <v>ArkansasGrand Canyon</v>
      </c>
      <c r="D1299" t="s">
        <v>26</v>
      </c>
      <c r="E1299">
        <v>47</v>
      </c>
      <c r="F1299" s="1">
        <v>0.8</v>
      </c>
      <c r="G1299" s="2">
        <v>112.962268025556</v>
      </c>
      <c r="H1299" s="1">
        <v>137.658468576459</v>
      </c>
      <c r="I1299" s="1">
        <f t="shared" si="41"/>
        <v>123.06157275803672</v>
      </c>
    </row>
    <row r="1300" spans="1:9" x14ac:dyDescent="0.45">
      <c r="A1300" t="s">
        <v>13</v>
      </c>
      <c r="B1300" t="s">
        <v>26</v>
      </c>
      <c r="C1300" t="str">
        <f t="shared" si="40"/>
        <v>AuburnGrand Canyon</v>
      </c>
      <c r="D1300" t="s">
        <v>13</v>
      </c>
      <c r="E1300">
        <v>97.6</v>
      </c>
      <c r="F1300" s="1">
        <v>-24.2981132075472</v>
      </c>
      <c r="G1300" s="2">
        <v>-4070.34204950399</v>
      </c>
      <c r="H1300" s="1">
        <v>140.74428149184499</v>
      </c>
      <c r="I1300" s="1">
        <f t="shared" si="41"/>
        <v>166.39168008314368</v>
      </c>
    </row>
    <row r="1301" spans="1:9" x14ac:dyDescent="0.45">
      <c r="A1301" t="s">
        <v>14</v>
      </c>
      <c r="B1301" t="s">
        <v>26</v>
      </c>
      <c r="C1301" t="str">
        <f t="shared" si="40"/>
        <v>BaylorGrand Canyon</v>
      </c>
      <c r="D1301" t="s">
        <v>14</v>
      </c>
      <c r="E1301">
        <v>80.400000000000006</v>
      </c>
      <c r="F1301" s="1">
        <v>-9.2490566037735906</v>
      </c>
      <c r="G1301" s="2">
        <v>-409.89130246757401</v>
      </c>
      <c r="H1301" s="1">
        <v>139.20719885302501</v>
      </c>
      <c r="I1301" s="1">
        <f t="shared" si="41"/>
        <v>144.80840282885896</v>
      </c>
    </row>
    <row r="1302" spans="1:9" x14ac:dyDescent="0.45">
      <c r="A1302" t="s">
        <v>15</v>
      </c>
      <c r="B1302" t="s">
        <v>26</v>
      </c>
      <c r="C1302" t="str">
        <f t="shared" si="40"/>
        <v>BryantGrand Canyon</v>
      </c>
      <c r="D1302" t="s">
        <v>26</v>
      </c>
      <c r="E1302">
        <v>16.100000000000001</v>
      </c>
      <c r="F1302" s="1">
        <v>10.822641509434</v>
      </c>
      <c r="G1302" s="2">
        <v>521.24644716199305</v>
      </c>
      <c r="H1302" s="1">
        <v>138.79951872867099</v>
      </c>
      <c r="I1302" s="1">
        <f t="shared" si="41"/>
        <v>139.08387447054696</v>
      </c>
    </row>
    <row r="1303" spans="1:9" x14ac:dyDescent="0.45">
      <c r="A1303" t="s">
        <v>16</v>
      </c>
      <c r="B1303" t="s">
        <v>26</v>
      </c>
      <c r="C1303" t="str">
        <f t="shared" si="40"/>
        <v>BYUGrand Canyon</v>
      </c>
      <c r="D1303" t="s">
        <v>16</v>
      </c>
      <c r="E1303">
        <v>82.9</v>
      </c>
      <c r="F1303" s="1">
        <v>-10.3433962264151</v>
      </c>
      <c r="G1303" s="2">
        <v>-484.37134768623201</v>
      </c>
      <c r="H1303" s="1">
        <v>138.969559403115</v>
      </c>
      <c r="I1303" s="1">
        <f t="shared" si="41"/>
        <v>141.47153726000383</v>
      </c>
    </row>
    <row r="1304" spans="1:9" x14ac:dyDescent="0.45">
      <c r="A1304" t="s">
        <v>17</v>
      </c>
      <c r="B1304" t="s">
        <v>26</v>
      </c>
      <c r="C1304" t="str">
        <f t="shared" si="40"/>
        <v>ClemsonGrand Canyon</v>
      </c>
      <c r="D1304" t="s">
        <v>17</v>
      </c>
      <c r="E1304">
        <v>87.1</v>
      </c>
      <c r="F1304" s="1">
        <v>-12.547169811320799</v>
      </c>
      <c r="G1304" s="2">
        <v>-677.98425919129602</v>
      </c>
      <c r="H1304" s="1">
        <v>139.31960962555701</v>
      </c>
      <c r="I1304" s="1">
        <f t="shared" si="41"/>
        <v>146.38684292612601</v>
      </c>
    </row>
    <row r="1305" spans="1:9" x14ac:dyDescent="0.45">
      <c r="A1305" t="s">
        <v>18</v>
      </c>
      <c r="B1305" t="s">
        <v>26</v>
      </c>
      <c r="C1305" t="str">
        <f t="shared" si="40"/>
        <v>Colorado St.Grand Canyon</v>
      </c>
      <c r="D1305" t="s">
        <v>18</v>
      </c>
      <c r="E1305">
        <v>52.9</v>
      </c>
      <c r="F1305" s="1">
        <v>-0.76603773584905699</v>
      </c>
      <c r="G1305" s="2">
        <v>-112.371379911201</v>
      </c>
      <c r="H1305" s="1">
        <v>138.70922060035099</v>
      </c>
      <c r="I1305" s="1">
        <f t="shared" si="41"/>
        <v>137.81593383427139</v>
      </c>
    </row>
    <row r="1306" spans="1:9" x14ac:dyDescent="0.45">
      <c r="A1306" t="s">
        <v>19</v>
      </c>
      <c r="B1306" t="s">
        <v>26</v>
      </c>
      <c r="C1306" t="str">
        <f t="shared" si="40"/>
        <v>ConnecticutGrand Canyon</v>
      </c>
      <c r="D1306" t="s">
        <v>19</v>
      </c>
      <c r="E1306">
        <v>91.3</v>
      </c>
      <c r="F1306" s="1">
        <v>-15.441509433962301</v>
      </c>
      <c r="G1306" s="2">
        <v>-1054.1585590796799</v>
      </c>
      <c r="H1306" s="1">
        <v>139.11986045630499</v>
      </c>
      <c r="I1306" s="1">
        <f t="shared" si="41"/>
        <v>143.58202190193629</v>
      </c>
    </row>
    <row r="1307" spans="1:9" x14ac:dyDescent="0.45">
      <c r="A1307" t="s">
        <v>20</v>
      </c>
      <c r="B1307" t="s">
        <v>26</v>
      </c>
      <c r="C1307" t="str">
        <f t="shared" si="40"/>
        <v>CreightonGrand Canyon</v>
      </c>
      <c r="D1307" t="s">
        <v>20</v>
      </c>
      <c r="E1307">
        <v>76.5</v>
      </c>
      <c r="F1307" s="1">
        <v>-7.7320754716981099</v>
      </c>
      <c r="G1307" s="2">
        <v>-325.29192260843399</v>
      </c>
      <c r="H1307" s="1">
        <v>138.669157209144</v>
      </c>
      <c r="I1307" s="1">
        <f t="shared" si="41"/>
        <v>137.25337508932904</v>
      </c>
    </row>
    <row r="1308" spans="1:9" x14ac:dyDescent="0.45">
      <c r="A1308" t="s">
        <v>21</v>
      </c>
      <c r="B1308" t="s">
        <v>26</v>
      </c>
      <c r="C1308" t="str">
        <f t="shared" si="40"/>
        <v>DrakeGrand Canyon</v>
      </c>
      <c r="D1308" t="s">
        <v>21</v>
      </c>
      <c r="E1308">
        <v>52.1</v>
      </c>
      <c r="F1308" s="1">
        <v>-0.55849056603773595</v>
      </c>
      <c r="G1308" s="2">
        <v>-108.914470870537</v>
      </c>
      <c r="H1308" s="1">
        <v>138.90383301481799</v>
      </c>
      <c r="I1308" s="1">
        <f t="shared" si="41"/>
        <v>140.54862600870885</v>
      </c>
    </row>
    <row r="1309" spans="1:9" x14ac:dyDescent="0.45">
      <c r="A1309" t="s">
        <v>22</v>
      </c>
      <c r="B1309" t="s">
        <v>26</v>
      </c>
      <c r="C1309" t="str">
        <f t="shared" si="40"/>
        <v>DukeGrand Canyon</v>
      </c>
      <c r="D1309" t="s">
        <v>22</v>
      </c>
      <c r="E1309">
        <v>98.3</v>
      </c>
      <c r="F1309" s="1">
        <v>-26.5094339622642</v>
      </c>
      <c r="G1309" s="2">
        <v>-5706.0820452319203</v>
      </c>
      <c r="H1309" s="1">
        <v>140.98417290342101</v>
      </c>
      <c r="I1309" s="1">
        <f t="shared" si="41"/>
        <v>169.76016705723504</v>
      </c>
    </row>
    <row r="1310" spans="1:9" x14ac:dyDescent="0.45">
      <c r="A1310" t="s">
        <v>23</v>
      </c>
      <c r="B1310" t="s">
        <v>26</v>
      </c>
      <c r="C1310" t="str">
        <f t="shared" si="40"/>
        <v>FloridaGrand Canyon</v>
      </c>
      <c r="D1310" t="s">
        <v>23</v>
      </c>
      <c r="E1310">
        <v>96.9</v>
      </c>
      <c r="F1310" s="1">
        <v>-22.6528301886792</v>
      </c>
      <c r="G1310" s="2">
        <v>-3168.1508471880502</v>
      </c>
      <c r="H1310" s="1">
        <v>140.71882343097499</v>
      </c>
      <c r="I1310" s="1">
        <f t="shared" si="41"/>
        <v>166.03420523290703</v>
      </c>
    </row>
    <row r="1311" spans="1:9" x14ac:dyDescent="0.45">
      <c r="A1311" t="s">
        <v>24</v>
      </c>
      <c r="B1311" t="s">
        <v>26</v>
      </c>
      <c r="C1311" t="str">
        <f t="shared" si="40"/>
        <v>GeorgiaGrand Canyon</v>
      </c>
      <c r="D1311" t="s">
        <v>24</v>
      </c>
      <c r="E1311">
        <v>56</v>
      </c>
      <c r="F1311" s="1">
        <v>-1.59245283018868</v>
      </c>
      <c r="G1311" s="2">
        <v>-127.494172292087</v>
      </c>
      <c r="H1311" s="1">
        <v>137.98278172726</v>
      </c>
      <c r="I1311" s="1">
        <f t="shared" si="41"/>
        <v>127.61548578402888</v>
      </c>
    </row>
    <row r="1312" spans="1:9" x14ac:dyDescent="0.45">
      <c r="A1312" t="s">
        <v>25</v>
      </c>
      <c r="B1312" t="s">
        <v>26</v>
      </c>
      <c r="C1312" t="str">
        <f t="shared" si="40"/>
        <v>GonzagaGrand Canyon</v>
      </c>
      <c r="D1312" t="s">
        <v>25</v>
      </c>
      <c r="E1312">
        <v>86.6</v>
      </c>
      <c r="F1312" s="1">
        <v>-12.222641509434</v>
      </c>
      <c r="G1312" s="2">
        <v>-645.25172826559299</v>
      </c>
      <c r="H1312" s="1">
        <v>139.959743457766</v>
      </c>
      <c r="I1312" s="1">
        <f t="shared" si="41"/>
        <v>155.37542013822767</v>
      </c>
    </row>
    <row r="1313" spans="1:9" x14ac:dyDescent="0.45">
      <c r="A1313" t="s">
        <v>26</v>
      </c>
      <c r="B1313" t="s">
        <v>26</v>
      </c>
      <c r="C1313" t="str">
        <f t="shared" si="40"/>
        <v>Grand CanyonGrand Canyon</v>
      </c>
      <c r="D1313" t="s">
        <v>26</v>
      </c>
      <c r="E1313">
        <v>41.2</v>
      </c>
      <c r="F1313" s="1">
        <v>2.3283018867924499</v>
      </c>
      <c r="G1313" s="2">
        <v>142.64273539779199</v>
      </c>
      <c r="H1313" s="1">
        <v>138.77771517530499</v>
      </c>
      <c r="I1313" s="1">
        <f t="shared" si="41"/>
        <v>138.77771517530684</v>
      </c>
    </row>
    <row r="1314" spans="1:9" x14ac:dyDescent="0.45">
      <c r="A1314" t="s">
        <v>27</v>
      </c>
      <c r="B1314" t="s">
        <v>26</v>
      </c>
      <c r="C1314" t="str">
        <f t="shared" si="40"/>
        <v>High PointGrand Canyon</v>
      </c>
      <c r="D1314" t="s">
        <v>26</v>
      </c>
      <c r="E1314">
        <v>30.4</v>
      </c>
      <c r="F1314" s="1">
        <v>5.4188679245282998</v>
      </c>
      <c r="G1314" s="2">
        <v>228.523948735191</v>
      </c>
      <c r="H1314" s="1">
        <v>138.96892230885399</v>
      </c>
      <c r="I1314" s="1">
        <f t="shared" si="41"/>
        <v>141.46259136358603</v>
      </c>
    </row>
    <row r="1315" spans="1:9" x14ac:dyDescent="0.45">
      <c r="A1315" t="s">
        <v>28</v>
      </c>
      <c r="B1315" t="s">
        <v>26</v>
      </c>
      <c r="C1315" t="str">
        <f t="shared" si="40"/>
        <v>HoustonGrand Canyon</v>
      </c>
      <c r="D1315" t="s">
        <v>28</v>
      </c>
      <c r="E1315">
        <v>99</v>
      </c>
      <c r="F1315" s="1">
        <v>-29.864150943396201</v>
      </c>
      <c r="G1315" s="2">
        <v>-9518.4925091919795</v>
      </c>
      <c r="H1315" s="1">
        <v>141.08238466605701</v>
      </c>
      <c r="I1315" s="1">
        <f t="shared" si="41"/>
        <v>171.13922869586759</v>
      </c>
    </row>
    <row r="1316" spans="1:9" x14ac:dyDescent="0.45">
      <c r="A1316" t="s">
        <v>29</v>
      </c>
      <c r="B1316" t="s">
        <v>26</v>
      </c>
      <c r="C1316" t="str">
        <f t="shared" si="40"/>
        <v>IllinoisGrand Canyon</v>
      </c>
      <c r="D1316" t="s">
        <v>29</v>
      </c>
      <c r="E1316">
        <v>90.4</v>
      </c>
      <c r="F1316" s="1">
        <v>-14.675471698113199</v>
      </c>
      <c r="G1316" s="2">
        <v>-938.32781962696401</v>
      </c>
      <c r="H1316" s="1">
        <v>139.14084844101899</v>
      </c>
      <c r="I1316" s="1">
        <f t="shared" si="41"/>
        <v>143.87672921412002</v>
      </c>
    </row>
    <row r="1317" spans="1:9" x14ac:dyDescent="0.45">
      <c r="A1317" t="s">
        <v>30</v>
      </c>
      <c r="B1317" t="s">
        <v>26</v>
      </c>
      <c r="C1317" t="str">
        <f t="shared" si="40"/>
        <v>Iowa St.Grand Canyon</v>
      </c>
      <c r="D1317" t="s">
        <v>30</v>
      </c>
      <c r="E1317">
        <v>95.2</v>
      </c>
      <c r="F1317" s="1">
        <v>-19.5396226415094</v>
      </c>
      <c r="G1317" s="2">
        <v>-1969.7479256613999</v>
      </c>
      <c r="H1317" s="1">
        <v>140.03739073260499</v>
      </c>
      <c r="I1317" s="1">
        <f t="shared" si="41"/>
        <v>156.46572108793865</v>
      </c>
    </row>
    <row r="1318" spans="1:9" x14ac:dyDescent="0.45">
      <c r="A1318" t="s">
        <v>31</v>
      </c>
      <c r="B1318" t="s">
        <v>26</v>
      </c>
      <c r="C1318" t="str">
        <f t="shared" si="40"/>
        <v>KansasGrand Canyon</v>
      </c>
      <c r="D1318" t="s">
        <v>31</v>
      </c>
      <c r="E1318">
        <v>85.9</v>
      </c>
      <c r="F1318" s="1">
        <v>-11.822641509434</v>
      </c>
      <c r="G1318" s="2">
        <v>-607.029386558635</v>
      </c>
      <c r="H1318" s="1">
        <v>139.087978621459</v>
      </c>
      <c r="I1318" s="1">
        <f t="shared" si="41"/>
        <v>143.13434624450736</v>
      </c>
    </row>
    <row r="1319" spans="1:9" x14ac:dyDescent="0.45">
      <c r="A1319" t="s">
        <v>32</v>
      </c>
      <c r="B1319" t="s">
        <v>26</v>
      </c>
      <c r="C1319" t="str">
        <f t="shared" si="40"/>
        <v>KentuckyGrand Canyon</v>
      </c>
      <c r="D1319" t="s">
        <v>32</v>
      </c>
      <c r="E1319">
        <v>91</v>
      </c>
      <c r="F1319" s="1">
        <v>-15.1849056603774</v>
      </c>
      <c r="G1319" s="2">
        <v>-1014.1347369073</v>
      </c>
      <c r="H1319" s="1">
        <v>139.02226095358401</v>
      </c>
      <c r="I1319" s="1">
        <f t="shared" si="41"/>
        <v>142.2115574428982</v>
      </c>
    </row>
    <row r="1320" spans="1:9" x14ac:dyDescent="0.45">
      <c r="A1320" t="s">
        <v>33</v>
      </c>
      <c r="B1320" t="s">
        <v>26</v>
      </c>
      <c r="C1320" t="str">
        <f t="shared" si="40"/>
        <v>LibertyGrand Canyon</v>
      </c>
      <c r="D1320" t="s">
        <v>26</v>
      </c>
      <c r="E1320">
        <v>23.3</v>
      </c>
      <c r="F1320" s="1">
        <v>7.8</v>
      </c>
      <c r="G1320" s="2">
        <v>328.64895537352999</v>
      </c>
      <c r="H1320" s="1">
        <v>138.36726199730199</v>
      </c>
      <c r="I1320" s="1">
        <f t="shared" si="41"/>
        <v>133.0142483863371</v>
      </c>
    </row>
    <row r="1321" spans="1:9" x14ac:dyDescent="0.45">
      <c r="A1321" t="s">
        <v>34</v>
      </c>
      <c r="B1321" t="s">
        <v>26</v>
      </c>
      <c r="C1321" t="str">
        <f t="shared" si="40"/>
        <v>LipscombGrand Canyon</v>
      </c>
      <c r="D1321" t="s">
        <v>26</v>
      </c>
      <c r="E1321">
        <v>18.600000000000001</v>
      </c>
      <c r="F1321" s="1">
        <v>9.6641509433962298</v>
      </c>
      <c r="G1321" s="2">
        <v>436.84820626709399</v>
      </c>
      <c r="H1321" s="1">
        <v>138.77358019489299</v>
      </c>
      <c r="I1321" s="1">
        <f t="shared" si="41"/>
        <v>138.71965295638682</v>
      </c>
    </row>
    <row r="1322" spans="1:9" x14ac:dyDescent="0.45">
      <c r="A1322" t="s">
        <v>35</v>
      </c>
      <c r="B1322" t="s">
        <v>26</v>
      </c>
      <c r="C1322" t="str">
        <f t="shared" si="40"/>
        <v>LouisvilleGrand Canyon</v>
      </c>
      <c r="D1322" t="s">
        <v>26</v>
      </c>
      <c r="E1322">
        <v>36.5</v>
      </c>
      <c r="F1322" s="1">
        <v>3.6150943396226398</v>
      </c>
      <c r="G1322" s="2">
        <v>173.61718956310301</v>
      </c>
      <c r="H1322" s="1">
        <v>138.018942200711</v>
      </c>
      <c r="I1322" s="1">
        <f t="shared" si="41"/>
        <v>128.1232408678662</v>
      </c>
    </row>
    <row r="1323" spans="1:9" x14ac:dyDescent="0.45">
      <c r="A1323" t="s">
        <v>36</v>
      </c>
      <c r="B1323" t="s">
        <v>26</v>
      </c>
      <c r="C1323" t="str">
        <f t="shared" si="40"/>
        <v>MarquetteGrand Canyon</v>
      </c>
      <c r="D1323" t="s">
        <v>36</v>
      </c>
      <c r="E1323">
        <v>88.6</v>
      </c>
      <c r="F1323" s="1">
        <v>-13.452830188679201</v>
      </c>
      <c r="G1323" s="2">
        <v>-778.306353405967</v>
      </c>
      <c r="H1323" s="1">
        <v>139.28107604417301</v>
      </c>
      <c r="I1323" s="1">
        <f t="shared" si="41"/>
        <v>145.84576533562642</v>
      </c>
    </row>
    <row r="1324" spans="1:9" x14ac:dyDescent="0.45">
      <c r="A1324" t="s">
        <v>37</v>
      </c>
      <c r="B1324" t="s">
        <v>26</v>
      </c>
      <c r="C1324" t="str">
        <f t="shared" si="40"/>
        <v>MarylandGrand Canyon</v>
      </c>
      <c r="D1324" t="s">
        <v>37</v>
      </c>
      <c r="E1324">
        <v>82.8</v>
      </c>
      <c r="F1324" s="1">
        <v>-10.2830188679245</v>
      </c>
      <c r="G1324" s="2">
        <v>-480.08346022041701</v>
      </c>
      <c r="H1324" s="1">
        <v>138.73944564271599</v>
      </c>
      <c r="I1324" s="1">
        <f t="shared" si="41"/>
        <v>138.24034528288885</v>
      </c>
    </row>
    <row r="1325" spans="1:9" x14ac:dyDescent="0.45">
      <c r="A1325" t="s">
        <v>38</v>
      </c>
      <c r="B1325" t="s">
        <v>26</v>
      </c>
      <c r="C1325" t="str">
        <f t="shared" si="40"/>
        <v>McNeese St.Grand Canyon</v>
      </c>
      <c r="D1325" t="s">
        <v>38</v>
      </c>
      <c r="E1325">
        <v>52.8</v>
      </c>
      <c r="F1325" s="1">
        <v>-0.74339622641509395</v>
      </c>
      <c r="G1325" s="2">
        <v>-112.007491343615</v>
      </c>
      <c r="H1325" s="1">
        <v>139.33268105568001</v>
      </c>
      <c r="I1325" s="1">
        <f t="shared" si="41"/>
        <v>146.57038823028182</v>
      </c>
    </row>
    <row r="1326" spans="1:9" x14ac:dyDescent="0.45">
      <c r="A1326" t="s">
        <v>39</v>
      </c>
      <c r="B1326" t="s">
        <v>26</v>
      </c>
      <c r="C1326" t="str">
        <f t="shared" si="40"/>
        <v>MemphisGrand Canyon</v>
      </c>
      <c r="D1326" t="s">
        <v>39</v>
      </c>
      <c r="E1326">
        <v>73</v>
      </c>
      <c r="F1326" s="1">
        <v>-6.5207547169811297</v>
      </c>
      <c r="G1326" s="2">
        <v>-270.34377714332999</v>
      </c>
      <c r="H1326" s="1">
        <v>137.866962882206</v>
      </c>
      <c r="I1326" s="1">
        <f t="shared" si="41"/>
        <v>125.98919050169405</v>
      </c>
    </row>
    <row r="1327" spans="1:9" x14ac:dyDescent="0.45">
      <c r="A1327" t="s">
        <v>40</v>
      </c>
      <c r="B1327" t="s">
        <v>26</v>
      </c>
      <c r="C1327" t="str">
        <f t="shared" si="40"/>
        <v>MichiganGrand Canyon</v>
      </c>
      <c r="D1327" t="s">
        <v>40</v>
      </c>
      <c r="E1327">
        <v>57.2</v>
      </c>
      <c r="F1327" s="1">
        <v>-1.8943396226415099</v>
      </c>
      <c r="G1327" s="2">
        <v>-133.51244313470701</v>
      </c>
      <c r="H1327" s="1">
        <v>137.429584179122</v>
      </c>
      <c r="I1327" s="1">
        <f t="shared" si="41"/>
        <v>119.84764314739667</v>
      </c>
    </row>
    <row r="1328" spans="1:9" x14ac:dyDescent="0.45">
      <c r="A1328" t="s">
        <v>41</v>
      </c>
      <c r="B1328" t="s">
        <v>26</v>
      </c>
      <c r="C1328" t="str">
        <f t="shared" si="40"/>
        <v>Michigan St.Grand Canyon</v>
      </c>
      <c r="D1328" t="s">
        <v>41</v>
      </c>
      <c r="E1328">
        <v>92.7</v>
      </c>
      <c r="F1328" s="1">
        <v>-16.641509433962302</v>
      </c>
      <c r="G1328" s="2">
        <v>-1266.1258757447699</v>
      </c>
      <c r="H1328" s="1">
        <v>139.07666388832999</v>
      </c>
      <c r="I1328" s="1">
        <f t="shared" si="41"/>
        <v>142.97546797992089</v>
      </c>
    </row>
    <row r="1329" spans="1:9" x14ac:dyDescent="0.45">
      <c r="A1329" t="s">
        <v>42</v>
      </c>
      <c r="B1329" t="s">
        <v>26</v>
      </c>
      <c r="C1329" t="str">
        <f t="shared" si="40"/>
        <v>MississippiGrand Canyon</v>
      </c>
      <c r="D1329" t="s">
        <v>42</v>
      </c>
      <c r="E1329">
        <v>77.599999999999994</v>
      </c>
      <c r="F1329" s="1">
        <v>-8.1433962264150992</v>
      </c>
      <c r="G1329" s="2">
        <v>-346.42200376538199</v>
      </c>
      <c r="H1329" s="1">
        <v>138.34435523821901</v>
      </c>
      <c r="I1329" s="1">
        <f t="shared" si="41"/>
        <v>132.6925981901806</v>
      </c>
    </row>
    <row r="1330" spans="1:9" x14ac:dyDescent="0.45">
      <c r="A1330" t="s">
        <v>43</v>
      </c>
      <c r="B1330" t="s">
        <v>26</v>
      </c>
      <c r="C1330" t="str">
        <f t="shared" si="40"/>
        <v>Mississippi St.Grand Canyon</v>
      </c>
      <c r="D1330" t="s">
        <v>43</v>
      </c>
      <c r="E1330">
        <v>72.7</v>
      </c>
      <c r="F1330" s="1">
        <v>-6.4226415094339604</v>
      </c>
      <c r="G1330" s="2">
        <v>-266.334945449712</v>
      </c>
      <c r="H1330" s="1">
        <v>138.484101710896</v>
      </c>
      <c r="I1330" s="1">
        <f t="shared" si="41"/>
        <v>134.65487841436641</v>
      </c>
    </row>
    <row r="1331" spans="1:9" x14ac:dyDescent="0.45">
      <c r="A1331" t="s">
        <v>44</v>
      </c>
      <c r="B1331" t="s">
        <v>26</v>
      </c>
      <c r="C1331" t="str">
        <f t="shared" si="40"/>
        <v>MissouriGrand Canyon</v>
      </c>
      <c r="D1331" t="s">
        <v>44</v>
      </c>
      <c r="E1331">
        <v>55.6</v>
      </c>
      <c r="F1331" s="1">
        <v>-1.4867924528301899</v>
      </c>
      <c r="G1331" s="2">
        <v>-125.472881429295</v>
      </c>
      <c r="H1331" s="1">
        <v>137.90176360954101</v>
      </c>
      <c r="I1331" s="1">
        <f t="shared" si="41"/>
        <v>126.47785241729471</v>
      </c>
    </row>
    <row r="1332" spans="1:9" x14ac:dyDescent="0.45">
      <c r="A1332" t="s">
        <v>45</v>
      </c>
      <c r="B1332" t="s">
        <v>26</v>
      </c>
      <c r="C1332" t="str">
        <f t="shared" si="40"/>
        <v>MontanaGrand Canyon</v>
      </c>
      <c r="D1332" t="s">
        <v>26</v>
      </c>
      <c r="E1332">
        <v>10.1</v>
      </c>
      <c r="F1332" s="1">
        <v>14.316981132075499</v>
      </c>
      <c r="G1332" s="2">
        <v>888.37406453499898</v>
      </c>
      <c r="H1332" s="1">
        <v>137.03847517294801</v>
      </c>
      <c r="I1332" s="1">
        <f t="shared" si="41"/>
        <v>114.35580171759463</v>
      </c>
    </row>
    <row r="1333" spans="1:9" x14ac:dyDescent="0.45">
      <c r="A1333" t="s">
        <v>46</v>
      </c>
      <c r="B1333" t="s">
        <v>26</v>
      </c>
      <c r="C1333" t="str">
        <f t="shared" si="40"/>
        <v>Mount St. Mary'sGrand Canyon</v>
      </c>
      <c r="D1333" t="s">
        <v>26</v>
      </c>
      <c r="E1333">
        <v>4.0999999999999996</v>
      </c>
      <c r="F1333" s="1">
        <v>20.6528301886792</v>
      </c>
      <c r="G1333" s="2">
        <v>2334.6404703794701</v>
      </c>
      <c r="H1333" s="1">
        <v>138.34176312709801</v>
      </c>
      <c r="I1333" s="1">
        <f t="shared" si="41"/>
        <v>132.656200503039</v>
      </c>
    </row>
    <row r="1334" spans="1:9" x14ac:dyDescent="0.45">
      <c r="A1334" t="s">
        <v>47</v>
      </c>
      <c r="B1334" t="s">
        <v>26</v>
      </c>
      <c r="C1334" t="str">
        <f t="shared" si="40"/>
        <v>Nebraska OmahaGrand Canyon</v>
      </c>
      <c r="D1334" t="s">
        <v>26</v>
      </c>
      <c r="E1334">
        <v>5.6</v>
      </c>
      <c r="F1334" s="1">
        <v>18.4603773584906</v>
      </c>
      <c r="G1334" s="2">
        <v>1671.5427501387101</v>
      </c>
      <c r="H1334" s="1">
        <v>137.759539259202</v>
      </c>
      <c r="I1334" s="1">
        <f t="shared" si="41"/>
        <v>124.48077853970941</v>
      </c>
    </row>
    <row r="1335" spans="1:9" x14ac:dyDescent="0.45">
      <c r="A1335" t="s">
        <v>48</v>
      </c>
      <c r="B1335" t="s">
        <v>26</v>
      </c>
      <c r="C1335" t="str">
        <f t="shared" si="40"/>
        <v>New MexicoGrand Canyon</v>
      </c>
      <c r="D1335" t="s">
        <v>48</v>
      </c>
      <c r="E1335">
        <v>58.9</v>
      </c>
      <c r="F1335" s="1">
        <v>-2.36981132075472</v>
      </c>
      <c r="G1335" s="2">
        <v>-143.53760827049601</v>
      </c>
      <c r="H1335" s="1">
        <v>138.52952919101901</v>
      </c>
      <c r="I1335" s="1">
        <f t="shared" si="41"/>
        <v>135.2927581702728</v>
      </c>
    </row>
    <row r="1336" spans="1:9" x14ac:dyDescent="0.45">
      <c r="A1336" t="s">
        <v>49</v>
      </c>
      <c r="B1336" t="s">
        <v>26</v>
      </c>
      <c r="C1336" t="str">
        <f t="shared" si="40"/>
        <v>Norfolk St.Grand Canyon</v>
      </c>
      <c r="D1336" t="s">
        <v>26</v>
      </c>
      <c r="E1336">
        <v>7.8</v>
      </c>
      <c r="F1336" s="1">
        <v>16.196226415094301</v>
      </c>
      <c r="G1336" s="2">
        <v>1183.21768392595</v>
      </c>
      <c r="H1336" s="1">
        <v>137.56565495498199</v>
      </c>
      <c r="I1336" s="1">
        <f t="shared" si="41"/>
        <v>121.75831028227918</v>
      </c>
    </row>
    <row r="1337" spans="1:9" x14ac:dyDescent="0.45">
      <c r="A1337" t="s">
        <v>50</v>
      </c>
      <c r="B1337" t="s">
        <v>26</v>
      </c>
      <c r="C1337" t="str">
        <f t="shared" si="40"/>
        <v>North CarolinaGrand Canyon</v>
      </c>
      <c r="D1337" t="s">
        <v>50</v>
      </c>
      <c r="E1337">
        <v>83.1</v>
      </c>
      <c r="F1337" s="1">
        <v>-10.4188679245283</v>
      </c>
      <c r="G1337" s="2">
        <v>-490.14289324157897</v>
      </c>
      <c r="H1337" s="1">
        <v>139.63926090945199</v>
      </c>
      <c r="I1337" s="1">
        <f t="shared" si="41"/>
        <v>150.87529534290042</v>
      </c>
    </row>
    <row r="1338" spans="1:9" x14ac:dyDescent="0.45">
      <c r="A1338" t="s">
        <v>51</v>
      </c>
      <c r="B1338" t="s">
        <v>26</v>
      </c>
      <c r="C1338" t="str">
        <f t="shared" si="40"/>
        <v>OklahomaGrand Canyon</v>
      </c>
      <c r="D1338" t="s">
        <v>51</v>
      </c>
      <c r="E1338">
        <v>63.2</v>
      </c>
      <c r="F1338" s="1">
        <v>-3.5358490566037699</v>
      </c>
      <c r="G1338" s="2">
        <v>-171.53213380126601</v>
      </c>
      <c r="H1338" s="1">
        <v>138.06288403562701</v>
      </c>
      <c r="I1338" s="1">
        <f t="shared" si="41"/>
        <v>128.7402596163067</v>
      </c>
    </row>
    <row r="1339" spans="1:9" x14ac:dyDescent="0.45">
      <c r="A1339" t="s">
        <v>52</v>
      </c>
      <c r="B1339" t="s">
        <v>26</v>
      </c>
      <c r="C1339" t="str">
        <f t="shared" si="40"/>
        <v>OregonGrand Canyon</v>
      </c>
      <c r="D1339" t="s">
        <v>52</v>
      </c>
      <c r="E1339">
        <v>82.8</v>
      </c>
      <c r="F1339" s="1">
        <v>-10.3018867924528</v>
      </c>
      <c r="G1339" s="2">
        <v>-481.51712352602698</v>
      </c>
      <c r="H1339" s="1">
        <v>138.35360142715501</v>
      </c>
      <c r="I1339" s="1">
        <f t="shared" si="41"/>
        <v>132.82243054552129</v>
      </c>
    </row>
    <row r="1340" spans="1:9" x14ac:dyDescent="0.45">
      <c r="A1340" t="s">
        <v>53</v>
      </c>
      <c r="B1340" t="s">
        <v>26</v>
      </c>
      <c r="C1340" t="str">
        <f t="shared" si="40"/>
        <v>PurdueGrand Canyon</v>
      </c>
      <c r="D1340" t="s">
        <v>53</v>
      </c>
      <c r="E1340">
        <v>96.5</v>
      </c>
      <c r="F1340" s="1">
        <v>-21.675471698113199</v>
      </c>
      <c r="G1340" s="2">
        <v>-2729.0491407241402</v>
      </c>
      <c r="H1340" s="1">
        <v>139.84168862695401</v>
      </c>
      <c r="I1340" s="1">
        <f t="shared" si="41"/>
        <v>153.71772777981366</v>
      </c>
    </row>
    <row r="1341" spans="1:9" x14ac:dyDescent="0.45">
      <c r="A1341" t="s">
        <v>54</v>
      </c>
      <c r="B1341" t="s">
        <v>26</v>
      </c>
      <c r="C1341" t="str">
        <f t="shared" si="40"/>
        <v>Robert MorrisGrand Canyon</v>
      </c>
      <c r="D1341" t="s">
        <v>26</v>
      </c>
      <c r="E1341">
        <v>3.3</v>
      </c>
      <c r="F1341" s="1">
        <v>22.211320754717001</v>
      </c>
      <c r="G1341" s="2">
        <v>2962.2625262291099</v>
      </c>
      <c r="H1341" s="1">
        <v>136.92465395564099</v>
      </c>
      <c r="I1341" s="1">
        <f t="shared" si="41"/>
        <v>112.75755655593984</v>
      </c>
    </row>
    <row r="1342" spans="1:9" x14ac:dyDescent="0.45">
      <c r="A1342" t="s">
        <v>55</v>
      </c>
      <c r="B1342" t="s">
        <v>26</v>
      </c>
      <c r="C1342" t="str">
        <f t="shared" si="40"/>
        <v>Saint FrancisGrand Canyon</v>
      </c>
      <c r="D1342" t="s">
        <v>26</v>
      </c>
      <c r="E1342">
        <v>2</v>
      </c>
      <c r="F1342" s="1">
        <v>25.577358490565999</v>
      </c>
      <c r="G1342" s="2">
        <v>4947.7271190689398</v>
      </c>
      <c r="H1342" s="1">
        <v>137.631501837684</v>
      </c>
      <c r="I1342" s="1">
        <f t="shared" si="41"/>
        <v>122.6829134817394</v>
      </c>
    </row>
    <row r="1343" spans="1:9" x14ac:dyDescent="0.45">
      <c r="A1343" t="s">
        <v>56</v>
      </c>
      <c r="B1343" t="s">
        <v>26</v>
      </c>
      <c r="C1343" t="str">
        <f t="shared" si="40"/>
        <v>Saint Mary'sGrand Canyon</v>
      </c>
      <c r="D1343" t="s">
        <v>56</v>
      </c>
      <c r="E1343">
        <v>82.5</v>
      </c>
      <c r="F1343" s="1">
        <v>-10.158490566037701</v>
      </c>
      <c r="G1343" s="2">
        <v>-471.04070233170302</v>
      </c>
      <c r="H1343" s="1">
        <v>139.36070795362599</v>
      </c>
      <c r="I1343" s="1">
        <f t="shared" si="41"/>
        <v>146.96393396013926</v>
      </c>
    </row>
    <row r="1344" spans="1:9" x14ac:dyDescent="0.45">
      <c r="A1344" t="s">
        <v>57</v>
      </c>
      <c r="B1344" t="s">
        <v>26</v>
      </c>
      <c r="C1344" t="str">
        <f t="shared" si="40"/>
        <v>San Diego St.Grand Canyon</v>
      </c>
      <c r="D1344" t="s">
        <v>57</v>
      </c>
      <c r="E1344">
        <v>59.4</v>
      </c>
      <c r="F1344" s="1">
        <v>-2.4867924528301901</v>
      </c>
      <c r="G1344" s="2">
        <v>-146.10291126257101</v>
      </c>
      <c r="H1344" s="1">
        <v>138.57540711665399</v>
      </c>
      <c r="I1344" s="1">
        <f t="shared" si="41"/>
        <v>135.93696295394759</v>
      </c>
    </row>
    <row r="1345" spans="1:9" x14ac:dyDescent="0.45">
      <c r="A1345" t="s">
        <v>58</v>
      </c>
      <c r="B1345" t="s">
        <v>26</v>
      </c>
      <c r="C1345" t="str">
        <f t="shared" si="40"/>
        <v>SIU EdwardsvilleGrand Canyon</v>
      </c>
      <c r="D1345" t="s">
        <v>26</v>
      </c>
      <c r="E1345">
        <v>6.5</v>
      </c>
      <c r="F1345" s="1">
        <v>17.486792452830201</v>
      </c>
      <c r="G1345" s="2">
        <v>1440.8587545089299</v>
      </c>
      <c r="H1345" s="1">
        <v>138.63466529683799</v>
      </c>
      <c r="I1345" s="1">
        <f t="shared" si="41"/>
        <v>136.76904946653585</v>
      </c>
    </row>
    <row r="1346" spans="1:9" x14ac:dyDescent="0.45">
      <c r="A1346" t="s">
        <v>59</v>
      </c>
      <c r="B1346" t="s">
        <v>26</v>
      </c>
      <c r="C1346" t="str">
        <f t="shared" si="40"/>
        <v>St. John'sGrand Canyon</v>
      </c>
      <c r="D1346" t="s">
        <v>59</v>
      </c>
      <c r="E1346">
        <v>93.2</v>
      </c>
      <c r="F1346" s="1">
        <v>-17.143396226415099</v>
      </c>
      <c r="G1346" s="2">
        <v>-1366.8098036661399</v>
      </c>
      <c r="H1346" s="1">
        <v>139.454121745393</v>
      </c>
      <c r="I1346" s="1">
        <f t="shared" si="41"/>
        <v>148.27562385641517</v>
      </c>
    </row>
    <row r="1347" spans="1:9" x14ac:dyDescent="0.45">
      <c r="A1347" t="s">
        <v>60</v>
      </c>
      <c r="B1347" t="s">
        <v>26</v>
      </c>
      <c r="C1347" t="str">
        <f t="shared" ref="C1347:C1410" si="42">A1347&amp;B1347</f>
        <v>TennesseeGrand Canyon</v>
      </c>
      <c r="D1347" t="s">
        <v>60</v>
      </c>
      <c r="E1347">
        <v>96.8</v>
      </c>
      <c r="F1347" s="1">
        <v>-22.358490566037698</v>
      </c>
      <c r="G1347" s="2">
        <v>-3028.7649980108699</v>
      </c>
      <c r="H1347" s="1">
        <v>140.24735411952699</v>
      </c>
      <c r="I1347" s="1">
        <f t="shared" ref="I1347:I1410" si="43">18*(H1347-AVERAGE($H$2:$H$4625))/_xlfn.STDEV.P($H$2:$H$4625)+AVERAGE($H$2:$H$4625)</f>
        <v>159.41396725163557</v>
      </c>
    </row>
    <row r="1348" spans="1:9" x14ac:dyDescent="0.45">
      <c r="A1348" t="s">
        <v>61</v>
      </c>
      <c r="B1348" t="s">
        <v>26</v>
      </c>
      <c r="C1348" t="str">
        <f t="shared" si="42"/>
        <v>TexasGrand Canyon</v>
      </c>
      <c r="D1348" t="s">
        <v>61</v>
      </c>
      <c r="E1348">
        <v>54.8</v>
      </c>
      <c r="F1348" s="1">
        <v>-1.26037735849057</v>
      </c>
      <c r="G1348" s="2">
        <v>-121.232972606115</v>
      </c>
      <c r="H1348" s="1">
        <v>137.94723594716501</v>
      </c>
      <c r="I1348" s="1">
        <f t="shared" si="43"/>
        <v>127.11636204947222</v>
      </c>
    </row>
    <row r="1349" spans="1:9" x14ac:dyDescent="0.45">
      <c r="A1349" t="s">
        <v>62</v>
      </c>
      <c r="B1349" t="s">
        <v>26</v>
      </c>
      <c r="C1349" t="str">
        <f t="shared" si="42"/>
        <v>Texas A&amp;MGrand Canyon</v>
      </c>
      <c r="D1349" t="s">
        <v>62</v>
      </c>
      <c r="E1349">
        <v>87.3</v>
      </c>
      <c r="F1349" s="1">
        <v>-12.6641509433962</v>
      </c>
      <c r="G1349" s="2">
        <v>-690.20012446418104</v>
      </c>
      <c r="H1349" s="1">
        <v>138.73421125656299</v>
      </c>
      <c r="I1349" s="1">
        <f t="shared" si="43"/>
        <v>138.16684552123451</v>
      </c>
    </row>
    <row r="1350" spans="1:9" x14ac:dyDescent="0.45">
      <c r="A1350" t="s">
        <v>63</v>
      </c>
      <c r="B1350" t="s">
        <v>26</v>
      </c>
      <c r="C1350" t="str">
        <f t="shared" si="42"/>
        <v>Texas TechGrand Canyon</v>
      </c>
      <c r="D1350" t="s">
        <v>63</v>
      </c>
      <c r="E1350">
        <v>93</v>
      </c>
      <c r="F1350" s="1">
        <v>-16.996226415094299</v>
      </c>
      <c r="G1350" s="2">
        <v>-1336.87399295811</v>
      </c>
      <c r="H1350" s="1">
        <v>139.724723861802</v>
      </c>
      <c r="I1350" s="1">
        <f t="shared" si="43"/>
        <v>152.07534181337266</v>
      </c>
    </row>
    <row r="1351" spans="1:9" x14ac:dyDescent="0.45">
      <c r="A1351" t="s">
        <v>64</v>
      </c>
      <c r="B1351" t="s">
        <v>26</v>
      </c>
      <c r="C1351" t="str">
        <f t="shared" si="42"/>
        <v>TroyGrand Canyon</v>
      </c>
      <c r="D1351" t="s">
        <v>26</v>
      </c>
      <c r="E1351">
        <v>16.100000000000001</v>
      </c>
      <c r="F1351" s="1">
        <v>10.811320754717</v>
      </c>
      <c r="G1351" s="2">
        <v>520.29636195108901</v>
      </c>
      <c r="H1351" s="1">
        <v>138.49102845636099</v>
      </c>
      <c r="I1351" s="1">
        <f t="shared" si="43"/>
        <v>134.75214180415762</v>
      </c>
    </row>
    <row r="1352" spans="1:9" x14ac:dyDescent="0.45">
      <c r="A1352" t="s">
        <v>65</v>
      </c>
      <c r="B1352" t="s">
        <v>26</v>
      </c>
      <c r="C1352" t="str">
        <f t="shared" si="42"/>
        <v>UC San DiegoGrand Canyon</v>
      </c>
      <c r="D1352" t="s">
        <v>26</v>
      </c>
      <c r="E1352">
        <v>33</v>
      </c>
      <c r="F1352" s="1">
        <v>4.63018867924528</v>
      </c>
      <c r="G1352" s="2">
        <v>202.63892679792701</v>
      </c>
      <c r="H1352" s="1">
        <v>138.56114868602401</v>
      </c>
      <c r="I1352" s="1">
        <f t="shared" si="43"/>
        <v>135.73675012626637</v>
      </c>
    </row>
    <row r="1353" spans="1:9" x14ac:dyDescent="0.45">
      <c r="A1353" t="s">
        <v>66</v>
      </c>
      <c r="B1353" t="s">
        <v>26</v>
      </c>
      <c r="C1353" t="str">
        <f t="shared" si="42"/>
        <v>UCLAGrand Canyon</v>
      </c>
      <c r="D1353" t="s">
        <v>66</v>
      </c>
      <c r="E1353">
        <v>62.9</v>
      </c>
      <c r="F1353" s="1">
        <v>-3.47169811320755</v>
      </c>
      <c r="G1353" s="2">
        <v>-169.812077358397</v>
      </c>
      <c r="H1353" s="1">
        <v>137.782407265236</v>
      </c>
      <c r="I1353" s="1">
        <f t="shared" si="43"/>
        <v>124.80188457657378</v>
      </c>
    </row>
    <row r="1354" spans="1:9" x14ac:dyDescent="0.45">
      <c r="A1354" t="s">
        <v>67</v>
      </c>
      <c r="B1354" t="s">
        <v>26</v>
      </c>
      <c r="C1354" t="str">
        <f t="shared" si="42"/>
        <v>UNC WilmingtonGrand Canyon</v>
      </c>
      <c r="D1354" t="s">
        <v>26</v>
      </c>
      <c r="E1354">
        <v>22.2</v>
      </c>
      <c r="F1354" s="1">
        <v>8.2226415094339593</v>
      </c>
      <c r="G1354" s="2">
        <v>350.49826024374403</v>
      </c>
      <c r="H1354" s="1">
        <v>139.09781715668899</v>
      </c>
      <c r="I1354" s="1">
        <f t="shared" si="43"/>
        <v>143.27249615803962</v>
      </c>
    </row>
    <row r="1355" spans="1:9" x14ac:dyDescent="0.45">
      <c r="A1355" t="s">
        <v>68</v>
      </c>
      <c r="B1355" t="s">
        <v>26</v>
      </c>
      <c r="C1355" t="str">
        <f t="shared" si="42"/>
        <v>Utah St.Grand Canyon</v>
      </c>
      <c r="D1355" t="s">
        <v>68</v>
      </c>
      <c r="E1355">
        <v>61.6</v>
      </c>
      <c r="F1355" s="1">
        <v>-3.1056603773584901</v>
      </c>
      <c r="G1355" s="2">
        <v>-160.60250753546001</v>
      </c>
      <c r="H1355" s="1">
        <v>138.645003655268</v>
      </c>
      <c r="I1355" s="1">
        <f t="shared" si="43"/>
        <v>136.91421775528855</v>
      </c>
    </row>
    <row r="1356" spans="1:9" x14ac:dyDescent="0.45">
      <c r="A1356" t="s">
        <v>69</v>
      </c>
      <c r="B1356" t="s">
        <v>26</v>
      </c>
      <c r="C1356" t="str">
        <f t="shared" si="42"/>
        <v>VanderbiltGrand Canyon</v>
      </c>
      <c r="D1356" t="s">
        <v>26</v>
      </c>
      <c r="E1356">
        <v>24</v>
      </c>
      <c r="F1356" s="1">
        <v>7.5433962264150898</v>
      </c>
      <c r="G1356" s="2">
        <v>315.98513090275799</v>
      </c>
      <c r="H1356" s="1">
        <v>137.07904153654999</v>
      </c>
      <c r="I1356" s="1">
        <f t="shared" si="43"/>
        <v>114.92542305785769</v>
      </c>
    </row>
    <row r="1357" spans="1:9" x14ac:dyDescent="0.45">
      <c r="A1357" t="s">
        <v>70</v>
      </c>
      <c r="B1357" t="s">
        <v>26</v>
      </c>
      <c r="C1357" t="str">
        <f t="shared" si="42"/>
        <v>VCUGrand Canyon</v>
      </c>
      <c r="D1357" t="s">
        <v>70</v>
      </c>
      <c r="E1357">
        <v>50.4</v>
      </c>
      <c r="F1357" s="1">
        <v>-0.10188679245283</v>
      </c>
      <c r="G1357" s="2">
        <v>-101.590969094229</v>
      </c>
      <c r="H1357" s="1">
        <v>139.00421466574301</v>
      </c>
      <c r="I1357" s="1">
        <f t="shared" si="43"/>
        <v>141.9581566015602</v>
      </c>
    </row>
    <row r="1358" spans="1:9" x14ac:dyDescent="0.45">
      <c r="A1358" t="s">
        <v>71</v>
      </c>
      <c r="B1358" t="s">
        <v>26</v>
      </c>
      <c r="C1358" t="str">
        <f t="shared" si="42"/>
        <v>WisconsinGrand Canyon</v>
      </c>
      <c r="D1358" t="s">
        <v>71</v>
      </c>
      <c r="E1358">
        <v>92.1</v>
      </c>
      <c r="F1358" s="1">
        <v>-16.0566037735849</v>
      </c>
      <c r="G1358" s="2">
        <v>-1158.0858145919899</v>
      </c>
      <c r="H1358" s="1">
        <v>139.657470274075</v>
      </c>
      <c r="I1358" s="1">
        <f t="shared" si="43"/>
        <v>151.13098606203079</v>
      </c>
    </row>
    <row r="1359" spans="1:9" x14ac:dyDescent="0.45">
      <c r="A1359" t="s">
        <v>80</v>
      </c>
      <c r="B1359" t="s">
        <v>26</v>
      </c>
      <c r="C1359" t="str">
        <f t="shared" si="42"/>
        <v>WoffordGrand Canyon</v>
      </c>
      <c r="D1359" t="s">
        <v>26</v>
      </c>
      <c r="E1359">
        <v>9.1</v>
      </c>
      <c r="F1359" s="1">
        <v>15.1169811320755</v>
      </c>
      <c r="G1359" s="2">
        <v>1003.56461861863</v>
      </c>
      <c r="H1359" s="1">
        <v>137.755118703302</v>
      </c>
      <c r="I1359" s="1">
        <f t="shared" si="43"/>
        <v>124.41870635100719</v>
      </c>
    </row>
    <row r="1360" spans="1:9" x14ac:dyDescent="0.45">
      <c r="A1360" t="s">
        <v>72</v>
      </c>
      <c r="B1360" t="s">
        <v>26</v>
      </c>
      <c r="C1360" t="str">
        <f t="shared" si="42"/>
        <v>XavierGrand Canyon</v>
      </c>
      <c r="D1360" t="s">
        <v>72</v>
      </c>
      <c r="E1360">
        <v>50.1</v>
      </c>
      <c r="F1360" s="1">
        <v>-3.0188679245282998E-2</v>
      </c>
      <c r="G1360" s="2">
        <v>-100.46368818451499</v>
      </c>
      <c r="H1360" s="1">
        <v>138.49792087392399</v>
      </c>
      <c r="I1360" s="1">
        <f t="shared" si="43"/>
        <v>134.84892317131209</v>
      </c>
    </row>
    <row r="1361" spans="1:9" x14ac:dyDescent="0.45">
      <c r="A1361" t="s">
        <v>73</v>
      </c>
      <c r="B1361" t="s">
        <v>26</v>
      </c>
      <c r="C1361" t="str">
        <f t="shared" si="42"/>
        <v>YaleGrand Canyon</v>
      </c>
      <c r="D1361" t="s">
        <v>26</v>
      </c>
      <c r="E1361">
        <v>34.4</v>
      </c>
      <c r="F1361" s="1">
        <v>4.2188679245282996</v>
      </c>
      <c r="G1361" s="2">
        <v>190.342764963024</v>
      </c>
      <c r="H1361" s="1">
        <v>139.09762701031801</v>
      </c>
      <c r="I1361" s="1">
        <f t="shared" si="43"/>
        <v>143.2698261767776</v>
      </c>
    </row>
    <row r="1362" spans="1:9" x14ac:dyDescent="0.45">
      <c r="A1362" t="s">
        <v>7</v>
      </c>
      <c r="B1362" t="s">
        <v>27</v>
      </c>
      <c r="C1362" t="str">
        <f t="shared" si="42"/>
        <v>AkronHigh Point</v>
      </c>
      <c r="D1362" t="s">
        <v>27</v>
      </c>
      <c r="E1362">
        <v>30.5</v>
      </c>
      <c r="F1362" s="1">
        <v>5.39245283018868</v>
      </c>
      <c r="G1362" s="2">
        <v>227.68177038228299</v>
      </c>
      <c r="H1362" s="1">
        <v>137.72324693734899</v>
      </c>
      <c r="I1362" s="1">
        <f t="shared" si="43"/>
        <v>123.97117207810976</v>
      </c>
    </row>
    <row r="1363" spans="1:9" x14ac:dyDescent="0.45">
      <c r="A1363" t="s">
        <v>8</v>
      </c>
      <c r="B1363" t="s">
        <v>27</v>
      </c>
      <c r="C1363" t="str">
        <f t="shared" si="42"/>
        <v>AlabamaHigh Point</v>
      </c>
      <c r="D1363" t="s">
        <v>8</v>
      </c>
      <c r="E1363">
        <v>97.1</v>
      </c>
      <c r="F1363" s="1">
        <v>-22.947169811320801</v>
      </c>
      <c r="G1363" s="2">
        <v>-3312.8551291061999</v>
      </c>
      <c r="H1363" s="1">
        <v>139.53085812494399</v>
      </c>
      <c r="I1363" s="1">
        <f t="shared" si="43"/>
        <v>149.35313427355879</v>
      </c>
    </row>
    <row r="1364" spans="1:9" x14ac:dyDescent="0.45">
      <c r="A1364" t="s">
        <v>9</v>
      </c>
      <c r="B1364" t="s">
        <v>27</v>
      </c>
      <c r="C1364" t="str">
        <f t="shared" si="42"/>
        <v>Alabama St.High Point</v>
      </c>
      <c r="D1364" t="s">
        <v>27</v>
      </c>
      <c r="E1364">
        <v>6.3</v>
      </c>
      <c r="F1364" s="1">
        <v>17.713207547169802</v>
      </c>
      <c r="G1364" s="2">
        <v>1490.79517073329</v>
      </c>
      <c r="H1364" s="1">
        <v>137.91000869677001</v>
      </c>
      <c r="I1364" s="1">
        <f t="shared" si="43"/>
        <v>126.59362758718791</v>
      </c>
    </row>
    <row r="1365" spans="1:9" x14ac:dyDescent="0.45">
      <c r="A1365" t="s">
        <v>10</v>
      </c>
      <c r="B1365" t="s">
        <v>27</v>
      </c>
      <c r="C1365" t="str">
        <f t="shared" si="42"/>
        <v>AmericanHigh Point</v>
      </c>
      <c r="D1365" t="s">
        <v>27</v>
      </c>
      <c r="E1365">
        <v>7</v>
      </c>
      <c r="F1365" s="1">
        <v>16.954716981132101</v>
      </c>
      <c r="G1365" s="2">
        <v>1328.22517377144</v>
      </c>
      <c r="H1365" s="1">
        <v>137.673298216532</v>
      </c>
      <c r="I1365" s="1">
        <f t="shared" si="43"/>
        <v>123.2698063462598</v>
      </c>
    </row>
    <row r="1366" spans="1:9" x14ac:dyDescent="0.45">
      <c r="A1366" t="s">
        <v>11</v>
      </c>
      <c r="B1366" t="s">
        <v>27</v>
      </c>
      <c r="C1366" t="str">
        <f t="shared" si="42"/>
        <v>ArizonaHigh Point</v>
      </c>
      <c r="D1366" t="s">
        <v>11</v>
      </c>
      <c r="E1366">
        <v>95.6</v>
      </c>
      <c r="F1366" s="1">
        <v>-20.192452830188699</v>
      </c>
      <c r="G1366" s="2">
        <v>-2175.9467439694499</v>
      </c>
      <c r="H1366" s="1">
        <v>139.14133746512101</v>
      </c>
      <c r="I1366" s="1">
        <f t="shared" si="43"/>
        <v>143.88359595147779</v>
      </c>
    </row>
    <row r="1367" spans="1:9" x14ac:dyDescent="0.45">
      <c r="A1367" t="s">
        <v>12</v>
      </c>
      <c r="B1367" t="s">
        <v>27</v>
      </c>
      <c r="C1367" t="str">
        <f t="shared" si="42"/>
        <v>ArkansasHigh Point</v>
      </c>
      <c r="D1367" t="s">
        <v>12</v>
      </c>
      <c r="E1367">
        <v>58.6</v>
      </c>
      <c r="F1367" s="1">
        <v>-2.2905660377358501</v>
      </c>
      <c r="G1367" s="2">
        <v>-141.8236498462</v>
      </c>
      <c r="H1367" s="1">
        <v>137.46726144291</v>
      </c>
      <c r="I1367" s="1">
        <f t="shared" si="43"/>
        <v>120.37669656975753</v>
      </c>
    </row>
    <row r="1368" spans="1:9" x14ac:dyDescent="0.45">
      <c r="A1368" t="s">
        <v>13</v>
      </c>
      <c r="B1368" t="s">
        <v>27</v>
      </c>
      <c r="C1368" t="str">
        <f t="shared" si="42"/>
        <v>AuburnHigh Point</v>
      </c>
      <c r="D1368" t="s">
        <v>13</v>
      </c>
      <c r="E1368">
        <v>98.5</v>
      </c>
      <c r="F1368" s="1">
        <v>-27.384905660377399</v>
      </c>
      <c r="G1368" s="2">
        <v>-6520.9814945117996</v>
      </c>
      <c r="H1368" s="1">
        <v>140.55307435829701</v>
      </c>
      <c r="I1368" s="1">
        <f t="shared" si="43"/>
        <v>163.70680389487887</v>
      </c>
    </row>
    <row r="1369" spans="1:9" x14ac:dyDescent="0.45">
      <c r="A1369" t="s">
        <v>14</v>
      </c>
      <c r="B1369" t="s">
        <v>27</v>
      </c>
      <c r="C1369" t="str">
        <f t="shared" si="42"/>
        <v>BaylorHigh Point</v>
      </c>
      <c r="D1369" t="s">
        <v>14</v>
      </c>
      <c r="E1369">
        <v>86.8</v>
      </c>
      <c r="F1369" s="1">
        <v>-12.3358490566038</v>
      </c>
      <c r="G1369" s="2">
        <v>-656.675425712221</v>
      </c>
      <c r="H1369" s="1">
        <v>139.015991719477</v>
      </c>
      <c r="I1369" s="1">
        <f t="shared" si="43"/>
        <v>142.12352664059372</v>
      </c>
    </row>
    <row r="1370" spans="1:9" x14ac:dyDescent="0.45">
      <c r="A1370" t="s">
        <v>15</v>
      </c>
      <c r="B1370" t="s">
        <v>27</v>
      </c>
      <c r="C1370" t="str">
        <f t="shared" si="42"/>
        <v>BryantHigh Point</v>
      </c>
      <c r="D1370" t="s">
        <v>27</v>
      </c>
      <c r="E1370">
        <v>23.5</v>
      </c>
      <c r="F1370" s="1">
        <v>7.7320754716981099</v>
      </c>
      <c r="G1370" s="2">
        <v>325.35766798658301</v>
      </c>
      <c r="H1370" s="1">
        <v>138.60831159512301</v>
      </c>
      <c r="I1370" s="1">
        <f t="shared" si="43"/>
        <v>136.39899828228215</v>
      </c>
    </row>
    <row r="1371" spans="1:9" x14ac:dyDescent="0.45">
      <c r="A1371" t="s">
        <v>16</v>
      </c>
      <c r="B1371" t="s">
        <v>27</v>
      </c>
      <c r="C1371" t="str">
        <f t="shared" si="42"/>
        <v>BYUHigh Point</v>
      </c>
      <c r="D1371" t="s">
        <v>16</v>
      </c>
      <c r="E1371">
        <v>88.6</v>
      </c>
      <c r="F1371" s="1">
        <v>-13.430188679245299</v>
      </c>
      <c r="G1371" s="2">
        <v>-775.99782925333295</v>
      </c>
      <c r="H1371" s="1">
        <v>138.778352269566</v>
      </c>
      <c r="I1371" s="1">
        <f t="shared" si="43"/>
        <v>138.78666107172464</v>
      </c>
    </row>
    <row r="1372" spans="1:9" x14ac:dyDescent="0.45">
      <c r="A1372" t="s">
        <v>17</v>
      </c>
      <c r="B1372" t="s">
        <v>27</v>
      </c>
      <c r="C1372" t="str">
        <f t="shared" si="42"/>
        <v>ClemsonHigh Point</v>
      </c>
      <c r="D1372" t="s">
        <v>17</v>
      </c>
      <c r="E1372">
        <v>91.6</v>
      </c>
      <c r="F1372" s="1">
        <v>-15.6377358490566</v>
      </c>
      <c r="G1372" s="2">
        <v>-1086.1796758077101</v>
      </c>
      <c r="H1372" s="1">
        <v>139.12840249200801</v>
      </c>
      <c r="I1372" s="1">
        <f t="shared" si="43"/>
        <v>143.70196673784682</v>
      </c>
    </row>
    <row r="1373" spans="1:9" x14ac:dyDescent="0.45">
      <c r="A1373" t="s">
        <v>18</v>
      </c>
      <c r="B1373" t="s">
        <v>27</v>
      </c>
      <c r="C1373" t="str">
        <f t="shared" si="42"/>
        <v>Colorado St.High Point</v>
      </c>
      <c r="D1373" t="s">
        <v>18</v>
      </c>
      <c r="E1373">
        <v>64.3</v>
      </c>
      <c r="F1373" s="1">
        <v>-3.85283018867925</v>
      </c>
      <c r="G1373" s="2">
        <v>-180.02705423810599</v>
      </c>
      <c r="H1373" s="1">
        <v>138.51801346680301</v>
      </c>
      <c r="I1373" s="1">
        <f t="shared" si="43"/>
        <v>135.13105764600655</v>
      </c>
    </row>
    <row r="1374" spans="1:9" x14ac:dyDescent="0.45">
      <c r="A1374" t="s">
        <v>19</v>
      </c>
      <c r="B1374" t="s">
        <v>27</v>
      </c>
      <c r="C1374" t="str">
        <f t="shared" si="42"/>
        <v>ConnecticutHigh Point</v>
      </c>
      <c r="D1374" t="s">
        <v>19</v>
      </c>
      <c r="E1374">
        <v>94.4</v>
      </c>
      <c r="F1374" s="1">
        <v>-18.528301886792502</v>
      </c>
      <c r="G1374" s="2">
        <v>-1688.83803189894</v>
      </c>
      <c r="H1374" s="1">
        <v>138.92865332275699</v>
      </c>
      <c r="I1374" s="1">
        <f t="shared" si="43"/>
        <v>140.89714571367105</v>
      </c>
    </row>
    <row r="1375" spans="1:9" x14ac:dyDescent="0.45">
      <c r="A1375" t="s">
        <v>20</v>
      </c>
      <c r="B1375" t="s">
        <v>27</v>
      </c>
      <c r="C1375" t="str">
        <f t="shared" si="42"/>
        <v>CreightonHigh Point</v>
      </c>
      <c r="D1375" t="s">
        <v>20</v>
      </c>
      <c r="E1375">
        <v>83.9</v>
      </c>
      <c r="F1375" s="1">
        <v>-10.822641509434</v>
      </c>
      <c r="G1375" s="2">
        <v>-521.14111832499395</v>
      </c>
      <c r="H1375" s="1">
        <v>138.477950075595</v>
      </c>
      <c r="I1375" s="1">
        <f t="shared" si="43"/>
        <v>134.56849890104985</v>
      </c>
    </row>
    <row r="1376" spans="1:9" x14ac:dyDescent="0.45">
      <c r="A1376" t="s">
        <v>21</v>
      </c>
      <c r="B1376" t="s">
        <v>27</v>
      </c>
      <c r="C1376" t="str">
        <f t="shared" si="42"/>
        <v>DrakeHigh Point</v>
      </c>
      <c r="D1376" t="s">
        <v>21</v>
      </c>
      <c r="E1376">
        <v>63.6</v>
      </c>
      <c r="F1376" s="1">
        <v>-3.6490566037735901</v>
      </c>
      <c r="G1376" s="2">
        <v>-174.488836661249</v>
      </c>
      <c r="H1376" s="1">
        <v>138.71262588126999</v>
      </c>
      <c r="I1376" s="1">
        <f t="shared" si="43"/>
        <v>137.86374982044364</v>
      </c>
    </row>
    <row r="1377" spans="1:9" x14ac:dyDescent="0.45">
      <c r="A1377" t="s">
        <v>22</v>
      </c>
      <c r="B1377" t="s">
        <v>27</v>
      </c>
      <c r="C1377" t="str">
        <f t="shared" si="42"/>
        <v>DukeHigh Point</v>
      </c>
      <c r="D1377" t="s">
        <v>22</v>
      </c>
      <c r="E1377">
        <v>98.9</v>
      </c>
      <c r="F1377" s="1">
        <v>-29.6</v>
      </c>
      <c r="G1377" s="2">
        <v>-9141.5549284506997</v>
      </c>
      <c r="H1377" s="1">
        <v>140.79296576987301</v>
      </c>
      <c r="I1377" s="1">
        <f t="shared" si="43"/>
        <v>167.07529086896983</v>
      </c>
    </row>
    <row r="1378" spans="1:9" x14ac:dyDescent="0.45">
      <c r="A1378" t="s">
        <v>23</v>
      </c>
      <c r="B1378" t="s">
        <v>27</v>
      </c>
      <c r="C1378" t="str">
        <f t="shared" si="42"/>
        <v>FloridaHigh Point</v>
      </c>
      <c r="D1378" t="s">
        <v>23</v>
      </c>
      <c r="E1378">
        <v>98.1</v>
      </c>
      <c r="F1378" s="1">
        <v>-25.743396226415101</v>
      </c>
      <c r="G1378" s="2">
        <v>-5075.6061272179104</v>
      </c>
      <c r="H1378" s="1">
        <v>140.52761629742699</v>
      </c>
      <c r="I1378" s="1">
        <f t="shared" si="43"/>
        <v>163.34932904464182</v>
      </c>
    </row>
    <row r="1379" spans="1:9" x14ac:dyDescent="0.45">
      <c r="A1379" t="s">
        <v>24</v>
      </c>
      <c r="B1379" t="s">
        <v>27</v>
      </c>
      <c r="C1379" t="str">
        <f t="shared" si="42"/>
        <v>GeorgiaHigh Point</v>
      </c>
      <c r="D1379" t="s">
        <v>24</v>
      </c>
      <c r="E1379">
        <v>67.099999999999994</v>
      </c>
      <c r="F1379" s="1">
        <v>-4.6830188679245301</v>
      </c>
      <c r="G1379" s="2">
        <v>-204.254858206845</v>
      </c>
      <c r="H1379" s="1">
        <v>137.791574593712</v>
      </c>
      <c r="I1379" s="1">
        <f t="shared" si="43"/>
        <v>124.93060959576366</v>
      </c>
    </row>
    <row r="1380" spans="1:9" x14ac:dyDescent="0.45">
      <c r="A1380" t="s">
        <v>25</v>
      </c>
      <c r="B1380" t="s">
        <v>27</v>
      </c>
      <c r="C1380" t="str">
        <f t="shared" si="42"/>
        <v>GonzagaHigh Point</v>
      </c>
      <c r="D1380" t="s">
        <v>25</v>
      </c>
      <c r="E1380">
        <v>91.2</v>
      </c>
      <c r="F1380" s="1">
        <v>-15.313207547169799</v>
      </c>
      <c r="G1380" s="2">
        <v>-1033.7398007704101</v>
      </c>
      <c r="H1380" s="1">
        <v>139.76853632421799</v>
      </c>
      <c r="I1380" s="1">
        <f t="shared" si="43"/>
        <v>152.69054394996246</v>
      </c>
    </row>
    <row r="1381" spans="1:9" x14ac:dyDescent="0.45">
      <c r="A1381" t="s">
        <v>26</v>
      </c>
      <c r="B1381" t="s">
        <v>27</v>
      </c>
      <c r="C1381" t="str">
        <f t="shared" si="42"/>
        <v>Grand CanyonHigh Point</v>
      </c>
      <c r="D1381" t="s">
        <v>26</v>
      </c>
      <c r="E1381">
        <v>52.9</v>
      </c>
      <c r="F1381" s="1">
        <v>-0.76226415094339595</v>
      </c>
      <c r="G1381" s="2">
        <v>-112.313614160662</v>
      </c>
      <c r="H1381" s="1">
        <v>138.58650804175701</v>
      </c>
      <c r="I1381" s="1">
        <f t="shared" si="43"/>
        <v>136.09283898704203</v>
      </c>
    </row>
    <row r="1382" spans="1:9" x14ac:dyDescent="0.45">
      <c r="A1382" t="s">
        <v>27</v>
      </c>
      <c r="B1382" t="s">
        <v>27</v>
      </c>
      <c r="C1382" t="str">
        <f t="shared" si="42"/>
        <v>High PointHigh Point</v>
      </c>
      <c r="D1382" t="s">
        <v>27</v>
      </c>
      <c r="E1382">
        <v>41.2</v>
      </c>
      <c r="F1382" s="1">
        <v>2.3283018867924499</v>
      </c>
      <c r="G1382" s="2">
        <v>142.64273539779199</v>
      </c>
      <c r="H1382" s="1">
        <v>138.77771517530499</v>
      </c>
      <c r="I1382" s="1">
        <f t="shared" si="43"/>
        <v>138.77771517530684</v>
      </c>
    </row>
    <row r="1383" spans="1:9" x14ac:dyDescent="0.45">
      <c r="A1383" t="s">
        <v>28</v>
      </c>
      <c r="B1383" t="s">
        <v>27</v>
      </c>
      <c r="C1383" t="str">
        <f t="shared" si="42"/>
        <v>HoustonHigh Point</v>
      </c>
      <c r="D1383" t="s">
        <v>28</v>
      </c>
      <c r="E1383">
        <v>99.3</v>
      </c>
      <c r="F1383" s="1">
        <v>-32.954716981132101</v>
      </c>
      <c r="G1383" s="2">
        <v>-15249.3114222803</v>
      </c>
      <c r="H1383" s="1">
        <v>140.891177532509</v>
      </c>
      <c r="I1383" s="1">
        <f t="shared" si="43"/>
        <v>168.45435250760238</v>
      </c>
    </row>
    <row r="1384" spans="1:9" x14ac:dyDescent="0.45">
      <c r="A1384" t="s">
        <v>29</v>
      </c>
      <c r="B1384" t="s">
        <v>27</v>
      </c>
      <c r="C1384" t="str">
        <f t="shared" si="42"/>
        <v>IllinoisHigh Point</v>
      </c>
      <c r="D1384" t="s">
        <v>29</v>
      </c>
      <c r="E1384">
        <v>93.8</v>
      </c>
      <c r="F1384" s="1">
        <v>-17.7660377358491</v>
      </c>
      <c r="G1384" s="2">
        <v>-1503.2688342049</v>
      </c>
      <c r="H1384" s="1">
        <v>138.94964130746999</v>
      </c>
      <c r="I1384" s="1">
        <f t="shared" si="43"/>
        <v>141.19185302584083</v>
      </c>
    </row>
    <row r="1385" spans="1:9" x14ac:dyDescent="0.45">
      <c r="A1385" t="s">
        <v>30</v>
      </c>
      <c r="B1385" t="s">
        <v>27</v>
      </c>
      <c r="C1385" t="str">
        <f t="shared" si="42"/>
        <v>Iowa St.High Point</v>
      </c>
      <c r="D1385" t="s">
        <v>30</v>
      </c>
      <c r="E1385">
        <v>96.9</v>
      </c>
      <c r="F1385" s="1">
        <v>-22.626415094339599</v>
      </c>
      <c r="G1385" s="2">
        <v>-3155.67822455025</v>
      </c>
      <c r="H1385" s="1">
        <v>139.84618359905599</v>
      </c>
      <c r="I1385" s="1">
        <f t="shared" si="43"/>
        <v>153.78084489965946</v>
      </c>
    </row>
    <row r="1386" spans="1:9" x14ac:dyDescent="0.45">
      <c r="A1386" t="s">
        <v>31</v>
      </c>
      <c r="B1386" t="s">
        <v>27</v>
      </c>
      <c r="C1386" t="str">
        <f t="shared" si="42"/>
        <v>KansasHigh Point</v>
      </c>
      <c r="D1386" t="s">
        <v>31</v>
      </c>
      <c r="E1386">
        <v>90.7</v>
      </c>
      <c r="F1386" s="1">
        <v>-14.913207547169799</v>
      </c>
      <c r="G1386" s="2">
        <v>-972.50485296587499</v>
      </c>
      <c r="H1386" s="1">
        <v>138.89677148791</v>
      </c>
      <c r="I1386" s="1">
        <f t="shared" si="43"/>
        <v>140.44947005622817</v>
      </c>
    </row>
    <row r="1387" spans="1:9" x14ac:dyDescent="0.45">
      <c r="A1387" t="s">
        <v>32</v>
      </c>
      <c r="B1387" t="s">
        <v>27</v>
      </c>
      <c r="C1387" t="str">
        <f t="shared" si="42"/>
        <v>KentuckyHigh Point</v>
      </c>
      <c r="D1387" t="s">
        <v>32</v>
      </c>
      <c r="E1387">
        <v>94.2</v>
      </c>
      <c r="F1387" s="1">
        <v>-18.275471698113201</v>
      </c>
      <c r="G1387" s="2">
        <v>-1624.71698247571</v>
      </c>
      <c r="H1387" s="1">
        <v>138.831053820036</v>
      </c>
      <c r="I1387" s="1">
        <f t="shared" si="43"/>
        <v>139.52668125463296</v>
      </c>
    </row>
    <row r="1388" spans="1:9" x14ac:dyDescent="0.45">
      <c r="A1388" t="s">
        <v>33</v>
      </c>
      <c r="B1388" t="s">
        <v>27</v>
      </c>
      <c r="C1388" t="str">
        <f t="shared" si="42"/>
        <v>LibertyHigh Point</v>
      </c>
      <c r="D1388" t="s">
        <v>27</v>
      </c>
      <c r="E1388">
        <v>32.799999999999997</v>
      </c>
      <c r="F1388" s="1">
        <v>4.7094339622641499</v>
      </c>
      <c r="G1388" s="2">
        <v>205.13992620716499</v>
      </c>
      <c r="H1388" s="1">
        <v>138.176054863753</v>
      </c>
      <c r="I1388" s="1">
        <f t="shared" si="43"/>
        <v>130.32937219805791</v>
      </c>
    </row>
    <row r="1389" spans="1:9" x14ac:dyDescent="0.45">
      <c r="A1389" t="s">
        <v>34</v>
      </c>
      <c r="B1389" t="s">
        <v>27</v>
      </c>
      <c r="C1389" t="str">
        <f t="shared" si="42"/>
        <v>LipscombHigh Point</v>
      </c>
      <c r="D1389" t="s">
        <v>27</v>
      </c>
      <c r="E1389">
        <v>26.8</v>
      </c>
      <c r="F1389" s="1">
        <v>6.5773584905660396</v>
      </c>
      <c r="G1389" s="2">
        <v>272.67699267600301</v>
      </c>
      <c r="H1389" s="1">
        <v>138.58237306134501</v>
      </c>
      <c r="I1389" s="1">
        <f t="shared" si="43"/>
        <v>136.03477676812199</v>
      </c>
    </row>
    <row r="1390" spans="1:9" x14ac:dyDescent="0.45">
      <c r="A1390" t="s">
        <v>35</v>
      </c>
      <c r="B1390" t="s">
        <v>27</v>
      </c>
      <c r="C1390" t="str">
        <f t="shared" si="42"/>
        <v>LouisvilleHigh Point</v>
      </c>
      <c r="D1390" t="s">
        <v>27</v>
      </c>
      <c r="E1390">
        <v>48</v>
      </c>
      <c r="F1390" s="1">
        <v>0.52830188679245305</v>
      </c>
      <c r="G1390" s="2">
        <v>108.370396050068</v>
      </c>
      <c r="H1390" s="1">
        <v>137.827735067162</v>
      </c>
      <c r="I1390" s="1">
        <f t="shared" si="43"/>
        <v>125.43836467958702</v>
      </c>
    </row>
    <row r="1391" spans="1:9" x14ac:dyDescent="0.45">
      <c r="A1391" t="s">
        <v>36</v>
      </c>
      <c r="B1391" t="s">
        <v>27</v>
      </c>
      <c r="C1391" t="str">
        <f t="shared" si="42"/>
        <v>MarquetteHigh Point</v>
      </c>
      <c r="D1391" t="s">
        <v>36</v>
      </c>
      <c r="E1391">
        <v>92.6</v>
      </c>
      <c r="F1391" s="1">
        <v>-16.5396226415094</v>
      </c>
      <c r="G1391" s="2">
        <v>-1246.90290543021</v>
      </c>
      <c r="H1391" s="1">
        <v>139.089868910625</v>
      </c>
      <c r="I1391" s="1">
        <f t="shared" si="43"/>
        <v>143.16088914736122</v>
      </c>
    </row>
    <row r="1392" spans="1:9" x14ac:dyDescent="0.45">
      <c r="A1392" t="s">
        <v>37</v>
      </c>
      <c r="B1392" t="s">
        <v>27</v>
      </c>
      <c r="C1392" t="str">
        <f t="shared" si="42"/>
        <v>MarylandHigh Point</v>
      </c>
      <c r="D1392" t="s">
        <v>37</v>
      </c>
      <c r="E1392">
        <v>88.5</v>
      </c>
      <c r="F1392" s="1">
        <v>-13.373584905660399</v>
      </c>
      <c r="G1392" s="2">
        <v>-769.12832431368304</v>
      </c>
      <c r="H1392" s="1">
        <v>138.54823850916699</v>
      </c>
      <c r="I1392" s="1">
        <f t="shared" si="43"/>
        <v>135.55546909460966</v>
      </c>
    </row>
    <row r="1393" spans="1:9" x14ac:dyDescent="0.45">
      <c r="A1393" t="s">
        <v>38</v>
      </c>
      <c r="B1393" t="s">
        <v>27</v>
      </c>
      <c r="C1393" t="str">
        <f t="shared" si="42"/>
        <v>McNeese St.High Point</v>
      </c>
      <c r="D1393" t="s">
        <v>38</v>
      </c>
      <c r="E1393">
        <v>64.2</v>
      </c>
      <c r="F1393" s="1">
        <v>-3.8339622641509399</v>
      </c>
      <c r="G1393" s="2">
        <v>-179.444078511143</v>
      </c>
      <c r="H1393" s="1">
        <v>139.14147392213201</v>
      </c>
      <c r="I1393" s="1">
        <f t="shared" si="43"/>
        <v>143.88551204201661</v>
      </c>
    </row>
    <row r="1394" spans="1:9" x14ac:dyDescent="0.45">
      <c r="A1394" t="s">
        <v>39</v>
      </c>
      <c r="B1394" t="s">
        <v>27</v>
      </c>
      <c r="C1394" t="str">
        <f t="shared" si="42"/>
        <v>MemphisHigh Point</v>
      </c>
      <c r="D1394" t="s">
        <v>39</v>
      </c>
      <c r="E1394">
        <v>81.2</v>
      </c>
      <c r="F1394" s="1">
        <v>-9.6075471698113208</v>
      </c>
      <c r="G1394" s="2">
        <v>-433.11022672477998</v>
      </c>
      <c r="H1394" s="1">
        <v>137.675755748657</v>
      </c>
      <c r="I1394" s="1">
        <f t="shared" si="43"/>
        <v>123.30431431341486</v>
      </c>
    </row>
    <row r="1395" spans="1:9" x14ac:dyDescent="0.45">
      <c r="A1395" t="s">
        <v>40</v>
      </c>
      <c r="B1395" t="s">
        <v>27</v>
      </c>
      <c r="C1395" t="str">
        <f t="shared" si="42"/>
        <v>MichiganHigh Point</v>
      </c>
      <c r="D1395" t="s">
        <v>40</v>
      </c>
      <c r="E1395">
        <v>68.099999999999994</v>
      </c>
      <c r="F1395" s="1">
        <v>-4.9849056603773603</v>
      </c>
      <c r="G1395" s="2">
        <v>-213.896562102091</v>
      </c>
      <c r="H1395" s="1">
        <v>137.238377045574</v>
      </c>
      <c r="I1395" s="1">
        <f t="shared" si="43"/>
        <v>117.16276695913143</v>
      </c>
    </row>
    <row r="1396" spans="1:9" x14ac:dyDescent="0.45">
      <c r="A1396" t="s">
        <v>41</v>
      </c>
      <c r="B1396" t="s">
        <v>27</v>
      </c>
      <c r="C1396" t="str">
        <f t="shared" si="42"/>
        <v>Michigan St.High Point</v>
      </c>
      <c r="D1396" t="s">
        <v>41</v>
      </c>
      <c r="E1396">
        <v>95.3</v>
      </c>
      <c r="F1396" s="1">
        <v>-19.732075471698099</v>
      </c>
      <c r="G1396" s="2">
        <v>-2028.4249591408</v>
      </c>
      <c r="H1396" s="1">
        <v>138.88545675478099</v>
      </c>
      <c r="I1396" s="1">
        <f t="shared" si="43"/>
        <v>140.2905917916417</v>
      </c>
    </row>
    <row r="1397" spans="1:9" x14ac:dyDescent="0.45">
      <c r="A1397" t="s">
        <v>42</v>
      </c>
      <c r="B1397" t="s">
        <v>27</v>
      </c>
      <c r="C1397" t="str">
        <f t="shared" si="42"/>
        <v>MississippiHigh Point</v>
      </c>
      <c r="D1397" t="s">
        <v>42</v>
      </c>
      <c r="E1397">
        <v>84.7</v>
      </c>
      <c r="F1397" s="1">
        <v>-11.2339622641509</v>
      </c>
      <c r="G1397" s="2">
        <v>-554.99303212638699</v>
      </c>
      <c r="H1397" s="1">
        <v>138.15314810467001</v>
      </c>
      <c r="I1397" s="1">
        <f t="shared" si="43"/>
        <v>130.00772200190141</v>
      </c>
    </row>
    <row r="1398" spans="1:9" x14ac:dyDescent="0.45">
      <c r="A1398" t="s">
        <v>43</v>
      </c>
      <c r="B1398" t="s">
        <v>27</v>
      </c>
      <c r="C1398" t="str">
        <f t="shared" si="42"/>
        <v>Mississippi St.High Point</v>
      </c>
      <c r="D1398" t="s">
        <v>43</v>
      </c>
      <c r="E1398">
        <v>81</v>
      </c>
      <c r="F1398" s="1">
        <v>-9.5094339622641506</v>
      </c>
      <c r="G1398" s="2">
        <v>-426.68778925619398</v>
      </c>
      <c r="H1398" s="1">
        <v>138.292894577347</v>
      </c>
      <c r="I1398" s="1">
        <f t="shared" si="43"/>
        <v>131.97000222608722</v>
      </c>
    </row>
    <row r="1399" spans="1:9" x14ac:dyDescent="0.45">
      <c r="A1399" t="s">
        <v>44</v>
      </c>
      <c r="B1399" t="s">
        <v>27</v>
      </c>
      <c r="C1399" t="str">
        <f t="shared" si="42"/>
        <v>MissouriHigh Point</v>
      </c>
      <c r="D1399" t="s">
        <v>44</v>
      </c>
      <c r="E1399">
        <v>66.8</v>
      </c>
      <c r="F1399" s="1">
        <v>-4.5773584905660396</v>
      </c>
      <c r="G1399" s="2">
        <v>-201.01660448001201</v>
      </c>
      <c r="H1399" s="1">
        <v>137.710556475993</v>
      </c>
      <c r="I1399" s="1">
        <f t="shared" si="43"/>
        <v>123.79297622902951</v>
      </c>
    </row>
    <row r="1400" spans="1:9" x14ac:dyDescent="0.45">
      <c r="A1400" t="s">
        <v>45</v>
      </c>
      <c r="B1400" t="s">
        <v>27</v>
      </c>
      <c r="C1400" t="str">
        <f t="shared" si="42"/>
        <v>MontanaHigh Point</v>
      </c>
      <c r="D1400" t="s">
        <v>27</v>
      </c>
      <c r="E1400">
        <v>15.3</v>
      </c>
      <c r="F1400" s="1">
        <v>11.2301886792453</v>
      </c>
      <c r="G1400" s="2">
        <v>554.51565283675097</v>
      </c>
      <c r="H1400" s="1">
        <v>136.84726803939901</v>
      </c>
      <c r="I1400" s="1">
        <f t="shared" si="43"/>
        <v>111.67092552931544</v>
      </c>
    </row>
    <row r="1401" spans="1:9" x14ac:dyDescent="0.45">
      <c r="A1401" t="s">
        <v>46</v>
      </c>
      <c r="B1401" t="s">
        <v>27</v>
      </c>
      <c r="C1401" t="str">
        <f t="shared" si="42"/>
        <v>Mount St. Mary'sHigh Point</v>
      </c>
      <c r="D1401" t="s">
        <v>27</v>
      </c>
      <c r="E1401">
        <v>6.4</v>
      </c>
      <c r="F1401" s="1">
        <v>17.562264150943399</v>
      </c>
      <c r="G1401" s="2">
        <v>1457.26303395541</v>
      </c>
      <c r="H1401" s="1">
        <v>138.15055599355</v>
      </c>
      <c r="I1401" s="1">
        <f t="shared" si="43"/>
        <v>129.9713243147738</v>
      </c>
    </row>
    <row r="1402" spans="1:9" x14ac:dyDescent="0.45">
      <c r="A1402" t="s">
        <v>47</v>
      </c>
      <c r="B1402" t="s">
        <v>27</v>
      </c>
      <c r="C1402" t="str">
        <f t="shared" si="42"/>
        <v>Nebraska OmahaHigh Point</v>
      </c>
      <c r="D1402" t="s">
        <v>27</v>
      </c>
      <c r="E1402">
        <v>8.6999999999999993</v>
      </c>
      <c r="F1402" s="1">
        <v>15.373584905660399</v>
      </c>
      <c r="G1402" s="2">
        <v>1043.3629890161999</v>
      </c>
      <c r="H1402" s="1">
        <v>137.568332125653</v>
      </c>
      <c r="I1402" s="1">
        <f t="shared" si="43"/>
        <v>121.79590235143021</v>
      </c>
    </row>
    <row r="1403" spans="1:9" x14ac:dyDescent="0.45">
      <c r="A1403" t="s">
        <v>48</v>
      </c>
      <c r="B1403" t="s">
        <v>27</v>
      </c>
      <c r="C1403" t="str">
        <f t="shared" si="42"/>
        <v>New MexicoHigh Point</v>
      </c>
      <c r="D1403" t="s">
        <v>48</v>
      </c>
      <c r="E1403">
        <v>69.7</v>
      </c>
      <c r="F1403" s="1">
        <v>-5.4603773584905699</v>
      </c>
      <c r="G1403" s="2">
        <v>-229.95759961068799</v>
      </c>
      <c r="H1403" s="1">
        <v>138.33832205747001</v>
      </c>
      <c r="I1403" s="1">
        <f t="shared" si="43"/>
        <v>132.60788198199361</v>
      </c>
    </row>
    <row r="1404" spans="1:9" x14ac:dyDescent="0.45">
      <c r="A1404" t="s">
        <v>49</v>
      </c>
      <c r="B1404" t="s">
        <v>27</v>
      </c>
      <c r="C1404" t="str">
        <f t="shared" si="42"/>
        <v>Norfolk St.High Point</v>
      </c>
      <c r="D1404" t="s">
        <v>27</v>
      </c>
      <c r="E1404">
        <v>11.9</v>
      </c>
      <c r="F1404" s="1">
        <v>13.1094339622642</v>
      </c>
      <c r="G1404" s="2">
        <v>738.55457137148005</v>
      </c>
      <c r="H1404" s="1">
        <v>137.37444782143399</v>
      </c>
      <c r="I1404" s="1">
        <f t="shared" si="43"/>
        <v>119.07343409401395</v>
      </c>
    </row>
    <row r="1405" spans="1:9" x14ac:dyDescent="0.45">
      <c r="A1405" t="s">
        <v>50</v>
      </c>
      <c r="B1405" t="s">
        <v>27</v>
      </c>
      <c r="C1405" t="str">
        <f t="shared" si="42"/>
        <v>North CarolinaHigh Point</v>
      </c>
      <c r="D1405" t="s">
        <v>50</v>
      </c>
      <c r="E1405">
        <v>88.7</v>
      </c>
      <c r="F1405" s="1">
        <v>-13.5094339622642</v>
      </c>
      <c r="G1405" s="2">
        <v>-785.24426144586403</v>
      </c>
      <c r="H1405" s="1">
        <v>139.44805377590399</v>
      </c>
      <c r="I1405" s="1">
        <f t="shared" si="43"/>
        <v>148.19041915463518</v>
      </c>
    </row>
    <row r="1406" spans="1:9" x14ac:dyDescent="0.45">
      <c r="A1406" t="s">
        <v>51</v>
      </c>
      <c r="B1406" t="s">
        <v>27</v>
      </c>
      <c r="C1406" t="str">
        <f t="shared" si="42"/>
        <v>OklahomaHigh Point</v>
      </c>
      <c r="D1406" t="s">
        <v>51</v>
      </c>
      <c r="E1406">
        <v>73.3</v>
      </c>
      <c r="F1406" s="1">
        <v>-6.6264150943396203</v>
      </c>
      <c r="G1406" s="2">
        <v>-274.80684832580198</v>
      </c>
      <c r="H1406" s="1">
        <v>137.87167690207801</v>
      </c>
      <c r="I1406" s="1">
        <f t="shared" si="43"/>
        <v>126.0553834280275</v>
      </c>
    </row>
    <row r="1407" spans="1:9" x14ac:dyDescent="0.45">
      <c r="A1407" t="s">
        <v>52</v>
      </c>
      <c r="B1407" t="s">
        <v>27</v>
      </c>
      <c r="C1407" t="str">
        <f t="shared" si="42"/>
        <v>OregonHigh Point</v>
      </c>
      <c r="D1407" t="s">
        <v>52</v>
      </c>
      <c r="E1407">
        <v>88.5</v>
      </c>
      <c r="F1407" s="1">
        <v>-13.3924528301887</v>
      </c>
      <c r="G1407" s="2">
        <v>-771.42515631736796</v>
      </c>
      <c r="H1407" s="1">
        <v>138.16239429360701</v>
      </c>
      <c r="I1407" s="1">
        <f t="shared" si="43"/>
        <v>130.13755435725608</v>
      </c>
    </row>
    <row r="1408" spans="1:9" x14ac:dyDescent="0.45">
      <c r="A1408" t="s">
        <v>53</v>
      </c>
      <c r="B1408" t="s">
        <v>27</v>
      </c>
      <c r="C1408" t="str">
        <f t="shared" si="42"/>
        <v>PurdueHigh Point</v>
      </c>
      <c r="D1408" t="s">
        <v>53</v>
      </c>
      <c r="E1408">
        <v>97.8</v>
      </c>
      <c r="F1408" s="1">
        <v>-24.7660377358491</v>
      </c>
      <c r="G1408" s="2">
        <v>-4372.1335278060997</v>
      </c>
      <c r="H1408" s="1">
        <v>139.65048149340501</v>
      </c>
      <c r="I1408" s="1">
        <f t="shared" si="43"/>
        <v>151.03285159153447</v>
      </c>
    </row>
    <row r="1409" spans="1:9" x14ac:dyDescent="0.45">
      <c r="A1409" t="s">
        <v>54</v>
      </c>
      <c r="B1409" t="s">
        <v>27</v>
      </c>
      <c r="C1409" t="str">
        <f t="shared" si="42"/>
        <v>Robert MorrisHigh Point</v>
      </c>
      <c r="D1409" t="s">
        <v>27</v>
      </c>
      <c r="E1409">
        <v>5.0999999999999996</v>
      </c>
      <c r="F1409" s="1">
        <v>19.124528301886802</v>
      </c>
      <c r="G1409" s="2">
        <v>1849.01946621502</v>
      </c>
      <c r="H1409" s="1">
        <v>136.73344682209199</v>
      </c>
      <c r="I1409" s="1">
        <f t="shared" si="43"/>
        <v>110.07268036766065</v>
      </c>
    </row>
    <row r="1410" spans="1:9" x14ac:dyDescent="0.45">
      <c r="A1410" t="s">
        <v>55</v>
      </c>
      <c r="B1410" t="s">
        <v>27</v>
      </c>
      <c r="C1410" t="str">
        <f t="shared" si="42"/>
        <v>Saint FrancisHigh Point</v>
      </c>
      <c r="D1410" t="s">
        <v>27</v>
      </c>
      <c r="E1410">
        <v>3.1</v>
      </c>
      <c r="F1410" s="1">
        <v>22.486792452830201</v>
      </c>
      <c r="G1410" s="2">
        <v>3088.3298410165598</v>
      </c>
      <c r="H1410" s="1">
        <v>137.44029470413599</v>
      </c>
      <c r="I1410" s="1">
        <f t="shared" si="43"/>
        <v>119.99803729347418</v>
      </c>
    </row>
    <row r="1411" spans="1:9" x14ac:dyDescent="0.45">
      <c r="A1411" t="s">
        <v>56</v>
      </c>
      <c r="B1411" t="s">
        <v>27</v>
      </c>
      <c r="C1411" t="str">
        <f t="shared" ref="C1411:C1474" si="44">A1411&amp;B1411</f>
        <v>Saint Mary'sHigh Point</v>
      </c>
      <c r="D1411" t="s">
        <v>56</v>
      </c>
      <c r="E1411">
        <v>88.3</v>
      </c>
      <c r="F1411" s="1">
        <v>-13.2490566037736</v>
      </c>
      <c r="G1411" s="2">
        <v>-754.64117406083403</v>
      </c>
      <c r="H1411" s="1">
        <v>139.16950082007801</v>
      </c>
      <c r="I1411" s="1">
        <f t="shared" ref="I1411:I1474" si="45">18*(H1411-AVERAGE($H$2:$H$4625))/_xlfn.STDEV.P($H$2:$H$4625)+AVERAGE($H$2:$H$4625)</f>
        <v>144.27905777187442</v>
      </c>
    </row>
    <row r="1412" spans="1:9" x14ac:dyDescent="0.45">
      <c r="A1412" t="s">
        <v>57</v>
      </c>
      <c r="B1412" t="s">
        <v>27</v>
      </c>
      <c r="C1412" t="str">
        <f t="shared" si="44"/>
        <v>San Diego St.High Point</v>
      </c>
      <c r="D1412" t="s">
        <v>57</v>
      </c>
      <c r="E1412">
        <v>70.099999999999994</v>
      </c>
      <c r="F1412" s="1">
        <v>-5.5735849056603799</v>
      </c>
      <c r="G1412" s="2">
        <v>-234.06739999986601</v>
      </c>
      <c r="H1412" s="1">
        <v>138.38419998310599</v>
      </c>
      <c r="I1412" s="1">
        <f t="shared" si="45"/>
        <v>133.25208676568238</v>
      </c>
    </row>
    <row r="1413" spans="1:9" x14ac:dyDescent="0.45">
      <c r="A1413" t="s">
        <v>58</v>
      </c>
      <c r="B1413" t="s">
        <v>27</v>
      </c>
      <c r="C1413" t="str">
        <f t="shared" si="44"/>
        <v>SIU EdwardsvilleHigh Point</v>
      </c>
      <c r="D1413" t="s">
        <v>27</v>
      </c>
      <c r="E1413">
        <v>10</v>
      </c>
      <c r="F1413" s="1">
        <v>14.4</v>
      </c>
      <c r="G1413" s="2">
        <v>899.37197043260596</v>
      </c>
      <c r="H1413" s="1">
        <v>138.44345816328999</v>
      </c>
      <c r="I1413" s="1">
        <f t="shared" si="45"/>
        <v>134.08417327827064</v>
      </c>
    </row>
    <row r="1414" spans="1:9" x14ac:dyDescent="0.45">
      <c r="A1414" t="s">
        <v>59</v>
      </c>
      <c r="B1414" t="s">
        <v>27</v>
      </c>
      <c r="C1414" t="str">
        <f t="shared" si="44"/>
        <v>St. John'sHigh Point</v>
      </c>
      <c r="D1414" t="s">
        <v>59</v>
      </c>
      <c r="E1414">
        <v>95.6</v>
      </c>
      <c r="F1414" s="1">
        <v>-20.2339622641509</v>
      </c>
      <c r="G1414" s="2">
        <v>-2189.7278724549301</v>
      </c>
      <c r="H1414" s="1">
        <v>139.262914611844</v>
      </c>
      <c r="I1414" s="1">
        <f t="shared" si="45"/>
        <v>145.59074766813598</v>
      </c>
    </row>
    <row r="1415" spans="1:9" x14ac:dyDescent="0.45">
      <c r="A1415" t="s">
        <v>60</v>
      </c>
      <c r="B1415" t="s">
        <v>27</v>
      </c>
      <c r="C1415" t="str">
        <f t="shared" si="44"/>
        <v>TennesseeHigh Point</v>
      </c>
      <c r="D1415" t="s">
        <v>60</v>
      </c>
      <c r="E1415">
        <v>98</v>
      </c>
      <c r="F1415" s="1">
        <v>-25.449056603773599</v>
      </c>
      <c r="G1415" s="2">
        <v>-4852.2999450772604</v>
      </c>
      <c r="H1415" s="1">
        <v>140.05614698597901</v>
      </c>
      <c r="I1415" s="1">
        <f t="shared" si="45"/>
        <v>156.72909106337076</v>
      </c>
    </row>
    <row r="1416" spans="1:9" x14ac:dyDescent="0.45">
      <c r="A1416" t="s">
        <v>61</v>
      </c>
      <c r="B1416" t="s">
        <v>27</v>
      </c>
      <c r="C1416" t="str">
        <f t="shared" si="44"/>
        <v>TexasHigh Point</v>
      </c>
      <c r="D1416" t="s">
        <v>61</v>
      </c>
      <c r="E1416">
        <v>66</v>
      </c>
      <c r="F1416" s="1">
        <v>-4.3509433962264197</v>
      </c>
      <c r="G1416" s="2">
        <v>-194.22396478582601</v>
      </c>
      <c r="H1416" s="1">
        <v>137.75602881361701</v>
      </c>
      <c r="I1416" s="1">
        <f t="shared" si="45"/>
        <v>124.43148586120699</v>
      </c>
    </row>
    <row r="1417" spans="1:9" x14ac:dyDescent="0.45">
      <c r="A1417" t="s">
        <v>62</v>
      </c>
      <c r="B1417" t="s">
        <v>27</v>
      </c>
      <c r="C1417" t="str">
        <f t="shared" si="44"/>
        <v>Texas A&amp;MHigh Point</v>
      </c>
      <c r="D1417" t="s">
        <v>62</v>
      </c>
      <c r="E1417">
        <v>91.7</v>
      </c>
      <c r="F1417" s="1">
        <v>-15.7547169811321</v>
      </c>
      <c r="G1417" s="2">
        <v>-1105.75037291746</v>
      </c>
      <c r="H1417" s="1">
        <v>138.54300412301501</v>
      </c>
      <c r="I1417" s="1">
        <f t="shared" si="45"/>
        <v>135.4819693329697</v>
      </c>
    </row>
    <row r="1418" spans="1:9" x14ac:dyDescent="0.45">
      <c r="A1418" t="s">
        <v>63</v>
      </c>
      <c r="B1418" t="s">
        <v>27</v>
      </c>
      <c r="C1418" t="str">
        <f t="shared" si="44"/>
        <v>Texas TechHigh Point</v>
      </c>
      <c r="D1418" t="s">
        <v>63</v>
      </c>
      <c r="E1418">
        <v>95.5</v>
      </c>
      <c r="F1418" s="1">
        <v>-20.086792452830199</v>
      </c>
      <c r="G1418" s="2">
        <v>-2141.76854489078</v>
      </c>
      <c r="H1418" s="1">
        <v>139.533516728254</v>
      </c>
      <c r="I1418" s="1">
        <f t="shared" si="45"/>
        <v>149.39046562510742</v>
      </c>
    </row>
    <row r="1419" spans="1:9" x14ac:dyDescent="0.45">
      <c r="A1419" t="s">
        <v>64</v>
      </c>
      <c r="B1419" t="s">
        <v>27</v>
      </c>
      <c r="C1419" t="str">
        <f t="shared" si="44"/>
        <v>TroyHigh Point</v>
      </c>
      <c r="D1419" t="s">
        <v>27</v>
      </c>
      <c r="E1419">
        <v>23.5</v>
      </c>
      <c r="F1419" s="1">
        <v>7.7207547169811299</v>
      </c>
      <c r="G1419" s="2">
        <v>324.76463275288302</v>
      </c>
      <c r="H1419" s="1">
        <v>138.29982132281299</v>
      </c>
      <c r="I1419" s="1">
        <f t="shared" si="45"/>
        <v>132.06726561589241</v>
      </c>
    </row>
    <row r="1420" spans="1:9" x14ac:dyDescent="0.45">
      <c r="A1420" t="s">
        <v>65</v>
      </c>
      <c r="B1420" t="s">
        <v>27</v>
      </c>
      <c r="C1420" t="str">
        <f t="shared" si="44"/>
        <v>UC San DiegoHigh Point</v>
      </c>
      <c r="D1420" t="s">
        <v>27</v>
      </c>
      <c r="E1420">
        <v>44.2</v>
      </c>
      <c r="F1420" s="1">
        <v>1.5396226415094301</v>
      </c>
      <c r="G1420" s="2">
        <v>126.485521436634</v>
      </c>
      <c r="H1420" s="1">
        <v>138.36994155247601</v>
      </c>
      <c r="I1420" s="1">
        <f t="shared" si="45"/>
        <v>133.05187393800117</v>
      </c>
    </row>
    <row r="1421" spans="1:9" x14ac:dyDescent="0.45">
      <c r="A1421" t="s">
        <v>66</v>
      </c>
      <c r="B1421" t="s">
        <v>27</v>
      </c>
      <c r="C1421" t="str">
        <f t="shared" si="44"/>
        <v>UCLAHigh Point</v>
      </c>
      <c r="D1421" t="s">
        <v>66</v>
      </c>
      <c r="E1421">
        <v>73.099999999999994</v>
      </c>
      <c r="F1421" s="1">
        <v>-6.5622641509433999</v>
      </c>
      <c r="G1421" s="2">
        <v>-272.051193863094</v>
      </c>
      <c r="H1421" s="1">
        <v>137.591200131688</v>
      </c>
      <c r="I1421" s="1">
        <f t="shared" si="45"/>
        <v>122.11700838830856</v>
      </c>
    </row>
    <row r="1422" spans="1:9" x14ac:dyDescent="0.45">
      <c r="A1422" t="s">
        <v>67</v>
      </c>
      <c r="B1422" t="s">
        <v>27</v>
      </c>
      <c r="C1422" t="str">
        <f t="shared" si="44"/>
        <v>UNC WilmingtonHigh Point</v>
      </c>
      <c r="D1422" t="s">
        <v>27</v>
      </c>
      <c r="E1422">
        <v>31.4</v>
      </c>
      <c r="F1422" s="1">
        <v>5.1320754716981103</v>
      </c>
      <c r="G1422" s="2">
        <v>218.77807936562999</v>
      </c>
      <c r="H1422" s="1">
        <v>138.90661002313999</v>
      </c>
      <c r="I1422" s="1">
        <f t="shared" si="45"/>
        <v>140.58761996976042</v>
      </c>
    </row>
    <row r="1423" spans="1:9" x14ac:dyDescent="0.45">
      <c r="A1423" t="s">
        <v>68</v>
      </c>
      <c r="B1423" t="s">
        <v>27</v>
      </c>
      <c r="C1423" t="str">
        <f t="shared" si="44"/>
        <v>Utah St.High Point</v>
      </c>
      <c r="D1423" t="s">
        <v>68</v>
      </c>
      <c r="E1423">
        <v>72</v>
      </c>
      <c r="F1423" s="1">
        <v>-6.1962264150943396</v>
      </c>
      <c r="G1423" s="2">
        <v>-257.296798862039</v>
      </c>
      <c r="H1423" s="1">
        <v>138.453796521719</v>
      </c>
      <c r="I1423" s="1">
        <f t="shared" si="45"/>
        <v>134.22934156700936</v>
      </c>
    </row>
    <row r="1424" spans="1:9" x14ac:dyDescent="0.45">
      <c r="A1424" t="s">
        <v>69</v>
      </c>
      <c r="B1424" t="s">
        <v>27</v>
      </c>
      <c r="C1424" t="str">
        <f t="shared" si="44"/>
        <v>VanderbiltHigh Point</v>
      </c>
      <c r="D1424" t="s">
        <v>27</v>
      </c>
      <c r="E1424">
        <v>33.6</v>
      </c>
      <c r="F1424" s="1">
        <v>4.4528301886792496</v>
      </c>
      <c r="G1424" s="2">
        <v>197.235273005143</v>
      </c>
      <c r="H1424" s="1">
        <v>136.88783440300199</v>
      </c>
      <c r="I1424" s="1">
        <f t="shared" si="45"/>
        <v>112.24054686959246</v>
      </c>
    </row>
    <row r="1425" spans="1:9" x14ac:dyDescent="0.45">
      <c r="A1425" t="s">
        <v>70</v>
      </c>
      <c r="B1425" t="s">
        <v>27</v>
      </c>
      <c r="C1425" t="str">
        <f t="shared" si="44"/>
        <v>VCUHigh Point</v>
      </c>
      <c r="D1425" t="s">
        <v>70</v>
      </c>
      <c r="E1425">
        <v>61.9</v>
      </c>
      <c r="F1425" s="1">
        <v>-3.1924528301886799</v>
      </c>
      <c r="G1425" s="2">
        <v>-162.75605868399001</v>
      </c>
      <c r="H1425" s="1">
        <v>138.813007532195</v>
      </c>
      <c r="I1425" s="1">
        <f t="shared" si="45"/>
        <v>139.273280413295</v>
      </c>
    </row>
    <row r="1426" spans="1:9" x14ac:dyDescent="0.45">
      <c r="A1426" t="s">
        <v>71</v>
      </c>
      <c r="B1426" t="s">
        <v>27</v>
      </c>
      <c r="C1426" t="str">
        <f t="shared" si="44"/>
        <v>WisconsinHigh Point</v>
      </c>
      <c r="D1426" t="s">
        <v>71</v>
      </c>
      <c r="E1426">
        <v>94.9</v>
      </c>
      <c r="F1426" s="1">
        <v>-19.147169811320801</v>
      </c>
      <c r="G1426" s="2">
        <v>-1855.3369899051299</v>
      </c>
      <c r="H1426" s="1">
        <v>139.46626314052699</v>
      </c>
      <c r="I1426" s="1">
        <f t="shared" si="45"/>
        <v>148.44610987376555</v>
      </c>
    </row>
    <row r="1427" spans="1:9" x14ac:dyDescent="0.45">
      <c r="A1427" t="s">
        <v>80</v>
      </c>
      <c r="B1427" t="s">
        <v>27</v>
      </c>
      <c r="C1427" t="str">
        <f t="shared" si="44"/>
        <v>WoffordHigh Point</v>
      </c>
      <c r="D1427" t="s">
        <v>27</v>
      </c>
      <c r="E1427">
        <v>13.8</v>
      </c>
      <c r="F1427" s="1">
        <v>12.026415094339599</v>
      </c>
      <c r="G1427" s="2">
        <v>626.41663221951501</v>
      </c>
      <c r="H1427" s="1">
        <v>137.563911569754</v>
      </c>
      <c r="I1427" s="1">
        <f t="shared" si="45"/>
        <v>121.73383016274198</v>
      </c>
    </row>
    <row r="1428" spans="1:9" x14ac:dyDescent="0.45">
      <c r="A1428" t="s">
        <v>72</v>
      </c>
      <c r="B1428" t="s">
        <v>27</v>
      </c>
      <c r="C1428" t="str">
        <f t="shared" si="44"/>
        <v>XavierHigh Point</v>
      </c>
      <c r="D1428" t="s">
        <v>72</v>
      </c>
      <c r="E1428">
        <v>61.7</v>
      </c>
      <c r="F1428" s="1">
        <v>-3.1207547169811298</v>
      </c>
      <c r="G1428" s="2">
        <v>-160.95007337318501</v>
      </c>
      <c r="H1428" s="1">
        <v>138.30671374037499</v>
      </c>
      <c r="I1428" s="1">
        <f t="shared" si="45"/>
        <v>132.1640469830329</v>
      </c>
    </row>
    <row r="1429" spans="1:9" x14ac:dyDescent="0.45">
      <c r="A1429" t="s">
        <v>73</v>
      </c>
      <c r="B1429" t="s">
        <v>27</v>
      </c>
      <c r="C1429" t="str">
        <f t="shared" si="44"/>
        <v>YaleHigh Point</v>
      </c>
      <c r="D1429" t="s">
        <v>27</v>
      </c>
      <c r="E1429">
        <v>45.7</v>
      </c>
      <c r="F1429" s="1">
        <v>1.1283018867924499</v>
      </c>
      <c r="G1429" s="2">
        <v>118.810360173527</v>
      </c>
      <c r="H1429" s="1">
        <v>138.90641987676901</v>
      </c>
      <c r="I1429" s="1">
        <f t="shared" si="45"/>
        <v>140.58494998849841</v>
      </c>
    </row>
    <row r="1430" spans="1:9" x14ac:dyDescent="0.45">
      <c r="A1430" t="s">
        <v>7</v>
      </c>
      <c r="B1430" t="s">
        <v>28</v>
      </c>
      <c r="C1430" t="str">
        <f t="shared" si="44"/>
        <v>AkronHouston</v>
      </c>
      <c r="D1430" t="s">
        <v>28</v>
      </c>
      <c r="E1430">
        <v>0.2</v>
      </c>
      <c r="F1430" s="1">
        <v>40.675471698113199</v>
      </c>
      <c r="G1430" s="2">
        <v>49525.418250275099</v>
      </c>
      <c r="H1430" s="1">
        <v>135.609784580145</v>
      </c>
      <c r="I1430" s="1">
        <f t="shared" si="45"/>
        <v>94.29453474581463</v>
      </c>
    </row>
    <row r="1431" spans="1:9" x14ac:dyDescent="0.45">
      <c r="A1431" t="s">
        <v>8</v>
      </c>
      <c r="B1431" t="s">
        <v>28</v>
      </c>
      <c r="C1431" t="str">
        <f t="shared" si="44"/>
        <v>AlabamaHouston</v>
      </c>
      <c r="D1431" t="s">
        <v>28</v>
      </c>
      <c r="E1431">
        <v>13.2</v>
      </c>
      <c r="F1431" s="1">
        <v>12.3358490566038</v>
      </c>
      <c r="G1431" s="2">
        <v>656.59481306498901</v>
      </c>
      <c r="H1431" s="1">
        <v>137.417395767741</v>
      </c>
      <c r="I1431" s="1">
        <f t="shared" si="45"/>
        <v>119.67649694127762</v>
      </c>
    </row>
    <row r="1432" spans="1:9" x14ac:dyDescent="0.45">
      <c r="A1432" t="s">
        <v>9</v>
      </c>
      <c r="B1432" t="s">
        <v>28</v>
      </c>
      <c r="C1432" t="str">
        <f t="shared" si="44"/>
        <v>Alabama St.Houston</v>
      </c>
      <c r="D1432" t="s">
        <v>28</v>
      </c>
      <c r="E1432">
        <v>0</v>
      </c>
      <c r="F1432" s="1">
        <v>52.996226415094299</v>
      </c>
      <c r="G1432" s="2">
        <v>324278.28645257902</v>
      </c>
      <c r="H1432" s="1">
        <v>135.79654633956699</v>
      </c>
      <c r="I1432" s="1">
        <f t="shared" si="45"/>
        <v>96.916990254906352</v>
      </c>
    </row>
    <row r="1433" spans="1:9" x14ac:dyDescent="0.45">
      <c r="A1433" t="s">
        <v>10</v>
      </c>
      <c r="B1433" t="s">
        <v>28</v>
      </c>
      <c r="C1433" t="str">
        <f t="shared" si="44"/>
        <v>AmericanHouston</v>
      </c>
      <c r="D1433" t="s">
        <v>28</v>
      </c>
      <c r="E1433">
        <v>0</v>
      </c>
      <c r="F1433" s="1">
        <v>52.237735849056598</v>
      </c>
      <c r="G1433" s="2">
        <v>288916.003908118</v>
      </c>
      <c r="H1433" s="1">
        <v>135.55983585932901</v>
      </c>
      <c r="I1433" s="1">
        <f t="shared" si="45"/>
        <v>93.593169013978638</v>
      </c>
    </row>
    <row r="1434" spans="1:9" x14ac:dyDescent="0.45">
      <c r="A1434" t="s">
        <v>11</v>
      </c>
      <c r="B1434" t="s">
        <v>28</v>
      </c>
      <c r="C1434" t="str">
        <f t="shared" si="44"/>
        <v>ArizonaHouston</v>
      </c>
      <c r="D1434" t="s">
        <v>28</v>
      </c>
      <c r="E1434">
        <v>9.1</v>
      </c>
      <c r="F1434" s="1">
        <v>15.090566037735799</v>
      </c>
      <c r="G1434" s="2">
        <v>999.65842465371304</v>
      </c>
      <c r="H1434" s="1">
        <v>137.02787510791799</v>
      </c>
      <c r="I1434" s="1">
        <f t="shared" si="45"/>
        <v>114.20695861919623</v>
      </c>
    </row>
    <row r="1435" spans="1:9" x14ac:dyDescent="0.45">
      <c r="A1435" t="s">
        <v>12</v>
      </c>
      <c r="B1435" t="s">
        <v>28</v>
      </c>
      <c r="C1435" t="str">
        <f t="shared" si="44"/>
        <v>ArkansasHouston</v>
      </c>
      <c r="D1435" t="s">
        <v>28</v>
      </c>
      <c r="E1435">
        <v>0.6</v>
      </c>
      <c r="F1435" s="1">
        <v>32.992452830188697</v>
      </c>
      <c r="G1435" s="2">
        <v>15337.381999164299</v>
      </c>
      <c r="H1435" s="1">
        <v>135.35379908570701</v>
      </c>
      <c r="I1435" s="1">
        <f t="shared" si="45"/>
        <v>90.700059237476353</v>
      </c>
    </row>
    <row r="1436" spans="1:9" x14ac:dyDescent="0.45">
      <c r="A1436" t="s">
        <v>13</v>
      </c>
      <c r="B1436" t="s">
        <v>28</v>
      </c>
      <c r="C1436" t="str">
        <f t="shared" si="44"/>
        <v>AuburnHouston</v>
      </c>
      <c r="D1436" t="s">
        <v>28</v>
      </c>
      <c r="E1436">
        <v>23.1</v>
      </c>
      <c r="F1436" s="1">
        <v>7.8981132075471701</v>
      </c>
      <c r="G1436" s="2">
        <v>333.56995354726598</v>
      </c>
      <c r="H1436" s="1">
        <v>138.439612001093</v>
      </c>
      <c r="I1436" s="1">
        <f t="shared" si="45"/>
        <v>134.03016656258333</v>
      </c>
    </row>
    <row r="1437" spans="1:9" x14ac:dyDescent="0.45">
      <c r="A1437" t="s">
        <v>14</v>
      </c>
      <c r="B1437" t="s">
        <v>28</v>
      </c>
      <c r="C1437" t="str">
        <f t="shared" si="44"/>
        <v>BaylorHouston</v>
      </c>
      <c r="D1437" t="s">
        <v>28</v>
      </c>
      <c r="E1437">
        <v>2.9</v>
      </c>
      <c r="F1437" s="1">
        <v>22.947169811320801</v>
      </c>
      <c r="G1437" s="2">
        <v>3312.44844718787</v>
      </c>
      <c r="H1437" s="1">
        <v>136.90252936227401</v>
      </c>
      <c r="I1437" s="1">
        <f t="shared" si="45"/>
        <v>112.44688930831256</v>
      </c>
    </row>
    <row r="1438" spans="1:9" x14ac:dyDescent="0.45">
      <c r="A1438" t="s">
        <v>15</v>
      </c>
      <c r="B1438" t="s">
        <v>28</v>
      </c>
      <c r="C1438" t="str">
        <f t="shared" si="44"/>
        <v>BryantHouston</v>
      </c>
      <c r="D1438" t="s">
        <v>28</v>
      </c>
      <c r="E1438">
        <v>0.1</v>
      </c>
      <c r="F1438" s="1">
        <v>43.0150943396226</v>
      </c>
      <c r="G1438" s="2">
        <v>70771.913627141796</v>
      </c>
      <c r="H1438" s="1">
        <v>136.494849237919</v>
      </c>
      <c r="I1438" s="1">
        <f t="shared" si="45"/>
        <v>106.72236094998661</v>
      </c>
    </row>
    <row r="1439" spans="1:9" x14ac:dyDescent="0.45">
      <c r="A1439" t="s">
        <v>16</v>
      </c>
      <c r="B1439" t="s">
        <v>28</v>
      </c>
      <c r="C1439" t="str">
        <f t="shared" si="44"/>
        <v>BYUHouston</v>
      </c>
      <c r="D1439" t="s">
        <v>28</v>
      </c>
      <c r="E1439">
        <v>3.4</v>
      </c>
      <c r="F1439" s="1">
        <v>21.852830188679199</v>
      </c>
      <c r="G1439" s="2">
        <v>2803.1051276262801</v>
      </c>
      <c r="H1439" s="1">
        <v>136.66488991236301</v>
      </c>
      <c r="I1439" s="1">
        <f t="shared" si="45"/>
        <v>109.11002373944348</v>
      </c>
    </row>
    <row r="1440" spans="1:9" x14ac:dyDescent="0.45">
      <c r="A1440" t="s">
        <v>17</v>
      </c>
      <c r="B1440" t="s">
        <v>28</v>
      </c>
      <c r="C1440" t="str">
        <f t="shared" si="44"/>
        <v>ClemsonHouston</v>
      </c>
      <c r="D1440" t="s">
        <v>28</v>
      </c>
      <c r="E1440">
        <v>4.8</v>
      </c>
      <c r="F1440" s="1">
        <v>19.6452830188679</v>
      </c>
      <c r="G1440" s="2">
        <v>2002.6184826091001</v>
      </c>
      <c r="H1440" s="1">
        <v>137.01494013480499</v>
      </c>
      <c r="I1440" s="1">
        <f t="shared" si="45"/>
        <v>114.02532940556526</v>
      </c>
    </row>
    <row r="1441" spans="1:9" x14ac:dyDescent="0.45">
      <c r="A1441" t="s">
        <v>18</v>
      </c>
      <c r="B1441" t="s">
        <v>28</v>
      </c>
      <c r="C1441" t="str">
        <f t="shared" si="44"/>
        <v>Colorado St.Houston</v>
      </c>
      <c r="D1441" t="s">
        <v>28</v>
      </c>
      <c r="E1441">
        <v>0.8</v>
      </c>
      <c r="F1441" s="1">
        <v>31.430188679245301</v>
      </c>
      <c r="G1441" s="2">
        <v>12082.6478187547</v>
      </c>
      <c r="H1441" s="1">
        <v>136.404551109599</v>
      </c>
      <c r="I1441" s="1">
        <f t="shared" si="45"/>
        <v>105.45442031371103</v>
      </c>
    </row>
    <row r="1442" spans="1:9" x14ac:dyDescent="0.45">
      <c r="A1442" t="s">
        <v>19</v>
      </c>
      <c r="B1442" t="s">
        <v>28</v>
      </c>
      <c r="C1442" t="str">
        <f t="shared" si="44"/>
        <v>ConnecticutHouston</v>
      </c>
      <c r="D1442" t="s">
        <v>28</v>
      </c>
      <c r="E1442">
        <v>7.2</v>
      </c>
      <c r="F1442" s="1">
        <v>16.754716981132098</v>
      </c>
      <c r="G1442" s="2">
        <v>1287.98822215122</v>
      </c>
      <c r="H1442" s="1">
        <v>136.815190965553</v>
      </c>
      <c r="I1442" s="1">
        <f t="shared" si="45"/>
        <v>111.22050838137594</v>
      </c>
    </row>
    <row r="1443" spans="1:9" x14ac:dyDescent="0.45">
      <c r="A1443" t="s">
        <v>20</v>
      </c>
      <c r="B1443" t="s">
        <v>28</v>
      </c>
      <c r="C1443" t="str">
        <f t="shared" si="44"/>
        <v>CreightonHouston</v>
      </c>
      <c r="D1443" t="s">
        <v>28</v>
      </c>
      <c r="E1443">
        <v>2.2999999999999998</v>
      </c>
      <c r="F1443" s="1">
        <v>24.4603773584906</v>
      </c>
      <c r="G1443" s="2">
        <v>4173.9241401604004</v>
      </c>
      <c r="H1443" s="1">
        <v>136.36448771839201</v>
      </c>
      <c r="I1443" s="1">
        <f t="shared" si="45"/>
        <v>104.89186156876869</v>
      </c>
    </row>
    <row r="1444" spans="1:9" x14ac:dyDescent="0.45">
      <c r="A1444" t="s">
        <v>21</v>
      </c>
      <c r="B1444" t="s">
        <v>28</v>
      </c>
      <c r="C1444" t="str">
        <f t="shared" si="44"/>
        <v>DrakeHouston</v>
      </c>
      <c r="D1444" t="s">
        <v>28</v>
      </c>
      <c r="E1444">
        <v>0.8</v>
      </c>
      <c r="F1444" s="1">
        <v>31.633962264150899</v>
      </c>
      <c r="G1444" s="2">
        <v>12466.1470374165</v>
      </c>
      <c r="H1444" s="1">
        <v>136.599163524067</v>
      </c>
      <c r="I1444" s="1">
        <f t="shared" si="45"/>
        <v>108.18711248816248</v>
      </c>
    </row>
    <row r="1445" spans="1:9" x14ac:dyDescent="0.45">
      <c r="A1445" t="s">
        <v>22</v>
      </c>
      <c r="B1445" t="s">
        <v>28</v>
      </c>
      <c r="C1445" t="str">
        <f t="shared" si="44"/>
        <v>DukeHouston</v>
      </c>
      <c r="D1445" t="s">
        <v>28</v>
      </c>
      <c r="E1445">
        <v>29.6</v>
      </c>
      <c r="F1445" s="1">
        <v>5.6830188679245301</v>
      </c>
      <c r="G1445" s="2">
        <v>237.94677286652001</v>
      </c>
      <c r="H1445" s="1">
        <v>138.67950341266899</v>
      </c>
      <c r="I1445" s="1">
        <f t="shared" si="45"/>
        <v>137.39865353667429</v>
      </c>
    </row>
    <row r="1446" spans="1:9" x14ac:dyDescent="0.45">
      <c r="A1446" t="s">
        <v>23</v>
      </c>
      <c r="B1446" t="s">
        <v>28</v>
      </c>
      <c r="C1446" t="str">
        <f t="shared" si="44"/>
        <v>FloridaHouston</v>
      </c>
      <c r="D1446" t="s">
        <v>28</v>
      </c>
      <c r="E1446">
        <v>18.899999999999999</v>
      </c>
      <c r="F1446" s="1">
        <v>9.5396226415094301</v>
      </c>
      <c r="G1446" s="2">
        <v>428.560341304335</v>
      </c>
      <c r="H1446" s="1">
        <v>138.414153940223</v>
      </c>
      <c r="I1446" s="1">
        <f t="shared" si="45"/>
        <v>133.67269171234668</v>
      </c>
    </row>
    <row r="1447" spans="1:9" x14ac:dyDescent="0.45">
      <c r="A1447" t="s">
        <v>24</v>
      </c>
      <c r="B1447" t="s">
        <v>28</v>
      </c>
      <c r="C1447" t="str">
        <f t="shared" si="44"/>
        <v>GeorgiaHouston</v>
      </c>
      <c r="D1447" t="s">
        <v>28</v>
      </c>
      <c r="E1447">
        <v>0.9</v>
      </c>
      <c r="F1447" s="1">
        <v>30.6</v>
      </c>
      <c r="G1447" s="2">
        <v>10649.4578063063</v>
      </c>
      <c r="H1447" s="1">
        <v>135.67811223650801</v>
      </c>
      <c r="I1447" s="1">
        <f t="shared" si="45"/>
        <v>95.253972263468526</v>
      </c>
    </row>
    <row r="1448" spans="1:9" x14ac:dyDescent="0.45">
      <c r="A1448" t="s">
        <v>25</v>
      </c>
      <c r="B1448" t="s">
        <v>28</v>
      </c>
      <c r="C1448" t="str">
        <f t="shared" si="44"/>
        <v>GonzagaHouston</v>
      </c>
      <c r="D1448" t="s">
        <v>28</v>
      </c>
      <c r="E1448">
        <v>4.5</v>
      </c>
      <c r="F1448" s="1">
        <v>19.969811320754701</v>
      </c>
      <c r="G1448" s="2">
        <v>2104.2079376123202</v>
      </c>
      <c r="H1448" s="1">
        <v>137.655073967014</v>
      </c>
      <c r="I1448" s="1">
        <f t="shared" si="45"/>
        <v>123.01390661766732</v>
      </c>
    </row>
    <row r="1449" spans="1:9" x14ac:dyDescent="0.45">
      <c r="A1449" t="s">
        <v>26</v>
      </c>
      <c r="B1449" t="s">
        <v>28</v>
      </c>
      <c r="C1449" t="str">
        <f t="shared" si="44"/>
        <v>Grand CanyonHouston</v>
      </c>
      <c r="D1449" t="s">
        <v>28</v>
      </c>
      <c r="E1449">
        <v>0.5</v>
      </c>
      <c r="F1449" s="1">
        <v>34.520754716981102</v>
      </c>
      <c r="G1449" s="2">
        <v>19367.2290795958</v>
      </c>
      <c r="H1449" s="1">
        <v>136.47304568455399</v>
      </c>
      <c r="I1449" s="1">
        <f t="shared" si="45"/>
        <v>106.41620165476046</v>
      </c>
    </row>
    <row r="1450" spans="1:9" x14ac:dyDescent="0.45">
      <c r="A1450" t="s">
        <v>27</v>
      </c>
      <c r="B1450" t="s">
        <v>28</v>
      </c>
      <c r="C1450" t="str">
        <f t="shared" si="44"/>
        <v>High PointHouston</v>
      </c>
      <c r="D1450" t="s">
        <v>28</v>
      </c>
      <c r="E1450">
        <v>0.3</v>
      </c>
      <c r="F1450" s="1">
        <v>37.611320754716999</v>
      </c>
      <c r="G1450" s="2">
        <v>31027.697646050401</v>
      </c>
      <c r="H1450" s="1">
        <v>136.664252818102</v>
      </c>
      <c r="I1450" s="1">
        <f t="shared" si="45"/>
        <v>109.10107784302568</v>
      </c>
    </row>
    <row r="1451" spans="1:9" x14ac:dyDescent="0.45">
      <c r="A1451" t="s">
        <v>28</v>
      </c>
      <c r="B1451" t="s">
        <v>28</v>
      </c>
      <c r="C1451" t="str">
        <f t="shared" si="44"/>
        <v>HoustonHouston</v>
      </c>
      <c r="D1451" t="s">
        <v>28</v>
      </c>
      <c r="E1451">
        <v>41.2</v>
      </c>
      <c r="F1451" s="1">
        <v>2.3283018867924499</v>
      </c>
      <c r="G1451" s="2">
        <v>142.64273539779199</v>
      </c>
      <c r="H1451" s="1">
        <v>138.77771517530499</v>
      </c>
      <c r="I1451" s="1">
        <f t="shared" si="45"/>
        <v>138.77771517530684</v>
      </c>
    </row>
    <row r="1452" spans="1:9" x14ac:dyDescent="0.45">
      <c r="A1452" t="s">
        <v>29</v>
      </c>
      <c r="B1452" t="s">
        <v>28</v>
      </c>
      <c r="C1452" t="str">
        <f t="shared" si="44"/>
        <v>IllinoisHouston</v>
      </c>
      <c r="D1452" t="s">
        <v>28</v>
      </c>
      <c r="E1452">
        <v>6.5</v>
      </c>
      <c r="F1452" s="1">
        <v>17.5169811320755</v>
      </c>
      <c r="G1452" s="2">
        <v>1446.9823658370301</v>
      </c>
      <c r="H1452" s="1">
        <v>136.836178950267</v>
      </c>
      <c r="I1452" s="1">
        <f t="shared" si="45"/>
        <v>111.51521569355965</v>
      </c>
    </row>
    <row r="1453" spans="1:9" x14ac:dyDescent="0.45">
      <c r="A1453" t="s">
        <v>30</v>
      </c>
      <c r="B1453" t="s">
        <v>28</v>
      </c>
      <c r="C1453" t="str">
        <f t="shared" si="44"/>
        <v>Iowa St.Houston</v>
      </c>
      <c r="D1453" t="s">
        <v>28</v>
      </c>
      <c r="E1453">
        <v>12.7</v>
      </c>
      <c r="F1453" s="1">
        <v>12.6566037735849</v>
      </c>
      <c r="G1453" s="2">
        <v>689.29825521640305</v>
      </c>
      <c r="H1453" s="1">
        <v>137.732721241853</v>
      </c>
      <c r="I1453" s="1">
        <f t="shared" si="45"/>
        <v>124.1042075673783</v>
      </c>
    </row>
    <row r="1454" spans="1:9" x14ac:dyDescent="0.45">
      <c r="A1454" t="s">
        <v>31</v>
      </c>
      <c r="B1454" t="s">
        <v>28</v>
      </c>
      <c r="C1454" t="str">
        <f t="shared" si="44"/>
        <v>KansasHouston</v>
      </c>
      <c r="D1454" t="s">
        <v>28</v>
      </c>
      <c r="E1454">
        <v>4.3</v>
      </c>
      <c r="F1454" s="1">
        <v>20.3698113207547</v>
      </c>
      <c r="G1454" s="2">
        <v>2236.7019430012101</v>
      </c>
      <c r="H1454" s="1">
        <v>136.78330913070701</v>
      </c>
      <c r="I1454" s="1">
        <f t="shared" si="45"/>
        <v>110.772832723947</v>
      </c>
    </row>
    <row r="1455" spans="1:9" x14ac:dyDescent="0.45">
      <c r="A1455" t="s">
        <v>32</v>
      </c>
      <c r="B1455" t="s">
        <v>28</v>
      </c>
      <c r="C1455" t="str">
        <f t="shared" si="44"/>
        <v>KentuckyHouston</v>
      </c>
      <c r="D1455" t="s">
        <v>28</v>
      </c>
      <c r="E1455">
        <v>7</v>
      </c>
      <c r="F1455" s="1">
        <v>17.0075471698113</v>
      </c>
      <c r="G1455" s="2">
        <v>1338.8199407458301</v>
      </c>
      <c r="H1455" s="1">
        <v>136.71759146283199</v>
      </c>
      <c r="I1455" s="1">
        <f t="shared" si="45"/>
        <v>109.85004392233743</v>
      </c>
    </row>
    <row r="1456" spans="1:9" x14ac:dyDescent="0.45">
      <c r="A1456" t="s">
        <v>33</v>
      </c>
      <c r="B1456" t="s">
        <v>28</v>
      </c>
      <c r="C1456" t="str">
        <f t="shared" si="44"/>
        <v>LibertyHouston</v>
      </c>
      <c r="D1456" t="s">
        <v>28</v>
      </c>
      <c r="E1456">
        <v>0.2</v>
      </c>
      <c r="F1456" s="1">
        <v>39.992452830188697</v>
      </c>
      <c r="G1456" s="2">
        <v>44622.108428716798</v>
      </c>
      <c r="H1456" s="1">
        <v>136.06259250655</v>
      </c>
      <c r="I1456" s="1">
        <f t="shared" si="45"/>
        <v>100.65273486577675</v>
      </c>
    </row>
    <row r="1457" spans="1:9" x14ac:dyDescent="0.45">
      <c r="A1457" t="s">
        <v>34</v>
      </c>
      <c r="B1457" t="s">
        <v>28</v>
      </c>
      <c r="C1457" t="str">
        <f t="shared" si="44"/>
        <v>LipscombHouston</v>
      </c>
      <c r="D1457" t="s">
        <v>28</v>
      </c>
      <c r="E1457">
        <v>0.2</v>
      </c>
      <c r="F1457" s="1">
        <v>41.860377358490602</v>
      </c>
      <c r="G1457" s="2">
        <v>59312.794725866697</v>
      </c>
      <c r="H1457" s="1">
        <v>136.46891070414199</v>
      </c>
      <c r="I1457" s="1">
        <f t="shared" si="45"/>
        <v>106.35813943584043</v>
      </c>
    </row>
    <row r="1458" spans="1:9" x14ac:dyDescent="0.45">
      <c r="A1458" t="s">
        <v>35</v>
      </c>
      <c r="B1458" t="s">
        <v>28</v>
      </c>
      <c r="C1458" t="str">
        <f t="shared" si="44"/>
        <v>LouisvilleHouston</v>
      </c>
      <c r="D1458" t="s">
        <v>28</v>
      </c>
      <c r="E1458">
        <v>0.4</v>
      </c>
      <c r="F1458" s="1">
        <v>35.811320754717002</v>
      </c>
      <c r="G1458" s="2">
        <v>23572.766415669099</v>
      </c>
      <c r="H1458" s="1">
        <v>135.714272709959</v>
      </c>
      <c r="I1458" s="1">
        <f t="shared" si="45"/>
        <v>95.76172734730585</v>
      </c>
    </row>
    <row r="1459" spans="1:9" x14ac:dyDescent="0.45">
      <c r="A1459" t="s">
        <v>36</v>
      </c>
      <c r="B1459" t="s">
        <v>28</v>
      </c>
      <c r="C1459" t="str">
        <f t="shared" si="44"/>
        <v>MarquetteHouston</v>
      </c>
      <c r="D1459" t="s">
        <v>28</v>
      </c>
      <c r="E1459">
        <v>5.4</v>
      </c>
      <c r="F1459" s="1">
        <v>18.743396226415101</v>
      </c>
      <c r="G1459" s="2">
        <v>1744.4850635394</v>
      </c>
      <c r="H1459" s="1">
        <v>136.97640655342099</v>
      </c>
      <c r="I1459" s="1">
        <f t="shared" si="45"/>
        <v>113.48425181506568</v>
      </c>
    </row>
    <row r="1460" spans="1:9" x14ac:dyDescent="0.45">
      <c r="A1460" t="s">
        <v>37</v>
      </c>
      <c r="B1460" t="s">
        <v>28</v>
      </c>
      <c r="C1460" t="str">
        <f t="shared" si="44"/>
        <v>MarylandHouston</v>
      </c>
      <c r="D1460" t="s">
        <v>28</v>
      </c>
      <c r="E1460">
        <v>3.4</v>
      </c>
      <c r="F1460" s="1">
        <v>21.909433962264199</v>
      </c>
      <c r="G1460" s="2">
        <v>2828.1411897655498</v>
      </c>
      <c r="H1460" s="1">
        <v>136.434776151964</v>
      </c>
      <c r="I1460" s="1">
        <f t="shared" si="45"/>
        <v>105.8788317623285</v>
      </c>
    </row>
    <row r="1461" spans="1:9" x14ac:dyDescent="0.45">
      <c r="A1461" t="s">
        <v>38</v>
      </c>
      <c r="B1461" t="s">
        <v>28</v>
      </c>
      <c r="C1461" t="str">
        <f t="shared" si="44"/>
        <v>McNeese St.Houston</v>
      </c>
      <c r="D1461" t="s">
        <v>28</v>
      </c>
      <c r="E1461">
        <v>0.8</v>
      </c>
      <c r="F1461" s="1">
        <v>31.449056603773599</v>
      </c>
      <c r="G1461" s="2">
        <v>12121.9017771701</v>
      </c>
      <c r="H1461" s="1">
        <v>137.02801156492899</v>
      </c>
      <c r="I1461" s="1">
        <f t="shared" si="45"/>
        <v>114.20887470973504</v>
      </c>
    </row>
    <row r="1462" spans="1:9" x14ac:dyDescent="0.45">
      <c r="A1462" t="s">
        <v>39</v>
      </c>
      <c r="B1462" t="s">
        <v>28</v>
      </c>
      <c r="C1462" t="str">
        <f t="shared" si="44"/>
        <v>MemphisHouston</v>
      </c>
      <c r="D1462" t="s">
        <v>28</v>
      </c>
      <c r="E1462">
        <v>2</v>
      </c>
      <c r="F1462" s="1">
        <v>25.675471698113199</v>
      </c>
      <c r="G1462" s="2">
        <v>5022.2861525482203</v>
      </c>
      <c r="H1462" s="1">
        <v>135.56229339145401</v>
      </c>
      <c r="I1462" s="1">
        <f t="shared" si="45"/>
        <v>93.627676981133703</v>
      </c>
    </row>
    <row r="1463" spans="1:9" x14ac:dyDescent="0.45">
      <c r="A1463" t="s">
        <v>40</v>
      </c>
      <c r="B1463" t="s">
        <v>28</v>
      </c>
      <c r="C1463" t="str">
        <f t="shared" si="44"/>
        <v>MichiganHouston</v>
      </c>
      <c r="D1463" t="s">
        <v>28</v>
      </c>
      <c r="E1463">
        <v>1</v>
      </c>
      <c r="F1463" s="1">
        <v>30.2981132075472</v>
      </c>
      <c r="G1463" s="2">
        <v>10169.417744866199</v>
      </c>
      <c r="H1463" s="1">
        <v>135.12491468837101</v>
      </c>
      <c r="I1463" s="1">
        <f t="shared" si="45"/>
        <v>87.486129626850271</v>
      </c>
    </row>
    <row r="1464" spans="1:9" x14ac:dyDescent="0.45">
      <c r="A1464" t="s">
        <v>41</v>
      </c>
      <c r="B1464" t="s">
        <v>28</v>
      </c>
      <c r="C1464" t="str">
        <f t="shared" si="44"/>
        <v>Michigan St.Houston</v>
      </c>
      <c r="D1464" t="s">
        <v>28</v>
      </c>
      <c r="E1464">
        <v>8.5</v>
      </c>
      <c r="F1464" s="1">
        <v>15.550943396226399</v>
      </c>
      <c r="G1464" s="2">
        <v>1072.3608405648099</v>
      </c>
      <c r="H1464" s="1">
        <v>136.771994397578</v>
      </c>
      <c r="I1464" s="1">
        <f t="shared" si="45"/>
        <v>110.61395445936054</v>
      </c>
    </row>
    <row r="1465" spans="1:9" x14ac:dyDescent="0.45">
      <c r="A1465" t="s">
        <v>42</v>
      </c>
      <c r="B1465" t="s">
        <v>28</v>
      </c>
      <c r="C1465" t="str">
        <f t="shared" si="44"/>
        <v>MississippiHouston</v>
      </c>
      <c r="D1465" t="s">
        <v>28</v>
      </c>
      <c r="E1465">
        <v>2.5</v>
      </c>
      <c r="F1465" s="1">
        <v>24.0490566037736</v>
      </c>
      <c r="G1465" s="2">
        <v>3919.33478132664</v>
      </c>
      <c r="H1465" s="1">
        <v>136.03968574746699</v>
      </c>
      <c r="I1465" s="1">
        <f t="shared" si="45"/>
        <v>100.33108466961986</v>
      </c>
    </row>
    <row r="1466" spans="1:9" x14ac:dyDescent="0.45">
      <c r="A1466" t="s">
        <v>43</v>
      </c>
      <c r="B1466" t="s">
        <v>28</v>
      </c>
      <c r="C1466" t="str">
        <f t="shared" si="44"/>
        <v>Mississippi St.Houston</v>
      </c>
      <c r="D1466" t="s">
        <v>28</v>
      </c>
      <c r="E1466">
        <v>1.9</v>
      </c>
      <c r="F1466" s="1">
        <v>25.7735849056604</v>
      </c>
      <c r="G1466" s="2">
        <v>5097.8808135070303</v>
      </c>
      <c r="H1466" s="1">
        <v>136.17943222014401</v>
      </c>
      <c r="I1466" s="1">
        <f t="shared" si="45"/>
        <v>102.29336489380606</v>
      </c>
    </row>
    <row r="1467" spans="1:9" x14ac:dyDescent="0.45">
      <c r="A1467" t="s">
        <v>44</v>
      </c>
      <c r="B1467" t="s">
        <v>28</v>
      </c>
      <c r="C1467" t="str">
        <f t="shared" si="44"/>
        <v>MissouriHouston</v>
      </c>
      <c r="D1467" t="s">
        <v>28</v>
      </c>
      <c r="E1467">
        <v>0.9</v>
      </c>
      <c r="F1467" s="1">
        <v>30.705660377358502</v>
      </c>
      <c r="G1467" s="2">
        <v>10821.0140144078</v>
      </c>
      <c r="H1467" s="1">
        <v>135.59709411879001</v>
      </c>
      <c r="I1467" s="1">
        <f t="shared" si="45"/>
        <v>94.116338896748331</v>
      </c>
    </row>
    <row r="1468" spans="1:9" x14ac:dyDescent="0.45">
      <c r="A1468" t="s">
        <v>45</v>
      </c>
      <c r="B1468" t="s">
        <v>28</v>
      </c>
      <c r="C1468" t="str">
        <f t="shared" si="44"/>
        <v>MontanaHouston</v>
      </c>
      <c r="D1468" t="s">
        <v>28</v>
      </c>
      <c r="E1468">
        <v>0.1</v>
      </c>
      <c r="F1468" s="1">
        <v>46.513207547169799</v>
      </c>
      <c r="G1468" s="2">
        <v>120618.43856429101</v>
      </c>
      <c r="H1468" s="1">
        <v>134.73380568219599</v>
      </c>
      <c r="I1468" s="1">
        <f t="shared" si="45"/>
        <v>81.994288197033868</v>
      </c>
    </row>
    <row r="1469" spans="1:9" x14ac:dyDescent="0.45">
      <c r="A1469" t="s">
        <v>46</v>
      </c>
      <c r="B1469" t="s">
        <v>28</v>
      </c>
      <c r="C1469" t="str">
        <f t="shared" si="44"/>
        <v>Mount St. Mary'sHouston</v>
      </c>
      <c r="D1469" t="s">
        <v>28</v>
      </c>
      <c r="E1469">
        <v>0</v>
      </c>
      <c r="F1469" s="1">
        <v>52.845283018867903</v>
      </c>
      <c r="G1469" s="2">
        <v>316984.364343833</v>
      </c>
      <c r="H1469" s="1">
        <v>136.03709363634701</v>
      </c>
      <c r="I1469" s="1">
        <f t="shared" si="45"/>
        <v>100.29468698249264</v>
      </c>
    </row>
    <row r="1470" spans="1:9" x14ac:dyDescent="0.45">
      <c r="A1470" t="s">
        <v>47</v>
      </c>
      <c r="B1470" t="s">
        <v>28</v>
      </c>
      <c r="C1470" t="str">
        <f t="shared" si="44"/>
        <v>Nebraska OmahaHouston</v>
      </c>
      <c r="D1470" t="s">
        <v>28</v>
      </c>
      <c r="E1470">
        <v>0</v>
      </c>
      <c r="F1470" s="1">
        <v>50.656603773584898</v>
      </c>
      <c r="G1470" s="2">
        <v>226952.681943417</v>
      </c>
      <c r="H1470" s="1">
        <v>135.45486976845001</v>
      </c>
      <c r="I1470" s="1">
        <f t="shared" si="45"/>
        <v>92.11926501914904</v>
      </c>
    </row>
    <row r="1471" spans="1:9" x14ac:dyDescent="0.45">
      <c r="A1471" t="s">
        <v>48</v>
      </c>
      <c r="B1471" t="s">
        <v>28</v>
      </c>
      <c r="C1471" t="str">
        <f t="shared" si="44"/>
        <v>New MexicoHouston</v>
      </c>
      <c r="D1471" t="s">
        <v>28</v>
      </c>
      <c r="E1471">
        <v>1</v>
      </c>
      <c r="F1471" s="1">
        <v>29.822641509434</v>
      </c>
      <c r="G1471" s="2">
        <v>9459.1502863546903</v>
      </c>
      <c r="H1471" s="1">
        <v>136.22485970026699</v>
      </c>
      <c r="I1471" s="1">
        <f t="shared" si="45"/>
        <v>102.93124464971206</v>
      </c>
    </row>
    <row r="1472" spans="1:9" x14ac:dyDescent="0.45">
      <c r="A1472" t="s">
        <v>49</v>
      </c>
      <c r="B1472" t="s">
        <v>28</v>
      </c>
      <c r="C1472" t="str">
        <f t="shared" si="44"/>
        <v>Norfolk St.Houston</v>
      </c>
      <c r="D1472" t="s">
        <v>28</v>
      </c>
      <c r="E1472">
        <v>0.1</v>
      </c>
      <c r="F1472" s="1">
        <v>48.392452830188702</v>
      </c>
      <c r="G1472" s="2">
        <v>160650.64843097099</v>
      </c>
      <c r="H1472" s="1">
        <v>135.260985464231</v>
      </c>
      <c r="I1472" s="1">
        <f t="shared" si="45"/>
        <v>89.396796761732787</v>
      </c>
    </row>
    <row r="1473" spans="1:9" x14ac:dyDescent="0.45">
      <c r="A1473" t="s">
        <v>50</v>
      </c>
      <c r="B1473" t="s">
        <v>28</v>
      </c>
      <c r="C1473" t="str">
        <f t="shared" si="44"/>
        <v>North CarolinaHouston</v>
      </c>
      <c r="D1473" t="s">
        <v>28</v>
      </c>
      <c r="E1473">
        <v>3.5</v>
      </c>
      <c r="F1473" s="1">
        <v>21.7735849056604</v>
      </c>
      <c r="G1473" s="2">
        <v>2770.0979185784799</v>
      </c>
      <c r="H1473" s="1">
        <v>137.3345914187</v>
      </c>
      <c r="I1473" s="1">
        <f t="shared" si="45"/>
        <v>118.51378182234006</v>
      </c>
    </row>
    <row r="1474" spans="1:9" x14ac:dyDescent="0.45">
      <c r="A1474" t="s">
        <v>51</v>
      </c>
      <c r="B1474" t="s">
        <v>28</v>
      </c>
      <c r="C1474" t="str">
        <f t="shared" si="44"/>
        <v>OklahomaHouston</v>
      </c>
      <c r="D1474" t="s">
        <v>28</v>
      </c>
      <c r="E1474">
        <v>1.2</v>
      </c>
      <c r="F1474" s="1">
        <v>28.656603773584902</v>
      </c>
      <c r="G1474" s="2">
        <v>7915.3904186115196</v>
      </c>
      <c r="H1474" s="1">
        <v>135.75821454487499</v>
      </c>
      <c r="I1474" s="1">
        <f t="shared" si="45"/>
        <v>96.378746095745939</v>
      </c>
    </row>
    <row r="1475" spans="1:9" x14ac:dyDescent="0.45">
      <c r="A1475" t="s">
        <v>52</v>
      </c>
      <c r="B1475" t="s">
        <v>28</v>
      </c>
      <c r="C1475" t="str">
        <f t="shared" ref="C1475:C1538" si="46">A1475&amp;B1475</f>
        <v>OregonHouston</v>
      </c>
      <c r="D1475" t="s">
        <v>28</v>
      </c>
      <c r="E1475">
        <v>3.4</v>
      </c>
      <c r="F1475" s="1">
        <v>21.890566037735901</v>
      </c>
      <c r="G1475" s="2">
        <v>2819.7207161234901</v>
      </c>
      <c r="H1475" s="1">
        <v>136.04893193640399</v>
      </c>
      <c r="I1475" s="1">
        <f t="shared" ref="I1475:I1538" si="47">18*(H1475-AVERAGE($H$2:$H$4625))/_xlfn.STDEV.P($H$2:$H$4625)+AVERAGE($H$2:$H$4625)</f>
        <v>100.46091702497449</v>
      </c>
    </row>
    <row r="1476" spans="1:9" x14ac:dyDescent="0.45">
      <c r="A1476" t="s">
        <v>53</v>
      </c>
      <c r="B1476" t="s">
        <v>28</v>
      </c>
      <c r="C1476" t="str">
        <f t="shared" si="46"/>
        <v>PurdueHouston</v>
      </c>
      <c r="D1476" t="s">
        <v>28</v>
      </c>
      <c r="E1476">
        <v>16.7</v>
      </c>
      <c r="F1476" s="1">
        <v>10.5169811320755</v>
      </c>
      <c r="G1476" s="2">
        <v>497.51533899248898</v>
      </c>
      <c r="H1476" s="1">
        <v>137.53701913620199</v>
      </c>
      <c r="I1476" s="1">
        <f t="shared" si="47"/>
        <v>121.35621425925289</v>
      </c>
    </row>
    <row r="1477" spans="1:9" x14ac:dyDescent="0.45">
      <c r="A1477" t="s">
        <v>54</v>
      </c>
      <c r="B1477" t="s">
        <v>28</v>
      </c>
      <c r="C1477" t="str">
        <f t="shared" si="46"/>
        <v>Robert MorrisHouston</v>
      </c>
      <c r="D1477" t="s">
        <v>28</v>
      </c>
      <c r="E1477">
        <v>0</v>
      </c>
      <c r="F1477" s="1">
        <v>54.407547169811302</v>
      </c>
      <c r="G1477" s="2">
        <v>402199.36037674599</v>
      </c>
      <c r="H1477" s="1">
        <v>134.619984464889</v>
      </c>
      <c r="I1477" s="1">
        <f t="shared" si="47"/>
        <v>80.396043035379478</v>
      </c>
    </row>
    <row r="1478" spans="1:9" x14ac:dyDescent="0.45">
      <c r="A1478" t="s">
        <v>55</v>
      </c>
      <c r="B1478" t="s">
        <v>28</v>
      </c>
      <c r="C1478" t="str">
        <f t="shared" si="46"/>
        <v>Saint FrancisHouston</v>
      </c>
      <c r="D1478" t="s">
        <v>28</v>
      </c>
      <c r="E1478">
        <v>0</v>
      </c>
      <c r="F1478" s="1">
        <v>57.769811320754698</v>
      </c>
      <c r="G1478" s="2">
        <v>671774.58614425897</v>
      </c>
      <c r="H1478" s="1">
        <v>135.32683234693201</v>
      </c>
      <c r="I1478" s="1">
        <f t="shared" si="47"/>
        <v>90.321399961179054</v>
      </c>
    </row>
    <row r="1479" spans="1:9" x14ac:dyDescent="0.45">
      <c r="A1479" t="s">
        <v>56</v>
      </c>
      <c r="B1479" t="s">
        <v>28</v>
      </c>
      <c r="C1479" t="str">
        <f t="shared" si="46"/>
        <v>Saint Mary'sHouston</v>
      </c>
      <c r="D1479" t="s">
        <v>28</v>
      </c>
      <c r="E1479">
        <v>3.4</v>
      </c>
      <c r="F1479" s="1">
        <v>22.033962264150901</v>
      </c>
      <c r="G1479" s="2">
        <v>2882.4341541050499</v>
      </c>
      <c r="H1479" s="1">
        <v>137.056038462874</v>
      </c>
      <c r="I1479" s="1">
        <f t="shared" si="47"/>
        <v>114.60242043957889</v>
      </c>
    </row>
    <row r="1480" spans="1:9" x14ac:dyDescent="0.45">
      <c r="A1480" t="s">
        <v>57</v>
      </c>
      <c r="B1480" t="s">
        <v>28</v>
      </c>
      <c r="C1480" t="str">
        <f t="shared" si="46"/>
        <v>San Diego St.Houston</v>
      </c>
      <c r="D1480" t="s">
        <v>28</v>
      </c>
      <c r="E1480">
        <v>1.1000000000000001</v>
      </c>
      <c r="F1480" s="1">
        <v>29.7094339622641</v>
      </c>
      <c r="G1480" s="2">
        <v>9293.0647078923503</v>
      </c>
      <c r="H1480" s="1">
        <v>136.270737625903</v>
      </c>
      <c r="I1480" s="1">
        <f t="shared" si="47"/>
        <v>103.57544943340119</v>
      </c>
    </row>
    <row r="1481" spans="1:9" x14ac:dyDescent="0.45">
      <c r="A1481" t="s">
        <v>58</v>
      </c>
      <c r="B1481" t="s">
        <v>28</v>
      </c>
      <c r="C1481" t="str">
        <f t="shared" si="46"/>
        <v>SIU EdwardsvilleHouston</v>
      </c>
      <c r="D1481" t="s">
        <v>28</v>
      </c>
      <c r="E1481">
        <v>0.1</v>
      </c>
      <c r="F1481" s="1">
        <v>49.683018867924503</v>
      </c>
      <c r="G1481" s="2">
        <v>195631.70526767301</v>
      </c>
      <c r="H1481" s="1">
        <v>136.329995806087</v>
      </c>
      <c r="I1481" s="1">
        <f t="shared" si="47"/>
        <v>104.40753594598947</v>
      </c>
    </row>
    <row r="1482" spans="1:9" x14ac:dyDescent="0.45">
      <c r="A1482" t="s">
        <v>59</v>
      </c>
      <c r="B1482" t="s">
        <v>28</v>
      </c>
      <c r="C1482" t="str">
        <f t="shared" si="46"/>
        <v>St. John'sHouston</v>
      </c>
      <c r="D1482" t="s">
        <v>28</v>
      </c>
      <c r="E1482">
        <v>9.1</v>
      </c>
      <c r="F1482" s="1">
        <v>15.0490566037736</v>
      </c>
      <c r="G1482" s="2">
        <v>993.36703960763498</v>
      </c>
      <c r="H1482" s="1">
        <v>137.14945225464101</v>
      </c>
      <c r="I1482" s="1">
        <f t="shared" si="47"/>
        <v>115.91411033585482</v>
      </c>
    </row>
    <row r="1483" spans="1:9" x14ac:dyDescent="0.45">
      <c r="A1483" t="s">
        <v>60</v>
      </c>
      <c r="B1483" t="s">
        <v>28</v>
      </c>
      <c r="C1483" t="str">
        <f t="shared" si="46"/>
        <v>TennesseeHouston</v>
      </c>
      <c r="D1483" t="s">
        <v>28</v>
      </c>
      <c r="E1483">
        <v>18.2</v>
      </c>
      <c r="F1483" s="1">
        <v>9.8339622641509408</v>
      </c>
      <c r="G1483" s="2">
        <v>448.282983085919</v>
      </c>
      <c r="H1483" s="1">
        <v>137.942684628775</v>
      </c>
      <c r="I1483" s="1">
        <f t="shared" si="47"/>
        <v>127.05245373107522</v>
      </c>
    </row>
    <row r="1484" spans="1:9" x14ac:dyDescent="0.45">
      <c r="A1484" t="s">
        <v>61</v>
      </c>
      <c r="B1484" t="s">
        <v>28</v>
      </c>
      <c r="C1484" t="str">
        <f t="shared" si="46"/>
        <v>TexasHouston</v>
      </c>
      <c r="D1484" t="s">
        <v>28</v>
      </c>
      <c r="E1484">
        <v>0.9</v>
      </c>
      <c r="F1484" s="1">
        <v>30.932075471698099</v>
      </c>
      <c r="G1484" s="2">
        <v>11199.459843204801</v>
      </c>
      <c r="H1484" s="1">
        <v>135.64256645641299</v>
      </c>
      <c r="I1484" s="1">
        <f t="shared" si="47"/>
        <v>94.754848528911452</v>
      </c>
    </row>
    <row r="1485" spans="1:9" x14ac:dyDescent="0.45">
      <c r="A1485" t="s">
        <v>62</v>
      </c>
      <c r="B1485" t="s">
        <v>28</v>
      </c>
      <c r="C1485" t="str">
        <f t="shared" si="46"/>
        <v>Texas A&amp;MHouston</v>
      </c>
      <c r="D1485" t="s">
        <v>28</v>
      </c>
      <c r="E1485">
        <v>4.8</v>
      </c>
      <c r="F1485" s="1">
        <v>19.528301886792502</v>
      </c>
      <c r="G1485" s="2">
        <v>1967.17409958246</v>
      </c>
      <c r="H1485" s="1">
        <v>136.429541765811</v>
      </c>
      <c r="I1485" s="1">
        <f t="shared" si="47"/>
        <v>105.80533200067416</v>
      </c>
    </row>
    <row r="1486" spans="1:9" x14ac:dyDescent="0.45">
      <c r="A1486" t="s">
        <v>63</v>
      </c>
      <c r="B1486" t="s">
        <v>28</v>
      </c>
      <c r="C1486" t="str">
        <f t="shared" si="46"/>
        <v>Texas TechHouston</v>
      </c>
      <c r="D1486" t="s">
        <v>28</v>
      </c>
      <c r="E1486">
        <v>9</v>
      </c>
      <c r="F1486" s="1">
        <v>15.1962264150943</v>
      </c>
      <c r="G1486" s="2">
        <v>1015.61090688154</v>
      </c>
      <c r="H1486" s="1">
        <v>137.42005437105101</v>
      </c>
      <c r="I1486" s="1">
        <f t="shared" si="47"/>
        <v>119.71382829282626</v>
      </c>
    </row>
    <row r="1487" spans="1:9" x14ac:dyDescent="0.45">
      <c r="A1487" t="s">
        <v>64</v>
      </c>
      <c r="B1487" t="s">
        <v>28</v>
      </c>
      <c r="C1487" t="str">
        <f t="shared" si="46"/>
        <v>TroyHouston</v>
      </c>
      <c r="D1487" t="s">
        <v>28</v>
      </c>
      <c r="E1487">
        <v>0.1</v>
      </c>
      <c r="F1487" s="1">
        <v>43.003773584905701</v>
      </c>
      <c r="G1487" s="2">
        <v>70642.916395888504</v>
      </c>
      <c r="H1487" s="1">
        <v>136.186358965609</v>
      </c>
      <c r="I1487" s="1">
        <f t="shared" si="47"/>
        <v>102.39062828359727</v>
      </c>
    </row>
    <row r="1488" spans="1:9" x14ac:dyDescent="0.45">
      <c r="A1488" t="s">
        <v>65</v>
      </c>
      <c r="B1488" t="s">
        <v>28</v>
      </c>
      <c r="C1488" t="str">
        <f t="shared" si="46"/>
        <v>UC San DiegoHouston</v>
      </c>
      <c r="D1488" t="s">
        <v>28</v>
      </c>
      <c r="E1488">
        <v>0.4</v>
      </c>
      <c r="F1488" s="1">
        <v>36.822641509434</v>
      </c>
      <c r="G1488" s="2">
        <v>27513.174819554501</v>
      </c>
      <c r="H1488" s="1">
        <v>136.25647919527199</v>
      </c>
      <c r="I1488" s="1">
        <f t="shared" si="47"/>
        <v>103.37523660570562</v>
      </c>
    </row>
    <row r="1489" spans="1:9" x14ac:dyDescent="0.45">
      <c r="A1489" t="s">
        <v>66</v>
      </c>
      <c r="B1489" t="s">
        <v>28</v>
      </c>
      <c r="C1489" t="str">
        <f t="shared" si="46"/>
        <v>UCLAHouston</v>
      </c>
      <c r="D1489" t="s">
        <v>28</v>
      </c>
      <c r="E1489">
        <v>1.2</v>
      </c>
      <c r="F1489" s="1">
        <v>28.720754716981101</v>
      </c>
      <c r="G1489" s="2">
        <v>7995.56680240676</v>
      </c>
      <c r="H1489" s="1">
        <v>135.47773777448401</v>
      </c>
      <c r="I1489" s="1">
        <f t="shared" si="47"/>
        <v>92.440371056013419</v>
      </c>
    </row>
    <row r="1490" spans="1:9" x14ac:dyDescent="0.45">
      <c r="A1490" t="s">
        <v>67</v>
      </c>
      <c r="B1490" t="s">
        <v>28</v>
      </c>
      <c r="C1490" t="str">
        <f t="shared" si="46"/>
        <v>UNC WilmingtonHouston</v>
      </c>
      <c r="D1490" t="s">
        <v>28</v>
      </c>
      <c r="E1490">
        <v>0.2</v>
      </c>
      <c r="F1490" s="1">
        <v>40.415094339622598</v>
      </c>
      <c r="G1490" s="2">
        <v>47588.684269198799</v>
      </c>
      <c r="H1490" s="1">
        <v>136.793147665937</v>
      </c>
      <c r="I1490" s="1">
        <f t="shared" si="47"/>
        <v>110.91098263747925</v>
      </c>
    </row>
    <row r="1491" spans="1:9" x14ac:dyDescent="0.45">
      <c r="A1491" t="s">
        <v>68</v>
      </c>
      <c r="B1491" t="s">
        <v>28</v>
      </c>
      <c r="C1491" t="str">
        <f t="shared" si="46"/>
        <v>Utah St.Houston</v>
      </c>
      <c r="D1491" t="s">
        <v>28</v>
      </c>
      <c r="E1491">
        <v>1.2</v>
      </c>
      <c r="F1491" s="1">
        <v>29.086792452830199</v>
      </c>
      <c r="G1491" s="2">
        <v>8454.0635710482002</v>
      </c>
      <c r="H1491" s="1">
        <v>136.34033416451601</v>
      </c>
      <c r="I1491" s="1">
        <f t="shared" si="47"/>
        <v>104.5527042347282</v>
      </c>
    </row>
    <row r="1492" spans="1:9" x14ac:dyDescent="0.45">
      <c r="A1492" t="s">
        <v>69</v>
      </c>
      <c r="B1492" t="s">
        <v>28</v>
      </c>
      <c r="C1492" t="str">
        <f t="shared" si="46"/>
        <v>VanderbiltHouston</v>
      </c>
      <c r="D1492" t="s">
        <v>28</v>
      </c>
      <c r="E1492">
        <v>0.2</v>
      </c>
      <c r="F1492" s="1">
        <v>39.735849056603797</v>
      </c>
      <c r="G1492" s="2">
        <v>42902.685502163498</v>
      </c>
      <c r="H1492" s="1">
        <v>134.774372045799</v>
      </c>
      <c r="I1492" s="1">
        <f t="shared" si="47"/>
        <v>82.563909537311289</v>
      </c>
    </row>
    <row r="1493" spans="1:9" x14ac:dyDescent="0.45">
      <c r="A1493" t="s">
        <v>70</v>
      </c>
      <c r="B1493" t="s">
        <v>28</v>
      </c>
      <c r="C1493" t="str">
        <f t="shared" si="46"/>
        <v>VCUHouston</v>
      </c>
      <c r="D1493" t="s">
        <v>28</v>
      </c>
      <c r="E1493">
        <v>0.7</v>
      </c>
      <c r="F1493" s="1">
        <v>32.090566037735798</v>
      </c>
      <c r="G1493" s="2">
        <v>13364.808117099299</v>
      </c>
      <c r="H1493" s="1">
        <v>136.69954517499201</v>
      </c>
      <c r="I1493" s="1">
        <f t="shared" si="47"/>
        <v>109.59664308101382</v>
      </c>
    </row>
    <row r="1494" spans="1:9" x14ac:dyDescent="0.45">
      <c r="A1494" t="s">
        <v>71</v>
      </c>
      <c r="B1494" t="s">
        <v>28</v>
      </c>
      <c r="C1494" t="str">
        <f t="shared" si="46"/>
        <v>WisconsinHouston</v>
      </c>
      <c r="D1494" t="s">
        <v>28</v>
      </c>
      <c r="E1494">
        <v>7.9</v>
      </c>
      <c r="F1494" s="1">
        <v>16.135849056603799</v>
      </c>
      <c r="G1494" s="2">
        <v>1172.4034534115101</v>
      </c>
      <c r="H1494" s="1">
        <v>137.352800783324</v>
      </c>
      <c r="I1494" s="1">
        <f t="shared" si="47"/>
        <v>118.76947254148439</v>
      </c>
    </row>
    <row r="1495" spans="1:9" x14ac:dyDescent="0.45">
      <c r="A1495" t="s">
        <v>80</v>
      </c>
      <c r="B1495" t="s">
        <v>28</v>
      </c>
      <c r="C1495" t="str">
        <f t="shared" si="46"/>
        <v>WoffordHouston</v>
      </c>
      <c r="D1495" t="s">
        <v>28</v>
      </c>
      <c r="E1495">
        <v>0.1</v>
      </c>
      <c r="F1495" s="1">
        <v>47.309433962264201</v>
      </c>
      <c r="G1495" s="2">
        <v>136258.36472332</v>
      </c>
      <c r="H1495" s="1">
        <v>135.45044921255001</v>
      </c>
      <c r="I1495" s="1">
        <f t="shared" si="47"/>
        <v>92.057192830446837</v>
      </c>
    </row>
    <row r="1496" spans="1:9" x14ac:dyDescent="0.45">
      <c r="A1496" t="s">
        <v>72</v>
      </c>
      <c r="B1496" t="s">
        <v>28</v>
      </c>
      <c r="C1496" t="str">
        <f t="shared" si="46"/>
        <v>XavierHouston</v>
      </c>
      <c r="D1496" t="s">
        <v>28</v>
      </c>
      <c r="E1496">
        <v>0.7</v>
      </c>
      <c r="F1496" s="1">
        <v>32.1622641509434</v>
      </c>
      <c r="G1496" s="2">
        <v>13514.771684281101</v>
      </c>
      <c r="H1496" s="1">
        <v>136.193251383172</v>
      </c>
      <c r="I1496" s="1">
        <f t="shared" si="47"/>
        <v>102.48740965075174</v>
      </c>
    </row>
    <row r="1497" spans="1:9" x14ac:dyDescent="0.45">
      <c r="A1497" t="s">
        <v>73</v>
      </c>
      <c r="B1497" t="s">
        <v>28</v>
      </c>
      <c r="C1497" t="str">
        <f t="shared" si="46"/>
        <v>YaleHouston</v>
      </c>
      <c r="D1497" t="s">
        <v>28</v>
      </c>
      <c r="E1497">
        <v>0.4</v>
      </c>
      <c r="F1497" s="1">
        <v>36.411320754717003</v>
      </c>
      <c r="G1497" s="2">
        <v>25843.671059743501</v>
      </c>
      <c r="H1497" s="1">
        <v>136.79295751956599</v>
      </c>
      <c r="I1497" s="1">
        <f t="shared" si="47"/>
        <v>110.90831265621684</v>
      </c>
    </row>
    <row r="1498" spans="1:9" x14ac:dyDescent="0.45">
      <c r="A1498" t="s">
        <v>7</v>
      </c>
      <c r="B1498" t="s">
        <v>29</v>
      </c>
      <c r="C1498" t="str">
        <f t="shared" si="46"/>
        <v>AkronIllinois</v>
      </c>
      <c r="D1498" t="s">
        <v>29</v>
      </c>
      <c r="E1498">
        <v>2</v>
      </c>
      <c r="F1498" s="1">
        <v>25.486792452830201</v>
      </c>
      <c r="G1498" s="2">
        <v>4882.1888211833302</v>
      </c>
      <c r="H1498" s="1">
        <v>137.55132080518399</v>
      </c>
      <c r="I1498" s="1">
        <f t="shared" si="47"/>
        <v>121.5570342275758</v>
      </c>
    </row>
    <row r="1499" spans="1:9" x14ac:dyDescent="0.45">
      <c r="A1499" t="s">
        <v>8</v>
      </c>
      <c r="B1499" t="s">
        <v>29</v>
      </c>
      <c r="C1499" t="str">
        <f t="shared" si="46"/>
        <v>AlabamaIllinois</v>
      </c>
      <c r="D1499" t="s">
        <v>8</v>
      </c>
      <c r="E1499">
        <v>60.7</v>
      </c>
      <c r="F1499" s="1">
        <v>-2.85283018867925</v>
      </c>
      <c r="G1499" s="2">
        <v>-154.49560605730699</v>
      </c>
      <c r="H1499" s="1">
        <v>139.35893199277899</v>
      </c>
      <c r="I1499" s="1">
        <f t="shared" si="47"/>
        <v>146.9389964230248</v>
      </c>
    </row>
    <row r="1500" spans="1:9" x14ac:dyDescent="0.45">
      <c r="A1500" t="s">
        <v>9</v>
      </c>
      <c r="B1500" t="s">
        <v>29</v>
      </c>
      <c r="C1500" t="str">
        <f t="shared" si="46"/>
        <v>Alabama St.Illinois</v>
      </c>
      <c r="D1500" t="s">
        <v>29</v>
      </c>
      <c r="E1500">
        <v>0.3</v>
      </c>
      <c r="F1500" s="1">
        <v>37.807547169811301</v>
      </c>
      <c r="G1500" s="2">
        <v>31967.177279971202</v>
      </c>
      <c r="H1500" s="1">
        <v>137.738082564606</v>
      </c>
      <c r="I1500" s="1">
        <f t="shared" si="47"/>
        <v>124.1794897366679</v>
      </c>
    </row>
    <row r="1501" spans="1:9" x14ac:dyDescent="0.45">
      <c r="A1501" t="s">
        <v>10</v>
      </c>
      <c r="B1501" t="s">
        <v>29</v>
      </c>
      <c r="C1501" t="str">
        <f t="shared" si="46"/>
        <v>AmericanIllinois</v>
      </c>
      <c r="D1501" t="s">
        <v>29</v>
      </c>
      <c r="E1501">
        <v>0.3</v>
      </c>
      <c r="F1501" s="1">
        <v>37.0490566037736</v>
      </c>
      <c r="G1501" s="2">
        <v>28481.182681043501</v>
      </c>
      <c r="H1501" s="1">
        <v>137.50137208436701</v>
      </c>
      <c r="I1501" s="1">
        <f t="shared" si="47"/>
        <v>120.85566849572582</v>
      </c>
    </row>
    <row r="1502" spans="1:9" x14ac:dyDescent="0.45">
      <c r="A1502" t="s">
        <v>11</v>
      </c>
      <c r="B1502" t="s">
        <v>29</v>
      </c>
      <c r="C1502" t="str">
        <f t="shared" si="46"/>
        <v>ArizonaIllinois</v>
      </c>
      <c r="D1502" t="s">
        <v>11</v>
      </c>
      <c r="E1502">
        <v>50.4</v>
      </c>
      <c r="F1502" s="1">
        <v>-9.4339622641509399E-2</v>
      </c>
      <c r="G1502" s="2">
        <v>-101.475675167445</v>
      </c>
      <c r="H1502" s="1">
        <v>138.96941133295601</v>
      </c>
      <c r="I1502" s="1">
        <f t="shared" si="47"/>
        <v>141.46945810094383</v>
      </c>
    </row>
    <row r="1503" spans="1:9" x14ac:dyDescent="0.45">
      <c r="A1503" t="s">
        <v>12</v>
      </c>
      <c r="B1503" t="s">
        <v>29</v>
      </c>
      <c r="C1503" t="str">
        <f t="shared" si="46"/>
        <v>ArkansasIllinois</v>
      </c>
      <c r="D1503" t="s">
        <v>29</v>
      </c>
      <c r="E1503">
        <v>6.2</v>
      </c>
      <c r="F1503" s="1">
        <v>17.803773584905699</v>
      </c>
      <c r="G1503" s="2">
        <v>1511.9507838204299</v>
      </c>
      <c r="H1503" s="1">
        <v>137.295335310746</v>
      </c>
      <c r="I1503" s="1">
        <f t="shared" si="47"/>
        <v>117.96255871923752</v>
      </c>
    </row>
    <row r="1504" spans="1:9" x14ac:dyDescent="0.45">
      <c r="A1504" t="s">
        <v>13</v>
      </c>
      <c r="B1504" t="s">
        <v>29</v>
      </c>
      <c r="C1504" t="str">
        <f t="shared" si="46"/>
        <v>AuburnIllinois</v>
      </c>
      <c r="D1504" t="s">
        <v>13</v>
      </c>
      <c r="E1504">
        <v>75.3</v>
      </c>
      <c r="F1504" s="1">
        <v>-7.2905660377358501</v>
      </c>
      <c r="G1504" s="2">
        <v>-304.107167026919</v>
      </c>
      <c r="H1504" s="1">
        <v>140.38114822613201</v>
      </c>
      <c r="I1504" s="1">
        <f t="shared" si="47"/>
        <v>161.29266604434488</v>
      </c>
    </row>
    <row r="1505" spans="1:9" x14ac:dyDescent="0.45">
      <c r="A1505" t="s">
        <v>14</v>
      </c>
      <c r="B1505" t="s">
        <v>29</v>
      </c>
      <c r="C1505" t="str">
        <f t="shared" si="46"/>
        <v>BaylorIllinois</v>
      </c>
      <c r="D1505" t="s">
        <v>29</v>
      </c>
      <c r="E1505">
        <v>23.4</v>
      </c>
      <c r="F1505" s="1">
        <v>7.7584905660377403</v>
      </c>
      <c r="G1505" s="2">
        <v>326.53936808533399</v>
      </c>
      <c r="H1505" s="1">
        <v>138.844065587312</v>
      </c>
      <c r="I1505" s="1">
        <f t="shared" si="47"/>
        <v>139.70938879005976</v>
      </c>
    </row>
    <row r="1506" spans="1:9" x14ac:dyDescent="0.45">
      <c r="A1506" t="s">
        <v>15</v>
      </c>
      <c r="B1506" t="s">
        <v>29</v>
      </c>
      <c r="C1506" t="str">
        <f t="shared" si="46"/>
        <v>BryantIllinois</v>
      </c>
      <c r="D1506" t="s">
        <v>29</v>
      </c>
      <c r="E1506">
        <v>1.4</v>
      </c>
      <c r="F1506" s="1">
        <v>27.8301886792453</v>
      </c>
      <c r="G1506" s="2">
        <v>6976.6567910259701</v>
      </c>
      <c r="H1506" s="1">
        <v>138.43638546295799</v>
      </c>
      <c r="I1506" s="1">
        <f t="shared" si="47"/>
        <v>133.98486043174776</v>
      </c>
    </row>
    <row r="1507" spans="1:9" x14ac:dyDescent="0.45">
      <c r="A1507" t="s">
        <v>16</v>
      </c>
      <c r="B1507" t="s">
        <v>29</v>
      </c>
      <c r="C1507" t="str">
        <f t="shared" si="46"/>
        <v>BYUIllinois</v>
      </c>
      <c r="D1507" t="s">
        <v>29</v>
      </c>
      <c r="E1507">
        <v>26.6</v>
      </c>
      <c r="F1507" s="1">
        <v>6.6641509433962298</v>
      </c>
      <c r="G1507" s="2">
        <v>276.32858039765603</v>
      </c>
      <c r="H1507" s="1">
        <v>138.606426137401</v>
      </c>
      <c r="I1507" s="1">
        <f t="shared" si="47"/>
        <v>136.37252322119068</v>
      </c>
    </row>
    <row r="1508" spans="1:9" x14ac:dyDescent="0.45">
      <c r="A1508" t="s">
        <v>17</v>
      </c>
      <c r="B1508" t="s">
        <v>29</v>
      </c>
      <c r="C1508" t="str">
        <f t="shared" si="46"/>
        <v>ClemsonIllinois</v>
      </c>
      <c r="D1508" t="s">
        <v>29</v>
      </c>
      <c r="E1508">
        <v>33.6</v>
      </c>
      <c r="F1508" s="1">
        <v>4.4603773584905699</v>
      </c>
      <c r="G1508" s="2">
        <v>197.417041881014</v>
      </c>
      <c r="H1508" s="1">
        <v>138.956476359844</v>
      </c>
      <c r="I1508" s="1">
        <f t="shared" si="47"/>
        <v>141.28782888732681</v>
      </c>
    </row>
    <row r="1509" spans="1:9" x14ac:dyDescent="0.45">
      <c r="A1509" t="s">
        <v>18</v>
      </c>
      <c r="B1509" t="s">
        <v>29</v>
      </c>
      <c r="C1509" t="str">
        <f t="shared" si="46"/>
        <v>Colorado St.Illinois</v>
      </c>
      <c r="D1509" t="s">
        <v>29</v>
      </c>
      <c r="E1509">
        <v>7.7</v>
      </c>
      <c r="F1509" s="1">
        <v>16.2415094339623</v>
      </c>
      <c r="G1509" s="2">
        <v>1191.1008567947099</v>
      </c>
      <c r="H1509" s="1">
        <v>138.34608733463801</v>
      </c>
      <c r="I1509" s="1">
        <f t="shared" si="47"/>
        <v>132.71691979547259</v>
      </c>
    </row>
    <row r="1510" spans="1:9" x14ac:dyDescent="0.45">
      <c r="A1510" t="s">
        <v>19</v>
      </c>
      <c r="B1510" t="s">
        <v>29</v>
      </c>
      <c r="C1510" t="str">
        <f t="shared" si="46"/>
        <v>ConnecticutIllinois</v>
      </c>
      <c r="D1510" t="s">
        <v>29</v>
      </c>
      <c r="E1510">
        <v>44.1</v>
      </c>
      <c r="F1510" s="1">
        <v>1.56603773584906</v>
      </c>
      <c r="G1510" s="2">
        <v>126.969179103653</v>
      </c>
      <c r="H1510" s="1">
        <v>138.75672719059199</v>
      </c>
      <c r="I1510" s="1">
        <f t="shared" si="47"/>
        <v>138.48300786313709</v>
      </c>
    </row>
    <row r="1511" spans="1:9" x14ac:dyDescent="0.45">
      <c r="A1511" t="s">
        <v>20</v>
      </c>
      <c r="B1511" t="s">
        <v>29</v>
      </c>
      <c r="C1511" t="str">
        <f t="shared" si="46"/>
        <v>CreightonIllinois</v>
      </c>
      <c r="D1511" t="s">
        <v>29</v>
      </c>
      <c r="E1511">
        <v>19.600000000000001</v>
      </c>
      <c r="F1511" s="1">
        <v>9.2716981132075507</v>
      </c>
      <c r="G1511" s="2">
        <v>411.46317381065501</v>
      </c>
      <c r="H1511" s="1">
        <v>138.306023943431</v>
      </c>
      <c r="I1511" s="1">
        <f t="shared" si="47"/>
        <v>132.15436105052984</v>
      </c>
    </row>
    <row r="1512" spans="1:9" x14ac:dyDescent="0.45">
      <c r="A1512" t="s">
        <v>21</v>
      </c>
      <c r="B1512" t="s">
        <v>29</v>
      </c>
      <c r="C1512" t="str">
        <f t="shared" si="46"/>
        <v>DrakeIllinois</v>
      </c>
      <c r="D1512" t="s">
        <v>29</v>
      </c>
      <c r="E1512">
        <v>7.5</v>
      </c>
      <c r="F1512" s="1">
        <v>16.445283018867901</v>
      </c>
      <c r="G1512" s="2">
        <v>1228.9060013938299</v>
      </c>
      <c r="H1512" s="1">
        <v>138.54069974910499</v>
      </c>
      <c r="I1512" s="1">
        <f t="shared" si="47"/>
        <v>135.44961196990968</v>
      </c>
    </row>
    <row r="1513" spans="1:9" x14ac:dyDescent="0.45">
      <c r="A1513" t="s">
        <v>22</v>
      </c>
      <c r="B1513" t="s">
        <v>29</v>
      </c>
      <c r="C1513" t="str">
        <f t="shared" si="46"/>
        <v>DukeIllinois</v>
      </c>
      <c r="D1513" t="s">
        <v>22</v>
      </c>
      <c r="E1513">
        <v>81</v>
      </c>
      <c r="F1513" s="1">
        <v>-9.50566037735849</v>
      </c>
      <c r="G1513" s="2">
        <v>-426.318089363056</v>
      </c>
      <c r="H1513" s="1">
        <v>140.62103963770801</v>
      </c>
      <c r="I1513" s="1">
        <f t="shared" si="47"/>
        <v>164.66115301843584</v>
      </c>
    </row>
    <row r="1514" spans="1:9" x14ac:dyDescent="0.45">
      <c r="A1514" t="s">
        <v>23</v>
      </c>
      <c r="B1514" t="s">
        <v>29</v>
      </c>
      <c r="C1514" t="str">
        <f t="shared" si="46"/>
        <v>FloridaIllinois</v>
      </c>
      <c r="D1514" t="s">
        <v>23</v>
      </c>
      <c r="E1514">
        <v>70.3</v>
      </c>
      <c r="F1514" s="1">
        <v>-5.6490566037735803</v>
      </c>
      <c r="G1514" s="2">
        <v>-236.701821894722</v>
      </c>
      <c r="H1514" s="1">
        <v>140.35569016526199</v>
      </c>
      <c r="I1514" s="1">
        <f t="shared" si="47"/>
        <v>160.93519119410783</v>
      </c>
    </row>
    <row r="1515" spans="1:9" x14ac:dyDescent="0.45">
      <c r="A1515" t="s">
        <v>24</v>
      </c>
      <c r="B1515" t="s">
        <v>29</v>
      </c>
      <c r="C1515" t="str">
        <f t="shared" si="46"/>
        <v>GeorgiaIllinois</v>
      </c>
      <c r="D1515" t="s">
        <v>29</v>
      </c>
      <c r="E1515">
        <v>8.6999999999999993</v>
      </c>
      <c r="F1515" s="1">
        <v>15.411320754717</v>
      </c>
      <c r="G1515" s="2">
        <v>1049.8177640998199</v>
      </c>
      <c r="H1515" s="1">
        <v>137.619648461547</v>
      </c>
      <c r="I1515" s="1">
        <f t="shared" si="47"/>
        <v>122.51647174522969</v>
      </c>
    </row>
    <row r="1516" spans="1:9" x14ac:dyDescent="0.45">
      <c r="A1516" t="s">
        <v>25</v>
      </c>
      <c r="B1516" t="s">
        <v>29</v>
      </c>
      <c r="C1516" t="str">
        <f t="shared" si="46"/>
        <v>GonzagaIllinois</v>
      </c>
      <c r="D1516" t="s">
        <v>29</v>
      </c>
      <c r="E1516">
        <v>32.5</v>
      </c>
      <c r="F1516" s="1">
        <v>4.7849056603773601</v>
      </c>
      <c r="G1516" s="2">
        <v>207.43167515600001</v>
      </c>
      <c r="H1516" s="1">
        <v>139.59661019205299</v>
      </c>
      <c r="I1516" s="1">
        <f t="shared" si="47"/>
        <v>150.27640609942847</v>
      </c>
    </row>
    <row r="1517" spans="1:9" x14ac:dyDescent="0.45">
      <c r="A1517" t="s">
        <v>26</v>
      </c>
      <c r="B1517" t="s">
        <v>29</v>
      </c>
      <c r="C1517" t="str">
        <f t="shared" si="46"/>
        <v>Grand CanyonIllinois</v>
      </c>
      <c r="D1517" t="s">
        <v>29</v>
      </c>
      <c r="E1517">
        <v>5</v>
      </c>
      <c r="F1517" s="1">
        <v>19.332075471698101</v>
      </c>
      <c r="G1517" s="2">
        <v>1909.2109193681399</v>
      </c>
      <c r="H1517" s="1">
        <v>138.41458190959199</v>
      </c>
      <c r="I1517" s="1">
        <f t="shared" si="47"/>
        <v>133.67870113650764</v>
      </c>
    </row>
    <row r="1518" spans="1:9" x14ac:dyDescent="0.45">
      <c r="A1518" t="s">
        <v>27</v>
      </c>
      <c r="B1518" t="s">
        <v>29</v>
      </c>
      <c r="C1518" t="str">
        <f t="shared" si="46"/>
        <v>High PointIllinois</v>
      </c>
      <c r="D1518" t="s">
        <v>29</v>
      </c>
      <c r="E1518">
        <v>3.2</v>
      </c>
      <c r="F1518" s="1">
        <v>22.422641509434001</v>
      </c>
      <c r="G1518" s="2">
        <v>3058.6935748647002</v>
      </c>
      <c r="H1518" s="1">
        <v>138.60578904314099</v>
      </c>
      <c r="I1518" s="1">
        <f t="shared" si="47"/>
        <v>136.36357732478683</v>
      </c>
    </row>
    <row r="1519" spans="1:9" x14ac:dyDescent="0.45">
      <c r="A1519" t="s">
        <v>28</v>
      </c>
      <c r="B1519" t="s">
        <v>29</v>
      </c>
      <c r="C1519" t="str">
        <f t="shared" si="46"/>
        <v>HoustonIllinois</v>
      </c>
      <c r="D1519" t="s">
        <v>28</v>
      </c>
      <c r="E1519">
        <v>87.7</v>
      </c>
      <c r="F1519" s="1">
        <v>-12.8603773584906</v>
      </c>
      <c r="G1519" s="2">
        <v>-711.15443275585301</v>
      </c>
      <c r="H1519" s="1">
        <v>140.71925140034401</v>
      </c>
      <c r="I1519" s="1">
        <f t="shared" si="47"/>
        <v>166.04021465706842</v>
      </c>
    </row>
    <row r="1520" spans="1:9" x14ac:dyDescent="0.45">
      <c r="A1520" t="s">
        <v>29</v>
      </c>
      <c r="B1520" t="s">
        <v>29</v>
      </c>
      <c r="C1520" t="str">
        <f t="shared" si="46"/>
        <v>IllinoisIllinois</v>
      </c>
      <c r="D1520" t="s">
        <v>29</v>
      </c>
      <c r="E1520">
        <v>41.2</v>
      </c>
      <c r="F1520" s="1">
        <v>2.3283018867924499</v>
      </c>
      <c r="G1520" s="2">
        <v>142.64273539779199</v>
      </c>
      <c r="H1520" s="1">
        <v>138.77771517530499</v>
      </c>
      <c r="I1520" s="1">
        <f t="shared" si="47"/>
        <v>138.77771517530684</v>
      </c>
    </row>
    <row r="1521" spans="1:9" x14ac:dyDescent="0.45">
      <c r="A1521" t="s">
        <v>30</v>
      </c>
      <c r="B1521" t="s">
        <v>29</v>
      </c>
      <c r="C1521" t="str">
        <f t="shared" si="46"/>
        <v>Iowa St.Illinois</v>
      </c>
      <c r="D1521" t="s">
        <v>30</v>
      </c>
      <c r="E1521">
        <v>59.5</v>
      </c>
      <c r="F1521" s="1">
        <v>-2.5320754716981102</v>
      </c>
      <c r="G1521" s="2">
        <v>-147.165632309214</v>
      </c>
      <c r="H1521" s="1">
        <v>139.67425746689199</v>
      </c>
      <c r="I1521" s="1">
        <f t="shared" si="47"/>
        <v>151.36670704913945</v>
      </c>
    </row>
    <row r="1522" spans="1:9" x14ac:dyDescent="0.45">
      <c r="A1522" t="s">
        <v>31</v>
      </c>
      <c r="B1522" t="s">
        <v>29</v>
      </c>
      <c r="C1522" t="str">
        <f t="shared" si="46"/>
        <v>KansasIllinois</v>
      </c>
      <c r="D1522" t="s">
        <v>29</v>
      </c>
      <c r="E1522">
        <v>31.2</v>
      </c>
      <c r="F1522" s="1">
        <v>5.1849056603773596</v>
      </c>
      <c r="G1522" s="2">
        <v>220.492862215836</v>
      </c>
      <c r="H1522" s="1">
        <v>138.724845355745</v>
      </c>
      <c r="I1522" s="1">
        <f t="shared" si="47"/>
        <v>138.0353322056942</v>
      </c>
    </row>
    <row r="1523" spans="1:9" x14ac:dyDescent="0.45">
      <c r="A1523" t="s">
        <v>32</v>
      </c>
      <c r="B1523" t="s">
        <v>29</v>
      </c>
      <c r="C1523" t="str">
        <f t="shared" si="46"/>
        <v>KentuckyIllinois</v>
      </c>
      <c r="D1523" t="s">
        <v>29</v>
      </c>
      <c r="E1523">
        <v>43.1</v>
      </c>
      <c r="F1523" s="1">
        <v>1.8188679245282999</v>
      </c>
      <c r="G1523" s="2">
        <v>131.98014230299401</v>
      </c>
      <c r="H1523" s="1">
        <v>138.65912768787101</v>
      </c>
      <c r="I1523" s="1">
        <f t="shared" si="47"/>
        <v>137.112543404099</v>
      </c>
    </row>
    <row r="1524" spans="1:9" x14ac:dyDescent="0.45">
      <c r="A1524" t="s">
        <v>33</v>
      </c>
      <c r="B1524" t="s">
        <v>29</v>
      </c>
      <c r="C1524" t="str">
        <f t="shared" si="46"/>
        <v>LibertyIllinois</v>
      </c>
      <c r="D1524" t="s">
        <v>29</v>
      </c>
      <c r="E1524">
        <v>2.2000000000000002</v>
      </c>
      <c r="F1524" s="1">
        <v>24.803773584905699</v>
      </c>
      <c r="G1524" s="2">
        <v>4398.8232032164797</v>
      </c>
      <c r="H1524" s="1">
        <v>138.004128731588</v>
      </c>
      <c r="I1524" s="1">
        <f t="shared" si="47"/>
        <v>127.91523434752393</v>
      </c>
    </row>
    <row r="1525" spans="1:9" x14ac:dyDescent="0.45">
      <c r="A1525" t="s">
        <v>34</v>
      </c>
      <c r="B1525" t="s">
        <v>29</v>
      </c>
      <c r="C1525" t="str">
        <f t="shared" si="46"/>
        <v>LipscombIllinois</v>
      </c>
      <c r="D1525" t="s">
        <v>29</v>
      </c>
      <c r="E1525">
        <v>1.7</v>
      </c>
      <c r="F1525" s="1">
        <v>26.671698113207501</v>
      </c>
      <c r="G1525" s="2">
        <v>5847.0230761182702</v>
      </c>
      <c r="H1525" s="1">
        <v>138.41044692918001</v>
      </c>
      <c r="I1525" s="1">
        <f t="shared" si="47"/>
        <v>133.62063891758802</v>
      </c>
    </row>
    <row r="1526" spans="1:9" x14ac:dyDescent="0.45">
      <c r="A1526" t="s">
        <v>35</v>
      </c>
      <c r="B1526" t="s">
        <v>29</v>
      </c>
      <c r="C1526" t="str">
        <f t="shared" si="46"/>
        <v>LouisvilleIllinois</v>
      </c>
      <c r="D1526" t="s">
        <v>29</v>
      </c>
      <c r="E1526">
        <v>4.0999999999999996</v>
      </c>
      <c r="F1526" s="1">
        <v>20.622641509434001</v>
      </c>
      <c r="G1526" s="2">
        <v>2323.79050485467</v>
      </c>
      <c r="H1526" s="1">
        <v>137.65580893499799</v>
      </c>
      <c r="I1526" s="1">
        <f t="shared" si="47"/>
        <v>123.02422682906702</v>
      </c>
    </row>
    <row r="1527" spans="1:9" x14ac:dyDescent="0.45">
      <c r="A1527" t="s">
        <v>36</v>
      </c>
      <c r="B1527" t="s">
        <v>29</v>
      </c>
      <c r="C1527" t="str">
        <f t="shared" si="46"/>
        <v>MarquetteIllinois</v>
      </c>
      <c r="D1527" t="s">
        <v>29</v>
      </c>
      <c r="E1527">
        <v>36.799999999999997</v>
      </c>
      <c r="F1527" s="1">
        <v>3.55471698113208</v>
      </c>
      <c r="G1527" s="2">
        <v>171.97038968744201</v>
      </c>
      <c r="H1527" s="1">
        <v>138.91794277846</v>
      </c>
      <c r="I1527" s="1">
        <f t="shared" si="47"/>
        <v>140.74675129682723</v>
      </c>
    </row>
    <row r="1528" spans="1:9" x14ac:dyDescent="0.45">
      <c r="A1528" t="s">
        <v>37</v>
      </c>
      <c r="B1528" t="s">
        <v>29</v>
      </c>
      <c r="C1528" t="str">
        <f t="shared" si="46"/>
        <v>MarylandIllinois</v>
      </c>
      <c r="D1528" t="s">
        <v>29</v>
      </c>
      <c r="E1528">
        <v>26.4</v>
      </c>
      <c r="F1528" s="1">
        <v>6.7207547169811299</v>
      </c>
      <c r="G1528" s="2">
        <v>278.79662179985303</v>
      </c>
      <c r="H1528" s="1">
        <v>138.37631237700299</v>
      </c>
      <c r="I1528" s="1">
        <f t="shared" si="47"/>
        <v>133.14133124408968</v>
      </c>
    </row>
    <row r="1529" spans="1:9" x14ac:dyDescent="0.45">
      <c r="A1529" t="s">
        <v>38</v>
      </c>
      <c r="B1529" t="s">
        <v>29</v>
      </c>
      <c r="C1529" t="str">
        <f t="shared" si="46"/>
        <v>McNeese St.Illinois</v>
      </c>
      <c r="D1529" t="s">
        <v>29</v>
      </c>
      <c r="E1529">
        <v>7.7</v>
      </c>
      <c r="F1529" s="1">
        <v>16.260377358490601</v>
      </c>
      <c r="G1529" s="2">
        <v>1194.9704906864399</v>
      </c>
      <c r="H1529" s="1">
        <v>138.96954778996701</v>
      </c>
      <c r="I1529" s="1">
        <f t="shared" si="47"/>
        <v>141.47137419148262</v>
      </c>
    </row>
    <row r="1530" spans="1:9" x14ac:dyDescent="0.45">
      <c r="A1530" t="s">
        <v>39</v>
      </c>
      <c r="B1530" t="s">
        <v>29</v>
      </c>
      <c r="C1530" t="str">
        <f t="shared" si="46"/>
        <v>MemphisIllinois</v>
      </c>
      <c r="D1530" t="s">
        <v>29</v>
      </c>
      <c r="E1530">
        <v>16.8</v>
      </c>
      <c r="F1530" s="1">
        <v>10.486792452830199</v>
      </c>
      <c r="G1530" s="2">
        <v>495.09424002933099</v>
      </c>
      <c r="H1530" s="1">
        <v>137.50382961649299</v>
      </c>
      <c r="I1530" s="1">
        <f t="shared" si="47"/>
        <v>120.89017646289486</v>
      </c>
    </row>
    <row r="1531" spans="1:9" x14ac:dyDescent="0.45">
      <c r="A1531" t="s">
        <v>40</v>
      </c>
      <c r="B1531" t="s">
        <v>29</v>
      </c>
      <c r="C1531" t="str">
        <f t="shared" si="46"/>
        <v>MichiganIllinois</v>
      </c>
      <c r="D1531" t="s">
        <v>29</v>
      </c>
      <c r="E1531">
        <v>9.1</v>
      </c>
      <c r="F1531" s="1">
        <v>15.1094339622642</v>
      </c>
      <c r="G1531" s="2">
        <v>1002.49567567566</v>
      </c>
      <c r="H1531" s="1">
        <v>137.066450913409</v>
      </c>
      <c r="I1531" s="1">
        <f t="shared" si="47"/>
        <v>114.74862910859747</v>
      </c>
    </row>
    <row r="1532" spans="1:9" x14ac:dyDescent="0.45">
      <c r="A1532" t="s">
        <v>41</v>
      </c>
      <c r="B1532" t="s">
        <v>29</v>
      </c>
      <c r="C1532" t="str">
        <f t="shared" si="46"/>
        <v>Michigan St.Illinois</v>
      </c>
      <c r="D1532" t="s">
        <v>29</v>
      </c>
      <c r="E1532">
        <v>48.6</v>
      </c>
      <c r="F1532" s="1">
        <v>0.36603773584905702</v>
      </c>
      <c r="G1532" s="2">
        <v>105.712748989277</v>
      </c>
      <c r="H1532" s="1">
        <v>138.71353062261599</v>
      </c>
      <c r="I1532" s="1">
        <f t="shared" si="47"/>
        <v>137.87645394110774</v>
      </c>
    </row>
    <row r="1533" spans="1:9" x14ac:dyDescent="0.45">
      <c r="A1533" t="s">
        <v>42</v>
      </c>
      <c r="B1533" t="s">
        <v>29</v>
      </c>
      <c r="C1533" t="str">
        <f t="shared" si="46"/>
        <v>MississippiIllinois</v>
      </c>
      <c r="D1533" t="s">
        <v>29</v>
      </c>
      <c r="E1533">
        <v>20.6</v>
      </c>
      <c r="F1533" s="1">
        <v>8.8603773584905703</v>
      </c>
      <c r="G1533" s="2">
        <v>386.36589314945599</v>
      </c>
      <c r="H1533" s="1">
        <v>137.98122197250501</v>
      </c>
      <c r="I1533" s="1">
        <f t="shared" si="47"/>
        <v>127.59358415136745</v>
      </c>
    </row>
    <row r="1534" spans="1:9" x14ac:dyDescent="0.45">
      <c r="A1534" t="s">
        <v>43</v>
      </c>
      <c r="B1534" t="s">
        <v>29</v>
      </c>
      <c r="C1534" t="str">
        <f t="shared" si="46"/>
        <v>Mississippi St.Illinois</v>
      </c>
      <c r="D1534" t="s">
        <v>29</v>
      </c>
      <c r="E1534">
        <v>16.600000000000001</v>
      </c>
      <c r="F1534" s="1">
        <v>10.5849056603774</v>
      </c>
      <c r="G1534" s="2">
        <v>502.54632063184499</v>
      </c>
      <c r="H1534" s="1">
        <v>138.120968445183</v>
      </c>
      <c r="I1534" s="1">
        <f t="shared" si="47"/>
        <v>129.55586437556724</v>
      </c>
    </row>
    <row r="1535" spans="1:9" x14ac:dyDescent="0.45">
      <c r="A1535" t="s">
        <v>44</v>
      </c>
      <c r="B1535" t="s">
        <v>29</v>
      </c>
      <c r="C1535" t="str">
        <f t="shared" si="46"/>
        <v>MissouriIllinois</v>
      </c>
      <c r="D1535" t="s">
        <v>29</v>
      </c>
      <c r="E1535">
        <v>8.6</v>
      </c>
      <c r="F1535" s="1">
        <v>15.5169811320755</v>
      </c>
      <c r="G1535" s="2">
        <v>1066.72968187839</v>
      </c>
      <c r="H1535" s="1">
        <v>137.538630343828</v>
      </c>
      <c r="I1535" s="1">
        <f t="shared" si="47"/>
        <v>121.37883837849553</v>
      </c>
    </row>
    <row r="1536" spans="1:9" x14ac:dyDescent="0.45">
      <c r="A1536" t="s">
        <v>45</v>
      </c>
      <c r="B1536" t="s">
        <v>29</v>
      </c>
      <c r="C1536" t="str">
        <f t="shared" si="46"/>
        <v>MontanaIllinois</v>
      </c>
      <c r="D1536" t="s">
        <v>29</v>
      </c>
      <c r="E1536">
        <v>0.8</v>
      </c>
      <c r="F1536" s="1">
        <v>31.324528301886801</v>
      </c>
      <c r="G1536" s="2">
        <v>11890.5001349261</v>
      </c>
      <c r="H1536" s="1">
        <v>136.67534190723401</v>
      </c>
      <c r="I1536" s="1">
        <f t="shared" si="47"/>
        <v>109.25678767878146</v>
      </c>
    </row>
    <row r="1537" spans="1:9" x14ac:dyDescent="0.45">
      <c r="A1537" t="s">
        <v>46</v>
      </c>
      <c r="B1537" t="s">
        <v>29</v>
      </c>
      <c r="C1537" t="str">
        <f t="shared" si="46"/>
        <v>Mount St. Mary'sIllinois</v>
      </c>
      <c r="D1537" t="s">
        <v>29</v>
      </c>
      <c r="E1537">
        <v>0.3</v>
      </c>
      <c r="F1537" s="1">
        <v>37.656603773584898</v>
      </c>
      <c r="G1537" s="2">
        <v>31248.146401686601</v>
      </c>
      <c r="H1537" s="1">
        <v>137.978629861385</v>
      </c>
      <c r="I1537" s="1">
        <f t="shared" si="47"/>
        <v>127.55718646423982</v>
      </c>
    </row>
    <row r="1538" spans="1:9" x14ac:dyDescent="0.45">
      <c r="A1538" t="s">
        <v>47</v>
      </c>
      <c r="B1538" t="s">
        <v>29</v>
      </c>
      <c r="C1538" t="str">
        <f t="shared" si="46"/>
        <v>Nebraska OmahaIllinois</v>
      </c>
      <c r="D1538" t="s">
        <v>29</v>
      </c>
      <c r="E1538">
        <v>0.4</v>
      </c>
      <c r="F1538" s="1">
        <v>35.4679245283019</v>
      </c>
      <c r="G1538" s="2">
        <v>22372.872069900601</v>
      </c>
      <c r="H1538" s="1">
        <v>137.396405993488</v>
      </c>
      <c r="I1538" s="1">
        <f t="shared" si="47"/>
        <v>119.38176450089624</v>
      </c>
    </row>
    <row r="1539" spans="1:9" x14ac:dyDescent="0.45">
      <c r="A1539" t="s">
        <v>48</v>
      </c>
      <c r="B1539" t="s">
        <v>29</v>
      </c>
      <c r="C1539" t="str">
        <f t="shared" ref="C1539:C1602" si="48">A1539&amp;B1539</f>
        <v>New MexicoIllinois</v>
      </c>
      <c r="D1539" t="s">
        <v>29</v>
      </c>
      <c r="E1539">
        <v>9.6999999999999993</v>
      </c>
      <c r="F1539" s="1">
        <v>14.6377358490566</v>
      </c>
      <c r="G1539" s="2">
        <v>932.47789554361702</v>
      </c>
      <c r="H1539" s="1">
        <v>138.16639592530501</v>
      </c>
      <c r="I1539" s="1">
        <f t="shared" ref="I1539:I1602" si="49">18*(H1539-AVERAGE($H$2:$H$4625))/_xlfn.STDEV.P($H$2:$H$4625)+AVERAGE($H$2:$H$4625)</f>
        <v>130.19374413145965</v>
      </c>
    </row>
    <row r="1540" spans="1:9" x14ac:dyDescent="0.45">
      <c r="A1540" t="s">
        <v>49</v>
      </c>
      <c r="B1540" t="s">
        <v>29</v>
      </c>
      <c r="C1540" t="str">
        <f t="shared" si="48"/>
        <v>Norfolk St.Illinois</v>
      </c>
      <c r="D1540" t="s">
        <v>29</v>
      </c>
      <c r="E1540">
        <v>0.6</v>
      </c>
      <c r="F1540" s="1">
        <v>33.203773584905697</v>
      </c>
      <c r="G1540" s="2">
        <v>15836.853631845501</v>
      </c>
      <c r="H1540" s="1">
        <v>137.20252168926899</v>
      </c>
      <c r="I1540" s="1">
        <f t="shared" si="49"/>
        <v>116.65929624347999</v>
      </c>
    </row>
    <row r="1541" spans="1:9" x14ac:dyDescent="0.45">
      <c r="A1541" t="s">
        <v>50</v>
      </c>
      <c r="B1541" t="s">
        <v>29</v>
      </c>
      <c r="C1541" t="str">
        <f t="shared" si="48"/>
        <v>North CarolinaIllinois</v>
      </c>
      <c r="D1541" t="s">
        <v>29</v>
      </c>
      <c r="E1541">
        <v>26.8</v>
      </c>
      <c r="F1541" s="1">
        <v>6.5849056603773599</v>
      </c>
      <c r="G1541" s="2">
        <v>273.074747664386</v>
      </c>
      <c r="H1541" s="1">
        <v>139.27612764373899</v>
      </c>
      <c r="I1541" s="1">
        <f t="shared" si="49"/>
        <v>145.77628130410122</v>
      </c>
    </row>
    <row r="1542" spans="1:9" x14ac:dyDescent="0.45">
      <c r="A1542" t="s">
        <v>51</v>
      </c>
      <c r="B1542" t="s">
        <v>29</v>
      </c>
      <c r="C1542" t="str">
        <f t="shared" si="48"/>
        <v>OklahomaIllinois</v>
      </c>
      <c r="D1542" t="s">
        <v>29</v>
      </c>
      <c r="E1542">
        <v>11.4</v>
      </c>
      <c r="F1542" s="1">
        <v>13.4679245283019</v>
      </c>
      <c r="G1542" s="2">
        <v>780.29488659254503</v>
      </c>
      <c r="H1542" s="1">
        <v>137.69975076991301</v>
      </c>
      <c r="I1542" s="1">
        <f t="shared" si="49"/>
        <v>123.64124557749354</v>
      </c>
    </row>
    <row r="1543" spans="1:9" x14ac:dyDescent="0.45">
      <c r="A1543" t="s">
        <v>52</v>
      </c>
      <c r="B1543" t="s">
        <v>29</v>
      </c>
      <c r="C1543" t="str">
        <f t="shared" si="48"/>
        <v>OregonIllinois</v>
      </c>
      <c r="D1543" t="s">
        <v>29</v>
      </c>
      <c r="E1543">
        <v>26.5</v>
      </c>
      <c r="F1543" s="1">
        <v>6.7018867924528296</v>
      </c>
      <c r="G1543" s="2">
        <v>277.96653608353199</v>
      </c>
      <c r="H1543" s="1">
        <v>137.99046816144201</v>
      </c>
      <c r="I1543" s="1">
        <f t="shared" si="49"/>
        <v>127.72341650672209</v>
      </c>
    </row>
    <row r="1544" spans="1:9" x14ac:dyDescent="0.45">
      <c r="A1544" t="s">
        <v>53</v>
      </c>
      <c r="B1544" t="s">
        <v>29</v>
      </c>
      <c r="C1544" t="str">
        <f t="shared" si="48"/>
        <v>PurdueIllinois</v>
      </c>
      <c r="D1544" t="s">
        <v>53</v>
      </c>
      <c r="E1544">
        <v>67.099999999999994</v>
      </c>
      <c r="F1544" s="1">
        <v>-4.6716981132075501</v>
      </c>
      <c r="G1544" s="2">
        <v>-203.89524830327201</v>
      </c>
      <c r="H1544" s="1">
        <v>139.47855536124001</v>
      </c>
      <c r="I1544" s="1">
        <f t="shared" si="49"/>
        <v>148.61871374100048</v>
      </c>
    </row>
    <row r="1545" spans="1:9" x14ac:dyDescent="0.45">
      <c r="A1545" t="s">
        <v>54</v>
      </c>
      <c r="B1545" t="s">
        <v>29</v>
      </c>
      <c r="C1545" t="str">
        <f t="shared" si="48"/>
        <v>Robert MorrisIllinois</v>
      </c>
      <c r="D1545" t="s">
        <v>29</v>
      </c>
      <c r="E1545">
        <v>0.3</v>
      </c>
      <c r="F1545" s="1">
        <v>39.218867924528297</v>
      </c>
      <c r="G1545" s="2">
        <v>39648.5944085394</v>
      </c>
      <c r="H1545" s="1">
        <v>136.56152068992699</v>
      </c>
      <c r="I1545" s="1">
        <f t="shared" si="49"/>
        <v>107.65854251712668</v>
      </c>
    </row>
    <row r="1546" spans="1:9" x14ac:dyDescent="0.45">
      <c r="A1546" t="s">
        <v>55</v>
      </c>
      <c r="B1546" t="s">
        <v>29</v>
      </c>
      <c r="C1546" t="str">
        <f t="shared" si="48"/>
        <v>Saint FrancisIllinois</v>
      </c>
      <c r="D1546" t="s">
        <v>29</v>
      </c>
      <c r="E1546">
        <v>0.2</v>
      </c>
      <c r="F1546" s="1">
        <v>42.5811320754717</v>
      </c>
      <c r="G1546" s="2">
        <v>66223.173689408301</v>
      </c>
      <c r="H1546" s="1">
        <v>137.268368571971</v>
      </c>
      <c r="I1546" s="1">
        <f t="shared" si="49"/>
        <v>117.58389944294021</v>
      </c>
    </row>
    <row r="1547" spans="1:9" x14ac:dyDescent="0.45">
      <c r="A1547" t="s">
        <v>56</v>
      </c>
      <c r="B1547" t="s">
        <v>29</v>
      </c>
      <c r="C1547" t="str">
        <f t="shared" si="48"/>
        <v>Saint Mary'sIllinois</v>
      </c>
      <c r="D1547" t="s">
        <v>29</v>
      </c>
      <c r="E1547">
        <v>26</v>
      </c>
      <c r="F1547" s="1">
        <v>6.8452830188679199</v>
      </c>
      <c r="G1547" s="2">
        <v>284.14879272403698</v>
      </c>
      <c r="H1547" s="1">
        <v>138.99757468791299</v>
      </c>
      <c r="I1547" s="1">
        <f t="shared" si="49"/>
        <v>141.86491992134006</v>
      </c>
    </row>
    <row r="1548" spans="1:9" x14ac:dyDescent="0.45">
      <c r="A1548" t="s">
        <v>57</v>
      </c>
      <c r="B1548" t="s">
        <v>29</v>
      </c>
      <c r="C1548" t="str">
        <f t="shared" si="48"/>
        <v>San Diego St.Illinois</v>
      </c>
      <c r="D1548" t="s">
        <v>29</v>
      </c>
      <c r="E1548">
        <v>9.8000000000000007</v>
      </c>
      <c r="F1548" s="1">
        <v>14.5207547169811</v>
      </c>
      <c r="G1548" s="2">
        <v>916.10526946237997</v>
      </c>
      <c r="H1548" s="1">
        <v>138.21227385094099</v>
      </c>
      <c r="I1548" s="1">
        <f t="shared" si="49"/>
        <v>130.83794891514839</v>
      </c>
    </row>
    <row r="1549" spans="1:9" x14ac:dyDescent="0.45">
      <c r="A1549" t="s">
        <v>58</v>
      </c>
      <c r="B1549" t="s">
        <v>29</v>
      </c>
      <c r="C1549" t="str">
        <f t="shared" si="48"/>
        <v>SIU EdwardsvilleIllinois</v>
      </c>
      <c r="D1549" t="s">
        <v>29</v>
      </c>
      <c r="E1549">
        <v>0.5</v>
      </c>
      <c r="F1549" s="1">
        <v>34.494339622641498</v>
      </c>
      <c r="G1549" s="2">
        <v>19285.267207643599</v>
      </c>
      <c r="H1549" s="1">
        <v>138.27153203112499</v>
      </c>
      <c r="I1549" s="1">
        <f t="shared" si="49"/>
        <v>131.67003542773665</v>
      </c>
    </row>
    <row r="1550" spans="1:9" x14ac:dyDescent="0.45">
      <c r="A1550" t="s">
        <v>59</v>
      </c>
      <c r="B1550" t="s">
        <v>29</v>
      </c>
      <c r="C1550" t="str">
        <f t="shared" si="48"/>
        <v>St. John'sIllinois</v>
      </c>
      <c r="D1550" t="s">
        <v>59</v>
      </c>
      <c r="E1550">
        <v>50.5</v>
      </c>
      <c r="F1550" s="1">
        <v>-0.135849056603774</v>
      </c>
      <c r="G1550" s="2">
        <v>-102.118360619885</v>
      </c>
      <c r="H1550" s="1">
        <v>139.09098847967999</v>
      </c>
      <c r="I1550" s="1">
        <f t="shared" si="49"/>
        <v>143.17660981761597</v>
      </c>
    </row>
    <row r="1551" spans="1:9" x14ac:dyDescent="0.45">
      <c r="A1551" t="s">
        <v>60</v>
      </c>
      <c r="B1551" t="s">
        <v>29</v>
      </c>
      <c r="C1551" t="str">
        <f t="shared" si="48"/>
        <v>TennesseeIllinois</v>
      </c>
      <c r="D1551" t="s">
        <v>60</v>
      </c>
      <c r="E1551">
        <v>69.400000000000006</v>
      </c>
      <c r="F1551" s="1">
        <v>-5.3547169811320803</v>
      </c>
      <c r="G1551" s="2">
        <v>-226.287897167663</v>
      </c>
      <c r="H1551" s="1">
        <v>139.88422085381401</v>
      </c>
      <c r="I1551" s="1">
        <f t="shared" si="49"/>
        <v>154.31495321283677</v>
      </c>
    </row>
    <row r="1552" spans="1:9" x14ac:dyDescent="0.45">
      <c r="A1552" t="s">
        <v>61</v>
      </c>
      <c r="B1552" t="s">
        <v>29</v>
      </c>
      <c r="C1552" t="str">
        <f t="shared" si="48"/>
        <v>TexasIllinois</v>
      </c>
      <c r="D1552" t="s">
        <v>29</v>
      </c>
      <c r="E1552">
        <v>8.3000000000000007</v>
      </c>
      <c r="F1552" s="1">
        <v>15.743396226415101</v>
      </c>
      <c r="G1552" s="2">
        <v>1104.0366660504101</v>
      </c>
      <c r="H1552" s="1">
        <v>137.58410268145201</v>
      </c>
      <c r="I1552" s="1">
        <f t="shared" si="49"/>
        <v>122.01734801067302</v>
      </c>
    </row>
    <row r="1553" spans="1:9" x14ac:dyDescent="0.45">
      <c r="A1553" t="s">
        <v>62</v>
      </c>
      <c r="B1553" t="s">
        <v>29</v>
      </c>
      <c r="C1553" t="str">
        <f t="shared" si="48"/>
        <v>Texas A&amp;MIllinois</v>
      </c>
      <c r="D1553" t="s">
        <v>29</v>
      </c>
      <c r="E1553">
        <v>34</v>
      </c>
      <c r="F1553" s="1">
        <v>4.3433962264150896</v>
      </c>
      <c r="G1553" s="2">
        <v>193.92295386116299</v>
      </c>
      <c r="H1553" s="1">
        <v>138.37107799085001</v>
      </c>
      <c r="I1553" s="1">
        <f t="shared" si="49"/>
        <v>133.06783148243571</v>
      </c>
    </row>
    <row r="1554" spans="1:9" x14ac:dyDescent="0.45">
      <c r="A1554" t="s">
        <v>63</v>
      </c>
      <c r="B1554" t="s">
        <v>29</v>
      </c>
      <c r="C1554" t="str">
        <f t="shared" si="48"/>
        <v>Texas TechIllinois</v>
      </c>
      <c r="D1554" t="s">
        <v>29</v>
      </c>
      <c r="E1554">
        <v>50</v>
      </c>
      <c r="F1554" s="1">
        <v>7.5471698113207496E-3</v>
      </c>
      <c r="G1554" s="2">
        <v>100.11837136219199</v>
      </c>
      <c r="H1554" s="1">
        <v>139.361590596089</v>
      </c>
      <c r="I1554" s="1">
        <f t="shared" si="49"/>
        <v>146.97632777457346</v>
      </c>
    </row>
    <row r="1555" spans="1:9" x14ac:dyDescent="0.45">
      <c r="A1555" t="s">
        <v>64</v>
      </c>
      <c r="B1555" t="s">
        <v>29</v>
      </c>
      <c r="C1555" t="str">
        <f t="shared" si="48"/>
        <v>TroyIllinois</v>
      </c>
      <c r="D1555" t="s">
        <v>29</v>
      </c>
      <c r="E1555">
        <v>1.4</v>
      </c>
      <c r="F1555" s="1">
        <v>27.8150943396226</v>
      </c>
      <c r="G1555" s="2">
        <v>6963.94031406043</v>
      </c>
      <c r="H1555" s="1">
        <v>138.12789519064799</v>
      </c>
      <c r="I1555" s="1">
        <f t="shared" si="49"/>
        <v>129.65312776535842</v>
      </c>
    </row>
    <row r="1556" spans="1:9" x14ac:dyDescent="0.45">
      <c r="A1556" t="s">
        <v>65</v>
      </c>
      <c r="B1556" t="s">
        <v>29</v>
      </c>
      <c r="C1556" t="str">
        <f t="shared" si="48"/>
        <v>UC San DiegoIllinois</v>
      </c>
      <c r="D1556" t="s">
        <v>29</v>
      </c>
      <c r="E1556">
        <v>3.6</v>
      </c>
      <c r="F1556" s="1">
        <v>21.633962264150899</v>
      </c>
      <c r="G1556" s="2">
        <v>2712.2338242654901</v>
      </c>
      <c r="H1556" s="1">
        <v>138.19801542031101</v>
      </c>
      <c r="I1556" s="1">
        <f t="shared" si="49"/>
        <v>130.6377360874672</v>
      </c>
    </row>
    <row r="1557" spans="1:9" x14ac:dyDescent="0.45">
      <c r="A1557" t="s">
        <v>66</v>
      </c>
      <c r="B1557" t="s">
        <v>29</v>
      </c>
      <c r="C1557" t="str">
        <f t="shared" si="48"/>
        <v>UCLAIllinois</v>
      </c>
      <c r="D1557" t="s">
        <v>29</v>
      </c>
      <c r="E1557">
        <v>11.3</v>
      </c>
      <c r="F1557" s="1">
        <v>13.5358490566038</v>
      </c>
      <c r="G1557" s="2">
        <v>788.19863094276798</v>
      </c>
      <c r="H1557" s="1">
        <v>137.419273999523</v>
      </c>
      <c r="I1557" s="1">
        <f t="shared" si="49"/>
        <v>119.70287053777459</v>
      </c>
    </row>
    <row r="1558" spans="1:9" x14ac:dyDescent="0.45">
      <c r="A1558" t="s">
        <v>67</v>
      </c>
      <c r="B1558" t="s">
        <v>29</v>
      </c>
      <c r="C1558" t="str">
        <f t="shared" si="48"/>
        <v>UNC WilmingtonIllinois</v>
      </c>
      <c r="D1558" t="s">
        <v>29</v>
      </c>
      <c r="E1558">
        <v>2.1</v>
      </c>
      <c r="F1558" s="1">
        <v>25.2264150943396</v>
      </c>
      <c r="G1558" s="2">
        <v>4691.2666376646803</v>
      </c>
      <c r="H1558" s="1">
        <v>138.73468389097499</v>
      </c>
      <c r="I1558" s="1">
        <f t="shared" si="49"/>
        <v>138.17348211922643</v>
      </c>
    </row>
    <row r="1559" spans="1:9" x14ac:dyDescent="0.45">
      <c r="A1559" t="s">
        <v>68</v>
      </c>
      <c r="B1559" t="s">
        <v>29</v>
      </c>
      <c r="C1559" t="str">
        <f t="shared" si="48"/>
        <v>Utah St.Illinois</v>
      </c>
      <c r="D1559" t="s">
        <v>29</v>
      </c>
      <c r="E1559">
        <v>10.7</v>
      </c>
      <c r="F1559" s="1">
        <v>13.898113207547199</v>
      </c>
      <c r="G1559" s="2">
        <v>833.39699326851098</v>
      </c>
      <c r="H1559" s="1">
        <v>138.281870389554</v>
      </c>
      <c r="I1559" s="1">
        <f t="shared" si="49"/>
        <v>131.81520371647539</v>
      </c>
    </row>
    <row r="1560" spans="1:9" x14ac:dyDescent="0.45">
      <c r="A1560" t="s">
        <v>69</v>
      </c>
      <c r="B1560" t="s">
        <v>29</v>
      </c>
      <c r="C1560" t="str">
        <f t="shared" si="48"/>
        <v>VanderbiltIllinois</v>
      </c>
      <c r="D1560" t="s">
        <v>29</v>
      </c>
      <c r="E1560">
        <v>2.2999999999999998</v>
      </c>
      <c r="F1560" s="1">
        <v>24.547169811320799</v>
      </c>
      <c r="G1560" s="2">
        <v>4229.3234253754799</v>
      </c>
      <c r="H1560" s="1">
        <v>136.71590827083699</v>
      </c>
      <c r="I1560" s="1">
        <f t="shared" si="49"/>
        <v>109.82640901905849</v>
      </c>
    </row>
    <row r="1561" spans="1:9" x14ac:dyDescent="0.45">
      <c r="A1561" t="s">
        <v>70</v>
      </c>
      <c r="B1561" t="s">
        <v>29</v>
      </c>
      <c r="C1561" t="str">
        <f t="shared" si="48"/>
        <v>VCUIllinois</v>
      </c>
      <c r="D1561" t="s">
        <v>29</v>
      </c>
      <c r="E1561">
        <v>7.1</v>
      </c>
      <c r="F1561" s="1">
        <v>16.9018867924528</v>
      </c>
      <c r="G1561" s="2">
        <v>1317.4955223361501</v>
      </c>
      <c r="H1561" s="1">
        <v>138.64108140003</v>
      </c>
      <c r="I1561" s="1">
        <f t="shared" si="49"/>
        <v>136.85914256276101</v>
      </c>
    </row>
    <row r="1562" spans="1:9" x14ac:dyDescent="0.45">
      <c r="A1562" t="s">
        <v>71</v>
      </c>
      <c r="B1562" t="s">
        <v>29</v>
      </c>
      <c r="C1562" t="str">
        <f t="shared" si="48"/>
        <v>WisconsinIllinois</v>
      </c>
      <c r="D1562" t="s">
        <v>29</v>
      </c>
      <c r="E1562">
        <v>46.4</v>
      </c>
      <c r="F1562" s="1">
        <v>0.94716981132075495</v>
      </c>
      <c r="G1562" s="2">
        <v>115.57489540495899</v>
      </c>
      <c r="H1562" s="1">
        <v>139.29433700836199</v>
      </c>
      <c r="I1562" s="1">
        <f t="shared" si="49"/>
        <v>146.03197202323159</v>
      </c>
    </row>
    <row r="1563" spans="1:9" x14ac:dyDescent="0.45">
      <c r="A1563" t="s">
        <v>80</v>
      </c>
      <c r="B1563" t="s">
        <v>29</v>
      </c>
      <c r="C1563" t="str">
        <f t="shared" si="48"/>
        <v>WoffordIllinois</v>
      </c>
      <c r="D1563" t="s">
        <v>29</v>
      </c>
      <c r="E1563">
        <v>0.7</v>
      </c>
      <c r="F1563" s="1">
        <v>32.124528301886798</v>
      </c>
      <c r="G1563" s="2">
        <v>13432.2755576368</v>
      </c>
      <c r="H1563" s="1">
        <v>137.391985437589</v>
      </c>
      <c r="I1563" s="1">
        <f t="shared" si="49"/>
        <v>119.31969231220801</v>
      </c>
    </row>
    <row r="1564" spans="1:9" x14ac:dyDescent="0.45">
      <c r="A1564" t="s">
        <v>72</v>
      </c>
      <c r="B1564" t="s">
        <v>29</v>
      </c>
      <c r="C1564" t="str">
        <f t="shared" si="48"/>
        <v>XavierIllinois</v>
      </c>
      <c r="D1564" t="s">
        <v>29</v>
      </c>
      <c r="E1564">
        <v>7</v>
      </c>
      <c r="F1564" s="1">
        <v>16.973584905660399</v>
      </c>
      <c r="G1564" s="2">
        <v>1332.2788493053299</v>
      </c>
      <c r="H1564" s="1">
        <v>138.13478760820999</v>
      </c>
      <c r="I1564" s="1">
        <f t="shared" si="49"/>
        <v>129.74990913249894</v>
      </c>
    </row>
    <row r="1565" spans="1:9" x14ac:dyDescent="0.45">
      <c r="A1565" t="s">
        <v>73</v>
      </c>
      <c r="B1565" t="s">
        <v>29</v>
      </c>
      <c r="C1565" t="str">
        <f t="shared" si="48"/>
        <v>YaleIllinois</v>
      </c>
      <c r="D1565" t="s">
        <v>29</v>
      </c>
      <c r="E1565">
        <v>3.8</v>
      </c>
      <c r="F1565" s="1">
        <v>21.2264150943396</v>
      </c>
      <c r="G1565" s="2">
        <v>2547.65505075806</v>
      </c>
      <c r="H1565" s="1">
        <v>138.73449374460401</v>
      </c>
      <c r="I1565" s="1">
        <f t="shared" si="49"/>
        <v>138.17081213796442</v>
      </c>
    </row>
    <row r="1566" spans="1:9" x14ac:dyDescent="0.45">
      <c r="A1566" t="s">
        <v>7</v>
      </c>
      <c r="B1566" t="s">
        <v>30</v>
      </c>
      <c r="C1566" t="str">
        <f t="shared" si="48"/>
        <v>AkronIowa St.</v>
      </c>
      <c r="D1566" t="s">
        <v>30</v>
      </c>
      <c r="E1566">
        <v>1</v>
      </c>
      <c r="F1566" s="1">
        <v>30.350943396226398</v>
      </c>
      <c r="G1566" s="2">
        <v>10248.7436715201</v>
      </c>
      <c r="H1566" s="1">
        <v>136.65477851359799</v>
      </c>
      <c r="I1566" s="1">
        <f t="shared" si="49"/>
        <v>108.96804235375714</v>
      </c>
    </row>
    <row r="1567" spans="1:9" x14ac:dyDescent="0.45">
      <c r="A1567" t="s">
        <v>8</v>
      </c>
      <c r="B1567" t="s">
        <v>30</v>
      </c>
      <c r="C1567" t="str">
        <f t="shared" si="48"/>
        <v>AlabamaIowa St.</v>
      </c>
      <c r="D1567" t="s">
        <v>30</v>
      </c>
      <c r="E1567">
        <v>42.4</v>
      </c>
      <c r="F1567" s="1">
        <v>2.01132075471698</v>
      </c>
      <c r="G1567" s="2">
        <v>135.87511570617301</v>
      </c>
      <c r="H1567" s="1">
        <v>138.46238970119299</v>
      </c>
      <c r="I1567" s="1">
        <f t="shared" si="49"/>
        <v>134.35000454920618</v>
      </c>
    </row>
    <row r="1568" spans="1:9" x14ac:dyDescent="0.45">
      <c r="A1568" t="s">
        <v>9</v>
      </c>
      <c r="B1568" t="s">
        <v>30</v>
      </c>
      <c r="C1568" t="str">
        <f t="shared" si="48"/>
        <v>Alabama St.Iowa St.</v>
      </c>
      <c r="D1568" t="s">
        <v>30</v>
      </c>
      <c r="E1568">
        <v>0.1</v>
      </c>
      <c r="F1568" s="1">
        <v>42.667924528301903</v>
      </c>
      <c r="G1568" s="2">
        <v>67105.844907706298</v>
      </c>
      <c r="H1568" s="1">
        <v>136.84154027301901</v>
      </c>
      <c r="I1568" s="1">
        <f t="shared" si="49"/>
        <v>111.59049786283529</v>
      </c>
    </row>
    <row r="1569" spans="1:9" x14ac:dyDescent="0.45">
      <c r="A1569" t="s">
        <v>10</v>
      </c>
      <c r="B1569" t="s">
        <v>30</v>
      </c>
      <c r="C1569" t="str">
        <f t="shared" si="48"/>
        <v>AmericanIowa St.</v>
      </c>
      <c r="D1569" t="s">
        <v>30</v>
      </c>
      <c r="E1569">
        <v>0.2</v>
      </c>
      <c r="F1569" s="1">
        <v>41.909433962264103</v>
      </c>
      <c r="G1569" s="2">
        <v>59788.007275188298</v>
      </c>
      <c r="H1569" s="1">
        <v>136.604829792781</v>
      </c>
      <c r="I1569" s="1">
        <f t="shared" si="49"/>
        <v>108.26667662190718</v>
      </c>
    </row>
    <row r="1570" spans="1:9" x14ac:dyDescent="0.45">
      <c r="A1570" t="s">
        <v>11</v>
      </c>
      <c r="B1570" t="s">
        <v>30</v>
      </c>
      <c r="C1570" t="str">
        <f t="shared" si="48"/>
        <v>ArizonaIowa St.</v>
      </c>
      <c r="D1570" t="s">
        <v>30</v>
      </c>
      <c r="E1570">
        <v>32.6</v>
      </c>
      <c r="F1570" s="1">
        <v>4.7660377358490598</v>
      </c>
      <c r="G1570" s="2">
        <v>206.868378204854</v>
      </c>
      <c r="H1570" s="1">
        <v>138.07286904137001</v>
      </c>
      <c r="I1570" s="1">
        <f t="shared" si="49"/>
        <v>128.88046622712517</v>
      </c>
    </row>
    <row r="1571" spans="1:9" x14ac:dyDescent="0.45">
      <c r="A1571" t="s">
        <v>12</v>
      </c>
      <c r="B1571" t="s">
        <v>30</v>
      </c>
      <c r="C1571" t="str">
        <f t="shared" si="48"/>
        <v>ArkansasIowa St.</v>
      </c>
      <c r="D1571" t="s">
        <v>30</v>
      </c>
      <c r="E1571">
        <v>3.1</v>
      </c>
      <c r="F1571" s="1">
        <v>22.664150943396201</v>
      </c>
      <c r="G1571" s="2">
        <v>3173.9034672513499</v>
      </c>
      <c r="H1571" s="1">
        <v>136.398793019159</v>
      </c>
      <c r="I1571" s="1">
        <f t="shared" si="49"/>
        <v>105.37356684540492</v>
      </c>
    </row>
    <row r="1572" spans="1:9" x14ac:dyDescent="0.45">
      <c r="A1572" t="s">
        <v>13</v>
      </c>
      <c r="B1572" t="s">
        <v>30</v>
      </c>
      <c r="C1572" t="str">
        <f t="shared" si="48"/>
        <v>AuburnIowa St.</v>
      </c>
      <c r="D1572" t="s">
        <v>13</v>
      </c>
      <c r="E1572">
        <v>59.2</v>
      </c>
      <c r="F1572" s="1">
        <v>-2.4301886792452798</v>
      </c>
      <c r="G1572" s="2">
        <v>-144.86737681091199</v>
      </c>
      <c r="H1572" s="1">
        <v>139.48460593454601</v>
      </c>
      <c r="I1572" s="1">
        <f t="shared" si="49"/>
        <v>148.70367417052626</v>
      </c>
    </row>
    <row r="1573" spans="1:9" x14ac:dyDescent="0.45">
      <c r="A1573" t="s">
        <v>14</v>
      </c>
      <c r="B1573" t="s">
        <v>30</v>
      </c>
      <c r="C1573" t="str">
        <f t="shared" si="48"/>
        <v>BaylorIowa St.</v>
      </c>
      <c r="D1573" t="s">
        <v>30</v>
      </c>
      <c r="E1573">
        <v>12.7</v>
      </c>
      <c r="F1573" s="1">
        <v>12.618867924528301</v>
      </c>
      <c r="G1573" s="2">
        <v>685.47497951043897</v>
      </c>
      <c r="H1573" s="1">
        <v>137.947523295726</v>
      </c>
      <c r="I1573" s="1">
        <f t="shared" si="49"/>
        <v>127.12039691624111</v>
      </c>
    </row>
    <row r="1574" spans="1:9" x14ac:dyDescent="0.45">
      <c r="A1574" t="s">
        <v>15</v>
      </c>
      <c r="B1574" t="s">
        <v>30</v>
      </c>
      <c r="C1574" t="str">
        <f t="shared" si="48"/>
        <v>BryantIowa St.</v>
      </c>
      <c r="D1574" t="s">
        <v>30</v>
      </c>
      <c r="E1574">
        <v>0.7</v>
      </c>
      <c r="F1574" s="1">
        <v>32.690566037735799</v>
      </c>
      <c r="G1574" s="2">
        <v>14645.4735271924</v>
      </c>
      <c r="H1574" s="1">
        <v>137.53984317137201</v>
      </c>
      <c r="I1574" s="1">
        <f t="shared" si="49"/>
        <v>121.39586855792952</v>
      </c>
    </row>
    <row r="1575" spans="1:9" x14ac:dyDescent="0.45">
      <c r="A1575" t="s">
        <v>16</v>
      </c>
      <c r="B1575" t="s">
        <v>30</v>
      </c>
      <c r="C1575" t="str">
        <f t="shared" si="48"/>
        <v>BYUIowa St.</v>
      </c>
      <c r="D1575" t="s">
        <v>30</v>
      </c>
      <c r="E1575">
        <v>14.7</v>
      </c>
      <c r="F1575" s="1">
        <v>11.5245283018868</v>
      </c>
      <c r="G1575" s="2">
        <v>580.07194996694102</v>
      </c>
      <c r="H1575" s="1">
        <v>137.709883845815</v>
      </c>
      <c r="I1575" s="1">
        <f t="shared" si="49"/>
        <v>123.78353134737202</v>
      </c>
    </row>
    <row r="1576" spans="1:9" x14ac:dyDescent="0.45">
      <c r="A1576" t="s">
        <v>17</v>
      </c>
      <c r="B1576" t="s">
        <v>30</v>
      </c>
      <c r="C1576" t="str">
        <f t="shared" si="48"/>
        <v>ClemsonIowa St.</v>
      </c>
      <c r="D1576" t="s">
        <v>30</v>
      </c>
      <c r="E1576">
        <v>19.399999999999999</v>
      </c>
      <c r="F1576" s="1">
        <v>9.3207547169811296</v>
      </c>
      <c r="G1576" s="2">
        <v>414.41999331313502</v>
      </c>
      <c r="H1576" s="1">
        <v>138.05993406825701</v>
      </c>
      <c r="I1576" s="1">
        <f t="shared" si="49"/>
        <v>128.6988370134942</v>
      </c>
    </row>
    <row r="1577" spans="1:9" x14ac:dyDescent="0.45">
      <c r="A1577" t="s">
        <v>18</v>
      </c>
      <c r="B1577" t="s">
        <v>30</v>
      </c>
      <c r="C1577" t="str">
        <f t="shared" si="48"/>
        <v>Colorado St.Iowa St.</v>
      </c>
      <c r="D1577" t="s">
        <v>30</v>
      </c>
      <c r="E1577">
        <v>3.8</v>
      </c>
      <c r="F1577" s="1">
        <v>21.101886792452799</v>
      </c>
      <c r="G1577" s="2">
        <v>2500.3718240578501</v>
      </c>
      <c r="H1577" s="1">
        <v>137.44954504305201</v>
      </c>
      <c r="I1577" s="1">
        <f t="shared" si="49"/>
        <v>120.12792792165394</v>
      </c>
    </row>
    <row r="1578" spans="1:9" x14ac:dyDescent="0.45">
      <c r="A1578" t="s">
        <v>19</v>
      </c>
      <c r="B1578" t="s">
        <v>30</v>
      </c>
      <c r="C1578" t="str">
        <f t="shared" si="48"/>
        <v>ConnecticutIowa St.</v>
      </c>
      <c r="D1578" t="s">
        <v>30</v>
      </c>
      <c r="E1578">
        <v>27.3</v>
      </c>
      <c r="F1578" s="1">
        <v>6.4264150943396201</v>
      </c>
      <c r="G1578" s="2">
        <v>266.53507647442098</v>
      </c>
      <c r="H1578" s="1">
        <v>137.86018489900599</v>
      </c>
      <c r="I1578" s="1">
        <f t="shared" si="49"/>
        <v>125.89401598931845</v>
      </c>
    </row>
    <row r="1579" spans="1:9" x14ac:dyDescent="0.45">
      <c r="A1579" t="s">
        <v>20</v>
      </c>
      <c r="B1579" t="s">
        <v>30</v>
      </c>
      <c r="C1579" t="str">
        <f t="shared" si="48"/>
        <v>CreightonIowa St.</v>
      </c>
      <c r="D1579" t="s">
        <v>30</v>
      </c>
      <c r="E1579">
        <v>10.4</v>
      </c>
      <c r="F1579" s="1">
        <v>14.135849056603799</v>
      </c>
      <c r="G1579" s="2">
        <v>863.74795263109695</v>
      </c>
      <c r="H1579" s="1">
        <v>137.409481651845</v>
      </c>
      <c r="I1579" s="1">
        <f t="shared" si="49"/>
        <v>119.5653691767112</v>
      </c>
    </row>
    <row r="1580" spans="1:9" x14ac:dyDescent="0.45">
      <c r="A1580" t="s">
        <v>21</v>
      </c>
      <c r="B1580" t="s">
        <v>30</v>
      </c>
      <c r="C1580" t="str">
        <f t="shared" si="48"/>
        <v>DrakeIowa St.</v>
      </c>
      <c r="D1580" t="s">
        <v>30</v>
      </c>
      <c r="E1580">
        <v>3.7</v>
      </c>
      <c r="F1580" s="1">
        <v>21.3056603773585</v>
      </c>
      <c r="G1580" s="2">
        <v>2579.73279321577</v>
      </c>
      <c r="H1580" s="1">
        <v>137.64415745751899</v>
      </c>
      <c r="I1580" s="1">
        <f t="shared" si="49"/>
        <v>122.86062009609103</v>
      </c>
    </row>
    <row r="1581" spans="1:9" x14ac:dyDescent="0.45">
      <c r="A1581" t="s">
        <v>22</v>
      </c>
      <c r="B1581" t="s">
        <v>30</v>
      </c>
      <c r="C1581" t="str">
        <f t="shared" si="48"/>
        <v>DukeIowa St.</v>
      </c>
      <c r="D1581" t="s">
        <v>22</v>
      </c>
      <c r="E1581">
        <v>67</v>
      </c>
      <c r="F1581" s="1">
        <v>-4.6452830188679197</v>
      </c>
      <c r="G1581" s="2">
        <v>-203.084931857588</v>
      </c>
      <c r="H1581" s="1">
        <v>139.72449734612201</v>
      </c>
      <c r="I1581" s="1">
        <f t="shared" si="49"/>
        <v>152.07216114461721</v>
      </c>
    </row>
    <row r="1582" spans="1:9" x14ac:dyDescent="0.45">
      <c r="A1582" t="s">
        <v>23</v>
      </c>
      <c r="B1582" t="s">
        <v>30</v>
      </c>
      <c r="C1582" t="str">
        <f t="shared" si="48"/>
        <v>FloridaIowa St.</v>
      </c>
      <c r="D1582" t="s">
        <v>23</v>
      </c>
      <c r="E1582">
        <v>53</v>
      </c>
      <c r="F1582" s="1">
        <v>-0.78867924528301903</v>
      </c>
      <c r="G1582" s="2">
        <v>-112.75752676100799</v>
      </c>
      <c r="H1582" s="1">
        <v>139.45914787367599</v>
      </c>
      <c r="I1582" s="1">
        <f t="shared" si="49"/>
        <v>148.3461993202892</v>
      </c>
    </row>
    <row r="1583" spans="1:9" x14ac:dyDescent="0.45">
      <c r="A1583" t="s">
        <v>24</v>
      </c>
      <c r="B1583" t="s">
        <v>30</v>
      </c>
      <c r="C1583" t="str">
        <f t="shared" si="48"/>
        <v>GeorgiaIowa St.</v>
      </c>
      <c r="D1583" t="s">
        <v>30</v>
      </c>
      <c r="E1583">
        <v>4.3</v>
      </c>
      <c r="F1583" s="1">
        <v>20.275471698113201</v>
      </c>
      <c r="G1583" s="2">
        <v>2203.78882508269</v>
      </c>
      <c r="H1583" s="1">
        <v>136.723106169961</v>
      </c>
      <c r="I1583" s="1">
        <f t="shared" si="49"/>
        <v>109.92747987141104</v>
      </c>
    </row>
    <row r="1584" spans="1:9" x14ac:dyDescent="0.45">
      <c r="A1584" t="s">
        <v>25</v>
      </c>
      <c r="B1584" t="s">
        <v>30</v>
      </c>
      <c r="C1584" t="str">
        <f t="shared" si="48"/>
        <v>GonzagaIowa St.</v>
      </c>
      <c r="D1584" t="s">
        <v>30</v>
      </c>
      <c r="E1584">
        <v>18.7</v>
      </c>
      <c r="F1584" s="1">
        <v>9.6452830188679304</v>
      </c>
      <c r="G1584" s="2">
        <v>435.44281999166901</v>
      </c>
      <c r="H1584" s="1">
        <v>138.70006790046699</v>
      </c>
      <c r="I1584" s="1">
        <f t="shared" si="49"/>
        <v>137.68741422560984</v>
      </c>
    </row>
    <row r="1585" spans="1:9" x14ac:dyDescent="0.45">
      <c r="A1585" t="s">
        <v>26</v>
      </c>
      <c r="B1585" t="s">
        <v>30</v>
      </c>
      <c r="C1585" t="str">
        <f t="shared" si="48"/>
        <v>Grand CanyonIowa St.</v>
      </c>
      <c r="D1585" t="s">
        <v>30</v>
      </c>
      <c r="E1585">
        <v>2.4</v>
      </c>
      <c r="F1585" s="1">
        <v>24.196226415094301</v>
      </c>
      <c r="G1585" s="2">
        <v>4007.8362480721698</v>
      </c>
      <c r="H1585" s="1">
        <v>137.51803961800599</v>
      </c>
      <c r="I1585" s="1">
        <f t="shared" si="49"/>
        <v>121.08970926268901</v>
      </c>
    </row>
    <row r="1586" spans="1:9" x14ac:dyDescent="0.45">
      <c r="A1586" t="s">
        <v>27</v>
      </c>
      <c r="B1586" t="s">
        <v>30</v>
      </c>
      <c r="C1586" t="str">
        <f t="shared" si="48"/>
        <v>High PointIowa St.</v>
      </c>
      <c r="D1586" t="s">
        <v>30</v>
      </c>
      <c r="E1586">
        <v>1.5</v>
      </c>
      <c r="F1586" s="1">
        <v>27.2830188679245</v>
      </c>
      <c r="G1586" s="2">
        <v>6420.8426930353498</v>
      </c>
      <c r="H1586" s="1">
        <v>137.70924675155501</v>
      </c>
      <c r="I1586" s="1">
        <f t="shared" si="49"/>
        <v>123.7745854509686</v>
      </c>
    </row>
    <row r="1587" spans="1:9" x14ac:dyDescent="0.45">
      <c r="A1587" t="s">
        <v>28</v>
      </c>
      <c r="B1587" t="s">
        <v>30</v>
      </c>
      <c r="C1587" t="str">
        <f t="shared" si="48"/>
        <v>HoustonIowa St.</v>
      </c>
      <c r="D1587" t="s">
        <v>28</v>
      </c>
      <c r="E1587">
        <v>77.2</v>
      </c>
      <c r="F1587" s="1">
        <v>-8</v>
      </c>
      <c r="G1587" s="2">
        <v>-338.77227619457301</v>
      </c>
      <c r="H1587" s="1">
        <v>139.822709108758</v>
      </c>
      <c r="I1587" s="1">
        <f t="shared" si="49"/>
        <v>153.45122278324976</v>
      </c>
    </row>
    <row r="1588" spans="1:9" x14ac:dyDescent="0.45">
      <c r="A1588" t="s">
        <v>29</v>
      </c>
      <c r="B1588" t="s">
        <v>30</v>
      </c>
      <c r="C1588" t="str">
        <f t="shared" si="48"/>
        <v>IllinoisIowa St.</v>
      </c>
      <c r="D1588" t="s">
        <v>30</v>
      </c>
      <c r="E1588">
        <v>25</v>
      </c>
      <c r="F1588" s="1">
        <v>7.1886792452830202</v>
      </c>
      <c r="G1588" s="2">
        <v>299.43717566869998</v>
      </c>
      <c r="H1588" s="1">
        <v>137.88117288371899</v>
      </c>
      <c r="I1588" s="1">
        <f t="shared" si="49"/>
        <v>126.1887233014882</v>
      </c>
    </row>
    <row r="1589" spans="1:9" x14ac:dyDescent="0.45">
      <c r="A1589" t="s">
        <v>30</v>
      </c>
      <c r="B1589" t="s">
        <v>30</v>
      </c>
      <c r="C1589" t="str">
        <f t="shared" si="48"/>
        <v>Iowa St.Iowa St.</v>
      </c>
      <c r="D1589" t="s">
        <v>30</v>
      </c>
      <c r="E1589">
        <v>41.2</v>
      </c>
      <c r="F1589" s="1">
        <v>2.3283018867924499</v>
      </c>
      <c r="G1589" s="2">
        <v>142.64273539779199</v>
      </c>
      <c r="H1589" s="1">
        <v>138.77771517530499</v>
      </c>
      <c r="I1589" s="1">
        <f t="shared" si="49"/>
        <v>138.77771517530684</v>
      </c>
    </row>
    <row r="1590" spans="1:9" x14ac:dyDescent="0.45">
      <c r="A1590" t="s">
        <v>31</v>
      </c>
      <c r="B1590" t="s">
        <v>30</v>
      </c>
      <c r="C1590" t="str">
        <f t="shared" si="48"/>
        <v>KansasIowa St.</v>
      </c>
      <c r="D1590" t="s">
        <v>30</v>
      </c>
      <c r="E1590">
        <v>17.8</v>
      </c>
      <c r="F1590" s="1">
        <v>10.045283018867901</v>
      </c>
      <c r="G1590" s="2">
        <v>462.86100538450302</v>
      </c>
      <c r="H1590" s="1">
        <v>137.828303064159</v>
      </c>
      <c r="I1590" s="1">
        <f t="shared" si="49"/>
        <v>125.44634033187556</v>
      </c>
    </row>
    <row r="1591" spans="1:9" x14ac:dyDescent="0.45">
      <c r="A1591" t="s">
        <v>32</v>
      </c>
      <c r="B1591" t="s">
        <v>30</v>
      </c>
      <c r="C1591" t="str">
        <f t="shared" si="48"/>
        <v>KentuckyIowa St.</v>
      </c>
      <c r="D1591" t="s">
        <v>30</v>
      </c>
      <c r="E1591">
        <v>26.5</v>
      </c>
      <c r="F1591" s="1">
        <v>6.6792452830188704</v>
      </c>
      <c r="G1591" s="2">
        <v>277.054144715831</v>
      </c>
      <c r="H1591" s="1">
        <v>137.762585396285</v>
      </c>
      <c r="I1591" s="1">
        <f t="shared" si="49"/>
        <v>124.52355153028036</v>
      </c>
    </row>
    <row r="1592" spans="1:9" x14ac:dyDescent="0.45">
      <c r="A1592" t="s">
        <v>33</v>
      </c>
      <c r="B1592" t="s">
        <v>30</v>
      </c>
      <c r="C1592" t="str">
        <f t="shared" si="48"/>
        <v>LibertyIowa St.</v>
      </c>
      <c r="D1592" t="s">
        <v>30</v>
      </c>
      <c r="E1592">
        <v>1.1000000000000001</v>
      </c>
      <c r="F1592" s="1">
        <v>29.667924528301899</v>
      </c>
      <c r="G1592" s="2">
        <v>9234.0573290595894</v>
      </c>
      <c r="H1592" s="1">
        <v>137.107586440002</v>
      </c>
      <c r="I1592" s="1">
        <f t="shared" si="49"/>
        <v>115.32624247370529</v>
      </c>
    </row>
    <row r="1593" spans="1:9" x14ac:dyDescent="0.45">
      <c r="A1593" t="s">
        <v>34</v>
      </c>
      <c r="B1593" t="s">
        <v>30</v>
      </c>
      <c r="C1593" t="str">
        <f t="shared" si="48"/>
        <v>LipscombIowa St.</v>
      </c>
      <c r="D1593" t="s">
        <v>30</v>
      </c>
      <c r="E1593">
        <v>0.8</v>
      </c>
      <c r="F1593" s="1">
        <v>31.5320754716981</v>
      </c>
      <c r="G1593" s="2">
        <v>12274.134193374901</v>
      </c>
      <c r="H1593" s="1">
        <v>137.51390463759401</v>
      </c>
      <c r="I1593" s="1">
        <f t="shared" si="49"/>
        <v>121.03164704376938</v>
      </c>
    </row>
    <row r="1594" spans="1:9" x14ac:dyDescent="0.45">
      <c r="A1594" t="s">
        <v>35</v>
      </c>
      <c r="B1594" t="s">
        <v>30</v>
      </c>
      <c r="C1594" t="str">
        <f t="shared" si="48"/>
        <v>LouisvilleIowa St.</v>
      </c>
      <c r="D1594" t="s">
        <v>30</v>
      </c>
      <c r="E1594">
        <v>2</v>
      </c>
      <c r="F1594" s="1">
        <v>25.4830188679245</v>
      </c>
      <c r="G1594" s="2">
        <v>4878.1262058593102</v>
      </c>
      <c r="H1594" s="1">
        <v>136.75926664341199</v>
      </c>
      <c r="I1594" s="1">
        <f t="shared" si="49"/>
        <v>110.43523495524838</v>
      </c>
    </row>
    <row r="1595" spans="1:9" x14ac:dyDescent="0.45">
      <c r="A1595" t="s">
        <v>36</v>
      </c>
      <c r="B1595" t="s">
        <v>30</v>
      </c>
      <c r="C1595" t="str">
        <f t="shared" si="48"/>
        <v>MarquetteIowa St.</v>
      </c>
      <c r="D1595" t="s">
        <v>30</v>
      </c>
      <c r="E1595">
        <v>21.7</v>
      </c>
      <c r="F1595" s="1">
        <v>8.4150943396226392</v>
      </c>
      <c r="G1595" s="2">
        <v>361.00210531612203</v>
      </c>
      <c r="H1595" s="1">
        <v>138.021400486874</v>
      </c>
      <c r="I1595" s="1">
        <f t="shared" si="49"/>
        <v>128.1577594230086</v>
      </c>
    </row>
    <row r="1596" spans="1:9" x14ac:dyDescent="0.45">
      <c r="A1596" t="s">
        <v>37</v>
      </c>
      <c r="B1596" t="s">
        <v>30</v>
      </c>
      <c r="C1596" t="str">
        <f t="shared" si="48"/>
        <v>MarylandIowa St.</v>
      </c>
      <c r="D1596" t="s">
        <v>30</v>
      </c>
      <c r="E1596">
        <v>14.6</v>
      </c>
      <c r="F1596" s="1">
        <v>11.5811320754717</v>
      </c>
      <c r="G1596" s="2">
        <v>585.25288921944605</v>
      </c>
      <c r="H1596" s="1">
        <v>137.47977008541599</v>
      </c>
      <c r="I1596" s="1">
        <f t="shared" si="49"/>
        <v>120.55233937025706</v>
      </c>
    </row>
    <row r="1597" spans="1:9" x14ac:dyDescent="0.45">
      <c r="A1597" t="s">
        <v>38</v>
      </c>
      <c r="B1597" t="s">
        <v>30</v>
      </c>
      <c r="C1597" t="str">
        <f t="shared" si="48"/>
        <v>McNeese St.Iowa St.</v>
      </c>
      <c r="D1597" t="s">
        <v>30</v>
      </c>
      <c r="E1597">
        <v>3.8</v>
      </c>
      <c r="F1597" s="1">
        <v>21.124528301886802</v>
      </c>
      <c r="G1597" s="2">
        <v>2508.4950014504998</v>
      </c>
      <c r="H1597" s="1">
        <v>138.07300549838101</v>
      </c>
      <c r="I1597" s="1">
        <f t="shared" si="49"/>
        <v>128.882382317664</v>
      </c>
    </row>
    <row r="1598" spans="1:9" x14ac:dyDescent="0.45">
      <c r="A1598" t="s">
        <v>39</v>
      </c>
      <c r="B1598" t="s">
        <v>30</v>
      </c>
      <c r="C1598" t="str">
        <f t="shared" si="48"/>
        <v>MemphisIowa St.</v>
      </c>
      <c r="D1598" t="s">
        <v>30</v>
      </c>
      <c r="E1598">
        <v>8.8000000000000007</v>
      </c>
      <c r="F1598" s="1">
        <v>15.3471698113208</v>
      </c>
      <c r="G1598" s="2">
        <v>1039.30719297268</v>
      </c>
      <c r="H1598" s="1">
        <v>136.60728732490699</v>
      </c>
      <c r="I1598" s="1">
        <f t="shared" si="49"/>
        <v>108.30118458907621</v>
      </c>
    </row>
    <row r="1599" spans="1:9" x14ac:dyDescent="0.45">
      <c r="A1599" t="s">
        <v>40</v>
      </c>
      <c r="B1599" t="s">
        <v>30</v>
      </c>
      <c r="C1599" t="str">
        <f t="shared" si="48"/>
        <v>MichiganIowa St.</v>
      </c>
      <c r="D1599" t="s">
        <v>30</v>
      </c>
      <c r="E1599">
        <v>4.5</v>
      </c>
      <c r="F1599" s="1">
        <v>19.973584905660399</v>
      </c>
      <c r="G1599" s="2">
        <v>2104.44978433197</v>
      </c>
      <c r="H1599" s="1">
        <v>136.169908621823</v>
      </c>
      <c r="I1599" s="1">
        <f t="shared" si="49"/>
        <v>102.15963723477883</v>
      </c>
    </row>
    <row r="1600" spans="1:9" x14ac:dyDescent="0.45">
      <c r="A1600" t="s">
        <v>41</v>
      </c>
      <c r="B1600" t="s">
        <v>30</v>
      </c>
      <c r="C1600" t="str">
        <f t="shared" si="48"/>
        <v>Michigan St.Iowa St.</v>
      </c>
      <c r="D1600" t="s">
        <v>30</v>
      </c>
      <c r="E1600">
        <v>31.1</v>
      </c>
      <c r="F1600" s="1">
        <v>5.2264150943396199</v>
      </c>
      <c r="G1600" s="2">
        <v>221.91334806674899</v>
      </c>
      <c r="H1600" s="1">
        <v>137.81698833102999</v>
      </c>
      <c r="I1600" s="1">
        <f t="shared" si="49"/>
        <v>125.28746206728908</v>
      </c>
    </row>
    <row r="1601" spans="1:9" x14ac:dyDescent="0.45">
      <c r="A1601" t="s">
        <v>42</v>
      </c>
      <c r="B1601" t="s">
        <v>30</v>
      </c>
      <c r="C1601" t="str">
        <f t="shared" si="48"/>
        <v>MississippiIowa St.</v>
      </c>
      <c r="D1601" t="s">
        <v>30</v>
      </c>
      <c r="E1601">
        <v>11</v>
      </c>
      <c r="F1601" s="1">
        <v>13.7207547169811</v>
      </c>
      <c r="G1601" s="2">
        <v>811.06346914025096</v>
      </c>
      <c r="H1601" s="1">
        <v>137.08467968091901</v>
      </c>
      <c r="I1601" s="1">
        <f t="shared" si="49"/>
        <v>115.0045922775488</v>
      </c>
    </row>
    <row r="1602" spans="1:9" x14ac:dyDescent="0.45">
      <c r="A1602" t="s">
        <v>43</v>
      </c>
      <c r="B1602" t="s">
        <v>30</v>
      </c>
      <c r="C1602" t="str">
        <f t="shared" si="48"/>
        <v>Mississippi St.Iowa St.</v>
      </c>
      <c r="D1602" t="s">
        <v>30</v>
      </c>
      <c r="E1602">
        <v>8.6999999999999993</v>
      </c>
      <c r="F1602" s="1">
        <v>15.445283018867899</v>
      </c>
      <c r="G1602" s="2">
        <v>1054.9506813161299</v>
      </c>
      <c r="H1602" s="1">
        <v>137.224426153596</v>
      </c>
      <c r="I1602" s="1">
        <f t="shared" si="49"/>
        <v>116.96687250173461</v>
      </c>
    </row>
    <row r="1603" spans="1:9" x14ac:dyDescent="0.45">
      <c r="A1603" t="s">
        <v>44</v>
      </c>
      <c r="B1603" t="s">
        <v>30</v>
      </c>
      <c r="C1603" t="str">
        <f t="shared" ref="C1603:C1666" si="50">A1603&amp;B1603</f>
        <v>MissouriIowa St.</v>
      </c>
      <c r="D1603" t="s">
        <v>30</v>
      </c>
      <c r="E1603">
        <v>4.3</v>
      </c>
      <c r="F1603" s="1">
        <v>20.377358490565999</v>
      </c>
      <c r="G1603" s="2">
        <v>2239.2905061226102</v>
      </c>
      <c r="H1603" s="1">
        <v>136.642088052242</v>
      </c>
      <c r="I1603" s="1">
        <f t="shared" ref="I1603:I1666" si="51">18*(H1603-AVERAGE($H$2:$H$4625))/_xlfn.STDEV.P($H$2:$H$4625)+AVERAGE($H$2:$H$4625)</f>
        <v>108.78984650467689</v>
      </c>
    </row>
    <row r="1604" spans="1:9" x14ac:dyDescent="0.45">
      <c r="A1604" t="s">
        <v>45</v>
      </c>
      <c r="B1604" t="s">
        <v>30</v>
      </c>
      <c r="C1604" t="str">
        <f t="shared" si="50"/>
        <v>MontanaIowa St.</v>
      </c>
      <c r="D1604" t="s">
        <v>30</v>
      </c>
      <c r="E1604">
        <v>0.4</v>
      </c>
      <c r="F1604" s="1">
        <v>36.184905660377403</v>
      </c>
      <c r="G1604" s="2">
        <v>24960.666715773699</v>
      </c>
      <c r="H1604" s="1">
        <v>135.77879961564801</v>
      </c>
      <c r="I1604" s="1">
        <f t="shared" si="51"/>
        <v>96.667795804962822</v>
      </c>
    </row>
    <row r="1605" spans="1:9" x14ac:dyDescent="0.45">
      <c r="A1605" t="s">
        <v>46</v>
      </c>
      <c r="B1605" t="s">
        <v>30</v>
      </c>
      <c r="C1605" t="str">
        <f t="shared" si="50"/>
        <v>Mount St. Mary'sIowa St.</v>
      </c>
      <c r="D1605" t="s">
        <v>30</v>
      </c>
      <c r="E1605">
        <v>0.2</v>
      </c>
      <c r="F1605" s="1">
        <v>42.520754716981102</v>
      </c>
      <c r="G1605" s="2">
        <v>65596.447497374204</v>
      </c>
      <c r="H1605" s="1">
        <v>137.082087569799</v>
      </c>
      <c r="I1605" s="1">
        <f t="shared" si="51"/>
        <v>114.96819459042118</v>
      </c>
    </row>
    <row r="1606" spans="1:9" x14ac:dyDescent="0.45">
      <c r="A1606" t="s">
        <v>47</v>
      </c>
      <c r="B1606" t="s">
        <v>30</v>
      </c>
      <c r="C1606" t="str">
        <f t="shared" si="50"/>
        <v>Nebraska OmahaIowa St.</v>
      </c>
      <c r="D1606" t="s">
        <v>30</v>
      </c>
      <c r="E1606">
        <v>0.2</v>
      </c>
      <c r="F1606" s="1">
        <v>40.328301886792502</v>
      </c>
      <c r="G1606" s="2">
        <v>46965.375457262002</v>
      </c>
      <c r="H1606" s="1">
        <v>136.499863701902</v>
      </c>
      <c r="I1606" s="1">
        <f t="shared" si="51"/>
        <v>106.7927726270776</v>
      </c>
    </row>
    <row r="1607" spans="1:9" x14ac:dyDescent="0.45">
      <c r="A1607" t="s">
        <v>48</v>
      </c>
      <c r="B1607" t="s">
        <v>30</v>
      </c>
      <c r="C1607" t="str">
        <f t="shared" si="50"/>
        <v>New MexicoIowa St.</v>
      </c>
      <c r="D1607" t="s">
        <v>30</v>
      </c>
      <c r="E1607">
        <v>4.9000000000000004</v>
      </c>
      <c r="F1607" s="1">
        <v>19.498113207547199</v>
      </c>
      <c r="G1607" s="2">
        <v>1957.4677016422099</v>
      </c>
      <c r="H1607" s="1">
        <v>137.26985363371901</v>
      </c>
      <c r="I1607" s="1">
        <f t="shared" si="51"/>
        <v>117.604752257641</v>
      </c>
    </row>
    <row r="1608" spans="1:9" x14ac:dyDescent="0.45">
      <c r="A1608" t="s">
        <v>49</v>
      </c>
      <c r="B1608" t="s">
        <v>30</v>
      </c>
      <c r="C1608" t="str">
        <f t="shared" si="50"/>
        <v>Norfolk St.Iowa St.</v>
      </c>
      <c r="D1608" t="s">
        <v>30</v>
      </c>
      <c r="E1608">
        <v>0.3</v>
      </c>
      <c r="F1608" s="1">
        <v>38.0641509433962</v>
      </c>
      <c r="G1608" s="2">
        <v>33244.894734904403</v>
      </c>
      <c r="H1608" s="1">
        <v>136.30597939768299</v>
      </c>
      <c r="I1608" s="1">
        <f t="shared" si="51"/>
        <v>104.07030436966134</v>
      </c>
    </row>
    <row r="1609" spans="1:9" x14ac:dyDescent="0.45">
      <c r="A1609" t="s">
        <v>50</v>
      </c>
      <c r="B1609" t="s">
        <v>30</v>
      </c>
      <c r="C1609" t="str">
        <f t="shared" si="50"/>
        <v>North CarolinaIowa St.</v>
      </c>
      <c r="D1609" t="s">
        <v>30</v>
      </c>
      <c r="E1609">
        <v>14.9</v>
      </c>
      <c r="F1609" s="1">
        <v>11.445283018867899</v>
      </c>
      <c r="G1609" s="2">
        <v>573.24146903826397</v>
      </c>
      <c r="H1609" s="1">
        <v>138.37958535215299</v>
      </c>
      <c r="I1609" s="1">
        <f t="shared" si="51"/>
        <v>133.18728943028259</v>
      </c>
    </row>
    <row r="1610" spans="1:9" x14ac:dyDescent="0.45">
      <c r="A1610" t="s">
        <v>51</v>
      </c>
      <c r="B1610" t="s">
        <v>30</v>
      </c>
      <c r="C1610" t="str">
        <f t="shared" si="50"/>
        <v>OklahomaIowa St.</v>
      </c>
      <c r="D1610" t="s">
        <v>30</v>
      </c>
      <c r="E1610">
        <v>5.8</v>
      </c>
      <c r="F1610" s="1">
        <v>18.328301886792499</v>
      </c>
      <c r="G1610" s="2">
        <v>1638.0034803624301</v>
      </c>
      <c r="H1610" s="1">
        <v>136.80320847832701</v>
      </c>
      <c r="I1610" s="1">
        <f t="shared" si="51"/>
        <v>111.05225370367489</v>
      </c>
    </row>
    <row r="1611" spans="1:9" x14ac:dyDescent="0.45">
      <c r="A1611" t="s">
        <v>52</v>
      </c>
      <c r="B1611" t="s">
        <v>30</v>
      </c>
      <c r="C1611" t="str">
        <f t="shared" si="50"/>
        <v>OregonIowa St.</v>
      </c>
      <c r="D1611" t="s">
        <v>30</v>
      </c>
      <c r="E1611">
        <v>14.6</v>
      </c>
      <c r="F1611" s="1">
        <v>11.562264150943401</v>
      </c>
      <c r="G1611" s="2">
        <v>583.51036428984003</v>
      </c>
      <c r="H1611" s="1">
        <v>137.09392586985601</v>
      </c>
      <c r="I1611" s="1">
        <f t="shared" si="51"/>
        <v>115.13442463290346</v>
      </c>
    </row>
    <row r="1612" spans="1:9" x14ac:dyDescent="0.45">
      <c r="A1612" t="s">
        <v>53</v>
      </c>
      <c r="B1612" t="s">
        <v>30</v>
      </c>
      <c r="C1612" t="str">
        <f t="shared" si="50"/>
        <v>PurdueIowa St.</v>
      </c>
      <c r="D1612" t="s">
        <v>30</v>
      </c>
      <c r="E1612">
        <v>49.3</v>
      </c>
      <c r="F1612" s="1">
        <v>0.19245283018867901</v>
      </c>
      <c r="G1612" s="2">
        <v>102.955358321585</v>
      </c>
      <c r="H1612" s="1">
        <v>138.58201306965401</v>
      </c>
      <c r="I1612" s="1">
        <f t="shared" si="51"/>
        <v>136.02972186718185</v>
      </c>
    </row>
    <row r="1613" spans="1:9" x14ac:dyDescent="0.45">
      <c r="A1613" t="s">
        <v>54</v>
      </c>
      <c r="B1613" t="s">
        <v>30</v>
      </c>
      <c r="C1613" t="str">
        <f t="shared" si="50"/>
        <v>Robert MorrisIowa St.</v>
      </c>
      <c r="D1613" t="s">
        <v>30</v>
      </c>
      <c r="E1613">
        <v>0.1</v>
      </c>
      <c r="F1613" s="1">
        <v>44.079245283018899</v>
      </c>
      <c r="G1613" s="2">
        <v>83230.758971484596</v>
      </c>
      <c r="H1613" s="1">
        <v>135.66497839834099</v>
      </c>
      <c r="I1613" s="1">
        <f t="shared" si="51"/>
        <v>95.069550643308034</v>
      </c>
    </row>
    <row r="1614" spans="1:9" x14ac:dyDescent="0.45">
      <c r="A1614" t="s">
        <v>55</v>
      </c>
      <c r="B1614" t="s">
        <v>30</v>
      </c>
      <c r="C1614" t="str">
        <f t="shared" si="50"/>
        <v>Saint FrancisIowa St.</v>
      </c>
      <c r="D1614" t="s">
        <v>30</v>
      </c>
      <c r="E1614">
        <v>0.1</v>
      </c>
      <c r="F1614" s="1">
        <v>47.441509433962302</v>
      </c>
      <c r="G1614" s="2">
        <v>139016.403731144</v>
      </c>
      <c r="H1614" s="1">
        <v>136.37182628038499</v>
      </c>
      <c r="I1614" s="1">
        <f t="shared" si="51"/>
        <v>104.99490756912158</v>
      </c>
    </row>
    <row r="1615" spans="1:9" x14ac:dyDescent="0.45">
      <c r="A1615" t="s">
        <v>56</v>
      </c>
      <c r="B1615" t="s">
        <v>30</v>
      </c>
      <c r="C1615" t="str">
        <f t="shared" si="50"/>
        <v>Saint Mary'sIowa St.</v>
      </c>
      <c r="D1615" t="s">
        <v>30</v>
      </c>
      <c r="E1615">
        <v>14.4</v>
      </c>
      <c r="F1615" s="1">
        <v>11.7056603773585</v>
      </c>
      <c r="G1615" s="2">
        <v>596.48822441380196</v>
      </c>
      <c r="H1615" s="1">
        <v>138.10103239632701</v>
      </c>
      <c r="I1615" s="1">
        <f t="shared" si="51"/>
        <v>129.2759280475218</v>
      </c>
    </row>
    <row r="1616" spans="1:9" x14ac:dyDescent="0.45">
      <c r="A1616" t="s">
        <v>57</v>
      </c>
      <c r="B1616" t="s">
        <v>30</v>
      </c>
      <c r="C1616" t="str">
        <f t="shared" si="50"/>
        <v>San Diego St.Iowa St.</v>
      </c>
      <c r="D1616" t="s">
        <v>30</v>
      </c>
      <c r="E1616">
        <v>4.9000000000000004</v>
      </c>
      <c r="F1616" s="1">
        <v>19.381132075471701</v>
      </c>
      <c r="G1616" s="2">
        <v>1923.0981075765001</v>
      </c>
      <c r="H1616" s="1">
        <v>137.31573155935499</v>
      </c>
      <c r="I1616" s="1">
        <f t="shared" si="51"/>
        <v>118.24895704132976</v>
      </c>
    </row>
    <row r="1617" spans="1:9" x14ac:dyDescent="0.45">
      <c r="A1617" t="s">
        <v>58</v>
      </c>
      <c r="B1617" t="s">
        <v>30</v>
      </c>
      <c r="C1617" t="str">
        <f t="shared" si="50"/>
        <v>SIU EdwardsvilleIowa St.</v>
      </c>
      <c r="D1617" t="s">
        <v>30</v>
      </c>
      <c r="E1617">
        <v>0.2</v>
      </c>
      <c r="F1617" s="1">
        <v>39.3547169811321</v>
      </c>
      <c r="G1617" s="2">
        <v>40483.8418764815</v>
      </c>
      <c r="H1617" s="1">
        <v>137.37498973953899</v>
      </c>
      <c r="I1617" s="1">
        <f t="shared" si="51"/>
        <v>119.08104355391802</v>
      </c>
    </row>
    <row r="1618" spans="1:9" x14ac:dyDescent="0.45">
      <c r="A1618" t="s">
        <v>59</v>
      </c>
      <c r="B1618" t="s">
        <v>30</v>
      </c>
      <c r="C1618" t="str">
        <f t="shared" si="50"/>
        <v>St. John'sIowa St.</v>
      </c>
      <c r="D1618" t="s">
        <v>30</v>
      </c>
      <c r="E1618">
        <v>32.700000000000003</v>
      </c>
      <c r="F1618" s="1">
        <v>4.7245283018867896</v>
      </c>
      <c r="G1618" s="2">
        <v>205.56644487538199</v>
      </c>
      <c r="H1618" s="1">
        <v>138.19444618809399</v>
      </c>
      <c r="I1618" s="1">
        <f t="shared" si="51"/>
        <v>130.58761794379734</v>
      </c>
    </row>
    <row r="1619" spans="1:9" x14ac:dyDescent="0.45">
      <c r="A1619" t="s">
        <v>60</v>
      </c>
      <c r="B1619" t="s">
        <v>30</v>
      </c>
      <c r="C1619" t="str">
        <f t="shared" si="50"/>
        <v>TennesseeIowa St.</v>
      </c>
      <c r="D1619" t="s">
        <v>60</v>
      </c>
      <c r="E1619">
        <v>51.9</v>
      </c>
      <c r="F1619" s="1">
        <v>-0.490566037735849</v>
      </c>
      <c r="G1619" s="2">
        <v>-107.796650724233</v>
      </c>
      <c r="H1619" s="1">
        <v>138.98767856222801</v>
      </c>
      <c r="I1619" s="1">
        <f t="shared" si="51"/>
        <v>141.72596133901814</v>
      </c>
    </row>
    <row r="1620" spans="1:9" x14ac:dyDescent="0.45">
      <c r="A1620" t="s">
        <v>61</v>
      </c>
      <c r="B1620" t="s">
        <v>30</v>
      </c>
      <c r="C1620" t="str">
        <f t="shared" si="50"/>
        <v>TexasIowa St.</v>
      </c>
      <c r="D1620" t="s">
        <v>30</v>
      </c>
      <c r="E1620">
        <v>4.0999999999999996</v>
      </c>
      <c r="F1620" s="1">
        <v>20.603773584905699</v>
      </c>
      <c r="G1620" s="2">
        <v>2317.6057315144699</v>
      </c>
      <c r="H1620" s="1">
        <v>136.68756038986601</v>
      </c>
      <c r="I1620" s="1">
        <f t="shared" si="51"/>
        <v>109.42835613685438</v>
      </c>
    </row>
    <row r="1621" spans="1:9" x14ac:dyDescent="0.45">
      <c r="A1621" t="s">
        <v>62</v>
      </c>
      <c r="B1621" t="s">
        <v>30</v>
      </c>
      <c r="C1621" t="str">
        <f t="shared" si="50"/>
        <v>Texas A&amp;MIowa St.</v>
      </c>
      <c r="D1621" t="s">
        <v>30</v>
      </c>
      <c r="E1621">
        <v>19.7</v>
      </c>
      <c r="F1621" s="1">
        <v>9.2037735849056599</v>
      </c>
      <c r="G1621" s="2">
        <v>407.08516588372299</v>
      </c>
      <c r="H1621" s="1">
        <v>137.47453569926401</v>
      </c>
      <c r="I1621" s="1">
        <f t="shared" si="51"/>
        <v>120.47883960861708</v>
      </c>
    </row>
    <row r="1622" spans="1:9" x14ac:dyDescent="0.45">
      <c r="A1622" t="s">
        <v>63</v>
      </c>
      <c r="B1622" t="s">
        <v>30</v>
      </c>
      <c r="C1622" t="str">
        <f t="shared" si="50"/>
        <v>Texas TechIowa St.</v>
      </c>
      <c r="D1622" t="s">
        <v>30</v>
      </c>
      <c r="E1622">
        <v>32.200000000000003</v>
      </c>
      <c r="F1622" s="1">
        <v>4.8679245283018897</v>
      </c>
      <c r="G1622" s="2">
        <v>210.169569937375</v>
      </c>
      <c r="H1622" s="1">
        <v>138.465048304503</v>
      </c>
      <c r="I1622" s="1">
        <f t="shared" si="51"/>
        <v>134.38733590075481</v>
      </c>
    </row>
    <row r="1623" spans="1:9" x14ac:dyDescent="0.45">
      <c r="A1623" t="s">
        <v>64</v>
      </c>
      <c r="B1623" t="s">
        <v>30</v>
      </c>
      <c r="C1623" t="str">
        <f t="shared" si="50"/>
        <v>TroyIowa St.</v>
      </c>
      <c r="D1623" t="s">
        <v>30</v>
      </c>
      <c r="E1623">
        <v>0.7</v>
      </c>
      <c r="F1623" s="1">
        <v>32.679245283018901</v>
      </c>
      <c r="G1623" s="2">
        <v>14618.778960964401</v>
      </c>
      <c r="H1623" s="1">
        <v>137.23135289906199</v>
      </c>
      <c r="I1623" s="1">
        <f t="shared" si="51"/>
        <v>117.06413589153979</v>
      </c>
    </row>
    <row r="1624" spans="1:9" x14ac:dyDescent="0.45">
      <c r="A1624" t="s">
        <v>65</v>
      </c>
      <c r="B1624" t="s">
        <v>30</v>
      </c>
      <c r="C1624" t="str">
        <f t="shared" si="50"/>
        <v>UC San DiegoIowa St.</v>
      </c>
      <c r="D1624" t="s">
        <v>30</v>
      </c>
      <c r="E1624">
        <v>1.7</v>
      </c>
      <c r="F1624" s="1">
        <v>26.498113207547199</v>
      </c>
      <c r="G1624" s="2">
        <v>5693.5506307161604</v>
      </c>
      <c r="H1624" s="1">
        <v>137.30147312872501</v>
      </c>
      <c r="I1624" s="1">
        <f t="shared" si="51"/>
        <v>118.04874421364855</v>
      </c>
    </row>
    <row r="1625" spans="1:9" x14ac:dyDescent="0.45">
      <c r="A1625" t="s">
        <v>66</v>
      </c>
      <c r="B1625" t="s">
        <v>30</v>
      </c>
      <c r="C1625" t="str">
        <f t="shared" si="50"/>
        <v>UCLAIowa St.</v>
      </c>
      <c r="D1625" t="s">
        <v>30</v>
      </c>
      <c r="E1625">
        <v>5.7</v>
      </c>
      <c r="F1625" s="1">
        <v>18.396226415094301</v>
      </c>
      <c r="G1625" s="2">
        <v>1654.5951061388</v>
      </c>
      <c r="H1625" s="1">
        <v>136.522731707937</v>
      </c>
      <c r="I1625" s="1">
        <f t="shared" si="51"/>
        <v>107.11387866395594</v>
      </c>
    </row>
    <row r="1626" spans="1:9" x14ac:dyDescent="0.45">
      <c r="A1626" t="s">
        <v>67</v>
      </c>
      <c r="B1626" t="s">
        <v>30</v>
      </c>
      <c r="C1626" t="str">
        <f t="shared" si="50"/>
        <v>UNC WilmingtonIowa St.</v>
      </c>
      <c r="D1626" t="s">
        <v>30</v>
      </c>
      <c r="E1626">
        <v>1</v>
      </c>
      <c r="F1626" s="1">
        <v>30.086792452830199</v>
      </c>
      <c r="G1626" s="2">
        <v>9847.9577552524806</v>
      </c>
      <c r="H1626" s="1">
        <v>137.83814159938899</v>
      </c>
      <c r="I1626" s="1">
        <f t="shared" si="51"/>
        <v>125.58449024540781</v>
      </c>
    </row>
    <row r="1627" spans="1:9" x14ac:dyDescent="0.45">
      <c r="A1627" t="s">
        <v>68</v>
      </c>
      <c r="B1627" t="s">
        <v>30</v>
      </c>
      <c r="C1627" t="str">
        <f t="shared" si="50"/>
        <v>Utah St.Iowa St.</v>
      </c>
      <c r="D1627" t="s">
        <v>30</v>
      </c>
      <c r="E1627">
        <v>5.4</v>
      </c>
      <c r="F1627" s="1">
        <v>18.762264150943398</v>
      </c>
      <c r="G1627" s="2">
        <v>1749.4759980533399</v>
      </c>
      <c r="H1627" s="1">
        <v>137.385328097968</v>
      </c>
      <c r="I1627" s="1">
        <f t="shared" si="51"/>
        <v>119.22621184265674</v>
      </c>
    </row>
    <row r="1628" spans="1:9" x14ac:dyDescent="0.45">
      <c r="A1628" t="s">
        <v>69</v>
      </c>
      <c r="B1628" t="s">
        <v>30</v>
      </c>
      <c r="C1628" t="str">
        <f t="shared" si="50"/>
        <v>VanderbiltIowa St.</v>
      </c>
      <c r="D1628" t="s">
        <v>30</v>
      </c>
      <c r="E1628">
        <v>1.1000000000000001</v>
      </c>
      <c r="F1628" s="1">
        <v>29.407547169811298</v>
      </c>
      <c r="G1628" s="2">
        <v>8878.2415589003704</v>
      </c>
      <c r="H1628" s="1">
        <v>135.81936597925099</v>
      </c>
      <c r="I1628" s="1">
        <f t="shared" si="51"/>
        <v>97.237417145239846</v>
      </c>
    </row>
    <row r="1629" spans="1:9" x14ac:dyDescent="0.45">
      <c r="A1629" t="s">
        <v>70</v>
      </c>
      <c r="B1629" t="s">
        <v>30</v>
      </c>
      <c r="C1629" t="str">
        <f t="shared" si="50"/>
        <v>VCUIowa St.</v>
      </c>
      <c r="D1629" t="s">
        <v>30</v>
      </c>
      <c r="E1629">
        <v>3.5</v>
      </c>
      <c r="F1629" s="1">
        <v>21.762264150943398</v>
      </c>
      <c r="G1629" s="2">
        <v>2765.7008754376602</v>
      </c>
      <c r="H1629" s="1">
        <v>137.744539108444</v>
      </c>
      <c r="I1629" s="1">
        <f t="shared" si="51"/>
        <v>124.27015068894238</v>
      </c>
    </row>
    <row r="1630" spans="1:9" x14ac:dyDescent="0.45">
      <c r="A1630" t="s">
        <v>71</v>
      </c>
      <c r="B1630" t="s">
        <v>30</v>
      </c>
      <c r="C1630" t="str">
        <f t="shared" si="50"/>
        <v>WisconsinIowa St.</v>
      </c>
      <c r="D1630" t="s">
        <v>30</v>
      </c>
      <c r="E1630">
        <v>29.2</v>
      </c>
      <c r="F1630" s="1">
        <v>5.8113207547169798</v>
      </c>
      <c r="G1630" s="2">
        <v>242.616072678048</v>
      </c>
      <c r="H1630" s="1">
        <v>138.39779471677599</v>
      </c>
      <c r="I1630" s="1">
        <f t="shared" si="51"/>
        <v>133.44298014941293</v>
      </c>
    </row>
    <row r="1631" spans="1:9" x14ac:dyDescent="0.45">
      <c r="A1631" t="s">
        <v>80</v>
      </c>
      <c r="B1631" t="s">
        <v>30</v>
      </c>
      <c r="C1631" t="str">
        <f t="shared" si="50"/>
        <v>WoffordIowa St.</v>
      </c>
      <c r="D1631" t="s">
        <v>30</v>
      </c>
      <c r="E1631">
        <v>0.4</v>
      </c>
      <c r="F1631" s="1">
        <v>36.9849056603774</v>
      </c>
      <c r="G1631" s="2">
        <v>28197.178388130898</v>
      </c>
      <c r="H1631" s="1">
        <v>136.495443146003</v>
      </c>
      <c r="I1631" s="1">
        <f t="shared" si="51"/>
        <v>106.73070043838936</v>
      </c>
    </row>
    <row r="1632" spans="1:9" x14ac:dyDescent="0.45">
      <c r="A1632" t="s">
        <v>72</v>
      </c>
      <c r="B1632" t="s">
        <v>30</v>
      </c>
      <c r="C1632" t="str">
        <f t="shared" si="50"/>
        <v>XavierIowa St.</v>
      </c>
      <c r="D1632" t="s">
        <v>30</v>
      </c>
      <c r="E1632">
        <v>3.5</v>
      </c>
      <c r="F1632" s="1">
        <v>21.8377358490566</v>
      </c>
      <c r="G1632" s="2">
        <v>2796.7341955874399</v>
      </c>
      <c r="H1632" s="1">
        <v>137.23824531662399</v>
      </c>
      <c r="I1632" s="1">
        <f t="shared" si="51"/>
        <v>117.1609172586803</v>
      </c>
    </row>
    <row r="1633" spans="1:9" x14ac:dyDescent="0.45">
      <c r="A1633" t="s">
        <v>73</v>
      </c>
      <c r="B1633" t="s">
        <v>30</v>
      </c>
      <c r="C1633" t="str">
        <f t="shared" si="50"/>
        <v>YaleIowa St.</v>
      </c>
      <c r="D1633" t="s">
        <v>30</v>
      </c>
      <c r="E1633">
        <v>1.8</v>
      </c>
      <c r="F1633" s="1">
        <v>26.086792452830199</v>
      </c>
      <c r="G1633" s="2">
        <v>5348.0650861726299</v>
      </c>
      <c r="H1633" s="1">
        <v>137.83795145301801</v>
      </c>
      <c r="I1633" s="1">
        <f t="shared" si="51"/>
        <v>125.58182026414579</v>
      </c>
    </row>
    <row r="1634" spans="1:9" x14ac:dyDescent="0.45">
      <c r="A1634" t="s">
        <v>7</v>
      </c>
      <c r="B1634" t="s">
        <v>31</v>
      </c>
      <c r="C1634" t="str">
        <f t="shared" si="50"/>
        <v>AkronKansas</v>
      </c>
      <c r="D1634" t="s">
        <v>31</v>
      </c>
      <c r="E1634">
        <v>3.1</v>
      </c>
      <c r="F1634" s="1">
        <v>22.633962264150899</v>
      </c>
      <c r="G1634" s="2">
        <v>3158.4186498536701</v>
      </c>
      <c r="H1634" s="1">
        <v>137.60419062474401</v>
      </c>
      <c r="I1634" s="1">
        <f t="shared" si="51"/>
        <v>122.29941719718883</v>
      </c>
    </row>
    <row r="1635" spans="1:9" x14ac:dyDescent="0.45">
      <c r="A1635" t="s">
        <v>8</v>
      </c>
      <c r="B1635" t="s">
        <v>31</v>
      </c>
      <c r="C1635" t="str">
        <f t="shared" si="50"/>
        <v>AlabamaKansas</v>
      </c>
      <c r="D1635" t="s">
        <v>8</v>
      </c>
      <c r="E1635">
        <v>70.5</v>
      </c>
      <c r="F1635" s="1">
        <v>-5.7056603773584902</v>
      </c>
      <c r="G1635" s="2">
        <v>-238.81467418826</v>
      </c>
      <c r="H1635" s="1">
        <v>139.41180181233901</v>
      </c>
      <c r="I1635" s="1">
        <f t="shared" si="51"/>
        <v>147.68137939263784</v>
      </c>
    </row>
    <row r="1636" spans="1:9" x14ac:dyDescent="0.45">
      <c r="A1636" t="s">
        <v>9</v>
      </c>
      <c r="B1636" t="s">
        <v>31</v>
      </c>
      <c r="C1636" t="str">
        <f t="shared" si="50"/>
        <v>Alabama St.Kansas</v>
      </c>
      <c r="D1636" t="s">
        <v>31</v>
      </c>
      <c r="E1636">
        <v>0.5</v>
      </c>
      <c r="F1636" s="1">
        <v>34.9509433962264</v>
      </c>
      <c r="G1636" s="2">
        <v>20680.4227780293</v>
      </c>
      <c r="H1636" s="1">
        <v>137.79095238416599</v>
      </c>
      <c r="I1636" s="1">
        <f t="shared" si="51"/>
        <v>124.92187270628055</v>
      </c>
    </row>
    <row r="1637" spans="1:9" x14ac:dyDescent="0.45">
      <c r="A1637" t="s">
        <v>10</v>
      </c>
      <c r="B1637" t="s">
        <v>31</v>
      </c>
      <c r="C1637" t="str">
        <f t="shared" si="50"/>
        <v>AmericanKansas</v>
      </c>
      <c r="D1637" t="s">
        <v>31</v>
      </c>
      <c r="E1637">
        <v>0.5</v>
      </c>
      <c r="F1637" s="1">
        <v>34.196226415094301</v>
      </c>
      <c r="G1637" s="2">
        <v>18425.239548169298</v>
      </c>
      <c r="H1637" s="1">
        <v>137.55424190392699</v>
      </c>
      <c r="I1637" s="1">
        <f t="shared" si="51"/>
        <v>121.59805146533847</v>
      </c>
    </row>
    <row r="1638" spans="1:9" x14ac:dyDescent="0.45">
      <c r="A1638" t="s">
        <v>11</v>
      </c>
      <c r="B1638" t="s">
        <v>31</v>
      </c>
      <c r="C1638" t="str">
        <f t="shared" si="50"/>
        <v>ArizonaKansas</v>
      </c>
      <c r="D1638" t="s">
        <v>11</v>
      </c>
      <c r="E1638">
        <v>61.1</v>
      </c>
      <c r="F1638" s="1">
        <v>-2.9509433962264202</v>
      </c>
      <c r="G1638" s="2">
        <v>-156.85805520034</v>
      </c>
      <c r="H1638" s="1">
        <v>139.022281152516</v>
      </c>
      <c r="I1638" s="1">
        <f t="shared" si="51"/>
        <v>142.21184107055646</v>
      </c>
    </row>
    <row r="1639" spans="1:9" x14ac:dyDescent="0.45">
      <c r="A1639" t="s">
        <v>12</v>
      </c>
      <c r="B1639" t="s">
        <v>31</v>
      </c>
      <c r="C1639" t="str">
        <f t="shared" si="50"/>
        <v>ArkansasKansas</v>
      </c>
      <c r="D1639" t="s">
        <v>31</v>
      </c>
      <c r="E1639">
        <v>9.3000000000000007</v>
      </c>
      <c r="F1639" s="1">
        <v>14.9509433962264</v>
      </c>
      <c r="G1639" s="2">
        <v>978.121438597267</v>
      </c>
      <c r="H1639" s="1">
        <v>137.34820513030601</v>
      </c>
      <c r="I1639" s="1">
        <f t="shared" si="51"/>
        <v>118.70494168885057</v>
      </c>
    </row>
    <row r="1640" spans="1:9" x14ac:dyDescent="0.45">
      <c r="A1640" t="s">
        <v>13</v>
      </c>
      <c r="B1640" t="s">
        <v>31</v>
      </c>
      <c r="C1640" t="str">
        <f t="shared" si="50"/>
        <v>AuburnKansas</v>
      </c>
      <c r="D1640" t="s">
        <v>13</v>
      </c>
      <c r="E1640">
        <v>82.5</v>
      </c>
      <c r="F1640" s="1">
        <v>-10.147169811320801</v>
      </c>
      <c r="G1640" s="2">
        <v>-470.079737962965</v>
      </c>
      <c r="H1640" s="1">
        <v>140.434018045692</v>
      </c>
      <c r="I1640" s="1">
        <f t="shared" si="51"/>
        <v>162.03504901395752</v>
      </c>
    </row>
    <row r="1641" spans="1:9" x14ac:dyDescent="0.45">
      <c r="A1641" t="s">
        <v>14</v>
      </c>
      <c r="B1641" t="s">
        <v>31</v>
      </c>
      <c r="C1641" t="str">
        <f t="shared" si="50"/>
        <v>BaylorKansas</v>
      </c>
      <c r="D1641" t="s">
        <v>31</v>
      </c>
      <c r="E1641">
        <v>32.1</v>
      </c>
      <c r="F1641" s="1">
        <v>4.9018867924528298</v>
      </c>
      <c r="G1641" s="2">
        <v>211.24705902345201</v>
      </c>
      <c r="H1641" s="1">
        <v>138.89693540687199</v>
      </c>
      <c r="I1641" s="1">
        <f t="shared" si="51"/>
        <v>140.4517717596724</v>
      </c>
    </row>
    <row r="1642" spans="1:9" x14ac:dyDescent="0.45">
      <c r="A1642" t="s">
        <v>15</v>
      </c>
      <c r="B1642" t="s">
        <v>31</v>
      </c>
      <c r="C1642" t="str">
        <f t="shared" si="50"/>
        <v>BryantKansas</v>
      </c>
      <c r="D1642" t="s">
        <v>31</v>
      </c>
      <c r="E1642">
        <v>2.2000000000000002</v>
      </c>
      <c r="F1642" s="1">
        <v>24.973584905660399</v>
      </c>
      <c r="G1642" s="2">
        <v>4513.3860506984402</v>
      </c>
      <c r="H1642" s="1">
        <v>138.489255282518</v>
      </c>
      <c r="I1642" s="1">
        <f t="shared" si="51"/>
        <v>134.72724340136079</v>
      </c>
    </row>
    <row r="1643" spans="1:9" x14ac:dyDescent="0.45">
      <c r="A1643" t="s">
        <v>16</v>
      </c>
      <c r="B1643" t="s">
        <v>31</v>
      </c>
      <c r="C1643" t="str">
        <f t="shared" si="50"/>
        <v>BYUKansas</v>
      </c>
      <c r="D1643" t="s">
        <v>31</v>
      </c>
      <c r="E1643">
        <v>35.9</v>
      </c>
      <c r="F1643" s="1">
        <v>3.8075471698113201</v>
      </c>
      <c r="G1643" s="2">
        <v>178.76435627166299</v>
      </c>
      <c r="H1643" s="1">
        <v>138.65929595696099</v>
      </c>
      <c r="I1643" s="1">
        <f t="shared" si="51"/>
        <v>137.11490619080331</v>
      </c>
    </row>
    <row r="1644" spans="1:9" x14ac:dyDescent="0.45">
      <c r="A1644" t="s">
        <v>17</v>
      </c>
      <c r="B1644" t="s">
        <v>31</v>
      </c>
      <c r="C1644" t="str">
        <f t="shared" si="50"/>
        <v>ClemsonKansas</v>
      </c>
      <c r="D1644" t="s">
        <v>31</v>
      </c>
      <c r="E1644">
        <v>43.9</v>
      </c>
      <c r="F1644" s="1">
        <v>1.60377358490566</v>
      </c>
      <c r="G1644" s="2">
        <v>127.71436945873999</v>
      </c>
      <c r="H1644" s="1">
        <v>139.00934617940399</v>
      </c>
      <c r="I1644" s="1">
        <f t="shared" si="51"/>
        <v>142.03021185693945</v>
      </c>
    </row>
    <row r="1645" spans="1:9" x14ac:dyDescent="0.45">
      <c r="A1645" t="s">
        <v>18</v>
      </c>
      <c r="B1645" t="s">
        <v>31</v>
      </c>
      <c r="C1645" t="str">
        <f t="shared" si="50"/>
        <v>Colorado St.Kansas</v>
      </c>
      <c r="D1645" t="s">
        <v>31</v>
      </c>
      <c r="E1645">
        <v>11.5</v>
      </c>
      <c r="F1645" s="1">
        <v>13.384905660377401</v>
      </c>
      <c r="G1645" s="2">
        <v>770.55503130771899</v>
      </c>
      <c r="H1645" s="1">
        <v>138.398957154198</v>
      </c>
      <c r="I1645" s="1">
        <f t="shared" si="51"/>
        <v>133.45930276508523</v>
      </c>
    </row>
    <row r="1646" spans="1:9" x14ac:dyDescent="0.45">
      <c r="A1646" t="s">
        <v>19</v>
      </c>
      <c r="B1646" t="s">
        <v>31</v>
      </c>
      <c r="C1646" t="str">
        <f t="shared" si="50"/>
        <v>ConnecticutKansas</v>
      </c>
      <c r="D1646" t="s">
        <v>19</v>
      </c>
      <c r="E1646">
        <v>54.9</v>
      </c>
      <c r="F1646" s="1">
        <v>-1.2905660377358501</v>
      </c>
      <c r="G1646" s="2">
        <v>-121.743719126499</v>
      </c>
      <c r="H1646" s="1">
        <v>138.809597010152</v>
      </c>
      <c r="I1646" s="1">
        <f t="shared" si="51"/>
        <v>139.22539083275012</v>
      </c>
    </row>
    <row r="1647" spans="1:9" x14ac:dyDescent="0.45">
      <c r="A1647" t="s">
        <v>20</v>
      </c>
      <c r="B1647" t="s">
        <v>31</v>
      </c>
      <c r="C1647" t="str">
        <f t="shared" si="50"/>
        <v>CreightonKansas</v>
      </c>
      <c r="D1647" t="s">
        <v>31</v>
      </c>
      <c r="E1647">
        <v>27.3</v>
      </c>
      <c r="F1647" s="1">
        <v>6.4188679245282998</v>
      </c>
      <c r="G1647" s="2">
        <v>266.18654244851001</v>
      </c>
      <c r="H1647" s="1">
        <v>138.35889376299099</v>
      </c>
      <c r="I1647" s="1">
        <f t="shared" si="51"/>
        <v>132.89674402014248</v>
      </c>
    </row>
    <row r="1648" spans="1:9" x14ac:dyDescent="0.45">
      <c r="A1648" t="s">
        <v>21</v>
      </c>
      <c r="B1648" t="s">
        <v>31</v>
      </c>
      <c r="C1648" t="str">
        <f t="shared" si="50"/>
        <v>DrakeKansas</v>
      </c>
      <c r="D1648" t="s">
        <v>31</v>
      </c>
      <c r="E1648">
        <v>11.2</v>
      </c>
      <c r="F1648" s="1">
        <v>13.588679245283</v>
      </c>
      <c r="G1648" s="2">
        <v>795.01219143314597</v>
      </c>
      <c r="H1648" s="1">
        <v>138.593569568665</v>
      </c>
      <c r="I1648" s="1">
        <f t="shared" si="51"/>
        <v>136.19199493952271</v>
      </c>
    </row>
    <row r="1649" spans="1:9" x14ac:dyDescent="0.45">
      <c r="A1649" t="s">
        <v>22</v>
      </c>
      <c r="B1649" t="s">
        <v>31</v>
      </c>
      <c r="C1649" t="str">
        <f t="shared" si="50"/>
        <v>DukeKansas</v>
      </c>
      <c r="D1649" t="s">
        <v>22</v>
      </c>
      <c r="E1649">
        <v>86.8</v>
      </c>
      <c r="F1649" s="1">
        <v>-12.3622641509434</v>
      </c>
      <c r="G1649" s="2">
        <v>-658.989716342061</v>
      </c>
      <c r="H1649" s="1">
        <v>140.673909457268</v>
      </c>
      <c r="I1649" s="1">
        <f t="shared" si="51"/>
        <v>165.40353598804847</v>
      </c>
    </row>
    <row r="1650" spans="1:9" x14ac:dyDescent="0.45">
      <c r="A1650" t="s">
        <v>23</v>
      </c>
      <c r="B1650" t="s">
        <v>31</v>
      </c>
      <c r="C1650" t="str">
        <f t="shared" si="50"/>
        <v>FloridaKansas</v>
      </c>
      <c r="D1650" t="s">
        <v>23</v>
      </c>
      <c r="E1650">
        <v>78.5</v>
      </c>
      <c r="F1650" s="1">
        <v>-8.5018867924528294</v>
      </c>
      <c r="G1650" s="2">
        <v>-365.88657708872103</v>
      </c>
      <c r="H1650" s="1">
        <v>140.40855998482201</v>
      </c>
      <c r="I1650" s="1">
        <f t="shared" si="51"/>
        <v>161.67757416372086</v>
      </c>
    </row>
    <row r="1651" spans="1:9" x14ac:dyDescent="0.45">
      <c r="A1651" t="s">
        <v>24</v>
      </c>
      <c r="B1651" t="s">
        <v>31</v>
      </c>
      <c r="C1651" t="str">
        <f t="shared" si="50"/>
        <v>GeorgiaKansas</v>
      </c>
      <c r="D1651" t="s">
        <v>31</v>
      </c>
      <c r="E1651">
        <v>12.8</v>
      </c>
      <c r="F1651" s="1">
        <v>12.558490566037699</v>
      </c>
      <c r="G1651" s="2">
        <v>679.15521634349602</v>
      </c>
      <c r="H1651" s="1">
        <v>137.67251828110699</v>
      </c>
      <c r="I1651" s="1">
        <f t="shared" si="51"/>
        <v>123.25885471484233</v>
      </c>
    </row>
    <row r="1652" spans="1:9" x14ac:dyDescent="0.45">
      <c r="A1652" t="s">
        <v>25</v>
      </c>
      <c r="B1652" t="s">
        <v>31</v>
      </c>
      <c r="C1652" t="str">
        <f t="shared" si="50"/>
        <v>GonzagaKansas</v>
      </c>
      <c r="D1652" t="s">
        <v>31</v>
      </c>
      <c r="E1652">
        <v>42.7</v>
      </c>
      <c r="F1652" s="1">
        <v>1.92830188679245</v>
      </c>
      <c r="G1652" s="2">
        <v>134.19310382680001</v>
      </c>
      <c r="H1652" s="1">
        <v>139.64948001161301</v>
      </c>
      <c r="I1652" s="1">
        <f t="shared" si="51"/>
        <v>151.01878906904153</v>
      </c>
    </row>
    <row r="1653" spans="1:9" x14ac:dyDescent="0.45">
      <c r="A1653" t="s">
        <v>26</v>
      </c>
      <c r="B1653" t="s">
        <v>31</v>
      </c>
      <c r="C1653" t="str">
        <f t="shared" si="50"/>
        <v>Grand CanyonKansas</v>
      </c>
      <c r="D1653" t="s">
        <v>31</v>
      </c>
      <c r="E1653">
        <v>7.5</v>
      </c>
      <c r="F1653" s="1">
        <v>16.479245283018901</v>
      </c>
      <c r="G1653" s="2">
        <v>1235.11965536291</v>
      </c>
      <c r="H1653" s="1">
        <v>138.467451729152</v>
      </c>
      <c r="I1653" s="1">
        <f t="shared" si="51"/>
        <v>134.4210841061207</v>
      </c>
    </row>
    <row r="1654" spans="1:9" x14ac:dyDescent="0.45">
      <c r="A1654" t="s">
        <v>27</v>
      </c>
      <c r="B1654" t="s">
        <v>31</v>
      </c>
      <c r="C1654" t="str">
        <f t="shared" si="50"/>
        <v>High PointKansas</v>
      </c>
      <c r="D1654" t="s">
        <v>31</v>
      </c>
      <c r="E1654">
        <v>4.8</v>
      </c>
      <c r="F1654" s="1">
        <v>19.569811320754699</v>
      </c>
      <c r="G1654" s="2">
        <v>1978.7507580869801</v>
      </c>
      <c r="H1654" s="1">
        <v>138.658658862701</v>
      </c>
      <c r="I1654" s="1">
        <f t="shared" si="51"/>
        <v>137.10596029439989</v>
      </c>
    </row>
    <row r="1655" spans="1:9" x14ac:dyDescent="0.45">
      <c r="A1655" t="s">
        <v>28</v>
      </c>
      <c r="B1655" t="s">
        <v>31</v>
      </c>
      <c r="C1655" t="str">
        <f t="shared" si="50"/>
        <v>HoustonKansas</v>
      </c>
      <c r="D1655" t="s">
        <v>28</v>
      </c>
      <c r="E1655">
        <v>91.7</v>
      </c>
      <c r="F1655" s="1">
        <v>-15.7132075471698</v>
      </c>
      <c r="G1655" s="2">
        <v>-1099.2811931048</v>
      </c>
      <c r="H1655" s="1">
        <v>140.77212121990399</v>
      </c>
      <c r="I1655" s="1">
        <f t="shared" si="51"/>
        <v>166.78259762668105</v>
      </c>
    </row>
    <row r="1656" spans="1:9" x14ac:dyDescent="0.45">
      <c r="A1656" t="s">
        <v>29</v>
      </c>
      <c r="B1656" t="s">
        <v>31</v>
      </c>
      <c r="C1656" t="str">
        <f t="shared" si="50"/>
        <v>IllinoisKansas</v>
      </c>
      <c r="D1656" t="s">
        <v>29</v>
      </c>
      <c r="E1656">
        <v>52</v>
      </c>
      <c r="F1656" s="1">
        <v>-0.52830188679245305</v>
      </c>
      <c r="G1656" s="2">
        <v>-108.366542715336</v>
      </c>
      <c r="H1656" s="1">
        <v>138.83058499486501</v>
      </c>
      <c r="I1656" s="1">
        <f t="shared" si="51"/>
        <v>139.52009814491987</v>
      </c>
    </row>
    <row r="1657" spans="1:9" x14ac:dyDescent="0.45">
      <c r="A1657" t="s">
        <v>30</v>
      </c>
      <c r="B1657" t="s">
        <v>31</v>
      </c>
      <c r="C1657" t="str">
        <f t="shared" si="50"/>
        <v>Iowa St.Kansas</v>
      </c>
      <c r="D1657" t="s">
        <v>30</v>
      </c>
      <c r="E1657">
        <v>69.5</v>
      </c>
      <c r="F1657" s="1">
        <v>-5.3886792452830203</v>
      </c>
      <c r="G1657" s="2">
        <v>-227.48422061011701</v>
      </c>
      <c r="H1657" s="1">
        <v>139.72712728645101</v>
      </c>
      <c r="I1657" s="1">
        <f t="shared" si="51"/>
        <v>152.10909001873853</v>
      </c>
    </row>
    <row r="1658" spans="1:9" x14ac:dyDescent="0.45">
      <c r="A1658" t="s">
        <v>31</v>
      </c>
      <c r="B1658" t="s">
        <v>31</v>
      </c>
      <c r="C1658" t="str">
        <f t="shared" si="50"/>
        <v>KansasKansas</v>
      </c>
      <c r="D1658" t="s">
        <v>31</v>
      </c>
      <c r="E1658">
        <v>41.2</v>
      </c>
      <c r="F1658" s="1">
        <v>2.3283018867924499</v>
      </c>
      <c r="G1658" s="2">
        <v>142.64273539779199</v>
      </c>
      <c r="H1658" s="1">
        <v>138.77771517530499</v>
      </c>
      <c r="I1658" s="1">
        <f t="shared" si="51"/>
        <v>138.77771517530684</v>
      </c>
    </row>
    <row r="1659" spans="1:9" x14ac:dyDescent="0.45">
      <c r="A1659" t="s">
        <v>32</v>
      </c>
      <c r="B1659" t="s">
        <v>31</v>
      </c>
      <c r="C1659" t="str">
        <f t="shared" si="50"/>
        <v>KentuckyKansas</v>
      </c>
      <c r="D1659" t="s">
        <v>32</v>
      </c>
      <c r="E1659">
        <v>53.9</v>
      </c>
      <c r="F1659" s="1">
        <v>-1.0377358490566</v>
      </c>
      <c r="G1659" s="2">
        <v>-117.12140787839201</v>
      </c>
      <c r="H1659" s="1">
        <v>138.71199750743099</v>
      </c>
      <c r="I1659" s="1">
        <f t="shared" si="51"/>
        <v>137.85492637371163</v>
      </c>
    </row>
    <row r="1660" spans="1:9" x14ac:dyDescent="0.45">
      <c r="A1660" t="s">
        <v>33</v>
      </c>
      <c r="B1660" t="s">
        <v>31</v>
      </c>
      <c r="C1660" t="str">
        <f t="shared" si="50"/>
        <v>LibertyKansas</v>
      </c>
      <c r="D1660" t="s">
        <v>31</v>
      </c>
      <c r="E1660">
        <v>3.4</v>
      </c>
      <c r="F1660" s="1">
        <v>21.9509433962264</v>
      </c>
      <c r="G1660" s="2">
        <v>2845.7164913749798</v>
      </c>
      <c r="H1660" s="1">
        <v>138.05699855114801</v>
      </c>
      <c r="I1660" s="1">
        <f t="shared" si="51"/>
        <v>128.65761731713698</v>
      </c>
    </row>
    <row r="1661" spans="1:9" x14ac:dyDescent="0.45">
      <c r="A1661" t="s">
        <v>34</v>
      </c>
      <c r="B1661" t="s">
        <v>31</v>
      </c>
      <c r="C1661" t="str">
        <f t="shared" si="50"/>
        <v>LipscombKansas</v>
      </c>
      <c r="D1661" t="s">
        <v>31</v>
      </c>
      <c r="E1661">
        <v>2.6</v>
      </c>
      <c r="F1661" s="1">
        <v>23.8150943396226</v>
      </c>
      <c r="G1661" s="2">
        <v>3782.59575901873</v>
      </c>
      <c r="H1661" s="1">
        <v>138.46331674874</v>
      </c>
      <c r="I1661" s="1">
        <f t="shared" si="51"/>
        <v>134.36302188720066</v>
      </c>
    </row>
    <row r="1662" spans="1:9" x14ac:dyDescent="0.45">
      <c r="A1662" t="s">
        <v>35</v>
      </c>
      <c r="B1662" t="s">
        <v>31</v>
      </c>
      <c r="C1662" t="str">
        <f t="shared" si="50"/>
        <v>LouisvilleKansas</v>
      </c>
      <c r="D1662" t="s">
        <v>31</v>
      </c>
      <c r="E1662">
        <v>6.2</v>
      </c>
      <c r="F1662" s="1">
        <v>17.7660377358491</v>
      </c>
      <c r="G1662" s="2">
        <v>1503.32228795422</v>
      </c>
      <c r="H1662" s="1">
        <v>137.70867875455801</v>
      </c>
      <c r="I1662" s="1">
        <f t="shared" si="51"/>
        <v>123.76660979868005</v>
      </c>
    </row>
    <row r="1663" spans="1:9" x14ac:dyDescent="0.45">
      <c r="A1663" t="s">
        <v>36</v>
      </c>
      <c r="B1663" t="s">
        <v>31</v>
      </c>
      <c r="C1663" t="str">
        <f t="shared" si="50"/>
        <v>MarquetteKansas</v>
      </c>
      <c r="D1663" t="s">
        <v>31</v>
      </c>
      <c r="E1663">
        <v>47.3</v>
      </c>
      <c r="F1663" s="1">
        <v>0.69811320754716999</v>
      </c>
      <c r="G1663" s="2">
        <v>111.252248920551</v>
      </c>
      <c r="H1663" s="1">
        <v>138.97081259801999</v>
      </c>
      <c r="I1663" s="1">
        <f t="shared" si="51"/>
        <v>141.48913426643989</v>
      </c>
    </row>
    <row r="1664" spans="1:9" x14ac:dyDescent="0.45">
      <c r="A1664" t="s">
        <v>37</v>
      </c>
      <c r="B1664" t="s">
        <v>31</v>
      </c>
      <c r="C1664" t="str">
        <f t="shared" si="50"/>
        <v>MarylandKansas</v>
      </c>
      <c r="D1664" t="s">
        <v>31</v>
      </c>
      <c r="E1664">
        <v>35.700000000000003</v>
      </c>
      <c r="F1664" s="1">
        <v>3.8679245283018902</v>
      </c>
      <c r="G1664" s="2">
        <v>180.360998326859</v>
      </c>
      <c r="H1664" s="1">
        <v>138.429182196563</v>
      </c>
      <c r="I1664" s="1">
        <f t="shared" si="51"/>
        <v>133.88371421370272</v>
      </c>
    </row>
    <row r="1665" spans="1:9" x14ac:dyDescent="0.45">
      <c r="A1665" t="s">
        <v>38</v>
      </c>
      <c r="B1665" t="s">
        <v>31</v>
      </c>
      <c r="C1665" t="str">
        <f t="shared" si="50"/>
        <v>McNeese St.Kansas</v>
      </c>
      <c r="D1665" t="s">
        <v>31</v>
      </c>
      <c r="E1665">
        <v>11.5</v>
      </c>
      <c r="F1665" s="1">
        <v>13.4075471698113</v>
      </c>
      <c r="G1665" s="2">
        <v>773.05840106652295</v>
      </c>
      <c r="H1665" s="1">
        <v>139.022417609527</v>
      </c>
      <c r="I1665" s="1">
        <f t="shared" si="51"/>
        <v>142.21375716109529</v>
      </c>
    </row>
    <row r="1666" spans="1:9" x14ac:dyDescent="0.45">
      <c r="A1666" t="s">
        <v>39</v>
      </c>
      <c r="B1666" t="s">
        <v>31</v>
      </c>
      <c r="C1666" t="str">
        <f t="shared" si="50"/>
        <v>MemphisKansas</v>
      </c>
      <c r="D1666" t="s">
        <v>31</v>
      </c>
      <c r="E1666">
        <v>23.8</v>
      </c>
      <c r="F1666" s="1">
        <v>7.63018867924528</v>
      </c>
      <c r="G1666" s="2">
        <v>320.28971807869601</v>
      </c>
      <c r="H1666" s="1">
        <v>137.55669943605301</v>
      </c>
      <c r="I1666" s="1">
        <f t="shared" si="51"/>
        <v>121.6325594325079</v>
      </c>
    </row>
    <row r="1667" spans="1:9" x14ac:dyDescent="0.45">
      <c r="A1667" t="s">
        <v>40</v>
      </c>
      <c r="B1667" t="s">
        <v>31</v>
      </c>
      <c r="C1667" t="str">
        <f t="shared" ref="C1667:C1730" si="52">A1667&amp;B1667</f>
        <v>MichiganKansas</v>
      </c>
      <c r="D1667" t="s">
        <v>31</v>
      </c>
      <c r="E1667">
        <v>13.4</v>
      </c>
      <c r="F1667" s="1">
        <v>12.256603773584899</v>
      </c>
      <c r="G1667" s="2">
        <v>648.54129047885101</v>
      </c>
      <c r="H1667" s="1">
        <v>137.11932073296899</v>
      </c>
      <c r="I1667" s="1">
        <f t="shared" ref="I1667:I1730" si="53">18*(H1667-AVERAGE($H$2:$H$4625))/_xlfn.STDEV.P($H$2:$H$4625)+AVERAGE($H$2:$H$4625)</f>
        <v>115.4910120782101</v>
      </c>
    </row>
    <row r="1668" spans="1:9" x14ac:dyDescent="0.45">
      <c r="A1668" t="s">
        <v>41</v>
      </c>
      <c r="B1668" t="s">
        <v>31</v>
      </c>
      <c r="C1668" t="str">
        <f t="shared" si="52"/>
        <v>Michigan St.Kansas</v>
      </c>
      <c r="D1668" t="s">
        <v>41</v>
      </c>
      <c r="E1668">
        <v>59.4</v>
      </c>
      <c r="F1668" s="1">
        <v>-2.4905660377358498</v>
      </c>
      <c r="G1668" s="2">
        <v>-146.22361282162001</v>
      </c>
      <c r="H1668" s="1">
        <v>138.76640044217601</v>
      </c>
      <c r="I1668" s="1">
        <f t="shared" si="53"/>
        <v>138.61883691072077</v>
      </c>
    </row>
    <row r="1669" spans="1:9" x14ac:dyDescent="0.45">
      <c r="A1669" t="s">
        <v>42</v>
      </c>
      <c r="B1669" t="s">
        <v>31</v>
      </c>
      <c r="C1669" t="str">
        <f t="shared" si="52"/>
        <v>MississippiKansas</v>
      </c>
      <c r="D1669" t="s">
        <v>31</v>
      </c>
      <c r="E1669">
        <v>28.6</v>
      </c>
      <c r="F1669" s="1">
        <v>6.0037735849056597</v>
      </c>
      <c r="G1669" s="2">
        <v>249.950439707664</v>
      </c>
      <c r="H1669" s="1">
        <v>138.03409179206599</v>
      </c>
      <c r="I1669" s="1">
        <f t="shared" si="53"/>
        <v>128.33596712099404</v>
      </c>
    </row>
    <row r="1670" spans="1:9" x14ac:dyDescent="0.45">
      <c r="A1670" t="s">
        <v>43</v>
      </c>
      <c r="B1670" t="s">
        <v>31</v>
      </c>
      <c r="C1670" t="str">
        <f t="shared" si="52"/>
        <v>Mississippi St.Kansas</v>
      </c>
      <c r="D1670" t="s">
        <v>31</v>
      </c>
      <c r="E1670">
        <v>23.5</v>
      </c>
      <c r="F1670" s="1">
        <v>7.7283018867924502</v>
      </c>
      <c r="G1670" s="2">
        <v>325.11066852065102</v>
      </c>
      <c r="H1670" s="1">
        <v>138.17383826474199</v>
      </c>
      <c r="I1670" s="1">
        <f t="shared" si="53"/>
        <v>130.29824734516589</v>
      </c>
    </row>
    <row r="1671" spans="1:9" x14ac:dyDescent="0.45">
      <c r="A1671" t="s">
        <v>44</v>
      </c>
      <c r="B1671" t="s">
        <v>31</v>
      </c>
      <c r="C1671" t="str">
        <f t="shared" si="52"/>
        <v>MissouriKansas</v>
      </c>
      <c r="D1671" t="s">
        <v>31</v>
      </c>
      <c r="E1671">
        <v>12.7</v>
      </c>
      <c r="F1671" s="1">
        <v>12.6641509433962</v>
      </c>
      <c r="G1671" s="2">
        <v>690.09598870462298</v>
      </c>
      <c r="H1671" s="1">
        <v>137.59150016338799</v>
      </c>
      <c r="I1671" s="1">
        <f t="shared" si="53"/>
        <v>122.12122134810816</v>
      </c>
    </row>
    <row r="1672" spans="1:9" x14ac:dyDescent="0.45">
      <c r="A1672" t="s">
        <v>45</v>
      </c>
      <c r="B1672" t="s">
        <v>31</v>
      </c>
      <c r="C1672" t="str">
        <f t="shared" si="52"/>
        <v>MontanaKansas</v>
      </c>
      <c r="D1672" t="s">
        <v>31</v>
      </c>
      <c r="E1672">
        <v>1.3</v>
      </c>
      <c r="F1672" s="1">
        <v>28.4679245283019</v>
      </c>
      <c r="G1672" s="2">
        <v>7692.2828587231497</v>
      </c>
      <c r="H1672" s="1">
        <v>136.728211726794</v>
      </c>
      <c r="I1672" s="1">
        <f t="shared" si="53"/>
        <v>109.99917064839411</v>
      </c>
    </row>
    <row r="1673" spans="1:9" x14ac:dyDescent="0.45">
      <c r="A1673" t="s">
        <v>46</v>
      </c>
      <c r="B1673" t="s">
        <v>31</v>
      </c>
      <c r="C1673" t="str">
        <f t="shared" si="52"/>
        <v>Mount St. Mary'sKansas</v>
      </c>
      <c r="D1673" t="s">
        <v>31</v>
      </c>
      <c r="E1673">
        <v>0.5</v>
      </c>
      <c r="F1673" s="1">
        <v>34.803773584905699</v>
      </c>
      <c r="G1673" s="2">
        <v>20215.262453639301</v>
      </c>
      <c r="H1673" s="1">
        <v>138.03149968094499</v>
      </c>
      <c r="I1673" s="1">
        <f t="shared" si="53"/>
        <v>128.29956943385247</v>
      </c>
    </row>
    <row r="1674" spans="1:9" x14ac:dyDescent="0.45">
      <c r="A1674" t="s">
        <v>47</v>
      </c>
      <c r="B1674" t="s">
        <v>31</v>
      </c>
      <c r="C1674" t="str">
        <f t="shared" si="52"/>
        <v>Nebraska OmahaKansas</v>
      </c>
      <c r="D1674" t="s">
        <v>31</v>
      </c>
      <c r="E1674">
        <v>0.7</v>
      </c>
      <c r="F1674" s="1">
        <v>32.611320754716999</v>
      </c>
      <c r="G1674" s="2">
        <v>14473.609887795599</v>
      </c>
      <c r="H1674" s="1">
        <v>137.44927581304799</v>
      </c>
      <c r="I1674" s="1">
        <f t="shared" si="53"/>
        <v>120.12414747050887</v>
      </c>
    </row>
    <row r="1675" spans="1:9" x14ac:dyDescent="0.45">
      <c r="A1675" t="s">
        <v>48</v>
      </c>
      <c r="B1675" t="s">
        <v>31</v>
      </c>
      <c r="C1675" t="str">
        <f t="shared" si="52"/>
        <v>New MexicoKansas</v>
      </c>
      <c r="D1675" t="s">
        <v>31</v>
      </c>
      <c r="E1675">
        <v>14.2</v>
      </c>
      <c r="F1675" s="1">
        <v>11.781132075471699</v>
      </c>
      <c r="G1675" s="2">
        <v>603.24491406037498</v>
      </c>
      <c r="H1675" s="1">
        <v>138.219265744865</v>
      </c>
      <c r="I1675" s="1">
        <f t="shared" si="53"/>
        <v>130.93612710107229</v>
      </c>
    </row>
    <row r="1676" spans="1:9" x14ac:dyDescent="0.45">
      <c r="A1676" t="s">
        <v>49</v>
      </c>
      <c r="B1676" t="s">
        <v>31</v>
      </c>
      <c r="C1676" t="str">
        <f t="shared" si="52"/>
        <v>Norfolk St.Kansas</v>
      </c>
      <c r="D1676" t="s">
        <v>31</v>
      </c>
      <c r="E1676">
        <v>1</v>
      </c>
      <c r="F1676" s="1">
        <v>30.3471698113208</v>
      </c>
      <c r="G1676" s="2">
        <v>10245.284583995301</v>
      </c>
      <c r="H1676" s="1">
        <v>137.25539150882901</v>
      </c>
      <c r="I1676" s="1">
        <f t="shared" si="53"/>
        <v>117.40167921309302</v>
      </c>
    </row>
    <row r="1677" spans="1:9" x14ac:dyDescent="0.45">
      <c r="A1677" t="s">
        <v>50</v>
      </c>
      <c r="B1677" t="s">
        <v>31</v>
      </c>
      <c r="C1677" t="str">
        <f t="shared" si="52"/>
        <v>North CarolinaKansas</v>
      </c>
      <c r="D1677" t="s">
        <v>31</v>
      </c>
      <c r="E1677">
        <v>36.1</v>
      </c>
      <c r="F1677" s="1">
        <v>3.7320754716981099</v>
      </c>
      <c r="G1677" s="2">
        <v>176.65936476791899</v>
      </c>
      <c r="H1677" s="1">
        <v>139.328997463299</v>
      </c>
      <c r="I1677" s="1">
        <f t="shared" si="53"/>
        <v>146.51866427371425</v>
      </c>
    </row>
    <row r="1678" spans="1:9" x14ac:dyDescent="0.45">
      <c r="A1678" t="s">
        <v>51</v>
      </c>
      <c r="B1678" t="s">
        <v>31</v>
      </c>
      <c r="C1678" t="str">
        <f t="shared" si="52"/>
        <v>OklahomaKansas</v>
      </c>
      <c r="D1678" t="s">
        <v>31</v>
      </c>
      <c r="E1678">
        <v>16.5</v>
      </c>
      <c r="F1678" s="1">
        <v>10.611320754716999</v>
      </c>
      <c r="G1678" s="2">
        <v>504.79365146758403</v>
      </c>
      <c r="H1678" s="1">
        <v>137.752620589473</v>
      </c>
      <c r="I1678" s="1">
        <f t="shared" si="53"/>
        <v>124.38362854710617</v>
      </c>
    </row>
    <row r="1679" spans="1:9" x14ac:dyDescent="0.45">
      <c r="A1679" t="s">
        <v>52</v>
      </c>
      <c r="B1679" t="s">
        <v>31</v>
      </c>
      <c r="C1679" t="str">
        <f t="shared" si="52"/>
        <v>OregonKansas</v>
      </c>
      <c r="D1679" t="s">
        <v>31</v>
      </c>
      <c r="E1679">
        <v>35.700000000000003</v>
      </c>
      <c r="F1679" s="1">
        <v>3.8452830188679199</v>
      </c>
      <c r="G1679" s="2">
        <v>179.82399365468601</v>
      </c>
      <c r="H1679" s="1">
        <v>138.043337981002</v>
      </c>
      <c r="I1679" s="1">
        <f t="shared" si="53"/>
        <v>128.46579947633472</v>
      </c>
    </row>
    <row r="1680" spans="1:9" x14ac:dyDescent="0.45">
      <c r="A1680" t="s">
        <v>53</v>
      </c>
      <c r="B1680" t="s">
        <v>31</v>
      </c>
      <c r="C1680" t="str">
        <f t="shared" si="52"/>
        <v>PurdueKansas</v>
      </c>
      <c r="D1680" t="s">
        <v>53</v>
      </c>
      <c r="E1680">
        <v>75.900000000000006</v>
      </c>
      <c r="F1680" s="1">
        <v>-7.5245283018867903</v>
      </c>
      <c r="G1680" s="2">
        <v>-315.17515957067701</v>
      </c>
      <c r="H1680" s="1">
        <v>139.5314251808</v>
      </c>
      <c r="I1680" s="1">
        <f t="shared" si="53"/>
        <v>149.36109671061311</v>
      </c>
    </row>
    <row r="1681" spans="1:9" x14ac:dyDescent="0.45">
      <c r="A1681" t="s">
        <v>54</v>
      </c>
      <c r="B1681" t="s">
        <v>31</v>
      </c>
      <c r="C1681" t="str">
        <f t="shared" si="52"/>
        <v>Robert MorrisKansas</v>
      </c>
      <c r="D1681" t="s">
        <v>31</v>
      </c>
      <c r="E1681">
        <v>0.4</v>
      </c>
      <c r="F1681" s="1">
        <v>36.362264150943403</v>
      </c>
      <c r="G1681" s="2">
        <v>25649.737158273801</v>
      </c>
      <c r="H1681" s="1">
        <v>136.61439050948701</v>
      </c>
      <c r="I1681" s="1">
        <f t="shared" si="53"/>
        <v>108.40092548673972</v>
      </c>
    </row>
    <row r="1682" spans="1:9" x14ac:dyDescent="0.45">
      <c r="A1682" t="s">
        <v>55</v>
      </c>
      <c r="B1682" t="s">
        <v>31</v>
      </c>
      <c r="C1682" t="str">
        <f t="shared" si="52"/>
        <v>Saint FrancisKansas</v>
      </c>
      <c r="D1682" t="s">
        <v>31</v>
      </c>
      <c r="E1682">
        <v>0.2</v>
      </c>
      <c r="F1682" s="1">
        <v>39.724528301886799</v>
      </c>
      <c r="G1682" s="2">
        <v>42841.543925052501</v>
      </c>
      <c r="H1682" s="1">
        <v>137.32123839153101</v>
      </c>
      <c r="I1682" s="1">
        <f t="shared" si="53"/>
        <v>118.32628241255325</v>
      </c>
    </row>
    <row r="1683" spans="1:9" x14ac:dyDescent="0.45">
      <c r="A1683" t="s">
        <v>56</v>
      </c>
      <c r="B1683" t="s">
        <v>31</v>
      </c>
      <c r="C1683" t="str">
        <f t="shared" si="52"/>
        <v>Saint Mary'sKansas</v>
      </c>
      <c r="D1683" t="s">
        <v>31</v>
      </c>
      <c r="E1683">
        <v>35.200000000000003</v>
      </c>
      <c r="F1683" s="1">
        <v>3.9924528301886801</v>
      </c>
      <c r="G1683" s="2">
        <v>183.82346098106899</v>
      </c>
      <c r="H1683" s="1">
        <v>139.050444507473</v>
      </c>
      <c r="I1683" s="1">
        <f t="shared" si="53"/>
        <v>142.60730289095309</v>
      </c>
    </row>
    <row r="1684" spans="1:9" x14ac:dyDescent="0.45">
      <c r="A1684" t="s">
        <v>57</v>
      </c>
      <c r="B1684" t="s">
        <v>31</v>
      </c>
      <c r="C1684" t="str">
        <f t="shared" si="52"/>
        <v>San Diego St.Kansas</v>
      </c>
      <c r="D1684" t="s">
        <v>31</v>
      </c>
      <c r="E1684">
        <v>14.4</v>
      </c>
      <c r="F1684" s="1">
        <v>11.6641509433962</v>
      </c>
      <c r="G1684" s="2">
        <v>592.65302393566606</v>
      </c>
      <c r="H1684" s="1">
        <v>138.265143670501</v>
      </c>
      <c r="I1684" s="1">
        <f t="shared" si="53"/>
        <v>131.58033188476142</v>
      </c>
    </row>
    <row r="1685" spans="1:9" x14ac:dyDescent="0.45">
      <c r="A1685" t="s">
        <v>58</v>
      </c>
      <c r="B1685" t="s">
        <v>31</v>
      </c>
      <c r="C1685" t="str">
        <f t="shared" si="52"/>
        <v>SIU EdwardsvilleKansas</v>
      </c>
      <c r="D1685" t="s">
        <v>31</v>
      </c>
      <c r="E1685">
        <v>0.8</v>
      </c>
      <c r="F1685" s="1">
        <v>31.6377358490566</v>
      </c>
      <c r="G1685" s="2">
        <v>12476.1556439084</v>
      </c>
      <c r="H1685" s="1">
        <v>138.32440185068501</v>
      </c>
      <c r="I1685" s="1">
        <f t="shared" si="53"/>
        <v>132.41241839734971</v>
      </c>
    </row>
    <row r="1686" spans="1:9" x14ac:dyDescent="0.45">
      <c r="A1686" t="s">
        <v>59</v>
      </c>
      <c r="B1686" t="s">
        <v>31</v>
      </c>
      <c r="C1686" t="str">
        <f t="shared" si="52"/>
        <v>St. John'sKansas</v>
      </c>
      <c r="D1686" t="s">
        <v>59</v>
      </c>
      <c r="E1686">
        <v>61.2</v>
      </c>
      <c r="F1686" s="1">
        <v>-2.9924528301886801</v>
      </c>
      <c r="G1686" s="2">
        <v>-157.851499097204</v>
      </c>
      <c r="H1686" s="1">
        <v>139.14385829924001</v>
      </c>
      <c r="I1686" s="1">
        <f t="shared" si="53"/>
        <v>143.91899278722903</v>
      </c>
    </row>
    <row r="1687" spans="1:9" x14ac:dyDescent="0.45">
      <c r="A1687" t="s">
        <v>60</v>
      </c>
      <c r="B1687" t="s">
        <v>31</v>
      </c>
      <c r="C1687" t="str">
        <f t="shared" si="52"/>
        <v>TennesseeKansas</v>
      </c>
      <c r="D1687" t="s">
        <v>60</v>
      </c>
      <c r="E1687">
        <v>77.8</v>
      </c>
      <c r="F1687" s="1">
        <v>-8.2075471698113205</v>
      </c>
      <c r="G1687" s="2">
        <v>-349.78904458160798</v>
      </c>
      <c r="H1687" s="1">
        <v>139.937090673374</v>
      </c>
      <c r="I1687" s="1">
        <f t="shared" si="53"/>
        <v>155.05733618244943</v>
      </c>
    </row>
    <row r="1688" spans="1:9" x14ac:dyDescent="0.45">
      <c r="A1688" t="s">
        <v>61</v>
      </c>
      <c r="B1688" t="s">
        <v>31</v>
      </c>
      <c r="C1688" t="str">
        <f t="shared" si="52"/>
        <v>TexasKansas</v>
      </c>
      <c r="D1688" t="s">
        <v>31</v>
      </c>
      <c r="E1688">
        <v>12.3</v>
      </c>
      <c r="F1688" s="1">
        <v>12.8867924528302</v>
      </c>
      <c r="G1688" s="2">
        <v>714.23087551348101</v>
      </c>
      <c r="H1688" s="1">
        <v>137.636972501012</v>
      </c>
      <c r="I1688" s="1">
        <f t="shared" si="53"/>
        <v>122.75973098028567</v>
      </c>
    </row>
    <row r="1689" spans="1:9" x14ac:dyDescent="0.45">
      <c r="A1689" t="s">
        <v>62</v>
      </c>
      <c r="B1689" t="s">
        <v>31</v>
      </c>
      <c r="C1689" t="str">
        <f t="shared" si="52"/>
        <v>Texas A&amp;MKansas</v>
      </c>
      <c r="D1689" t="s">
        <v>31</v>
      </c>
      <c r="E1689">
        <v>44.4</v>
      </c>
      <c r="F1689" s="1">
        <v>1.4867924528301899</v>
      </c>
      <c r="G1689" s="2">
        <v>125.453950378215</v>
      </c>
      <c r="H1689" s="1">
        <v>138.42394781041</v>
      </c>
      <c r="I1689" s="1">
        <f t="shared" si="53"/>
        <v>133.81021445204834</v>
      </c>
    </row>
    <row r="1690" spans="1:9" x14ac:dyDescent="0.45">
      <c r="A1690" t="s">
        <v>63</v>
      </c>
      <c r="B1690" t="s">
        <v>31</v>
      </c>
      <c r="C1690" t="str">
        <f t="shared" si="52"/>
        <v>Texas TechKansas</v>
      </c>
      <c r="D1690" t="s">
        <v>63</v>
      </c>
      <c r="E1690">
        <v>60.7</v>
      </c>
      <c r="F1690" s="1">
        <v>-2.8490566037735801</v>
      </c>
      <c r="G1690" s="2">
        <v>-154.39424221751401</v>
      </c>
      <c r="H1690" s="1">
        <v>139.41446041564899</v>
      </c>
      <c r="I1690" s="1">
        <f t="shared" si="53"/>
        <v>147.7187107441861</v>
      </c>
    </row>
    <row r="1691" spans="1:9" x14ac:dyDescent="0.45">
      <c r="A1691" t="s">
        <v>64</v>
      </c>
      <c r="B1691" t="s">
        <v>31</v>
      </c>
      <c r="C1691" t="str">
        <f t="shared" si="52"/>
        <v>TroyKansas</v>
      </c>
      <c r="D1691" t="s">
        <v>31</v>
      </c>
      <c r="E1691">
        <v>2.2000000000000002</v>
      </c>
      <c r="F1691" s="1">
        <v>24.962264150943401</v>
      </c>
      <c r="G1691" s="2">
        <v>4505.1594213157096</v>
      </c>
      <c r="H1691" s="1">
        <v>138.18076501020801</v>
      </c>
      <c r="I1691" s="1">
        <f t="shared" si="53"/>
        <v>130.39551073497148</v>
      </c>
    </row>
    <row r="1692" spans="1:9" x14ac:dyDescent="0.45">
      <c r="A1692" t="s">
        <v>65</v>
      </c>
      <c r="B1692" t="s">
        <v>31</v>
      </c>
      <c r="C1692" t="str">
        <f t="shared" si="52"/>
        <v>UC San DiegoKansas</v>
      </c>
      <c r="D1692" t="s">
        <v>31</v>
      </c>
      <c r="E1692">
        <v>5.4</v>
      </c>
      <c r="F1692" s="1">
        <v>18.781132075471699</v>
      </c>
      <c r="G1692" s="2">
        <v>1754.6166703253</v>
      </c>
      <c r="H1692" s="1">
        <v>138.250885239871</v>
      </c>
      <c r="I1692" s="1">
        <f t="shared" si="53"/>
        <v>131.38011905707984</v>
      </c>
    </row>
    <row r="1693" spans="1:9" x14ac:dyDescent="0.45">
      <c r="A1693" t="s">
        <v>66</v>
      </c>
      <c r="B1693" t="s">
        <v>31</v>
      </c>
      <c r="C1693" t="str">
        <f t="shared" si="52"/>
        <v>UCLAKansas</v>
      </c>
      <c r="D1693" t="s">
        <v>31</v>
      </c>
      <c r="E1693">
        <v>16.399999999999999</v>
      </c>
      <c r="F1693" s="1">
        <v>10.679245283018901</v>
      </c>
      <c r="G1693" s="2">
        <v>509.906795279454</v>
      </c>
      <c r="H1693" s="1">
        <v>137.47214381908299</v>
      </c>
      <c r="I1693" s="1">
        <f t="shared" si="53"/>
        <v>120.44525350738724</v>
      </c>
    </row>
    <row r="1694" spans="1:9" x14ac:dyDescent="0.45">
      <c r="A1694" t="s">
        <v>67</v>
      </c>
      <c r="B1694" t="s">
        <v>31</v>
      </c>
      <c r="C1694" t="str">
        <f t="shared" si="52"/>
        <v>UNC WilmingtonKansas</v>
      </c>
      <c r="D1694" t="s">
        <v>31</v>
      </c>
      <c r="E1694">
        <v>3.2</v>
      </c>
      <c r="F1694" s="1">
        <v>22.373584905660401</v>
      </c>
      <c r="G1694" s="2">
        <v>3034.90597814387</v>
      </c>
      <c r="H1694" s="1">
        <v>138.78755371053501</v>
      </c>
      <c r="I1694" s="1">
        <f t="shared" si="53"/>
        <v>138.9158650888395</v>
      </c>
    </row>
    <row r="1695" spans="1:9" x14ac:dyDescent="0.45">
      <c r="A1695" t="s">
        <v>68</v>
      </c>
      <c r="B1695" t="s">
        <v>31</v>
      </c>
      <c r="C1695" t="str">
        <f t="shared" si="52"/>
        <v>Utah St.Kansas</v>
      </c>
      <c r="D1695" t="s">
        <v>31</v>
      </c>
      <c r="E1695">
        <v>15.6</v>
      </c>
      <c r="F1695" s="1">
        <v>11.045283018867901</v>
      </c>
      <c r="G1695" s="2">
        <v>539.14682587660604</v>
      </c>
      <c r="H1695" s="1">
        <v>138.33474020911399</v>
      </c>
      <c r="I1695" s="1">
        <f t="shared" si="53"/>
        <v>132.55758668608803</v>
      </c>
    </row>
    <row r="1696" spans="1:9" x14ac:dyDescent="0.45">
      <c r="A1696" t="s">
        <v>69</v>
      </c>
      <c r="B1696" t="s">
        <v>31</v>
      </c>
      <c r="C1696" t="str">
        <f t="shared" si="52"/>
        <v>VanderbiltKansas</v>
      </c>
      <c r="D1696" t="s">
        <v>31</v>
      </c>
      <c r="E1696">
        <v>3.5</v>
      </c>
      <c r="F1696" s="1">
        <v>21.6943396226415</v>
      </c>
      <c r="G1696" s="2">
        <v>2736.0625473988198</v>
      </c>
      <c r="H1696" s="1">
        <v>136.76877809039701</v>
      </c>
      <c r="I1696" s="1">
        <f t="shared" si="53"/>
        <v>110.56879198867153</v>
      </c>
    </row>
    <row r="1697" spans="1:9" x14ac:dyDescent="0.45">
      <c r="A1697" t="s">
        <v>70</v>
      </c>
      <c r="B1697" t="s">
        <v>31</v>
      </c>
      <c r="C1697" t="str">
        <f t="shared" si="52"/>
        <v>VCUKansas</v>
      </c>
      <c r="D1697" t="s">
        <v>31</v>
      </c>
      <c r="E1697">
        <v>10.5</v>
      </c>
      <c r="F1697" s="1">
        <v>14.045283018867901</v>
      </c>
      <c r="G1697" s="2">
        <v>852.32312416720799</v>
      </c>
      <c r="H1697" s="1">
        <v>138.69395121958999</v>
      </c>
      <c r="I1697" s="1">
        <f t="shared" si="53"/>
        <v>137.60152553237367</v>
      </c>
    </row>
    <row r="1698" spans="1:9" x14ac:dyDescent="0.45">
      <c r="A1698" t="s">
        <v>71</v>
      </c>
      <c r="B1698" t="s">
        <v>31</v>
      </c>
      <c r="C1698" t="str">
        <f t="shared" si="52"/>
        <v>WisconsinKansas</v>
      </c>
      <c r="D1698" t="s">
        <v>71</v>
      </c>
      <c r="E1698">
        <v>57.2</v>
      </c>
      <c r="F1698" s="1">
        <v>-1.9056603773584899</v>
      </c>
      <c r="G1698" s="2">
        <v>-133.746174066224</v>
      </c>
      <c r="H1698" s="1">
        <v>139.34720682792201</v>
      </c>
      <c r="I1698" s="1">
        <f t="shared" si="53"/>
        <v>146.77435499284462</v>
      </c>
    </row>
    <row r="1699" spans="1:9" x14ac:dyDescent="0.45">
      <c r="A1699" t="s">
        <v>80</v>
      </c>
      <c r="B1699" t="s">
        <v>31</v>
      </c>
      <c r="C1699" t="str">
        <f t="shared" si="52"/>
        <v>WoffordKansas</v>
      </c>
      <c r="D1699" t="s">
        <v>31</v>
      </c>
      <c r="E1699">
        <v>1.1000000000000001</v>
      </c>
      <c r="F1699" s="1">
        <v>29.267924528301901</v>
      </c>
      <c r="G1699" s="2">
        <v>8689.6986546560802</v>
      </c>
      <c r="H1699" s="1">
        <v>137.44485525714899</v>
      </c>
      <c r="I1699" s="1">
        <f t="shared" si="53"/>
        <v>120.06207528182064</v>
      </c>
    </row>
    <row r="1700" spans="1:9" x14ac:dyDescent="0.45">
      <c r="A1700" t="s">
        <v>72</v>
      </c>
      <c r="B1700" t="s">
        <v>31</v>
      </c>
      <c r="C1700" t="str">
        <f t="shared" si="52"/>
        <v>XavierKansas</v>
      </c>
      <c r="D1700" t="s">
        <v>31</v>
      </c>
      <c r="E1700">
        <v>10.4</v>
      </c>
      <c r="F1700" s="1">
        <v>14.1207547169811</v>
      </c>
      <c r="G1700" s="2">
        <v>861.88685414909105</v>
      </c>
      <c r="H1700" s="1">
        <v>138.18765742777001</v>
      </c>
      <c r="I1700" s="1">
        <f t="shared" si="53"/>
        <v>130.49229210211197</v>
      </c>
    </row>
    <row r="1701" spans="1:9" x14ac:dyDescent="0.45">
      <c r="A1701" t="s">
        <v>73</v>
      </c>
      <c r="B1701" t="s">
        <v>31</v>
      </c>
      <c r="C1701" t="str">
        <f t="shared" si="52"/>
        <v>YaleKansas</v>
      </c>
      <c r="D1701" t="s">
        <v>31</v>
      </c>
      <c r="E1701">
        <v>5.7</v>
      </c>
      <c r="F1701" s="1">
        <v>18.3698113207547</v>
      </c>
      <c r="G1701" s="2">
        <v>1648.1462557930799</v>
      </c>
      <c r="H1701" s="1">
        <v>138.787363564164</v>
      </c>
      <c r="I1701" s="1">
        <f t="shared" si="53"/>
        <v>138.91319510757708</v>
      </c>
    </row>
    <row r="1702" spans="1:9" x14ac:dyDescent="0.45">
      <c r="A1702" t="s">
        <v>7</v>
      </c>
      <c r="B1702" t="s">
        <v>32</v>
      </c>
      <c r="C1702" t="str">
        <f t="shared" si="52"/>
        <v>AkronKentucky</v>
      </c>
      <c r="D1702" t="s">
        <v>32</v>
      </c>
      <c r="E1702">
        <v>1.9</v>
      </c>
      <c r="F1702" s="1">
        <v>25.996226415094299</v>
      </c>
      <c r="G1702" s="2">
        <v>5276.6178004515596</v>
      </c>
      <c r="H1702" s="1">
        <v>137.669908292619</v>
      </c>
      <c r="I1702" s="1">
        <f t="shared" si="53"/>
        <v>123.222205998798</v>
      </c>
    </row>
    <row r="1703" spans="1:9" x14ac:dyDescent="0.45">
      <c r="A1703" t="s">
        <v>8</v>
      </c>
      <c r="B1703" t="s">
        <v>32</v>
      </c>
      <c r="C1703" t="str">
        <f t="shared" si="52"/>
        <v>AlabamaKentucky</v>
      </c>
      <c r="D1703" t="s">
        <v>8</v>
      </c>
      <c r="E1703">
        <v>58.8</v>
      </c>
      <c r="F1703" s="1">
        <v>-2.34339622641509</v>
      </c>
      <c r="G1703" s="2">
        <v>-142.947006840325</v>
      </c>
      <c r="H1703" s="1">
        <v>139.477519480214</v>
      </c>
      <c r="I1703" s="1">
        <f t="shared" si="53"/>
        <v>148.60416819424702</v>
      </c>
    </row>
    <row r="1704" spans="1:9" x14ac:dyDescent="0.45">
      <c r="A1704" t="s">
        <v>9</v>
      </c>
      <c r="B1704" t="s">
        <v>32</v>
      </c>
      <c r="C1704" t="str">
        <f t="shared" si="52"/>
        <v>Alabama St.Kentucky</v>
      </c>
      <c r="D1704" t="s">
        <v>32</v>
      </c>
      <c r="E1704">
        <v>0.3</v>
      </c>
      <c r="F1704" s="1">
        <v>38.316981132075497</v>
      </c>
      <c r="G1704" s="2">
        <v>34549.785525256098</v>
      </c>
      <c r="H1704" s="1">
        <v>137.85667005203999</v>
      </c>
      <c r="I1704" s="1">
        <f t="shared" si="53"/>
        <v>125.84466150787576</v>
      </c>
    </row>
    <row r="1705" spans="1:9" x14ac:dyDescent="0.45">
      <c r="A1705" t="s">
        <v>10</v>
      </c>
      <c r="B1705" t="s">
        <v>32</v>
      </c>
      <c r="C1705" t="str">
        <f t="shared" si="52"/>
        <v>AmericanKentucky</v>
      </c>
      <c r="D1705" t="s">
        <v>32</v>
      </c>
      <c r="E1705">
        <v>0.3</v>
      </c>
      <c r="F1705" s="1">
        <v>37.558490566037698</v>
      </c>
      <c r="G1705" s="2">
        <v>30782.1596044459</v>
      </c>
      <c r="H1705" s="1">
        <v>137.61995957180201</v>
      </c>
      <c r="I1705" s="1">
        <f t="shared" si="53"/>
        <v>122.52084026694803</v>
      </c>
    </row>
    <row r="1706" spans="1:9" x14ac:dyDescent="0.45">
      <c r="A1706" t="s">
        <v>11</v>
      </c>
      <c r="B1706" t="s">
        <v>32</v>
      </c>
      <c r="C1706" t="str">
        <f t="shared" si="52"/>
        <v>ArizonaKentucky</v>
      </c>
      <c r="D1706" t="s">
        <v>32</v>
      </c>
      <c r="E1706">
        <v>48.4</v>
      </c>
      <c r="F1706" s="1">
        <v>0.41509433962264197</v>
      </c>
      <c r="G1706" s="2">
        <v>106.507236571795</v>
      </c>
      <c r="H1706" s="1">
        <v>139.08799882039099</v>
      </c>
      <c r="I1706" s="1">
        <f t="shared" si="53"/>
        <v>143.13462987216565</v>
      </c>
    </row>
    <row r="1707" spans="1:9" x14ac:dyDescent="0.45">
      <c r="A1707" t="s">
        <v>12</v>
      </c>
      <c r="B1707" t="s">
        <v>32</v>
      </c>
      <c r="C1707" t="str">
        <f t="shared" si="52"/>
        <v>ArkansasKentucky</v>
      </c>
      <c r="D1707" t="s">
        <v>32</v>
      </c>
      <c r="E1707">
        <v>5.8</v>
      </c>
      <c r="F1707" s="1">
        <v>18.313207547169799</v>
      </c>
      <c r="G1707" s="2">
        <v>1634.10034136695</v>
      </c>
      <c r="H1707" s="1">
        <v>137.41392279818001</v>
      </c>
      <c r="I1707" s="1">
        <f t="shared" si="53"/>
        <v>119.62773049044577</v>
      </c>
    </row>
    <row r="1708" spans="1:9" x14ac:dyDescent="0.45">
      <c r="A1708" t="s">
        <v>13</v>
      </c>
      <c r="B1708" t="s">
        <v>32</v>
      </c>
      <c r="C1708" t="str">
        <f t="shared" si="52"/>
        <v>AuburnKentucky</v>
      </c>
      <c r="D1708" t="s">
        <v>13</v>
      </c>
      <c r="E1708">
        <v>73.8</v>
      </c>
      <c r="F1708" s="1">
        <v>-6.7811320754717004</v>
      </c>
      <c r="G1708" s="2">
        <v>-281.37505262812402</v>
      </c>
      <c r="H1708" s="1">
        <v>140.49973571356699</v>
      </c>
      <c r="I1708" s="1">
        <f t="shared" si="53"/>
        <v>162.95783781556671</v>
      </c>
    </row>
    <row r="1709" spans="1:9" x14ac:dyDescent="0.45">
      <c r="A1709" t="s">
        <v>14</v>
      </c>
      <c r="B1709" t="s">
        <v>32</v>
      </c>
      <c r="C1709" t="str">
        <f t="shared" si="52"/>
        <v>BaylorKentucky</v>
      </c>
      <c r="D1709" t="s">
        <v>32</v>
      </c>
      <c r="E1709">
        <v>22.1</v>
      </c>
      <c r="F1709" s="1">
        <v>8.2679245283018901</v>
      </c>
      <c r="G1709" s="2">
        <v>352.92027926311403</v>
      </c>
      <c r="H1709" s="1">
        <v>138.96265307474701</v>
      </c>
      <c r="I1709" s="1">
        <f t="shared" si="53"/>
        <v>141.37456056128195</v>
      </c>
    </row>
    <row r="1710" spans="1:9" x14ac:dyDescent="0.45">
      <c r="A1710" t="s">
        <v>15</v>
      </c>
      <c r="B1710" t="s">
        <v>32</v>
      </c>
      <c r="C1710" t="str">
        <f t="shared" si="52"/>
        <v>BryantKentucky</v>
      </c>
      <c r="D1710" t="s">
        <v>32</v>
      </c>
      <c r="E1710">
        <v>1.3</v>
      </c>
      <c r="F1710" s="1">
        <v>28.339622641509401</v>
      </c>
      <c r="G1710" s="2">
        <v>7540.2965267218497</v>
      </c>
      <c r="H1710" s="1">
        <v>138.55497295039299</v>
      </c>
      <c r="I1710" s="1">
        <f t="shared" si="53"/>
        <v>135.65003220296998</v>
      </c>
    </row>
    <row r="1711" spans="1:9" x14ac:dyDescent="0.45">
      <c r="A1711" t="s">
        <v>16</v>
      </c>
      <c r="B1711" t="s">
        <v>32</v>
      </c>
      <c r="C1711" t="str">
        <f t="shared" si="52"/>
        <v>BYUKentucky</v>
      </c>
      <c r="D1711" t="s">
        <v>32</v>
      </c>
      <c r="E1711">
        <v>25.1</v>
      </c>
      <c r="F1711" s="1">
        <v>7.1735849056603804</v>
      </c>
      <c r="G1711" s="2">
        <v>298.65299346336599</v>
      </c>
      <c r="H1711" s="1">
        <v>138.72501362483601</v>
      </c>
      <c r="I1711" s="1">
        <f t="shared" si="53"/>
        <v>138.03769499241287</v>
      </c>
    </row>
    <row r="1712" spans="1:9" x14ac:dyDescent="0.45">
      <c r="A1712" t="s">
        <v>17</v>
      </c>
      <c r="B1712" t="s">
        <v>32</v>
      </c>
      <c r="C1712" t="str">
        <f t="shared" si="52"/>
        <v>ClemsonKentucky</v>
      </c>
      <c r="D1712" t="s">
        <v>32</v>
      </c>
      <c r="E1712">
        <v>31.9</v>
      </c>
      <c r="F1712" s="1">
        <v>4.9698113207547197</v>
      </c>
      <c r="G1712" s="2">
        <v>213.36624113799999</v>
      </c>
      <c r="H1712" s="1">
        <v>139.07506384727799</v>
      </c>
      <c r="I1712" s="1">
        <f t="shared" si="53"/>
        <v>142.95300065853465</v>
      </c>
    </row>
    <row r="1713" spans="1:9" x14ac:dyDescent="0.45">
      <c r="A1713" t="s">
        <v>18</v>
      </c>
      <c r="B1713" t="s">
        <v>32</v>
      </c>
      <c r="C1713" t="str">
        <f t="shared" si="52"/>
        <v>Colorado St.Kentucky</v>
      </c>
      <c r="D1713" t="s">
        <v>32</v>
      </c>
      <c r="E1713">
        <v>7.2</v>
      </c>
      <c r="F1713" s="1">
        <v>16.7509433962264</v>
      </c>
      <c r="G1713" s="2">
        <v>1287.32914954583</v>
      </c>
      <c r="H1713" s="1">
        <v>138.464674822072</v>
      </c>
      <c r="I1713" s="1">
        <f t="shared" si="53"/>
        <v>134.38209156668043</v>
      </c>
    </row>
    <row r="1714" spans="1:9" x14ac:dyDescent="0.45">
      <c r="A1714" t="s">
        <v>19</v>
      </c>
      <c r="B1714" t="s">
        <v>32</v>
      </c>
      <c r="C1714" t="str">
        <f t="shared" si="52"/>
        <v>ConnecticutKentucky</v>
      </c>
      <c r="D1714" t="s">
        <v>32</v>
      </c>
      <c r="E1714">
        <v>42.2</v>
      </c>
      <c r="F1714" s="1">
        <v>2.0754716981132102</v>
      </c>
      <c r="G1714" s="2">
        <v>137.22693961776599</v>
      </c>
      <c r="H1714" s="1">
        <v>138.875314678027</v>
      </c>
      <c r="I1714" s="1">
        <f t="shared" si="53"/>
        <v>140.14817963435931</v>
      </c>
    </row>
    <row r="1715" spans="1:9" x14ac:dyDescent="0.45">
      <c r="A1715" t="s">
        <v>20</v>
      </c>
      <c r="B1715" t="s">
        <v>32</v>
      </c>
      <c r="C1715" t="str">
        <f t="shared" si="52"/>
        <v>CreightonKentucky</v>
      </c>
      <c r="D1715" t="s">
        <v>32</v>
      </c>
      <c r="E1715">
        <v>18.399999999999999</v>
      </c>
      <c r="F1715" s="1">
        <v>9.7811320754716995</v>
      </c>
      <c r="G1715" s="2">
        <v>444.70502610207598</v>
      </c>
      <c r="H1715" s="1">
        <v>138.42461143086501</v>
      </c>
      <c r="I1715" s="1">
        <f t="shared" si="53"/>
        <v>133.81953282173808</v>
      </c>
    </row>
    <row r="1716" spans="1:9" x14ac:dyDescent="0.45">
      <c r="A1716" t="s">
        <v>21</v>
      </c>
      <c r="B1716" t="s">
        <v>32</v>
      </c>
      <c r="C1716" t="str">
        <f t="shared" si="52"/>
        <v>DrakeKentucky</v>
      </c>
      <c r="D1716" t="s">
        <v>32</v>
      </c>
      <c r="E1716">
        <v>7</v>
      </c>
      <c r="F1716" s="1">
        <v>16.954716981132101</v>
      </c>
      <c r="G1716" s="2">
        <v>1328.1885481161601</v>
      </c>
      <c r="H1716" s="1">
        <v>138.65928723654</v>
      </c>
      <c r="I1716" s="1">
        <f t="shared" si="53"/>
        <v>137.11478374113187</v>
      </c>
    </row>
    <row r="1717" spans="1:9" x14ac:dyDescent="0.45">
      <c r="A1717" t="s">
        <v>22</v>
      </c>
      <c r="B1717" t="s">
        <v>32</v>
      </c>
      <c r="C1717" t="str">
        <f t="shared" si="52"/>
        <v>DukeKentucky</v>
      </c>
      <c r="D1717" t="s">
        <v>22</v>
      </c>
      <c r="E1717">
        <v>79.8</v>
      </c>
      <c r="F1717" s="1">
        <v>-8.9962264150943394</v>
      </c>
      <c r="G1717" s="2">
        <v>-394.45066686058402</v>
      </c>
      <c r="H1717" s="1">
        <v>140.73962712514299</v>
      </c>
      <c r="I1717" s="1">
        <f t="shared" si="53"/>
        <v>166.32632478965766</v>
      </c>
    </row>
    <row r="1718" spans="1:9" x14ac:dyDescent="0.45">
      <c r="A1718" t="s">
        <v>23</v>
      </c>
      <c r="B1718" t="s">
        <v>32</v>
      </c>
      <c r="C1718" t="str">
        <f t="shared" si="52"/>
        <v>FloridaKentucky</v>
      </c>
      <c r="D1718" t="s">
        <v>23</v>
      </c>
      <c r="E1718">
        <v>68.7</v>
      </c>
      <c r="F1718" s="1">
        <v>-5.1396226415094297</v>
      </c>
      <c r="G1718" s="2">
        <v>-219.008280021578</v>
      </c>
      <c r="H1718" s="1">
        <v>140.474277652697</v>
      </c>
      <c r="I1718" s="1">
        <f t="shared" si="53"/>
        <v>162.60036296533005</v>
      </c>
    </row>
    <row r="1719" spans="1:9" x14ac:dyDescent="0.45">
      <c r="A1719" t="s">
        <v>24</v>
      </c>
      <c r="B1719" t="s">
        <v>32</v>
      </c>
      <c r="C1719" t="str">
        <f t="shared" si="52"/>
        <v>GeorgiaKentucky</v>
      </c>
      <c r="D1719" t="s">
        <v>32</v>
      </c>
      <c r="E1719">
        <v>8.1</v>
      </c>
      <c r="F1719" s="1">
        <v>15.920754716981101</v>
      </c>
      <c r="G1719" s="2">
        <v>1134.6318842163801</v>
      </c>
      <c r="H1719" s="1">
        <v>137.73823594898201</v>
      </c>
      <c r="I1719" s="1">
        <f t="shared" si="53"/>
        <v>124.1816435164519</v>
      </c>
    </row>
    <row r="1720" spans="1:9" x14ac:dyDescent="0.45">
      <c r="A1720" t="s">
        <v>25</v>
      </c>
      <c r="B1720" t="s">
        <v>32</v>
      </c>
      <c r="C1720" t="str">
        <f t="shared" si="52"/>
        <v>GonzagaKentucky</v>
      </c>
      <c r="D1720" t="s">
        <v>32</v>
      </c>
      <c r="E1720">
        <v>30.8</v>
      </c>
      <c r="F1720" s="1">
        <v>5.2905660377358501</v>
      </c>
      <c r="G1720" s="2">
        <v>224.189950367455</v>
      </c>
      <c r="H1720" s="1">
        <v>139.715197679488</v>
      </c>
      <c r="I1720" s="1">
        <f t="shared" si="53"/>
        <v>151.94157787065069</v>
      </c>
    </row>
    <row r="1721" spans="1:9" x14ac:dyDescent="0.45">
      <c r="A1721" t="s">
        <v>26</v>
      </c>
      <c r="B1721" t="s">
        <v>32</v>
      </c>
      <c r="C1721" t="str">
        <f t="shared" si="52"/>
        <v>Grand CanyonKentucky</v>
      </c>
      <c r="D1721" t="s">
        <v>32</v>
      </c>
      <c r="E1721">
        <v>4.5999999999999996</v>
      </c>
      <c r="F1721" s="1">
        <v>19.841509433962301</v>
      </c>
      <c r="G1721" s="2">
        <v>2063.4548746340101</v>
      </c>
      <c r="H1721" s="1">
        <v>138.533169397027</v>
      </c>
      <c r="I1721" s="1">
        <f t="shared" si="53"/>
        <v>135.34387290772986</v>
      </c>
    </row>
    <row r="1722" spans="1:9" x14ac:dyDescent="0.45">
      <c r="A1722" t="s">
        <v>27</v>
      </c>
      <c r="B1722" t="s">
        <v>32</v>
      </c>
      <c r="C1722" t="str">
        <f t="shared" si="52"/>
        <v>High PointKentucky</v>
      </c>
      <c r="D1722" t="s">
        <v>32</v>
      </c>
      <c r="E1722">
        <v>2.9</v>
      </c>
      <c r="F1722" s="1">
        <v>22.932075471698099</v>
      </c>
      <c r="G1722" s="2">
        <v>3305.8035144462201</v>
      </c>
      <c r="H1722" s="1">
        <v>138.724376530575</v>
      </c>
      <c r="I1722" s="1">
        <f t="shared" si="53"/>
        <v>138.0287490959951</v>
      </c>
    </row>
    <row r="1723" spans="1:9" x14ac:dyDescent="0.45">
      <c r="A1723" t="s">
        <v>28</v>
      </c>
      <c r="B1723" t="s">
        <v>32</v>
      </c>
      <c r="C1723" t="str">
        <f t="shared" si="52"/>
        <v>HoustonKentucky</v>
      </c>
      <c r="D1723" t="s">
        <v>28</v>
      </c>
      <c r="E1723">
        <v>86.8</v>
      </c>
      <c r="F1723" s="1">
        <v>-12.3509433962264</v>
      </c>
      <c r="G1723" s="2">
        <v>-657.99539649024302</v>
      </c>
      <c r="H1723" s="1">
        <v>140.83783888777899</v>
      </c>
      <c r="I1723" s="1">
        <f t="shared" si="53"/>
        <v>167.70538642829021</v>
      </c>
    </row>
    <row r="1724" spans="1:9" x14ac:dyDescent="0.45">
      <c r="A1724" t="s">
        <v>29</v>
      </c>
      <c r="B1724" t="s">
        <v>32</v>
      </c>
      <c r="C1724" t="str">
        <f t="shared" si="52"/>
        <v>IllinoisKentucky</v>
      </c>
      <c r="D1724" t="s">
        <v>32</v>
      </c>
      <c r="E1724">
        <v>39.299999999999997</v>
      </c>
      <c r="F1724" s="1">
        <v>2.8377358490566</v>
      </c>
      <c r="G1724" s="2">
        <v>154.16675271536499</v>
      </c>
      <c r="H1724" s="1">
        <v>138.89630266274</v>
      </c>
      <c r="I1724" s="1">
        <f t="shared" si="53"/>
        <v>140.44288694652906</v>
      </c>
    </row>
    <row r="1725" spans="1:9" x14ac:dyDescent="0.45">
      <c r="A1725" t="s">
        <v>30</v>
      </c>
      <c r="B1725" t="s">
        <v>32</v>
      </c>
      <c r="C1725" t="str">
        <f t="shared" si="52"/>
        <v>Iowa St.Kentucky</v>
      </c>
      <c r="D1725" t="s">
        <v>30</v>
      </c>
      <c r="E1725">
        <v>57.7</v>
      </c>
      <c r="F1725" s="1">
        <v>-2.02264150943396</v>
      </c>
      <c r="G1725" s="2">
        <v>-136.16495112852999</v>
      </c>
      <c r="H1725" s="1">
        <v>139.792844954326</v>
      </c>
      <c r="I1725" s="1">
        <f t="shared" si="53"/>
        <v>153.03187882034769</v>
      </c>
    </row>
    <row r="1726" spans="1:9" x14ac:dyDescent="0.45">
      <c r="A1726" t="s">
        <v>31</v>
      </c>
      <c r="B1726" t="s">
        <v>32</v>
      </c>
      <c r="C1726" t="str">
        <f t="shared" si="52"/>
        <v>KansasKentucky</v>
      </c>
      <c r="D1726" t="s">
        <v>32</v>
      </c>
      <c r="E1726">
        <v>29.6</v>
      </c>
      <c r="F1726" s="1">
        <v>5.6943396226415102</v>
      </c>
      <c r="G1726" s="2">
        <v>238.30634255530401</v>
      </c>
      <c r="H1726" s="1">
        <v>138.84343284318001</v>
      </c>
      <c r="I1726" s="1">
        <f t="shared" si="53"/>
        <v>139.70050397691642</v>
      </c>
    </row>
    <row r="1727" spans="1:9" x14ac:dyDescent="0.45">
      <c r="A1727" t="s">
        <v>32</v>
      </c>
      <c r="B1727" t="s">
        <v>32</v>
      </c>
      <c r="C1727" t="str">
        <f t="shared" si="52"/>
        <v>KentuckyKentucky</v>
      </c>
      <c r="D1727" t="s">
        <v>32</v>
      </c>
      <c r="E1727">
        <v>41.2</v>
      </c>
      <c r="F1727" s="1">
        <v>2.3283018867924499</v>
      </c>
      <c r="G1727" s="2">
        <v>142.64273539779199</v>
      </c>
      <c r="H1727" s="1">
        <v>138.77771517530499</v>
      </c>
      <c r="I1727" s="1">
        <f t="shared" si="53"/>
        <v>138.77771517530684</v>
      </c>
    </row>
    <row r="1728" spans="1:9" x14ac:dyDescent="0.45">
      <c r="A1728" t="s">
        <v>33</v>
      </c>
      <c r="B1728" t="s">
        <v>32</v>
      </c>
      <c r="C1728" t="str">
        <f t="shared" si="52"/>
        <v>LibertyKentucky</v>
      </c>
      <c r="D1728" t="s">
        <v>32</v>
      </c>
      <c r="E1728">
        <v>2.1</v>
      </c>
      <c r="F1728" s="1">
        <v>25.313207547169799</v>
      </c>
      <c r="G1728" s="2">
        <v>4754.2013767311901</v>
      </c>
      <c r="H1728" s="1">
        <v>138.122716219023</v>
      </c>
      <c r="I1728" s="1">
        <f t="shared" si="53"/>
        <v>129.58040611874614</v>
      </c>
    </row>
    <row r="1729" spans="1:9" x14ac:dyDescent="0.45">
      <c r="A1729" t="s">
        <v>34</v>
      </c>
      <c r="B1729" t="s">
        <v>32</v>
      </c>
      <c r="C1729" t="str">
        <f t="shared" si="52"/>
        <v>LipscombKentucky</v>
      </c>
      <c r="D1729" t="s">
        <v>32</v>
      </c>
      <c r="E1729">
        <v>1.6</v>
      </c>
      <c r="F1729" s="1">
        <v>27.181132075471702</v>
      </c>
      <c r="G1729" s="2">
        <v>6319.4004109858997</v>
      </c>
      <c r="H1729" s="1">
        <v>138.52903441661499</v>
      </c>
      <c r="I1729" s="1">
        <f t="shared" si="53"/>
        <v>135.28581068880985</v>
      </c>
    </row>
    <row r="1730" spans="1:9" x14ac:dyDescent="0.45">
      <c r="A1730" t="s">
        <v>35</v>
      </c>
      <c r="B1730" t="s">
        <v>32</v>
      </c>
      <c r="C1730" t="str">
        <f t="shared" si="52"/>
        <v>LouisvilleKentucky</v>
      </c>
      <c r="D1730" t="s">
        <v>32</v>
      </c>
      <c r="E1730">
        <v>3.8</v>
      </c>
      <c r="F1730" s="1">
        <v>21.132075471698101</v>
      </c>
      <c r="G1730" s="2">
        <v>2511.5280853608001</v>
      </c>
      <c r="H1730" s="1">
        <v>137.77439642243201</v>
      </c>
      <c r="I1730" s="1">
        <f t="shared" si="53"/>
        <v>124.68939860027525</v>
      </c>
    </row>
    <row r="1731" spans="1:9" x14ac:dyDescent="0.45">
      <c r="A1731" t="s">
        <v>36</v>
      </c>
      <c r="B1731" t="s">
        <v>32</v>
      </c>
      <c r="C1731" t="str">
        <f t="shared" ref="C1731:C1794" si="54">A1731&amp;B1731</f>
        <v>MarquetteKentucky</v>
      </c>
      <c r="D1731" t="s">
        <v>32</v>
      </c>
      <c r="E1731">
        <v>35</v>
      </c>
      <c r="F1731" s="1">
        <v>4.0641509433962302</v>
      </c>
      <c r="G1731" s="2">
        <v>185.86376983989999</v>
      </c>
      <c r="H1731" s="1">
        <v>139.03653026589501</v>
      </c>
      <c r="I1731" s="1">
        <f t="shared" ref="I1731:I1794" si="55">18*(H1731-AVERAGE($H$2:$H$4625))/_xlfn.STDEV.P($H$2:$H$4625)+AVERAGE($H$2:$H$4625)</f>
        <v>142.41192306804945</v>
      </c>
    </row>
    <row r="1732" spans="1:9" x14ac:dyDescent="0.45">
      <c r="A1732" t="s">
        <v>37</v>
      </c>
      <c r="B1732" t="s">
        <v>32</v>
      </c>
      <c r="C1732" t="str">
        <f t="shared" si="54"/>
        <v>MarylandKentucky</v>
      </c>
      <c r="D1732" t="s">
        <v>32</v>
      </c>
      <c r="E1732">
        <v>24.9</v>
      </c>
      <c r="F1732" s="1">
        <v>7.2301886792452796</v>
      </c>
      <c r="G1732" s="2">
        <v>301.32042638578298</v>
      </c>
      <c r="H1732" s="1">
        <v>138.494899864437</v>
      </c>
      <c r="I1732" s="1">
        <f t="shared" si="55"/>
        <v>134.80650301529792</v>
      </c>
    </row>
    <row r="1733" spans="1:9" x14ac:dyDescent="0.45">
      <c r="A1733" t="s">
        <v>38</v>
      </c>
      <c r="B1733" t="s">
        <v>32</v>
      </c>
      <c r="C1733" t="str">
        <f t="shared" si="54"/>
        <v>McNeese St.Kentucky</v>
      </c>
      <c r="D1733" t="s">
        <v>32</v>
      </c>
      <c r="E1733">
        <v>7.2</v>
      </c>
      <c r="F1733" s="1">
        <v>16.769811320754702</v>
      </c>
      <c r="G1733" s="2">
        <v>1291.5114087377899</v>
      </c>
      <c r="H1733" s="1">
        <v>139.08813527740199</v>
      </c>
      <c r="I1733" s="1">
        <f t="shared" si="55"/>
        <v>143.13654596270445</v>
      </c>
    </row>
    <row r="1734" spans="1:9" x14ac:dyDescent="0.45">
      <c r="A1734" t="s">
        <v>39</v>
      </c>
      <c r="B1734" t="s">
        <v>32</v>
      </c>
      <c r="C1734" t="str">
        <f t="shared" si="54"/>
        <v>MemphisKentucky</v>
      </c>
      <c r="D1734" t="s">
        <v>32</v>
      </c>
      <c r="E1734">
        <v>15.7</v>
      </c>
      <c r="F1734" s="1">
        <v>10.9962264150943</v>
      </c>
      <c r="G1734" s="2">
        <v>535.09259381873301</v>
      </c>
      <c r="H1734" s="1">
        <v>137.62241710392701</v>
      </c>
      <c r="I1734" s="1">
        <f t="shared" si="55"/>
        <v>122.55534823410311</v>
      </c>
    </row>
    <row r="1735" spans="1:9" x14ac:dyDescent="0.45">
      <c r="A1735" t="s">
        <v>40</v>
      </c>
      <c r="B1735" t="s">
        <v>32</v>
      </c>
      <c r="C1735" t="str">
        <f t="shared" si="54"/>
        <v>MichiganKentucky</v>
      </c>
      <c r="D1735" t="s">
        <v>32</v>
      </c>
      <c r="E1735">
        <v>8.4</v>
      </c>
      <c r="F1735" s="1">
        <v>15.618867924528301</v>
      </c>
      <c r="G1735" s="2">
        <v>1083.4866738857099</v>
      </c>
      <c r="H1735" s="1">
        <v>137.18503840084401</v>
      </c>
      <c r="I1735" s="1">
        <f t="shared" si="55"/>
        <v>116.41380087981968</v>
      </c>
    </row>
    <row r="1736" spans="1:9" x14ac:dyDescent="0.45">
      <c r="A1736" t="s">
        <v>41</v>
      </c>
      <c r="B1736" t="s">
        <v>32</v>
      </c>
      <c r="C1736" t="str">
        <f t="shared" si="54"/>
        <v>Michigan St.Kentucky</v>
      </c>
      <c r="D1736" t="s">
        <v>32</v>
      </c>
      <c r="E1736">
        <v>46.7</v>
      </c>
      <c r="F1736" s="1">
        <v>0.87169811320754698</v>
      </c>
      <c r="G1736" s="2">
        <v>114.253215818123</v>
      </c>
      <c r="H1736" s="1">
        <v>138.832118110051</v>
      </c>
      <c r="I1736" s="1">
        <f t="shared" si="55"/>
        <v>139.54162571232993</v>
      </c>
    </row>
    <row r="1737" spans="1:9" x14ac:dyDescent="0.45">
      <c r="A1737" t="s">
        <v>42</v>
      </c>
      <c r="B1737" t="s">
        <v>32</v>
      </c>
      <c r="C1737" t="str">
        <f t="shared" si="54"/>
        <v>MississippiKentucky</v>
      </c>
      <c r="D1737" t="s">
        <v>32</v>
      </c>
      <c r="E1737">
        <v>19.3</v>
      </c>
      <c r="F1737" s="1">
        <v>9.3698113207547191</v>
      </c>
      <c r="G1737" s="2">
        <v>417.580151843789</v>
      </c>
      <c r="H1737" s="1">
        <v>138.09980945993999</v>
      </c>
      <c r="I1737" s="1">
        <f t="shared" si="55"/>
        <v>129.25875592258924</v>
      </c>
    </row>
    <row r="1738" spans="1:9" x14ac:dyDescent="0.45">
      <c r="A1738" t="s">
        <v>43</v>
      </c>
      <c r="B1738" t="s">
        <v>32</v>
      </c>
      <c r="C1738" t="str">
        <f t="shared" si="54"/>
        <v>Mississippi St.Kentucky</v>
      </c>
      <c r="D1738" t="s">
        <v>32</v>
      </c>
      <c r="E1738">
        <v>15.5</v>
      </c>
      <c r="F1738" s="1">
        <v>11.094339622641501</v>
      </c>
      <c r="G1738" s="2">
        <v>543.14672334911995</v>
      </c>
      <c r="H1738" s="1">
        <v>138.23955593261701</v>
      </c>
      <c r="I1738" s="1">
        <f t="shared" si="55"/>
        <v>131.22103614677548</v>
      </c>
    </row>
    <row r="1739" spans="1:9" x14ac:dyDescent="0.45">
      <c r="A1739" t="s">
        <v>44</v>
      </c>
      <c r="B1739" t="s">
        <v>32</v>
      </c>
      <c r="C1739" t="str">
        <f t="shared" si="54"/>
        <v>MissouriKentucky</v>
      </c>
      <c r="D1739" t="s">
        <v>32</v>
      </c>
      <c r="E1739">
        <v>8</v>
      </c>
      <c r="F1739" s="1">
        <v>16.026415094339601</v>
      </c>
      <c r="G1739" s="2">
        <v>1152.9101052476799</v>
      </c>
      <c r="H1739" s="1">
        <v>137.65721783126301</v>
      </c>
      <c r="I1739" s="1">
        <f t="shared" si="55"/>
        <v>123.04401014971774</v>
      </c>
    </row>
    <row r="1740" spans="1:9" x14ac:dyDescent="0.45">
      <c r="A1740" t="s">
        <v>45</v>
      </c>
      <c r="B1740" t="s">
        <v>32</v>
      </c>
      <c r="C1740" t="str">
        <f t="shared" si="54"/>
        <v>MontanaKentucky</v>
      </c>
      <c r="D1740" t="s">
        <v>32</v>
      </c>
      <c r="E1740">
        <v>0.8</v>
      </c>
      <c r="F1740" s="1">
        <v>31.833962264150902</v>
      </c>
      <c r="G1740" s="2">
        <v>12851.126198969099</v>
      </c>
      <c r="H1740" s="1">
        <v>136.79392939466899</v>
      </c>
      <c r="I1740" s="1">
        <f t="shared" si="55"/>
        <v>110.92195945000327</v>
      </c>
    </row>
    <row r="1741" spans="1:9" x14ac:dyDescent="0.45">
      <c r="A1741" t="s">
        <v>46</v>
      </c>
      <c r="B1741" t="s">
        <v>32</v>
      </c>
      <c r="C1741" t="str">
        <f t="shared" si="54"/>
        <v>Mount St. Mary'sKentucky</v>
      </c>
      <c r="D1741" t="s">
        <v>32</v>
      </c>
      <c r="E1741">
        <v>0.3</v>
      </c>
      <c r="F1741" s="1">
        <v>38.166037735849102</v>
      </c>
      <c r="G1741" s="2">
        <v>33772.664592331799</v>
      </c>
      <c r="H1741" s="1">
        <v>138.09721734882001</v>
      </c>
      <c r="I1741" s="1">
        <f t="shared" si="55"/>
        <v>129.22235823546202</v>
      </c>
    </row>
    <row r="1742" spans="1:9" x14ac:dyDescent="0.45">
      <c r="A1742" t="s">
        <v>47</v>
      </c>
      <c r="B1742" t="s">
        <v>32</v>
      </c>
      <c r="C1742" t="str">
        <f t="shared" si="54"/>
        <v>Nebraska OmahaKentucky</v>
      </c>
      <c r="D1742" t="s">
        <v>32</v>
      </c>
      <c r="E1742">
        <v>0.4</v>
      </c>
      <c r="F1742" s="1">
        <v>35.977358490565997</v>
      </c>
      <c r="G1742" s="2">
        <v>24180.362402011699</v>
      </c>
      <c r="H1742" s="1">
        <v>137.51499348092301</v>
      </c>
      <c r="I1742" s="1">
        <f t="shared" si="55"/>
        <v>121.04693627211844</v>
      </c>
    </row>
    <row r="1743" spans="1:9" x14ac:dyDescent="0.45">
      <c r="A1743" t="s">
        <v>48</v>
      </c>
      <c r="B1743" t="s">
        <v>32</v>
      </c>
      <c r="C1743" t="str">
        <f t="shared" si="54"/>
        <v>New MexicoKentucky</v>
      </c>
      <c r="D1743" t="s">
        <v>32</v>
      </c>
      <c r="E1743">
        <v>9</v>
      </c>
      <c r="F1743" s="1">
        <v>15.147169811320801</v>
      </c>
      <c r="G1743" s="2">
        <v>1007.81220111853</v>
      </c>
      <c r="H1743" s="1">
        <v>138.28498341273999</v>
      </c>
      <c r="I1743" s="1">
        <f t="shared" si="55"/>
        <v>131.85891590268145</v>
      </c>
    </row>
    <row r="1744" spans="1:9" x14ac:dyDescent="0.45">
      <c r="A1744" t="s">
        <v>49</v>
      </c>
      <c r="B1744" t="s">
        <v>32</v>
      </c>
      <c r="C1744" t="str">
        <f t="shared" si="54"/>
        <v>Norfolk St.Kentucky</v>
      </c>
      <c r="D1744" t="s">
        <v>32</v>
      </c>
      <c r="E1744">
        <v>0.6</v>
      </c>
      <c r="F1744" s="1">
        <v>33.713207547169802</v>
      </c>
      <c r="G1744" s="2">
        <v>17116.303125016799</v>
      </c>
      <c r="H1744" s="1">
        <v>137.321109176704</v>
      </c>
      <c r="I1744" s="1">
        <f t="shared" si="55"/>
        <v>118.32446801470219</v>
      </c>
    </row>
    <row r="1745" spans="1:9" x14ac:dyDescent="0.45">
      <c r="A1745" t="s">
        <v>50</v>
      </c>
      <c r="B1745" t="s">
        <v>32</v>
      </c>
      <c r="C1745" t="str">
        <f t="shared" si="54"/>
        <v>North CarolinaKentucky</v>
      </c>
      <c r="D1745" t="s">
        <v>32</v>
      </c>
      <c r="E1745">
        <v>25.3</v>
      </c>
      <c r="F1745" s="1">
        <v>7.0943396226415096</v>
      </c>
      <c r="G1745" s="2">
        <v>295.13628562003697</v>
      </c>
      <c r="H1745" s="1">
        <v>139.394715131174</v>
      </c>
      <c r="I1745" s="1">
        <f t="shared" si="55"/>
        <v>147.44145307532344</v>
      </c>
    </row>
    <row r="1746" spans="1:9" x14ac:dyDescent="0.45">
      <c r="A1746" t="s">
        <v>51</v>
      </c>
      <c r="B1746" t="s">
        <v>32</v>
      </c>
      <c r="C1746" t="str">
        <f t="shared" si="54"/>
        <v>OklahomaKentucky</v>
      </c>
      <c r="D1746" t="s">
        <v>32</v>
      </c>
      <c r="E1746">
        <v>10.6</v>
      </c>
      <c r="F1746" s="1">
        <v>13.977358490566001</v>
      </c>
      <c r="G1746" s="2">
        <v>843.33442212044895</v>
      </c>
      <c r="H1746" s="1">
        <v>137.81833825734799</v>
      </c>
      <c r="I1746" s="1">
        <f t="shared" si="55"/>
        <v>125.30641734871534</v>
      </c>
    </row>
    <row r="1747" spans="1:9" x14ac:dyDescent="0.45">
      <c r="A1747" t="s">
        <v>52</v>
      </c>
      <c r="B1747" t="s">
        <v>32</v>
      </c>
      <c r="C1747" t="str">
        <f t="shared" si="54"/>
        <v>OregonKentucky</v>
      </c>
      <c r="D1747" t="s">
        <v>32</v>
      </c>
      <c r="E1747">
        <v>25</v>
      </c>
      <c r="F1747" s="1">
        <v>7.2113207547169802</v>
      </c>
      <c r="G1747" s="2">
        <v>300.42327856396298</v>
      </c>
      <c r="H1747" s="1">
        <v>138.10905564887699</v>
      </c>
      <c r="I1747" s="1">
        <f t="shared" si="55"/>
        <v>129.38858827794391</v>
      </c>
    </row>
    <row r="1748" spans="1:9" x14ac:dyDescent="0.45">
      <c r="A1748" t="s">
        <v>53</v>
      </c>
      <c r="B1748" t="s">
        <v>32</v>
      </c>
      <c r="C1748" t="str">
        <f t="shared" si="54"/>
        <v>PurdueKentucky</v>
      </c>
      <c r="D1748" t="s">
        <v>53</v>
      </c>
      <c r="E1748">
        <v>65.400000000000006</v>
      </c>
      <c r="F1748" s="1">
        <v>-4.1622641509434004</v>
      </c>
      <c r="G1748" s="2">
        <v>-188.65400898913799</v>
      </c>
      <c r="H1748" s="1">
        <v>139.59714284867499</v>
      </c>
      <c r="I1748" s="1">
        <f t="shared" si="55"/>
        <v>150.2838855122223</v>
      </c>
    </row>
    <row r="1749" spans="1:9" x14ac:dyDescent="0.45">
      <c r="A1749" t="s">
        <v>54</v>
      </c>
      <c r="B1749" t="s">
        <v>32</v>
      </c>
      <c r="C1749" t="str">
        <f t="shared" si="54"/>
        <v>Robert MorrisKentucky</v>
      </c>
      <c r="D1749" t="s">
        <v>32</v>
      </c>
      <c r="E1749">
        <v>0.2</v>
      </c>
      <c r="F1749" s="1">
        <v>39.728301886792501</v>
      </c>
      <c r="G1749" s="2">
        <v>42851.779536104797</v>
      </c>
      <c r="H1749" s="1">
        <v>136.680108177362</v>
      </c>
      <c r="I1749" s="1">
        <f t="shared" si="55"/>
        <v>109.3237142883489</v>
      </c>
    </row>
    <row r="1750" spans="1:9" x14ac:dyDescent="0.45">
      <c r="A1750" t="s">
        <v>55</v>
      </c>
      <c r="B1750" t="s">
        <v>32</v>
      </c>
      <c r="C1750" t="str">
        <f t="shared" si="54"/>
        <v>Saint FrancisKentucky</v>
      </c>
      <c r="D1750" t="s">
        <v>32</v>
      </c>
      <c r="E1750">
        <v>0.1</v>
      </c>
      <c r="F1750" s="1">
        <v>43.090566037735897</v>
      </c>
      <c r="G1750" s="2">
        <v>71573.302444953893</v>
      </c>
      <c r="H1750" s="1">
        <v>137.386956059406</v>
      </c>
      <c r="I1750" s="1">
        <f t="shared" si="55"/>
        <v>119.24907121416243</v>
      </c>
    </row>
    <row r="1751" spans="1:9" x14ac:dyDescent="0.45">
      <c r="A1751" t="s">
        <v>56</v>
      </c>
      <c r="B1751" t="s">
        <v>32</v>
      </c>
      <c r="C1751" t="str">
        <f t="shared" si="54"/>
        <v>Saint Mary'sKentucky</v>
      </c>
      <c r="D1751" t="s">
        <v>32</v>
      </c>
      <c r="E1751">
        <v>24.6</v>
      </c>
      <c r="F1751" s="1">
        <v>7.3547169811320803</v>
      </c>
      <c r="G1751" s="2">
        <v>307.10499584919199</v>
      </c>
      <c r="H1751" s="1">
        <v>139.116162175347</v>
      </c>
      <c r="I1751" s="1">
        <f t="shared" si="55"/>
        <v>143.5300916925483</v>
      </c>
    </row>
    <row r="1752" spans="1:9" x14ac:dyDescent="0.45">
      <c r="A1752" t="s">
        <v>57</v>
      </c>
      <c r="B1752" t="s">
        <v>32</v>
      </c>
      <c r="C1752" t="str">
        <f t="shared" si="54"/>
        <v>San Diego St.Kentucky</v>
      </c>
      <c r="D1752" t="s">
        <v>32</v>
      </c>
      <c r="E1752">
        <v>9.1999999999999993</v>
      </c>
      <c r="F1752" s="1">
        <v>15.030188679245301</v>
      </c>
      <c r="G1752" s="2">
        <v>990.11684082325905</v>
      </c>
      <c r="H1752" s="1">
        <v>138.330861338376</v>
      </c>
      <c r="I1752" s="1">
        <f t="shared" si="55"/>
        <v>132.50312068637061</v>
      </c>
    </row>
    <row r="1753" spans="1:9" x14ac:dyDescent="0.45">
      <c r="A1753" t="s">
        <v>58</v>
      </c>
      <c r="B1753" t="s">
        <v>32</v>
      </c>
      <c r="C1753" t="str">
        <f t="shared" si="54"/>
        <v>SIU EdwardsvilleKentucky</v>
      </c>
      <c r="D1753" t="s">
        <v>32</v>
      </c>
      <c r="E1753">
        <v>0.5</v>
      </c>
      <c r="F1753" s="1">
        <v>35.003773584905701</v>
      </c>
      <c r="G1753" s="2">
        <v>20843.311875359301</v>
      </c>
      <c r="H1753" s="1">
        <v>138.39011951856</v>
      </c>
      <c r="I1753" s="1">
        <f t="shared" si="55"/>
        <v>133.33520719895887</v>
      </c>
    </row>
    <row r="1754" spans="1:9" x14ac:dyDescent="0.45">
      <c r="A1754" t="s">
        <v>59</v>
      </c>
      <c r="B1754" t="s">
        <v>32</v>
      </c>
      <c r="C1754" t="str">
        <f t="shared" si="54"/>
        <v>St. John'sKentucky</v>
      </c>
      <c r="D1754" t="s">
        <v>32</v>
      </c>
      <c r="E1754">
        <v>48.6</v>
      </c>
      <c r="F1754" s="1">
        <v>0.373584905660377</v>
      </c>
      <c r="G1754" s="2">
        <v>105.836929575984</v>
      </c>
      <c r="H1754" s="1">
        <v>139.20957596711401</v>
      </c>
      <c r="I1754" s="1">
        <f t="shared" si="55"/>
        <v>144.84178158882423</v>
      </c>
    </row>
    <row r="1755" spans="1:9" x14ac:dyDescent="0.45">
      <c r="A1755" t="s">
        <v>60</v>
      </c>
      <c r="B1755" t="s">
        <v>32</v>
      </c>
      <c r="C1755" t="str">
        <f t="shared" si="54"/>
        <v>TennesseeKentucky</v>
      </c>
      <c r="D1755" t="s">
        <v>60</v>
      </c>
      <c r="E1755">
        <v>67.7</v>
      </c>
      <c r="F1755" s="1">
        <v>-4.8452830188679199</v>
      </c>
      <c r="G1755" s="2">
        <v>-209.37279971774799</v>
      </c>
      <c r="H1755" s="1">
        <v>140.00280834124899</v>
      </c>
      <c r="I1755" s="1">
        <f t="shared" si="55"/>
        <v>155.98012498405859</v>
      </c>
    </row>
    <row r="1756" spans="1:9" x14ac:dyDescent="0.45">
      <c r="A1756" t="s">
        <v>61</v>
      </c>
      <c r="B1756" t="s">
        <v>32</v>
      </c>
      <c r="C1756" t="str">
        <f t="shared" si="54"/>
        <v>TexasKentucky</v>
      </c>
      <c r="D1756" t="s">
        <v>32</v>
      </c>
      <c r="E1756">
        <v>7.7</v>
      </c>
      <c r="F1756" s="1">
        <v>16.252830188679201</v>
      </c>
      <c r="G1756" s="2">
        <v>1193.2310973218</v>
      </c>
      <c r="H1756" s="1">
        <v>137.70269016888699</v>
      </c>
      <c r="I1756" s="1">
        <f t="shared" si="55"/>
        <v>123.68251978189483</v>
      </c>
    </row>
    <row r="1757" spans="1:9" x14ac:dyDescent="0.45">
      <c r="A1757" t="s">
        <v>62</v>
      </c>
      <c r="B1757" t="s">
        <v>32</v>
      </c>
      <c r="C1757" t="str">
        <f t="shared" si="54"/>
        <v>Texas A&amp;MKentucky</v>
      </c>
      <c r="D1757" t="s">
        <v>32</v>
      </c>
      <c r="E1757">
        <v>32.299999999999997</v>
      </c>
      <c r="F1757" s="1">
        <v>4.8490566037735796</v>
      </c>
      <c r="G1757" s="2">
        <v>209.589867933855</v>
      </c>
      <c r="H1757" s="1">
        <v>138.489665478284</v>
      </c>
      <c r="I1757" s="1">
        <f t="shared" si="55"/>
        <v>134.73300325364355</v>
      </c>
    </row>
    <row r="1758" spans="1:9" x14ac:dyDescent="0.45">
      <c r="A1758" t="s">
        <v>63</v>
      </c>
      <c r="B1758" t="s">
        <v>32</v>
      </c>
      <c r="C1758" t="str">
        <f t="shared" si="54"/>
        <v>Texas TechKentucky</v>
      </c>
      <c r="D1758" t="s">
        <v>32</v>
      </c>
      <c r="E1758">
        <v>48</v>
      </c>
      <c r="F1758" s="1">
        <v>0.51698113207547203</v>
      </c>
      <c r="G1758" s="2">
        <v>108.206871923875</v>
      </c>
      <c r="H1758" s="1">
        <v>139.48017808352401</v>
      </c>
      <c r="I1758" s="1">
        <f t="shared" si="55"/>
        <v>148.64149954579568</v>
      </c>
    </row>
    <row r="1759" spans="1:9" x14ac:dyDescent="0.45">
      <c r="A1759" t="s">
        <v>64</v>
      </c>
      <c r="B1759" t="s">
        <v>32</v>
      </c>
      <c r="C1759" t="str">
        <f t="shared" si="54"/>
        <v>TroyKentucky</v>
      </c>
      <c r="D1759" t="s">
        <v>32</v>
      </c>
      <c r="E1759">
        <v>1.3</v>
      </c>
      <c r="F1759" s="1">
        <v>28.324528301886801</v>
      </c>
      <c r="G1759" s="2">
        <v>7526.5526935410699</v>
      </c>
      <c r="H1759" s="1">
        <v>138.246482678083</v>
      </c>
      <c r="I1759" s="1">
        <f t="shared" si="55"/>
        <v>131.31829953658064</v>
      </c>
    </row>
    <row r="1760" spans="1:9" x14ac:dyDescent="0.45">
      <c r="A1760" t="s">
        <v>65</v>
      </c>
      <c r="B1760" t="s">
        <v>32</v>
      </c>
      <c r="C1760" t="str">
        <f t="shared" si="54"/>
        <v>UC San DiegoKentucky</v>
      </c>
      <c r="D1760" t="s">
        <v>32</v>
      </c>
      <c r="E1760">
        <v>3.3</v>
      </c>
      <c r="F1760" s="1">
        <v>22.143396226415099</v>
      </c>
      <c r="G1760" s="2">
        <v>2931.3534974334202</v>
      </c>
      <c r="H1760" s="1">
        <v>138.31660290774499</v>
      </c>
      <c r="I1760" s="1">
        <f t="shared" si="55"/>
        <v>132.30290785867504</v>
      </c>
    </row>
    <row r="1761" spans="1:9" x14ac:dyDescent="0.45">
      <c r="A1761" t="s">
        <v>66</v>
      </c>
      <c r="B1761" t="s">
        <v>32</v>
      </c>
      <c r="C1761" t="str">
        <f t="shared" si="54"/>
        <v>UCLAKentucky</v>
      </c>
      <c r="D1761" t="s">
        <v>32</v>
      </c>
      <c r="E1761">
        <v>10.5</v>
      </c>
      <c r="F1761" s="1">
        <v>14.045283018867901</v>
      </c>
      <c r="G1761" s="2">
        <v>851.87670503004199</v>
      </c>
      <c r="H1761" s="1">
        <v>137.53786148695801</v>
      </c>
      <c r="I1761" s="1">
        <f t="shared" si="55"/>
        <v>121.36804230899679</v>
      </c>
    </row>
    <row r="1762" spans="1:9" x14ac:dyDescent="0.45">
      <c r="A1762" t="s">
        <v>67</v>
      </c>
      <c r="B1762" t="s">
        <v>32</v>
      </c>
      <c r="C1762" t="str">
        <f t="shared" si="54"/>
        <v>UNC WilmingtonKentucky</v>
      </c>
      <c r="D1762" t="s">
        <v>32</v>
      </c>
      <c r="E1762">
        <v>1.9</v>
      </c>
      <c r="F1762" s="1">
        <v>25.735849056603801</v>
      </c>
      <c r="G1762" s="2">
        <v>5070.2711332181098</v>
      </c>
      <c r="H1762" s="1">
        <v>138.85327137841</v>
      </c>
      <c r="I1762" s="1">
        <f t="shared" si="55"/>
        <v>139.83865389044865</v>
      </c>
    </row>
    <row r="1763" spans="1:9" x14ac:dyDescent="0.45">
      <c r="A1763" t="s">
        <v>68</v>
      </c>
      <c r="B1763" t="s">
        <v>32</v>
      </c>
      <c r="C1763" t="str">
        <f t="shared" si="54"/>
        <v>Utah St.Kentucky</v>
      </c>
      <c r="D1763" t="s">
        <v>32</v>
      </c>
      <c r="E1763">
        <v>10</v>
      </c>
      <c r="F1763" s="1">
        <v>14.4075471698113</v>
      </c>
      <c r="G1763" s="2">
        <v>900.72661475997199</v>
      </c>
      <c r="H1763" s="1">
        <v>138.40045787698901</v>
      </c>
      <c r="I1763" s="1">
        <f t="shared" si="55"/>
        <v>133.48037548769759</v>
      </c>
    </row>
    <row r="1764" spans="1:9" x14ac:dyDescent="0.45">
      <c r="A1764" t="s">
        <v>69</v>
      </c>
      <c r="B1764" t="s">
        <v>32</v>
      </c>
      <c r="C1764" t="str">
        <f t="shared" si="54"/>
        <v>VanderbiltKentucky</v>
      </c>
      <c r="D1764" t="s">
        <v>32</v>
      </c>
      <c r="E1764">
        <v>2.1</v>
      </c>
      <c r="F1764" s="1">
        <v>25.0566037735849</v>
      </c>
      <c r="G1764" s="2">
        <v>4571.0078179225302</v>
      </c>
      <c r="H1764" s="1">
        <v>136.834495758272</v>
      </c>
      <c r="I1764" s="1">
        <f t="shared" si="55"/>
        <v>111.49158079028069</v>
      </c>
    </row>
    <row r="1765" spans="1:9" x14ac:dyDescent="0.45">
      <c r="A1765" t="s">
        <v>70</v>
      </c>
      <c r="B1765" t="s">
        <v>32</v>
      </c>
      <c r="C1765" t="str">
        <f t="shared" si="54"/>
        <v>VCUKentucky</v>
      </c>
      <c r="D1765" t="s">
        <v>32</v>
      </c>
      <c r="E1765">
        <v>6.6</v>
      </c>
      <c r="F1765" s="1">
        <v>17.411320754717</v>
      </c>
      <c r="G1765" s="2">
        <v>1423.9351610102501</v>
      </c>
      <c r="H1765" s="1">
        <v>138.75966888746501</v>
      </c>
      <c r="I1765" s="1">
        <f t="shared" si="55"/>
        <v>138.52431433398323</v>
      </c>
    </row>
    <row r="1766" spans="1:9" x14ac:dyDescent="0.45">
      <c r="A1766" t="s">
        <v>71</v>
      </c>
      <c r="B1766" t="s">
        <v>32</v>
      </c>
      <c r="C1766" t="str">
        <f t="shared" si="54"/>
        <v>WisconsinKentucky</v>
      </c>
      <c r="D1766" t="s">
        <v>32</v>
      </c>
      <c r="E1766">
        <v>44.5</v>
      </c>
      <c r="F1766" s="1">
        <v>1.45660377358491</v>
      </c>
      <c r="G1766" s="2">
        <v>124.912118870347</v>
      </c>
      <c r="H1766" s="1">
        <v>139.412924495797</v>
      </c>
      <c r="I1766" s="1">
        <f t="shared" si="55"/>
        <v>147.69714379445378</v>
      </c>
    </row>
    <row r="1767" spans="1:9" x14ac:dyDescent="0.45">
      <c r="A1767" t="s">
        <v>80</v>
      </c>
      <c r="B1767" t="s">
        <v>32</v>
      </c>
      <c r="C1767" t="str">
        <f t="shared" si="54"/>
        <v>WoffordKentucky</v>
      </c>
      <c r="D1767" t="s">
        <v>32</v>
      </c>
      <c r="E1767">
        <v>0.7</v>
      </c>
      <c r="F1767" s="1">
        <v>32.633962264150902</v>
      </c>
      <c r="G1767" s="2">
        <v>14517.460693135999</v>
      </c>
      <c r="H1767" s="1">
        <v>137.51057292502401</v>
      </c>
      <c r="I1767" s="1">
        <f t="shared" si="55"/>
        <v>120.98486408343021</v>
      </c>
    </row>
    <row r="1768" spans="1:9" x14ac:dyDescent="0.45">
      <c r="A1768" t="s">
        <v>72</v>
      </c>
      <c r="B1768" t="s">
        <v>32</v>
      </c>
      <c r="C1768" t="str">
        <f t="shared" si="54"/>
        <v>XavierKentucky</v>
      </c>
      <c r="D1768" t="s">
        <v>32</v>
      </c>
      <c r="E1768">
        <v>6.5</v>
      </c>
      <c r="F1768" s="1">
        <v>17.4830188679245</v>
      </c>
      <c r="G1768" s="2">
        <v>1439.9128237129</v>
      </c>
      <c r="H1768" s="1">
        <v>138.253375095645</v>
      </c>
      <c r="I1768" s="1">
        <f t="shared" si="55"/>
        <v>131.41508090372116</v>
      </c>
    </row>
    <row r="1769" spans="1:9" x14ac:dyDescent="0.45">
      <c r="A1769" t="s">
        <v>73</v>
      </c>
      <c r="B1769" t="s">
        <v>32</v>
      </c>
      <c r="C1769" t="str">
        <f t="shared" si="54"/>
        <v>YaleKentucky</v>
      </c>
      <c r="D1769" t="s">
        <v>32</v>
      </c>
      <c r="E1769">
        <v>3.5</v>
      </c>
      <c r="F1769" s="1">
        <v>21.735849056603801</v>
      </c>
      <c r="G1769" s="2">
        <v>2753.47850781855</v>
      </c>
      <c r="H1769" s="1">
        <v>138.85308123203899</v>
      </c>
      <c r="I1769" s="1">
        <f t="shared" si="55"/>
        <v>139.83598390918624</v>
      </c>
    </row>
    <row r="1770" spans="1:9" x14ac:dyDescent="0.45">
      <c r="A1770" t="s">
        <v>7</v>
      </c>
      <c r="B1770" t="s">
        <v>33</v>
      </c>
      <c r="C1770" t="str">
        <f t="shared" si="54"/>
        <v>AkronLiberty</v>
      </c>
      <c r="D1770" t="s">
        <v>33</v>
      </c>
      <c r="E1770">
        <v>38.700000000000003</v>
      </c>
      <c r="F1770" s="1">
        <v>3.01132075471698</v>
      </c>
      <c r="G1770" s="2">
        <v>158.31706254365599</v>
      </c>
      <c r="H1770" s="1">
        <v>138.32490724890101</v>
      </c>
      <c r="I1770" s="1">
        <f t="shared" si="55"/>
        <v>132.41951505535911</v>
      </c>
    </row>
    <row r="1771" spans="1:9" x14ac:dyDescent="0.45">
      <c r="A1771" t="s">
        <v>8</v>
      </c>
      <c r="B1771" t="s">
        <v>33</v>
      </c>
      <c r="C1771" t="str">
        <f t="shared" si="54"/>
        <v>AlabamaLiberty</v>
      </c>
      <c r="D1771" t="s">
        <v>8</v>
      </c>
      <c r="E1771">
        <v>97.9</v>
      </c>
      <c r="F1771" s="1">
        <v>-25.328301886792499</v>
      </c>
      <c r="G1771" s="2">
        <v>-4764.3425711422096</v>
      </c>
      <c r="H1771" s="1">
        <v>140.13251843649601</v>
      </c>
      <c r="I1771" s="1">
        <f t="shared" si="55"/>
        <v>157.80147725080812</v>
      </c>
    </row>
    <row r="1772" spans="1:9" x14ac:dyDescent="0.45">
      <c r="A1772" t="s">
        <v>9</v>
      </c>
      <c r="B1772" t="s">
        <v>33</v>
      </c>
      <c r="C1772" t="str">
        <f t="shared" si="54"/>
        <v>Alabama St.Liberty</v>
      </c>
      <c r="D1772" t="s">
        <v>33</v>
      </c>
      <c r="E1772">
        <v>8.8000000000000007</v>
      </c>
      <c r="F1772" s="1">
        <v>15.3283018867925</v>
      </c>
      <c r="G1772" s="2">
        <v>1036.6148852781801</v>
      </c>
      <c r="H1772" s="1">
        <v>138.511669008323</v>
      </c>
      <c r="I1772" s="1">
        <f t="shared" si="55"/>
        <v>135.04197056445082</v>
      </c>
    </row>
    <row r="1773" spans="1:9" x14ac:dyDescent="0.45">
      <c r="A1773" t="s">
        <v>10</v>
      </c>
      <c r="B1773" t="s">
        <v>33</v>
      </c>
      <c r="C1773" t="str">
        <f t="shared" si="54"/>
        <v>AmericanLiberty</v>
      </c>
      <c r="D1773" t="s">
        <v>33</v>
      </c>
      <c r="E1773">
        <v>9.8000000000000007</v>
      </c>
      <c r="F1773" s="1">
        <v>14.5735849056604</v>
      </c>
      <c r="G1773" s="2">
        <v>923.57287785915196</v>
      </c>
      <c r="H1773" s="1">
        <v>138.274958528084</v>
      </c>
      <c r="I1773" s="1">
        <f t="shared" si="55"/>
        <v>131.71814932350873</v>
      </c>
    </row>
    <row r="1774" spans="1:9" x14ac:dyDescent="0.45">
      <c r="A1774" t="s">
        <v>11</v>
      </c>
      <c r="B1774" t="s">
        <v>33</v>
      </c>
      <c r="C1774" t="str">
        <f t="shared" si="54"/>
        <v>ArizonaLiberty</v>
      </c>
      <c r="D1774" t="s">
        <v>11</v>
      </c>
      <c r="E1774">
        <v>96.9</v>
      </c>
      <c r="F1774" s="1">
        <v>-22.5735849056604</v>
      </c>
      <c r="G1774" s="2">
        <v>-3129.3115155412502</v>
      </c>
      <c r="H1774" s="1">
        <v>139.74299777667301</v>
      </c>
      <c r="I1774" s="1">
        <f t="shared" si="55"/>
        <v>152.33193892872674</v>
      </c>
    </row>
    <row r="1775" spans="1:9" x14ac:dyDescent="0.45">
      <c r="A1775" t="s">
        <v>12</v>
      </c>
      <c r="B1775" t="s">
        <v>33</v>
      </c>
      <c r="C1775" t="str">
        <f t="shared" si="54"/>
        <v>ArkansasLiberty</v>
      </c>
      <c r="D1775" t="s">
        <v>12</v>
      </c>
      <c r="E1775">
        <v>67.099999999999994</v>
      </c>
      <c r="F1775" s="1">
        <v>-4.6716981132075501</v>
      </c>
      <c r="G1775" s="2">
        <v>-203.961968219032</v>
      </c>
      <c r="H1775" s="1">
        <v>138.06892175446299</v>
      </c>
      <c r="I1775" s="1">
        <f t="shared" si="55"/>
        <v>128.82503954702042</v>
      </c>
    </row>
    <row r="1776" spans="1:9" x14ac:dyDescent="0.45">
      <c r="A1776" t="s">
        <v>13</v>
      </c>
      <c r="B1776" t="s">
        <v>33</v>
      </c>
      <c r="C1776" t="str">
        <f t="shared" si="54"/>
        <v>AuburnLiberty</v>
      </c>
      <c r="D1776" t="s">
        <v>13</v>
      </c>
      <c r="E1776">
        <v>98.9</v>
      </c>
      <c r="F1776" s="1">
        <v>-29.7660377358491</v>
      </c>
      <c r="G1776" s="2">
        <v>-9378.0707363182792</v>
      </c>
      <c r="H1776" s="1">
        <v>141.15473466984901</v>
      </c>
      <c r="I1776" s="1">
        <f t="shared" si="55"/>
        <v>172.1551468721278</v>
      </c>
    </row>
    <row r="1777" spans="1:9" x14ac:dyDescent="0.45">
      <c r="A1777" t="s">
        <v>14</v>
      </c>
      <c r="B1777" t="s">
        <v>33</v>
      </c>
      <c r="C1777" t="str">
        <f t="shared" si="54"/>
        <v>BaylorLiberty</v>
      </c>
      <c r="D1777" t="s">
        <v>14</v>
      </c>
      <c r="E1777">
        <v>90.4</v>
      </c>
      <c r="F1777" s="1">
        <v>-14.7207547169811</v>
      </c>
      <c r="G1777" s="2">
        <v>-944.38982817451802</v>
      </c>
      <c r="H1777" s="1">
        <v>139.617652031029</v>
      </c>
      <c r="I1777" s="1">
        <f t="shared" si="55"/>
        <v>150.57186961784265</v>
      </c>
    </row>
    <row r="1778" spans="1:9" x14ac:dyDescent="0.45">
      <c r="A1778" t="s">
        <v>15</v>
      </c>
      <c r="B1778" t="s">
        <v>33</v>
      </c>
      <c r="C1778" t="str">
        <f t="shared" si="54"/>
        <v>BryantLiberty</v>
      </c>
      <c r="D1778" t="s">
        <v>33</v>
      </c>
      <c r="E1778">
        <v>30.7</v>
      </c>
      <c r="F1778" s="1">
        <v>5.3509433962264197</v>
      </c>
      <c r="G1778" s="2">
        <v>226.235373105207</v>
      </c>
      <c r="H1778" s="1">
        <v>139.20997190667501</v>
      </c>
      <c r="I1778" s="1">
        <f t="shared" si="55"/>
        <v>144.84734125953108</v>
      </c>
    </row>
    <row r="1779" spans="1:9" x14ac:dyDescent="0.45">
      <c r="A1779" t="s">
        <v>16</v>
      </c>
      <c r="B1779" t="s">
        <v>33</v>
      </c>
      <c r="C1779" t="str">
        <f t="shared" si="54"/>
        <v>BYULiberty</v>
      </c>
      <c r="D1779" t="s">
        <v>16</v>
      </c>
      <c r="E1779">
        <v>91.8</v>
      </c>
      <c r="F1779" s="1">
        <v>-15.8150943396226</v>
      </c>
      <c r="G1779" s="2">
        <v>-1115.99190092658</v>
      </c>
      <c r="H1779" s="1">
        <v>139.380012581118</v>
      </c>
      <c r="I1779" s="1">
        <f t="shared" si="55"/>
        <v>147.23500404897356</v>
      </c>
    </row>
    <row r="1780" spans="1:9" x14ac:dyDescent="0.45">
      <c r="A1780" t="s">
        <v>17</v>
      </c>
      <c r="B1780" t="s">
        <v>33</v>
      </c>
      <c r="C1780" t="str">
        <f t="shared" si="54"/>
        <v>ClemsonLiberty</v>
      </c>
      <c r="D1780" t="s">
        <v>17</v>
      </c>
      <c r="E1780">
        <v>94</v>
      </c>
      <c r="F1780" s="1">
        <v>-18.018867924528301</v>
      </c>
      <c r="G1780" s="2">
        <v>-1562.07617528881</v>
      </c>
      <c r="H1780" s="1">
        <v>139.730062803561</v>
      </c>
      <c r="I1780" s="1">
        <f t="shared" si="55"/>
        <v>152.15030971510973</v>
      </c>
    </row>
    <row r="1781" spans="1:9" x14ac:dyDescent="0.45">
      <c r="A1781" t="s">
        <v>18</v>
      </c>
      <c r="B1781" t="s">
        <v>33</v>
      </c>
      <c r="C1781" t="str">
        <f t="shared" si="54"/>
        <v>Colorado St.Liberty</v>
      </c>
      <c r="D1781" t="s">
        <v>18</v>
      </c>
      <c r="E1781">
        <v>72.099999999999994</v>
      </c>
      <c r="F1781" s="1">
        <v>-6.2377358490565999</v>
      </c>
      <c r="G1781" s="2">
        <v>-258.90373259254</v>
      </c>
      <c r="H1781" s="1">
        <v>139.11967377835501</v>
      </c>
      <c r="I1781" s="1">
        <f t="shared" si="55"/>
        <v>143.57940062325548</v>
      </c>
    </row>
    <row r="1782" spans="1:9" x14ac:dyDescent="0.45">
      <c r="A1782" t="s">
        <v>19</v>
      </c>
      <c r="B1782" t="s">
        <v>33</v>
      </c>
      <c r="C1782" t="str">
        <f t="shared" si="54"/>
        <v>ConnecticutLiberty</v>
      </c>
      <c r="D1782" t="s">
        <v>19</v>
      </c>
      <c r="E1782">
        <v>96</v>
      </c>
      <c r="F1782" s="1">
        <v>-20.913207547169801</v>
      </c>
      <c r="G1782" s="2">
        <v>-2428.7820075340801</v>
      </c>
      <c r="H1782" s="1">
        <v>139.53031363430901</v>
      </c>
      <c r="I1782" s="1">
        <f t="shared" si="55"/>
        <v>149.3454886909204</v>
      </c>
    </row>
    <row r="1783" spans="1:9" x14ac:dyDescent="0.45">
      <c r="A1783" t="s">
        <v>20</v>
      </c>
      <c r="B1783" t="s">
        <v>33</v>
      </c>
      <c r="C1783" t="str">
        <f t="shared" si="54"/>
        <v>CreightonLiberty</v>
      </c>
      <c r="D1783" t="s">
        <v>20</v>
      </c>
      <c r="E1783">
        <v>88.2</v>
      </c>
      <c r="F1783" s="1">
        <v>-13.203773584905701</v>
      </c>
      <c r="G1783" s="2">
        <v>-749.47280181198596</v>
      </c>
      <c r="H1783" s="1">
        <v>139.07961038714799</v>
      </c>
      <c r="I1783" s="1">
        <f t="shared" si="55"/>
        <v>143.01684187831276</v>
      </c>
    </row>
    <row r="1784" spans="1:9" x14ac:dyDescent="0.45">
      <c r="A1784" t="s">
        <v>21</v>
      </c>
      <c r="B1784" t="s">
        <v>33</v>
      </c>
      <c r="C1784" t="str">
        <f t="shared" si="54"/>
        <v>DrakeLiberty</v>
      </c>
      <c r="D1784" t="s">
        <v>21</v>
      </c>
      <c r="E1784">
        <v>71.5</v>
      </c>
      <c r="F1784" s="1">
        <v>-6.0301886792452803</v>
      </c>
      <c r="G1784" s="2">
        <v>-250.939011908607</v>
      </c>
      <c r="H1784" s="1">
        <v>139.31428619282201</v>
      </c>
      <c r="I1784" s="1">
        <f t="shared" si="55"/>
        <v>146.31209279769297</v>
      </c>
    </row>
    <row r="1785" spans="1:9" x14ac:dyDescent="0.45">
      <c r="A1785" t="s">
        <v>22</v>
      </c>
      <c r="B1785" t="s">
        <v>33</v>
      </c>
      <c r="C1785" t="str">
        <f t="shared" si="54"/>
        <v>DukeLiberty</v>
      </c>
      <c r="D1785" t="s">
        <v>22</v>
      </c>
      <c r="E1785">
        <v>99.2</v>
      </c>
      <c r="F1785" s="1">
        <v>-31.981132075471699</v>
      </c>
      <c r="G1785" s="2">
        <v>-13146.8167531381</v>
      </c>
      <c r="H1785" s="1">
        <v>141.394626081425</v>
      </c>
      <c r="I1785" s="1">
        <f t="shared" si="55"/>
        <v>175.52363384621876</v>
      </c>
    </row>
    <row r="1786" spans="1:9" x14ac:dyDescent="0.45">
      <c r="A1786" t="s">
        <v>23</v>
      </c>
      <c r="B1786" t="s">
        <v>33</v>
      </c>
      <c r="C1786" t="str">
        <f t="shared" si="54"/>
        <v>FloridaLiberty</v>
      </c>
      <c r="D1786" t="s">
        <v>23</v>
      </c>
      <c r="E1786">
        <v>98.6</v>
      </c>
      <c r="F1786" s="1">
        <v>-28.124528301886802</v>
      </c>
      <c r="G1786" s="2">
        <v>-7299.4216178655297</v>
      </c>
      <c r="H1786" s="1">
        <v>141.12927660897901</v>
      </c>
      <c r="I1786" s="1">
        <f t="shared" si="55"/>
        <v>171.79767202189115</v>
      </c>
    </row>
    <row r="1787" spans="1:9" x14ac:dyDescent="0.45">
      <c r="A1787" t="s">
        <v>24</v>
      </c>
      <c r="B1787" t="s">
        <v>33</v>
      </c>
      <c r="C1787" t="str">
        <f t="shared" si="54"/>
        <v>GeorgiaLiberty</v>
      </c>
      <c r="D1787" t="s">
        <v>24</v>
      </c>
      <c r="E1787">
        <v>74.599999999999994</v>
      </c>
      <c r="F1787" s="1">
        <v>-7.0641509433962302</v>
      </c>
      <c r="G1787" s="2">
        <v>-293.74665609964001</v>
      </c>
      <c r="H1787" s="1">
        <v>138.39323490526399</v>
      </c>
      <c r="I1787" s="1">
        <f t="shared" si="55"/>
        <v>133.37895257301258</v>
      </c>
    </row>
    <row r="1788" spans="1:9" x14ac:dyDescent="0.45">
      <c r="A1788" t="s">
        <v>25</v>
      </c>
      <c r="B1788" t="s">
        <v>33</v>
      </c>
      <c r="C1788" t="str">
        <f t="shared" si="54"/>
        <v>GonzagaLiberty</v>
      </c>
      <c r="D1788" t="s">
        <v>25</v>
      </c>
      <c r="E1788">
        <v>93.7</v>
      </c>
      <c r="F1788" s="1">
        <v>-17.6943396226415</v>
      </c>
      <c r="G1788" s="2">
        <v>-1486.66040269117</v>
      </c>
      <c r="H1788" s="1">
        <v>140.37019663576999</v>
      </c>
      <c r="I1788" s="1">
        <f t="shared" si="55"/>
        <v>161.13888692721139</v>
      </c>
    </row>
    <row r="1789" spans="1:9" x14ac:dyDescent="0.45">
      <c r="A1789" t="s">
        <v>26</v>
      </c>
      <c r="B1789" t="s">
        <v>33</v>
      </c>
      <c r="C1789" t="str">
        <f t="shared" si="54"/>
        <v>Grand CanyonLiberty</v>
      </c>
      <c r="D1789" t="s">
        <v>26</v>
      </c>
      <c r="E1789">
        <v>61.8</v>
      </c>
      <c r="F1789" s="1">
        <v>-3.1433962264150899</v>
      </c>
      <c r="G1789" s="2">
        <v>-161.52246699929</v>
      </c>
      <c r="H1789" s="1">
        <v>139.18816835330901</v>
      </c>
      <c r="I1789" s="1">
        <f t="shared" si="55"/>
        <v>144.54118196429096</v>
      </c>
    </row>
    <row r="1790" spans="1:9" x14ac:dyDescent="0.45">
      <c r="A1790" t="s">
        <v>27</v>
      </c>
      <c r="B1790" t="s">
        <v>33</v>
      </c>
      <c r="C1790" t="str">
        <f t="shared" si="54"/>
        <v>High PointLiberty</v>
      </c>
      <c r="D1790" t="s">
        <v>27</v>
      </c>
      <c r="E1790">
        <v>50.2</v>
      </c>
      <c r="F1790" s="1">
        <v>-5.2830188679245299E-2</v>
      </c>
      <c r="G1790" s="2">
        <v>-100.82097149334901</v>
      </c>
      <c r="H1790" s="1">
        <v>139.37937548685801</v>
      </c>
      <c r="I1790" s="1">
        <f t="shared" si="55"/>
        <v>147.22605815257015</v>
      </c>
    </row>
    <row r="1791" spans="1:9" x14ac:dyDescent="0.45">
      <c r="A1791" t="s">
        <v>28</v>
      </c>
      <c r="B1791" t="s">
        <v>33</v>
      </c>
      <c r="C1791" t="str">
        <f t="shared" si="54"/>
        <v>HoustonLiberty</v>
      </c>
      <c r="D1791" t="s">
        <v>28</v>
      </c>
      <c r="E1791">
        <v>99.5</v>
      </c>
      <c r="F1791" s="1">
        <v>-35.335849056603799</v>
      </c>
      <c r="G1791" s="2">
        <v>-21930.612948167302</v>
      </c>
      <c r="H1791" s="1">
        <v>141.492837844061</v>
      </c>
      <c r="I1791" s="1">
        <f t="shared" si="55"/>
        <v>176.90269548485131</v>
      </c>
    </row>
    <row r="1792" spans="1:9" x14ac:dyDescent="0.45">
      <c r="A1792" t="s">
        <v>29</v>
      </c>
      <c r="B1792" t="s">
        <v>33</v>
      </c>
      <c r="C1792" t="str">
        <f t="shared" si="54"/>
        <v>IllinoisLiberty</v>
      </c>
      <c r="D1792" t="s">
        <v>29</v>
      </c>
      <c r="E1792">
        <v>95.6</v>
      </c>
      <c r="F1792" s="1">
        <v>-20.147169811320801</v>
      </c>
      <c r="G1792" s="2">
        <v>-2161.9079083020602</v>
      </c>
      <c r="H1792" s="1">
        <v>139.55130161902201</v>
      </c>
      <c r="I1792" s="1">
        <f t="shared" si="55"/>
        <v>149.64019600309015</v>
      </c>
    </row>
    <row r="1793" spans="1:9" x14ac:dyDescent="0.45">
      <c r="A1793" t="s">
        <v>30</v>
      </c>
      <c r="B1793" t="s">
        <v>33</v>
      </c>
      <c r="C1793" t="str">
        <f t="shared" si="54"/>
        <v>Iowa St.Liberty</v>
      </c>
      <c r="D1793" t="s">
        <v>30</v>
      </c>
      <c r="E1793">
        <v>97.8</v>
      </c>
      <c r="F1793" s="1">
        <v>-25.011320754717001</v>
      </c>
      <c r="G1793" s="2">
        <v>-4538.30050519219</v>
      </c>
      <c r="H1793" s="1">
        <v>140.44784391060901</v>
      </c>
      <c r="I1793" s="1">
        <f t="shared" si="55"/>
        <v>162.22918787692277</v>
      </c>
    </row>
    <row r="1794" spans="1:9" x14ac:dyDescent="0.45">
      <c r="A1794" t="s">
        <v>31</v>
      </c>
      <c r="B1794" t="s">
        <v>33</v>
      </c>
      <c r="C1794" t="str">
        <f t="shared" si="54"/>
        <v>KansasLiberty</v>
      </c>
      <c r="D1794" t="s">
        <v>31</v>
      </c>
      <c r="E1794">
        <v>93.3</v>
      </c>
      <c r="F1794" s="1">
        <v>-17.294339622641498</v>
      </c>
      <c r="G1794" s="2">
        <v>-1398.59610247364</v>
      </c>
      <c r="H1794" s="1">
        <v>139.498431799462</v>
      </c>
      <c r="I1794" s="1">
        <f t="shared" si="55"/>
        <v>148.89781303347712</v>
      </c>
    </row>
    <row r="1795" spans="1:9" x14ac:dyDescent="0.45">
      <c r="A1795" t="s">
        <v>32</v>
      </c>
      <c r="B1795" t="s">
        <v>33</v>
      </c>
      <c r="C1795" t="str">
        <f t="shared" ref="C1795:C1858" si="56">A1795&amp;B1795</f>
        <v>KentuckyLiberty</v>
      </c>
      <c r="D1795" t="s">
        <v>32</v>
      </c>
      <c r="E1795">
        <v>95.9</v>
      </c>
      <c r="F1795" s="1">
        <v>-20.656603773584902</v>
      </c>
      <c r="G1795" s="2">
        <v>-2336.5670951494899</v>
      </c>
      <c r="H1795" s="1">
        <v>139.432714131588</v>
      </c>
      <c r="I1795" s="1">
        <f t="shared" ref="I1795:I1858" si="57">18*(H1795-AVERAGE($H$2:$H$4625))/_xlfn.STDEV.P($H$2:$H$4625)+AVERAGE($H$2:$H$4625)</f>
        <v>147.97502423188192</v>
      </c>
    </row>
    <row r="1796" spans="1:9" x14ac:dyDescent="0.45">
      <c r="A1796" t="s">
        <v>33</v>
      </c>
      <c r="B1796" t="s">
        <v>33</v>
      </c>
      <c r="C1796" t="str">
        <f t="shared" si="56"/>
        <v>LibertyLiberty</v>
      </c>
      <c r="D1796" t="s">
        <v>33</v>
      </c>
      <c r="E1796">
        <v>41.2</v>
      </c>
      <c r="F1796" s="1">
        <v>2.3283018867924499</v>
      </c>
      <c r="G1796" s="2">
        <v>142.64273539779199</v>
      </c>
      <c r="H1796" s="1">
        <v>138.77771517530499</v>
      </c>
      <c r="I1796" s="1">
        <f t="shared" si="57"/>
        <v>138.77771517530684</v>
      </c>
    </row>
    <row r="1797" spans="1:9" x14ac:dyDescent="0.45">
      <c r="A1797" t="s">
        <v>34</v>
      </c>
      <c r="B1797" t="s">
        <v>33</v>
      </c>
      <c r="C1797" t="str">
        <f t="shared" si="56"/>
        <v>LipscombLiberty</v>
      </c>
      <c r="D1797" t="s">
        <v>33</v>
      </c>
      <c r="E1797">
        <v>34.5</v>
      </c>
      <c r="F1797" s="1">
        <v>4.1924528301886799</v>
      </c>
      <c r="G1797" s="2">
        <v>189.60420252890901</v>
      </c>
      <c r="H1797" s="1">
        <v>139.18403337289701</v>
      </c>
      <c r="I1797" s="1">
        <f t="shared" si="57"/>
        <v>144.48311974537094</v>
      </c>
    </row>
    <row r="1798" spans="1:9" x14ac:dyDescent="0.45">
      <c r="A1798" t="s">
        <v>35</v>
      </c>
      <c r="B1798" t="s">
        <v>33</v>
      </c>
      <c r="C1798" t="str">
        <f t="shared" si="56"/>
        <v>LouisvilleLiberty</v>
      </c>
      <c r="D1798" t="s">
        <v>35</v>
      </c>
      <c r="E1798">
        <v>57</v>
      </c>
      <c r="F1798" s="1">
        <v>-1.8566037735849099</v>
      </c>
      <c r="G1798" s="2">
        <v>-132.705791281134</v>
      </c>
      <c r="H1798" s="1">
        <v>138.42939537871499</v>
      </c>
      <c r="I1798" s="1">
        <f t="shared" si="57"/>
        <v>133.88670765684992</v>
      </c>
    </row>
    <row r="1799" spans="1:9" x14ac:dyDescent="0.45">
      <c r="A1799" t="s">
        <v>36</v>
      </c>
      <c r="B1799" t="s">
        <v>33</v>
      </c>
      <c r="C1799" t="str">
        <f t="shared" si="56"/>
        <v>MarquetteLiberty</v>
      </c>
      <c r="D1799" t="s">
        <v>36</v>
      </c>
      <c r="E1799">
        <v>94.7</v>
      </c>
      <c r="F1799" s="1">
        <v>-18.924528301886799</v>
      </c>
      <c r="G1799" s="2">
        <v>-1793.21834577923</v>
      </c>
      <c r="H1799" s="1">
        <v>139.691529222177</v>
      </c>
      <c r="I1799" s="1">
        <f t="shared" si="57"/>
        <v>151.60923212461014</v>
      </c>
    </row>
    <row r="1800" spans="1:9" x14ac:dyDescent="0.45">
      <c r="A1800" t="s">
        <v>37</v>
      </c>
      <c r="B1800" t="s">
        <v>33</v>
      </c>
      <c r="C1800" t="str">
        <f t="shared" si="56"/>
        <v>MarylandLiberty</v>
      </c>
      <c r="D1800" t="s">
        <v>37</v>
      </c>
      <c r="E1800">
        <v>91.7</v>
      </c>
      <c r="F1800" s="1">
        <v>-15.7547169811321</v>
      </c>
      <c r="G1800" s="2">
        <v>-1106.1126054092199</v>
      </c>
      <c r="H1800" s="1">
        <v>139.14989882072001</v>
      </c>
      <c r="I1800" s="1">
        <f t="shared" si="57"/>
        <v>144.00381207187297</v>
      </c>
    </row>
    <row r="1801" spans="1:9" x14ac:dyDescent="0.45">
      <c r="A1801" t="s">
        <v>38</v>
      </c>
      <c r="B1801" t="s">
        <v>33</v>
      </c>
      <c r="C1801" t="str">
        <f t="shared" si="56"/>
        <v>McNeese St.Liberty</v>
      </c>
      <c r="D1801" t="s">
        <v>38</v>
      </c>
      <c r="E1801">
        <v>72.099999999999994</v>
      </c>
      <c r="F1801" s="1">
        <v>-6.2150943396226399</v>
      </c>
      <c r="G1801" s="2">
        <v>-258.06533309552998</v>
      </c>
      <c r="H1801" s="1">
        <v>139.743134233684</v>
      </c>
      <c r="I1801" s="1">
        <f t="shared" si="57"/>
        <v>152.33385501926554</v>
      </c>
    </row>
    <row r="1802" spans="1:9" x14ac:dyDescent="0.45">
      <c r="A1802" t="s">
        <v>39</v>
      </c>
      <c r="B1802" t="s">
        <v>33</v>
      </c>
      <c r="C1802" t="str">
        <f t="shared" si="56"/>
        <v>MemphisLiberty</v>
      </c>
      <c r="D1802" t="s">
        <v>39</v>
      </c>
      <c r="E1802">
        <v>86.2</v>
      </c>
      <c r="F1802" s="1">
        <v>-11.9924528301887</v>
      </c>
      <c r="G1802" s="2">
        <v>-622.87223882882301</v>
      </c>
      <c r="H1802" s="1">
        <v>138.27741606020999</v>
      </c>
      <c r="I1802" s="1">
        <f t="shared" si="57"/>
        <v>131.75265729067777</v>
      </c>
    </row>
    <row r="1803" spans="1:9" x14ac:dyDescent="0.45">
      <c r="A1803" t="s">
        <v>40</v>
      </c>
      <c r="B1803" t="s">
        <v>33</v>
      </c>
      <c r="C1803" t="str">
        <f t="shared" si="56"/>
        <v>MichiganLiberty</v>
      </c>
      <c r="D1803" t="s">
        <v>40</v>
      </c>
      <c r="E1803">
        <v>75.5</v>
      </c>
      <c r="F1803" s="1">
        <v>-7.3660377358490603</v>
      </c>
      <c r="G1803" s="2">
        <v>-307.61275604553902</v>
      </c>
      <c r="H1803" s="1">
        <v>137.84003735712599</v>
      </c>
      <c r="I1803" s="1">
        <f t="shared" si="57"/>
        <v>125.61110993638037</v>
      </c>
    </row>
    <row r="1804" spans="1:9" x14ac:dyDescent="0.45">
      <c r="A1804" t="s">
        <v>41</v>
      </c>
      <c r="B1804" t="s">
        <v>33</v>
      </c>
      <c r="C1804" t="str">
        <f t="shared" si="56"/>
        <v>Michigan St.Liberty</v>
      </c>
      <c r="D1804" t="s">
        <v>41</v>
      </c>
      <c r="E1804">
        <v>96.7</v>
      </c>
      <c r="F1804" s="1">
        <v>-22.1132075471698</v>
      </c>
      <c r="G1804" s="2">
        <v>-2917.1548433538901</v>
      </c>
      <c r="H1804" s="1">
        <v>139.48711706633301</v>
      </c>
      <c r="I1804" s="1">
        <f t="shared" si="57"/>
        <v>148.73893476889103</v>
      </c>
    </row>
    <row r="1805" spans="1:9" x14ac:dyDescent="0.45">
      <c r="A1805" t="s">
        <v>42</v>
      </c>
      <c r="B1805" t="s">
        <v>33</v>
      </c>
      <c r="C1805" t="str">
        <f t="shared" si="56"/>
        <v>MississippiLiberty</v>
      </c>
      <c r="D1805" t="s">
        <v>42</v>
      </c>
      <c r="E1805">
        <v>88.9</v>
      </c>
      <c r="F1805" s="1">
        <v>-13.615094339622599</v>
      </c>
      <c r="G1805" s="2">
        <v>-798.15652257647503</v>
      </c>
      <c r="H1805" s="1">
        <v>138.754808416223</v>
      </c>
      <c r="I1805" s="1">
        <f t="shared" si="57"/>
        <v>138.45606497916432</v>
      </c>
    </row>
    <row r="1806" spans="1:9" x14ac:dyDescent="0.45">
      <c r="A1806" t="s">
        <v>43</v>
      </c>
      <c r="B1806" t="s">
        <v>33</v>
      </c>
      <c r="C1806" t="str">
        <f t="shared" si="56"/>
        <v>Mississippi St.Liberty</v>
      </c>
      <c r="D1806" t="s">
        <v>43</v>
      </c>
      <c r="E1806">
        <v>86</v>
      </c>
      <c r="F1806" s="1">
        <v>-11.8943396226415</v>
      </c>
      <c r="G1806" s="2">
        <v>-613.63588799257604</v>
      </c>
      <c r="H1806" s="1">
        <v>138.89455488889999</v>
      </c>
      <c r="I1806" s="1">
        <f t="shared" si="57"/>
        <v>140.41834520335013</v>
      </c>
    </row>
    <row r="1807" spans="1:9" x14ac:dyDescent="0.45">
      <c r="A1807" t="s">
        <v>44</v>
      </c>
      <c r="B1807" t="s">
        <v>33</v>
      </c>
      <c r="C1807" t="str">
        <f t="shared" si="56"/>
        <v>MissouriLiberty</v>
      </c>
      <c r="D1807" t="s">
        <v>44</v>
      </c>
      <c r="E1807">
        <v>74.3</v>
      </c>
      <c r="F1807" s="1">
        <v>-6.9584905660377396</v>
      </c>
      <c r="G1807" s="2">
        <v>-289.08960063368801</v>
      </c>
      <c r="H1807" s="1">
        <v>138.312216787545</v>
      </c>
      <c r="I1807" s="1">
        <f t="shared" si="57"/>
        <v>132.24131920627843</v>
      </c>
    </row>
    <row r="1808" spans="1:9" x14ac:dyDescent="0.45">
      <c r="A1808" t="s">
        <v>45</v>
      </c>
      <c r="B1808" t="s">
        <v>33</v>
      </c>
      <c r="C1808" t="str">
        <f t="shared" si="56"/>
        <v>MontanaLiberty</v>
      </c>
      <c r="D1808" t="s">
        <v>33</v>
      </c>
      <c r="E1808">
        <v>20.6</v>
      </c>
      <c r="F1808" s="1">
        <v>8.8452830188679208</v>
      </c>
      <c r="G1808" s="2">
        <v>385.57891193568997</v>
      </c>
      <c r="H1808" s="1">
        <v>137.44892835095101</v>
      </c>
      <c r="I1808" s="1">
        <f t="shared" si="57"/>
        <v>120.11926850656437</v>
      </c>
    </row>
    <row r="1809" spans="1:9" x14ac:dyDescent="0.45">
      <c r="A1809" t="s">
        <v>46</v>
      </c>
      <c r="B1809" t="s">
        <v>33</v>
      </c>
      <c r="C1809" t="str">
        <f t="shared" si="56"/>
        <v>Mount St. Mary'sLiberty</v>
      </c>
      <c r="D1809" t="s">
        <v>33</v>
      </c>
      <c r="E1809">
        <v>9</v>
      </c>
      <c r="F1809" s="1">
        <v>15.1811320754717</v>
      </c>
      <c r="G1809" s="2">
        <v>1013.29852847643</v>
      </c>
      <c r="H1809" s="1">
        <v>138.752216305102</v>
      </c>
      <c r="I1809" s="1">
        <f t="shared" si="57"/>
        <v>138.41966729202272</v>
      </c>
    </row>
    <row r="1810" spans="1:9" x14ac:dyDescent="0.45">
      <c r="A1810" t="s">
        <v>47</v>
      </c>
      <c r="B1810" t="s">
        <v>33</v>
      </c>
      <c r="C1810" t="str">
        <f t="shared" si="56"/>
        <v>Nebraska OmahaLiberty</v>
      </c>
      <c r="D1810" t="s">
        <v>33</v>
      </c>
      <c r="E1810">
        <v>12.1</v>
      </c>
      <c r="F1810" s="1">
        <v>12.9924528301887</v>
      </c>
      <c r="G1810" s="2">
        <v>725.49577996722599</v>
      </c>
      <c r="H1810" s="1">
        <v>138.169992437205</v>
      </c>
      <c r="I1810" s="1">
        <f t="shared" si="57"/>
        <v>130.24424532867914</v>
      </c>
    </row>
    <row r="1811" spans="1:9" x14ac:dyDescent="0.45">
      <c r="A1811" t="s">
        <v>48</v>
      </c>
      <c r="B1811" t="s">
        <v>33</v>
      </c>
      <c r="C1811" t="str">
        <f t="shared" si="56"/>
        <v>New MexicoLiberty</v>
      </c>
      <c r="D1811" t="s">
        <v>48</v>
      </c>
      <c r="E1811">
        <v>76.8</v>
      </c>
      <c r="F1811" s="1">
        <v>-7.8415094339622602</v>
      </c>
      <c r="G1811" s="2">
        <v>-330.71074305578497</v>
      </c>
      <c r="H1811" s="1">
        <v>138.939982369023</v>
      </c>
      <c r="I1811" s="1">
        <f t="shared" si="57"/>
        <v>141.05622495925653</v>
      </c>
    </row>
    <row r="1812" spans="1:9" x14ac:dyDescent="0.45">
      <c r="A1812" t="s">
        <v>49</v>
      </c>
      <c r="B1812" t="s">
        <v>33</v>
      </c>
      <c r="C1812" t="str">
        <f t="shared" si="56"/>
        <v>Norfolk St.Liberty</v>
      </c>
      <c r="D1812" t="s">
        <v>33</v>
      </c>
      <c r="E1812">
        <v>16.3</v>
      </c>
      <c r="F1812" s="1">
        <v>10.724528301886799</v>
      </c>
      <c r="G1812" s="2">
        <v>513.549196632654</v>
      </c>
      <c r="H1812" s="1">
        <v>137.97610813298601</v>
      </c>
      <c r="I1812" s="1">
        <f t="shared" si="57"/>
        <v>127.52177707126329</v>
      </c>
    </row>
    <row r="1813" spans="1:9" x14ac:dyDescent="0.45">
      <c r="A1813" t="s">
        <v>50</v>
      </c>
      <c r="B1813" t="s">
        <v>33</v>
      </c>
      <c r="C1813" t="str">
        <f t="shared" si="56"/>
        <v>North CarolinaLiberty</v>
      </c>
      <c r="D1813" t="s">
        <v>50</v>
      </c>
      <c r="E1813">
        <v>91.9</v>
      </c>
      <c r="F1813" s="1">
        <v>-15.8905660377358</v>
      </c>
      <c r="G1813" s="2">
        <v>-1129.2895456497099</v>
      </c>
      <c r="H1813" s="1">
        <v>140.04971408745601</v>
      </c>
      <c r="I1813" s="1">
        <f t="shared" si="57"/>
        <v>156.63876213188453</v>
      </c>
    </row>
    <row r="1814" spans="1:9" x14ac:dyDescent="0.45">
      <c r="A1814" t="s">
        <v>51</v>
      </c>
      <c r="B1814" t="s">
        <v>33</v>
      </c>
      <c r="C1814" t="str">
        <f t="shared" si="56"/>
        <v>OklahomaLiberty</v>
      </c>
      <c r="D1814" t="s">
        <v>51</v>
      </c>
      <c r="E1814">
        <v>79.8</v>
      </c>
      <c r="F1814" s="1">
        <v>-9.0075471698113194</v>
      </c>
      <c r="G1814" s="2">
        <v>-395.21014813384801</v>
      </c>
      <c r="H1814" s="1">
        <v>138.47333721363</v>
      </c>
      <c r="I1814" s="1">
        <f t="shared" si="57"/>
        <v>134.50372640527644</v>
      </c>
    </row>
    <row r="1815" spans="1:9" x14ac:dyDescent="0.45">
      <c r="A1815" t="s">
        <v>52</v>
      </c>
      <c r="B1815" t="s">
        <v>33</v>
      </c>
      <c r="C1815" t="str">
        <f t="shared" si="56"/>
        <v>OregonLiberty</v>
      </c>
      <c r="D1815" t="s">
        <v>52</v>
      </c>
      <c r="E1815">
        <v>91.7</v>
      </c>
      <c r="F1815" s="1">
        <v>-15.7735849056604</v>
      </c>
      <c r="G1815" s="2">
        <v>-1109.41576660024</v>
      </c>
      <c r="H1815" s="1">
        <v>138.764054605159</v>
      </c>
      <c r="I1815" s="1">
        <f t="shared" si="57"/>
        <v>138.58589733450501</v>
      </c>
    </row>
    <row r="1816" spans="1:9" x14ac:dyDescent="0.45">
      <c r="A1816" t="s">
        <v>53</v>
      </c>
      <c r="B1816" t="s">
        <v>33</v>
      </c>
      <c r="C1816" t="str">
        <f t="shared" si="56"/>
        <v>PurdueLiberty</v>
      </c>
      <c r="D1816" t="s">
        <v>53</v>
      </c>
      <c r="E1816">
        <v>98.4</v>
      </c>
      <c r="F1816" s="1">
        <v>-27.147169811320801</v>
      </c>
      <c r="G1816" s="2">
        <v>-6287.7309998354103</v>
      </c>
      <c r="H1816" s="1">
        <v>140.25214180495701</v>
      </c>
      <c r="I1816" s="1">
        <f t="shared" si="57"/>
        <v>159.48119456878339</v>
      </c>
    </row>
    <row r="1817" spans="1:9" x14ac:dyDescent="0.45">
      <c r="A1817" t="s">
        <v>54</v>
      </c>
      <c r="B1817" t="s">
        <v>33</v>
      </c>
      <c r="C1817" t="str">
        <f t="shared" si="56"/>
        <v>Robert MorrisLiberty</v>
      </c>
      <c r="D1817" t="s">
        <v>33</v>
      </c>
      <c r="E1817">
        <v>7.2</v>
      </c>
      <c r="F1817" s="1">
        <v>16.743396226415101</v>
      </c>
      <c r="G1817" s="2">
        <v>1285.70385756268</v>
      </c>
      <c r="H1817" s="1">
        <v>137.33510713364399</v>
      </c>
      <c r="I1817" s="1">
        <f t="shared" si="57"/>
        <v>118.52102334490959</v>
      </c>
    </row>
    <row r="1818" spans="1:9" x14ac:dyDescent="0.45">
      <c r="A1818" t="s">
        <v>55</v>
      </c>
      <c r="B1818" t="s">
        <v>33</v>
      </c>
      <c r="C1818" t="str">
        <f t="shared" si="56"/>
        <v>Saint FrancisLiberty</v>
      </c>
      <c r="D1818" t="s">
        <v>33</v>
      </c>
      <c r="E1818">
        <v>4.4000000000000004</v>
      </c>
      <c r="F1818" s="1">
        <v>20.1056603773585</v>
      </c>
      <c r="G1818" s="2">
        <v>2147.45039875052</v>
      </c>
      <c r="H1818" s="1">
        <v>138.04195501568799</v>
      </c>
      <c r="I1818" s="1">
        <f t="shared" si="57"/>
        <v>128.44638027072313</v>
      </c>
    </row>
    <row r="1819" spans="1:9" x14ac:dyDescent="0.45">
      <c r="A1819" t="s">
        <v>56</v>
      </c>
      <c r="B1819" t="s">
        <v>33</v>
      </c>
      <c r="C1819" t="str">
        <f t="shared" si="56"/>
        <v>Saint Mary'sLiberty</v>
      </c>
      <c r="D1819" t="s">
        <v>56</v>
      </c>
      <c r="E1819">
        <v>91.6</v>
      </c>
      <c r="F1819" s="1">
        <v>-15.6301886792453</v>
      </c>
      <c r="G1819" s="2">
        <v>-1085.2780853368599</v>
      </c>
      <c r="H1819" s="1">
        <v>139.77116113163001</v>
      </c>
      <c r="I1819" s="1">
        <f t="shared" si="57"/>
        <v>152.72740074912338</v>
      </c>
    </row>
    <row r="1820" spans="1:9" x14ac:dyDescent="0.45">
      <c r="A1820" t="s">
        <v>57</v>
      </c>
      <c r="B1820" t="s">
        <v>33</v>
      </c>
      <c r="C1820" t="str">
        <f t="shared" si="56"/>
        <v>San Diego St.Liberty</v>
      </c>
      <c r="D1820" t="s">
        <v>57</v>
      </c>
      <c r="E1820">
        <v>77.099999999999994</v>
      </c>
      <c r="F1820" s="1">
        <v>-7.9584905660377396</v>
      </c>
      <c r="G1820" s="2">
        <v>-336.62120282235497</v>
      </c>
      <c r="H1820" s="1">
        <v>138.98586029465801</v>
      </c>
      <c r="I1820" s="1">
        <f t="shared" si="57"/>
        <v>141.7004297429317</v>
      </c>
    </row>
    <row r="1821" spans="1:9" x14ac:dyDescent="0.45">
      <c r="A1821" t="s">
        <v>58</v>
      </c>
      <c r="B1821" t="s">
        <v>33</v>
      </c>
      <c r="C1821" t="str">
        <f t="shared" si="56"/>
        <v>SIU EdwardsvilleLiberty</v>
      </c>
      <c r="D1821" t="s">
        <v>33</v>
      </c>
      <c r="E1821">
        <v>13.8</v>
      </c>
      <c r="F1821" s="1">
        <v>12.018867924528299</v>
      </c>
      <c r="G1821" s="2">
        <v>625.37254631286896</v>
      </c>
      <c r="H1821" s="1">
        <v>139.04511847484201</v>
      </c>
      <c r="I1821" s="1">
        <f t="shared" si="57"/>
        <v>142.53251625551997</v>
      </c>
    </row>
    <row r="1822" spans="1:9" x14ac:dyDescent="0.45">
      <c r="A1822" t="s">
        <v>59</v>
      </c>
      <c r="B1822" t="s">
        <v>33</v>
      </c>
      <c r="C1822" t="str">
        <f t="shared" si="56"/>
        <v>St. John'sLiberty</v>
      </c>
      <c r="D1822" t="s">
        <v>59</v>
      </c>
      <c r="E1822">
        <v>96.9</v>
      </c>
      <c r="F1822" s="1">
        <v>-22.615094339622601</v>
      </c>
      <c r="G1822" s="2">
        <v>-3149.1306789404898</v>
      </c>
      <c r="H1822" s="1">
        <v>139.86457492339699</v>
      </c>
      <c r="I1822" s="1">
        <f t="shared" si="57"/>
        <v>154.03909064539889</v>
      </c>
    </row>
    <row r="1823" spans="1:9" x14ac:dyDescent="0.45">
      <c r="A1823" t="s">
        <v>60</v>
      </c>
      <c r="B1823" t="s">
        <v>33</v>
      </c>
      <c r="C1823" t="str">
        <f t="shared" si="56"/>
        <v>TennesseeLiberty</v>
      </c>
      <c r="D1823" t="s">
        <v>60</v>
      </c>
      <c r="E1823">
        <v>98.6</v>
      </c>
      <c r="F1823" s="1">
        <v>-27.8301886792453</v>
      </c>
      <c r="G1823" s="2">
        <v>-6978.2765304681097</v>
      </c>
      <c r="H1823" s="1">
        <v>140.65780729753101</v>
      </c>
      <c r="I1823" s="1">
        <f t="shared" si="57"/>
        <v>165.17743404061969</v>
      </c>
    </row>
    <row r="1824" spans="1:9" x14ac:dyDescent="0.45">
      <c r="A1824" t="s">
        <v>61</v>
      </c>
      <c r="B1824" t="s">
        <v>33</v>
      </c>
      <c r="C1824" t="str">
        <f t="shared" si="56"/>
        <v>TexasLiberty</v>
      </c>
      <c r="D1824" t="s">
        <v>61</v>
      </c>
      <c r="E1824">
        <v>73.599999999999994</v>
      </c>
      <c r="F1824" s="1">
        <v>-6.7320754716981099</v>
      </c>
      <c r="G1824" s="2">
        <v>-279.32084794024598</v>
      </c>
      <c r="H1824" s="1">
        <v>138.357689125169</v>
      </c>
      <c r="I1824" s="1">
        <f t="shared" si="57"/>
        <v>132.87982883845592</v>
      </c>
    </row>
    <row r="1825" spans="1:9" x14ac:dyDescent="0.45">
      <c r="A1825" t="s">
        <v>62</v>
      </c>
      <c r="B1825" t="s">
        <v>33</v>
      </c>
      <c r="C1825" t="str">
        <f t="shared" si="56"/>
        <v>Texas A&amp;MLiberty</v>
      </c>
      <c r="D1825" t="s">
        <v>62</v>
      </c>
      <c r="E1825">
        <v>94.1</v>
      </c>
      <c r="F1825" s="1">
        <v>-18.135849056603799</v>
      </c>
      <c r="G1825" s="2">
        <v>-1590.2215368434699</v>
      </c>
      <c r="H1825" s="1">
        <v>139.14466443456701</v>
      </c>
      <c r="I1825" s="1">
        <f t="shared" si="57"/>
        <v>143.93031231021862</v>
      </c>
    </row>
    <row r="1826" spans="1:9" x14ac:dyDescent="0.45">
      <c r="A1826" t="s">
        <v>63</v>
      </c>
      <c r="B1826" t="s">
        <v>33</v>
      </c>
      <c r="C1826" t="str">
        <f t="shared" si="56"/>
        <v>Texas TechLiberty</v>
      </c>
      <c r="D1826" t="s">
        <v>63</v>
      </c>
      <c r="E1826">
        <v>96.9</v>
      </c>
      <c r="F1826" s="1">
        <v>-22.4679245283019</v>
      </c>
      <c r="G1826" s="2">
        <v>-3080.1585515481102</v>
      </c>
      <c r="H1826" s="1">
        <v>140.135177039806</v>
      </c>
      <c r="I1826" s="1">
        <f t="shared" si="57"/>
        <v>157.83880860235638</v>
      </c>
    </row>
    <row r="1827" spans="1:9" x14ac:dyDescent="0.45">
      <c r="A1827" t="s">
        <v>64</v>
      </c>
      <c r="B1827" t="s">
        <v>33</v>
      </c>
      <c r="C1827" t="str">
        <f t="shared" si="56"/>
        <v>TroyLiberty</v>
      </c>
      <c r="D1827" t="s">
        <v>33</v>
      </c>
      <c r="E1827">
        <v>30.7</v>
      </c>
      <c r="F1827" s="1">
        <v>5.3396226415094299</v>
      </c>
      <c r="G1827" s="2">
        <v>225.82300984912999</v>
      </c>
      <c r="H1827" s="1">
        <v>138.90148163436501</v>
      </c>
      <c r="I1827" s="1">
        <f t="shared" si="57"/>
        <v>140.51560859314174</v>
      </c>
    </row>
    <row r="1828" spans="1:9" x14ac:dyDescent="0.45">
      <c r="A1828" t="s">
        <v>65</v>
      </c>
      <c r="B1828" t="s">
        <v>33</v>
      </c>
      <c r="C1828" t="str">
        <f t="shared" si="56"/>
        <v>UC San DiegoLiberty</v>
      </c>
      <c r="D1828" t="s">
        <v>65</v>
      </c>
      <c r="E1828">
        <v>53.2</v>
      </c>
      <c r="F1828" s="1">
        <v>-0.84150943396226396</v>
      </c>
      <c r="G1828" s="2">
        <v>-113.69980528940501</v>
      </c>
      <c r="H1828" s="1">
        <v>138.971601864028</v>
      </c>
      <c r="I1828" s="1">
        <f t="shared" si="57"/>
        <v>141.50021691525009</v>
      </c>
    </row>
    <row r="1829" spans="1:9" x14ac:dyDescent="0.45">
      <c r="A1829" t="s">
        <v>66</v>
      </c>
      <c r="B1829" t="s">
        <v>33</v>
      </c>
      <c r="C1829" t="str">
        <f t="shared" si="56"/>
        <v>UCLALiberty</v>
      </c>
      <c r="D1829" t="s">
        <v>66</v>
      </c>
      <c r="E1829">
        <v>79.599999999999994</v>
      </c>
      <c r="F1829" s="1">
        <v>-8.9433962264150892</v>
      </c>
      <c r="G1829" s="2">
        <v>-391.247136967833</v>
      </c>
      <c r="H1829" s="1">
        <v>138.19286044323999</v>
      </c>
      <c r="I1829" s="1">
        <f t="shared" si="57"/>
        <v>130.56535136555749</v>
      </c>
    </row>
    <row r="1830" spans="1:9" x14ac:dyDescent="0.45">
      <c r="A1830" t="s">
        <v>67</v>
      </c>
      <c r="B1830" t="s">
        <v>33</v>
      </c>
      <c r="C1830" t="str">
        <f t="shared" si="56"/>
        <v>UNC WilmingtonLiberty</v>
      </c>
      <c r="D1830" t="s">
        <v>33</v>
      </c>
      <c r="E1830">
        <v>39.700000000000003</v>
      </c>
      <c r="F1830" s="1">
        <v>2.75094339622642</v>
      </c>
      <c r="G1830" s="2">
        <v>152.125937952583</v>
      </c>
      <c r="H1830" s="1">
        <v>139.50827033469201</v>
      </c>
      <c r="I1830" s="1">
        <f t="shared" si="57"/>
        <v>149.03596294700975</v>
      </c>
    </row>
    <row r="1831" spans="1:9" x14ac:dyDescent="0.45">
      <c r="A1831" t="s">
        <v>68</v>
      </c>
      <c r="B1831" t="s">
        <v>33</v>
      </c>
      <c r="C1831" t="str">
        <f t="shared" si="56"/>
        <v>Utah St.Liberty</v>
      </c>
      <c r="D1831" t="s">
        <v>68</v>
      </c>
      <c r="E1831">
        <v>78.7</v>
      </c>
      <c r="F1831" s="1">
        <v>-8.5773584905660396</v>
      </c>
      <c r="G1831" s="2">
        <v>-370.02828209024699</v>
      </c>
      <c r="H1831" s="1">
        <v>139.05545683327099</v>
      </c>
      <c r="I1831" s="1">
        <f t="shared" si="57"/>
        <v>142.67768454425828</v>
      </c>
    </row>
    <row r="1832" spans="1:9" x14ac:dyDescent="0.45">
      <c r="A1832" t="s">
        <v>69</v>
      </c>
      <c r="B1832" t="s">
        <v>33</v>
      </c>
      <c r="C1832" t="str">
        <f t="shared" si="56"/>
        <v>VanderbiltLiberty</v>
      </c>
      <c r="D1832" t="s">
        <v>33</v>
      </c>
      <c r="E1832">
        <v>42.2</v>
      </c>
      <c r="F1832" s="1">
        <v>2.07169811320755</v>
      </c>
      <c r="G1832" s="2">
        <v>137.14628536022701</v>
      </c>
      <c r="H1832" s="1">
        <v>137.48949471455401</v>
      </c>
      <c r="I1832" s="1">
        <f t="shared" si="57"/>
        <v>120.68888984684179</v>
      </c>
    </row>
    <row r="1833" spans="1:9" x14ac:dyDescent="0.45">
      <c r="A1833" t="s">
        <v>70</v>
      </c>
      <c r="B1833" t="s">
        <v>33</v>
      </c>
      <c r="C1833" t="str">
        <f t="shared" si="56"/>
        <v>VCULiberty</v>
      </c>
      <c r="D1833" t="s">
        <v>70</v>
      </c>
      <c r="E1833">
        <v>70.099999999999994</v>
      </c>
      <c r="F1833" s="1">
        <v>-5.5735849056603799</v>
      </c>
      <c r="G1833" s="2">
        <v>-234.06565904035301</v>
      </c>
      <c r="H1833" s="1">
        <v>139.414667843747</v>
      </c>
      <c r="I1833" s="1">
        <f t="shared" si="57"/>
        <v>147.72162339054393</v>
      </c>
    </row>
    <row r="1834" spans="1:9" x14ac:dyDescent="0.45">
      <c r="A1834" t="s">
        <v>71</v>
      </c>
      <c r="B1834" t="s">
        <v>33</v>
      </c>
      <c r="C1834" t="str">
        <f t="shared" si="56"/>
        <v>WisconsinLiberty</v>
      </c>
      <c r="D1834" t="s">
        <v>71</v>
      </c>
      <c r="E1834">
        <v>96.4</v>
      </c>
      <c r="F1834" s="1">
        <v>-21.528301886792502</v>
      </c>
      <c r="G1834" s="2">
        <v>-2668.2304720051902</v>
      </c>
      <c r="H1834" s="1">
        <v>140.06792345207899</v>
      </c>
      <c r="I1834" s="1">
        <f t="shared" si="57"/>
        <v>156.89445285101448</v>
      </c>
    </row>
    <row r="1835" spans="1:9" x14ac:dyDescent="0.45">
      <c r="A1835" t="s">
        <v>80</v>
      </c>
      <c r="B1835" t="s">
        <v>33</v>
      </c>
      <c r="C1835" t="str">
        <f t="shared" si="56"/>
        <v>WoffordLiberty</v>
      </c>
      <c r="D1835" t="s">
        <v>33</v>
      </c>
      <c r="E1835">
        <v>18.7</v>
      </c>
      <c r="F1835" s="1">
        <v>9.6452830188679304</v>
      </c>
      <c r="G1835" s="2">
        <v>435.57479799533598</v>
      </c>
      <c r="H1835" s="1">
        <v>138.16557188130599</v>
      </c>
      <c r="I1835" s="1">
        <f t="shared" si="57"/>
        <v>130.18217313999091</v>
      </c>
    </row>
    <row r="1836" spans="1:9" x14ac:dyDescent="0.45">
      <c r="A1836" t="s">
        <v>72</v>
      </c>
      <c r="B1836" t="s">
        <v>33</v>
      </c>
      <c r="C1836" t="str">
        <f t="shared" si="56"/>
        <v>XavierLiberty</v>
      </c>
      <c r="D1836" t="s">
        <v>72</v>
      </c>
      <c r="E1836">
        <v>69.8</v>
      </c>
      <c r="F1836" s="1">
        <v>-5.5018867924528303</v>
      </c>
      <c r="G1836" s="2">
        <v>-231.46840308927599</v>
      </c>
      <c r="H1836" s="1">
        <v>138.90837405192701</v>
      </c>
      <c r="I1836" s="1">
        <f t="shared" si="57"/>
        <v>140.61238996028226</v>
      </c>
    </row>
    <row r="1837" spans="1:9" x14ac:dyDescent="0.45">
      <c r="A1837" t="s">
        <v>73</v>
      </c>
      <c r="B1837" t="s">
        <v>33</v>
      </c>
      <c r="C1837" t="str">
        <f t="shared" si="56"/>
        <v>YaleLiberty</v>
      </c>
      <c r="D1837" t="s">
        <v>73</v>
      </c>
      <c r="E1837">
        <v>54.8</v>
      </c>
      <c r="F1837" s="1">
        <v>-1.2528301886792499</v>
      </c>
      <c r="G1837" s="2">
        <v>-121.044824191001</v>
      </c>
      <c r="H1837" s="1">
        <v>139.508080188321</v>
      </c>
      <c r="I1837" s="1">
        <f t="shared" si="57"/>
        <v>149.03329296574734</v>
      </c>
    </row>
    <row r="1838" spans="1:9" x14ac:dyDescent="0.45">
      <c r="A1838" t="s">
        <v>7</v>
      </c>
      <c r="B1838" t="s">
        <v>34</v>
      </c>
      <c r="C1838" t="str">
        <f t="shared" si="56"/>
        <v>AkronLipscomb</v>
      </c>
      <c r="D1838" t="s">
        <v>34</v>
      </c>
      <c r="E1838">
        <v>45.6</v>
      </c>
      <c r="F1838" s="1">
        <v>1.14716981132075</v>
      </c>
      <c r="G1838" s="2">
        <v>119.10484345898</v>
      </c>
      <c r="H1838" s="1">
        <v>137.918589051309</v>
      </c>
      <c r="I1838" s="1">
        <f t="shared" si="57"/>
        <v>126.71411048529501</v>
      </c>
    </row>
    <row r="1839" spans="1:9" x14ac:dyDescent="0.45">
      <c r="A1839" t="s">
        <v>8</v>
      </c>
      <c r="B1839" t="s">
        <v>34</v>
      </c>
      <c r="C1839" t="str">
        <f t="shared" si="56"/>
        <v>AlabamaLipscomb</v>
      </c>
      <c r="D1839" t="s">
        <v>8</v>
      </c>
      <c r="E1839">
        <v>98.4</v>
      </c>
      <c r="F1839" s="1">
        <v>-27.192452830188699</v>
      </c>
      <c r="G1839" s="2">
        <v>-6332.880333911</v>
      </c>
      <c r="H1839" s="1">
        <v>139.72620023890499</v>
      </c>
      <c r="I1839" s="1">
        <f t="shared" si="57"/>
        <v>152.096072680758</v>
      </c>
    </row>
    <row r="1840" spans="1:9" x14ac:dyDescent="0.45">
      <c r="A1840" t="s">
        <v>9</v>
      </c>
      <c r="B1840" t="s">
        <v>34</v>
      </c>
      <c r="C1840" t="str">
        <f t="shared" si="56"/>
        <v>Alabama St.Lipscomb</v>
      </c>
      <c r="D1840" t="s">
        <v>34</v>
      </c>
      <c r="E1840">
        <v>11.4</v>
      </c>
      <c r="F1840" s="1">
        <v>13.4641509433962</v>
      </c>
      <c r="G1840" s="2">
        <v>779.86447988990301</v>
      </c>
      <c r="H1840" s="1">
        <v>138.10535081073101</v>
      </c>
      <c r="I1840" s="1">
        <f t="shared" si="57"/>
        <v>129.33656599438712</v>
      </c>
    </row>
    <row r="1841" spans="1:9" x14ac:dyDescent="0.45">
      <c r="A1841" t="s">
        <v>10</v>
      </c>
      <c r="B1841" t="s">
        <v>34</v>
      </c>
      <c r="C1841" t="str">
        <f t="shared" si="56"/>
        <v>AmericanLipscomb</v>
      </c>
      <c r="D1841" t="s">
        <v>34</v>
      </c>
      <c r="E1841">
        <v>12.6</v>
      </c>
      <c r="F1841" s="1">
        <v>12.7056603773585</v>
      </c>
      <c r="G1841" s="2">
        <v>694.82089468430297</v>
      </c>
      <c r="H1841" s="1">
        <v>137.86864033049301</v>
      </c>
      <c r="I1841" s="1">
        <f t="shared" si="57"/>
        <v>126.012744753459</v>
      </c>
    </row>
    <row r="1842" spans="1:9" x14ac:dyDescent="0.45">
      <c r="A1842" t="s">
        <v>11</v>
      </c>
      <c r="B1842" t="s">
        <v>34</v>
      </c>
      <c r="C1842" t="str">
        <f t="shared" si="56"/>
        <v>ArizonaLipscomb</v>
      </c>
      <c r="D1842" t="s">
        <v>11</v>
      </c>
      <c r="E1842">
        <v>97.7</v>
      </c>
      <c r="F1842" s="1">
        <v>-24.437735849056601</v>
      </c>
      <c r="G1842" s="2">
        <v>-4159.5571811918298</v>
      </c>
      <c r="H1842" s="1">
        <v>139.33667957908199</v>
      </c>
      <c r="I1842" s="1">
        <f t="shared" si="57"/>
        <v>146.62653435867662</v>
      </c>
    </row>
    <row r="1843" spans="1:9" x14ac:dyDescent="0.45">
      <c r="A1843" t="s">
        <v>12</v>
      </c>
      <c r="B1843" t="s">
        <v>34</v>
      </c>
      <c r="C1843" t="str">
        <f t="shared" si="56"/>
        <v>ArkansasLipscomb</v>
      </c>
      <c r="D1843" t="s">
        <v>12</v>
      </c>
      <c r="E1843">
        <v>73.099999999999994</v>
      </c>
      <c r="F1843" s="1">
        <v>-6.5396226415094301</v>
      </c>
      <c r="G1843" s="2">
        <v>-271.11122219123502</v>
      </c>
      <c r="H1843" s="1">
        <v>137.66260355687101</v>
      </c>
      <c r="I1843" s="1">
        <f t="shared" si="57"/>
        <v>123.11963497695675</v>
      </c>
    </row>
    <row r="1844" spans="1:9" x14ac:dyDescent="0.45">
      <c r="A1844" t="s">
        <v>13</v>
      </c>
      <c r="B1844" t="s">
        <v>34</v>
      </c>
      <c r="C1844" t="str">
        <f t="shared" si="56"/>
        <v>AuburnLipscomb</v>
      </c>
      <c r="D1844" t="s">
        <v>13</v>
      </c>
      <c r="E1844">
        <v>99.2</v>
      </c>
      <c r="F1844" s="1">
        <v>-31.633962264150899</v>
      </c>
      <c r="G1844" s="2">
        <v>-12465.560326368101</v>
      </c>
      <c r="H1844" s="1">
        <v>140.74841647225699</v>
      </c>
      <c r="I1844" s="1">
        <f t="shared" si="57"/>
        <v>166.4497423020637</v>
      </c>
    </row>
    <row r="1845" spans="1:9" x14ac:dyDescent="0.45">
      <c r="A1845" t="s">
        <v>14</v>
      </c>
      <c r="B1845" t="s">
        <v>34</v>
      </c>
      <c r="C1845" t="str">
        <f t="shared" si="56"/>
        <v>BaylorLipscomb</v>
      </c>
      <c r="D1845" t="s">
        <v>14</v>
      </c>
      <c r="E1845">
        <v>92.6</v>
      </c>
      <c r="F1845" s="1">
        <v>-16.584905660377402</v>
      </c>
      <c r="G1845" s="2">
        <v>-1255.3059905090299</v>
      </c>
      <c r="H1845" s="1">
        <v>139.211333833438</v>
      </c>
      <c r="I1845" s="1">
        <f t="shared" si="57"/>
        <v>144.86646504779293</v>
      </c>
    </row>
    <row r="1846" spans="1:9" x14ac:dyDescent="0.45">
      <c r="A1846" t="s">
        <v>15</v>
      </c>
      <c r="B1846" t="s">
        <v>34</v>
      </c>
      <c r="C1846" t="str">
        <f t="shared" si="56"/>
        <v>BryantLipscomb</v>
      </c>
      <c r="D1846" t="s">
        <v>34</v>
      </c>
      <c r="E1846">
        <v>37</v>
      </c>
      <c r="F1846" s="1">
        <v>3.4867924528301901</v>
      </c>
      <c r="G1846" s="2">
        <v>170.20104002466201</v>
      </c>
      <c r="H1846" s="1">
        <v>138.80365370908299</v>
      </c>
      <c r="I1846" s="1">
        <f t="shared" si="57"/>
        <v>139.14193668946697</v>
      </c>
    </row>
    <row r="1847" spans="1:9" x14ac:dyDescent="0.45">
      <c r="A1847" t="s">
        <v>16</v>
      </c>
      <c r="B1847" t="s">
        <v>34</v>
      </c>
      <c r="C1847" t="str">
        <f t="shared" si="56"/>
        <v>BYULipscomb</v>
      </c>
      <c r="D1847" t="s">
        <v>16</v>
      </c>
      <c r="E1847">
        <v>93.7</v>
      </c>
      <c r="F1847" s="1">
        <v>-17.679245283018901</v>
      </c>
      <c r="G1847" s="2">
        <v>-1483.4036504825799</v>
      </c>
      <c r="H1847" s="1">
        <v>138.973694383527</v>
      </c>
      <c r="I1847" s="1">
        <f t="shared" si="57"/>
        <v>141.52959947892384</v>
      </c>
    </row>
    <row r="1848" spans="1:9" x14ac:dyDescent="0.45">
      <c r="A1848" t="s">
        <v>17</v>
      </c>
      <c r="B1848" t="s">
        <v>34</v>
      </c>
      <c r="C1848" t="str">
        <f t="shared" si="56"/>
        <v>ClemsonLipscomb</v>
      </c>
      <c r="D1848" t="s">
        <v>17</v>
      </c>
      <c r="E1848">
        <v>95.4</v>
      </c>
      <c r="F1848" s="1">
        <v>-19.883018867924498</v>
      </c>
      <c r="G1848" s="2">
        <v>-2076.3497466526201</v>
      </c>
      <c r="H1848" s="1">
        <v>139.32374460596901</v>
      </c>
      <c r="I1848" s="1">
        <f t="shared" si="57"/>
        <v>146.44490514504602</v>
      </c>
    </row>
    <row r="1849" spans="1:9" x14ac:dyDescent="0.45">
      <c r="A1849" t="s">
        <v>18</v>
      </c>
      <c r="B1849" t="s">
        <v>34</v>
      </c>
      <c r="C1849" t="str">
        <f t="shared" si="56"/>
        <v>Colorado St.Lipscomb</v>
      </c>
      <c r="D1849" t="s">
        <v>18</v>
      </c>
      <c r="E1849">
        <v>77.5</v>
      </c>
      <c r="F1849" s="1">
        <v>-8.1018867924528308</v>
      </c>
      <c r="G1849" s="2">
        <v>-344.14115526507402</v>
      </c>
      <c r="H1849" s="1">
        <v>138.71335558076299</v>
      </c>
      <c r="I1849" s="1">
        <f t="shared" si="57"/>
        <v>137.87399605319141</v>
      </c>
    </row>
    <row r="1850" spans="1:9" x14ac:dyDescent="0.45">
      <c r="A1850" t="s">
        <v>19</v>
      </c>
      <c r="B1850" t="s">
        <v>34</v>
      </c>
      <c r="C1850" t="str">
        <f t="shared" si="56"/>
        <v>ConnecticutLipscomb</v>
      </c>
      <c r="D1850" t="s">
        <v>19</v>
      </c>
      <c r="E1850">
        <v>97</v>
      </c>
      <c r="F1850" s="1">
        <v>-22.777358490566002</v>
      </c>
      <c r="G1850" s="2">
        <v>-3228.39627528758</v>
      </c>
      <c r="H1850" s="1">
        <v>139.123995436717</v>
      </c>
      <c r="I1850" s="1">
        <f t="shared" si="57"/>
        <v>143.6400841208563</v>
      </c>
    </row>
    <row r="1851" spans="1:9" x14ac:dyDescent="0.45">
      <c r="A1851" t="s">
        <v>20</v>
      </c>
      <c r="B1851" t="s">
        <v>34</v>
      </c>
      <c r="C1851" t="str">
        <f t="shared" si="56"/>
        <v>CreightonLipscomb</v>
      </c>
      <c r="D1851" t="s">
        <v>20</v>
      </c>
      <c r="E1851">
        <v>90.9</v>
      </c>
      <c r="F1851" s="1">
        <v>-15.0679245283019</v>
      </c>
      <c r="G1851" s="2">
        <v>-996.21752561307403</v>
      </c>
      <c r="H1851" s="1">
        <v>138.67329218955601</v>
      </c>
      <c r="I1851" s="1">
        <f t="shared" si="57"/>
        <v>137.31143730824905</v>
      </c>
    </row>
    <row r="1852" spans="1:9" x14ac:dyDescent="0.45">
      <c r="A1852" t="s">
        <v>21</v>
      </c>
      <c r="B1852" t="s">
        <v>34</v>
      </c>
      <c r="C1852" t="str">
        <f t="shared" si="56"/>
        <v>DrakeLipscomb</v>
      </c>
      <c r="D1852" t="s">
        <v>21</v>
      </c>
      <c r="E1852">
        <v>76.900000000000006</v>
      </c>
      <c r="F1852" s="1">
        <v>-7.8981132075471701</v>
      </c>
      <c r="G1852" s="2">
        <v>-333.554254295801</v>
      </c>
      <c r="H1852" s="1">
        <v>138.90796799523</v>
      </c>
      <c r="I1852" s="1">
        <f t="shared" si="57"/>
        <v>140.60668822762889</v>
      </c>
    </row>
    <row r="1853" spans="1:9" x14ac:dyDescent="0.45">
      <c r="A1853" t="s">
        <v>22</v>
      </c>
      <c r="B1853" t="s">
        <v>34</v>
      </c>
      <c r="C1853" t="str">
        <f t="shared" si="56"/>
        <v>DukeLipscomb</v>
      </c>
      <c r="D1853" t="s">
        <v>22</v>
      </c>
      <c r="E1853">
        <v>99.4</v>
      </c>
      <c r="F1853" s="1">
        <v>-33.849056603773597</v>
      </c>
      <c r="G1853" s="2">
        <v>-17475.069440592299</v>
      </c>
      <c r="H1853" s="1">
        <v>140.98830788383299</v>
      </c>
      <c r="I1853" s="1">
        <f t="shared" si="57"/>
        <v>169.81822927615465</v>
      </c>
    </row>
    <row r="1854" spans="1:9" x14ac:dyDescent="0.45">
      <c r="A1854" t="s">
        <v>23</v>
      </c>
      <c r="B1854" t="s">
        <v>34</v>
      </c>
      <c r="C1854" t="str">
        <f t="shared" si="56"/>
        <v>FloridaLipscomb</v>
      </c>
      <c r="D1854" t="s">
        <v>23</v>
      </c>
      <c r="E1854">
        <v>99</v>
      </c>
      <c r="F1854" s="1">
        <v>-29.9924528301887</v>
      </c>
      <c r="G1854" s="2">
        <v>-9702.5692259621592</v>
      </c>
      <c r="H1854" s="1">
        <v>140.722958411387</v>
      </c>
      <c r="I1854" s="1">
        <f t="shared" si="57"/>
        <v>166.09226745182704</v>
      </c>
    </row>
    <row r="1855" spans="1:9" x14ac:dyDescent="0.45">
      <c r="A1855" t="s">
        <v>24</v>
      </c>
      <c r="B1855" t="s">
        <v>34</v>
      </c>
      <c r="C1855" t="str">
        <f t="shared" si="56"/>
        <v>GeorgiaLipscomb</v>
      </c>
      <c r="D1855" t="s">
        <v>24</v>
      </c>
      <c r="E1855">
        <v>79.599999999999994</v>
      </c>
      <c r="F1855" s="1">
        <v>-8.9283018867924504</v>
      </c>
      <c r="G1855" s="2">
        <v>-390.455218907475</v>
      </c>
      <c r="H1855" s="1">
        <v>137.98691670767201</v>
      </c>
      <c r="I1855" s="1">
        <f t="shared" si="57"/>
        <v>127.67354800294891</v>
      </c>
    </row>
    <row r="1856" spans="1:9" x14ac:dyDescent="0.45">
      <c r="A1856" t="s">
        <v>25</v>
      </c>
      <c r="B1856" t="s">
        <v>34</v>
      </c>
      <c r="C1856" t="str">
        <f t="shared" si="56"/>
        <v>GonzagaLipscomb</v>
      </c>
      <c r="D1856" t="s">
        <v>25</v>
      </c>
      <c r="E1856">
        <v>95.2</v>
      </c>
      <c r="F1856" s="1">
        <v>-19.558490566037701</v>
      </c>
      <c r="G1856" s="2">
        <v>-1976.1052625462301</v>
      </c>
      <c r="H1856" s="1">
        <v>139.963878438178</v>
      </c>
      <c r="I1856" s="1">
        <f t="shared" si="57"/>
        <v>155.43348235714768</v>
      </c>
    </row>
    <row r="1857" spans="1:9" x14ac:dyDescent="0.45">
      <c r="A1857" t="s">
        <v>26</v>
      </c>
      <c r="B1857" t="s">
        <v>34</v>
      </c>
      <c r="C1857" t="str">
        <f t="shared" si="56"/>
        <v>Grand CanyonLipscomb</v>
      </c>
      <c r="D1857" t="s">
        <v>26</v>
      </c>
      <c r="E1857">
        <v>68.2</v>
      </c>
      <c r="F1857" s="1">
        <v>-5.0075471698113203</v>
      </c>
      <c r="G1857" s="2">
        <v>-214.69960219492799</v>
      </c>
      <c r="H1857" s="1">
        <v>138.78185015571799</v>
      </c>
      <c r="I1857" s="1">
        <f t="shared" si="57"/>
        <v>138.83577739424084</v>
      </c>
    </row>
    <row r="1858" spans="1:9" x14ac:dyDescent="0.45">
      <c r="A1858" t="s">
        <v>27</v>
      </c>
      <c r="B1858" t="s">
        <v>34</v>
      </c>
      <c r="C1858" t="str">
        <f t="shared" si="56"/>
        <v>High PointLipscomb</v>
      </c>
      <c r="D1858" t="s">
        <v>27</v>
      </c>
      <c r="E1858">
        <v>57.3</v>
      </c>
      <c r="F1858" s="1">
        <v>-1.9207547169811301</v>
      </c>
      <c r="G1858" s="2">
        <v>-134.013694036901</v>
      </c>
      <c r="H1858" s="1">
        <v>138.97305728926599</v>
      </c>
      <c r="I1858" s="1">
        <f t="shared" si="57"/>
        <v>141.52065358250604</v>
      </c>
    </row>
    <row r="1859" spans="1:9" x14ac:dyDescent="0.45">
      <c r="A1859" t="s">
        <v>28</v>
      </c>
      <c r="B1859" t="s">
        <v>34</v>
      </c>
      <c r="C1859" t="str">
        <f t="shared" ref="C1859:C1922" si="58">A1859&amp;B1859</f>
        <v>HoustonLipscomb</v>
      </c>
      <c r="D1859" t="s">
        <v>28</v>
      </c>
      <c r="E1859">
        <v>99.7</v>
      </c>
      <c r="F1859" s="1">
        <v>-37.203773584905697</v>
      </c>
      <c r="G1859" s="2">
        <v>-29150.705554063501</v>
      </c>
      <c r="H1859" s="1">
        <v>141.08651964646899</v>
      </c>
      <c r="I1859" s="1">
        <f t="shared" ref="I1859:I1922" si="59">18*(H1859-AVERAGE($H$2:$H$4625))/_xlfn.STDEV.P($H$2:$H$4625)+AVERAGE($H$2:$H$4625)</f>
        <v>171.19729091478723</v>
      </c>
    </row>
    <row r="1860" spans="1:9" x14ac:dyDescent="0.45">
      <c r="A1860" t="s">
        <v>29</v>
      </c>
      <c r="B1860" t="s">
        <v>34</v>
      </c>
      <c r="C1860" t="str">
        <f t="shared" si="58"/>
        <v>IllinoisLipscomb</v>
      </c>
      <c r="D1860" t="s">
        <v>29</v>
      </c>
      <c r="E1860">
        <v>96.6</v>
      </c>
      <c r="F1860" s="1">
        <v>-22.0150943396226</v>
      </c>
      <c r="G1860" s="2">
        <v>-2873.6607143114202</v>
      </c>
      <c r="H1860" s="1">
        <v>139.14498342143099</v>
      </c>
      <c r="I1860" s="1">
        <f t="shared" si="59"/>
        <v>143.93479143304003</v>
      </c>
    </row>
    <row r="1861" spans="1:9" x14ac:dyDescent="0.45">
      <c r="A1861" t="s">
        <v>30</v>
      </c>
      <c r="B1861" t="s">
        <v>34</v>
      </c>
      <c r="C1861" t="str">
        <f t="shared" si="58"/>
        <v>Iowa St.Lipscomb</v>
      </c>
      <c r="D1861" t="s">
        <v>30</v>
      </c>
      <c r="E1861">
        <v>98.4</v>
      </c>
      <c r="F1861" s="1">
        <v>-26.875471698113198</v>
      </c>
      <c r="G1861" s="2">
        <v>-6032.4197073469104</v>
      </c>
      <c r="H1861" s="1">
        <v>140.04152571301699</v>
      </c>
      <c r="I1861" s="1">
        <f t="shared" si="59"/>
        <v>156.52378330685866</v>
      </c>
    </row>
    <row r="1862" spans="1:9" x14ac:dyDescent="0.45">
      <c r="A1862" t="s">
        <v>31</v>
      </c>
      <c r="B1862" t="s">
        <v>34</v>
      </c>
      <c r="C1862" t="str">
        <f t="shared" si="58"/>
        <v>KansasLipscomb</v>
      </c>
      <c r="D1862" t="s">
        <v>31</v>
      </c>
      <c r="E1862">
        <v>94.9</v>
      </c>
      <c r="F1862" s="1">
        <v>-19.158490566037699</v>
      </c>
      <c r="G1862" s="2">
        <v>-1859.04804706696</v>
      </c>
      <c r="H1862" s="1">
        <v>139.09211360187101</v>
      </c>
      <c r="I1862" s="1">
        <f t="shared" si="59"/>
        <v>143.1924084634274</v>
      </c>
    </row>
    <row r="1863" spans="1:9" x14ac:dyDescent="0.45">
      <c r="A1863" t="s">
        <v>32</v>
      </c>
      <c r="B1863" t="s">
        <v>34</v>
      </c>
      <c r="C1863" t="str">
        <f t="shared" si="58"/>
        <v>KentuckyLipscomb</v>
      </c>
      <c r="D1863" t="s">
        <v>32</v>
      </c>
      <c r="E1863">
        <v>96.9</v>
      </c>
      <c r="F1863" s="1">
        <v>-22.5245283018868</v>
      </c>
      <c r="G1863" s="2">
        <v>-3105.8219648945701</v>
      </c>
      <c r="H1863" s="1">
        <v>139.02639593399601</v>
      </c>
      <c r="I1863" s="1">
        <f t="shared" si="59"/>
        <v>142.26961966181821</v>
      </c>
    </row>
    <row r="1864" spans="1:9" x14ac:dyDescent="0.45">
      <c r="A1864" t="s">
        <v>33</v>
      </c>
      <c r="B1864" t="s">
        <v>34</v>
      </c>
      <c r="C1864" t="str">
        <f t="shared" si="58"/>
        <v>LibertyLipscomb</v>
      </c>
      <c r="D1864" t="s">
        <v>34</v>
      </c>
      <c r="E1864">
        <v>48.2</v>
      </c>
      <c r="F1864" s="1">
        <v>0.46415094339622598</v>
      </c>
      <c r="G1864" s="2">
        <v>107.312758316431</v>
      </c>
      <c r="H1864" s="1">
        <v>138.371396977714</v>
      </c>
      <c r="I1864" s="1">
        <f t="shared" si="59"/>
        <v>133.07231060525712</v>
      </c>
    </row>
    <row r="1865" spans="1:9" x14ac:dyDescent="0.45">
      <c r="A1865" t="s">
        <v>34</v>
      </c>
      <c r="B1865" t="s">
        <v>34</v>
      </c>
      <c r="C1865" t="str">
        <f t="shared" si="58"/>
        <v>LipscombLipscomb</v>
      </c>
      <c r="D1865" t="s">
        <v>34</v>
      </c>
      <c r="E1865">
        <v>41.2</v>
      </c>
      <c r="F1865" s="1">
        <v>2.3283018867924499</v>
      </c>
      <c r="G1865" s="2">
        <v>142.64273539779199</v>
      </c>
      <c r="H1865" s="1">
        <v>138.77771517530499</v>
      </c>
      <c r="I1865" s="1">
        <f t="shared" si="59"/>
        <v>138.77771517530684</v>
      </c>
    </row>
    <row r="1866" spans="1:9" x14ac:dyDescent="0.45">
      <c r="A1866" t="s">
        <v>35</v>
      </c>
      <c r="B1866" t="s">
        <v>34</v>
      </c>
      <c r="C1866" t="str">
        <f t="shared" si="58"/>
        <v>LouisvilleLipscomb</v>
      </c>
      <c r="D1866" t="s">
        <v>35</v>
      </c>
      <c r="E1866">
        <v>63.8</v>
      </c>
      <c r="F1866" s="1">
        <v>-3.7207547169811299</v>
      </c>
      <c r="G1866" s="2">
        <v>-176.39577407611</v>
      </c>
      <c r="H1866" s="1">
        <v>138.023077181123</v>
      </c>
      <c r="I1866" s="1">
        <f t="shared" si="59"/>
        <v>128.18130308678624</v>
      </c>
    </row>
    <row r="1867" spans="1:9" x14ac:dyDescent="0.45">
      <c r="A1867" t="s">
        <v>36</v>
      </c>
      <c r="B1867" t="s">
        <v>34</v>
      </c>
      <c r="C1867" t="str">
        <f t="shared" si="58"/>
        <v>MarquetteLipscomb</v>
      </c>
      <c r="D1867" t="s">
        <v>36</v>
      </c>
      <c r="E1867">
        <v>96</v>
      </c>
      <c r="F1867" s="1">
        <v>-20.788679245282999</v>
      </c>
      <c r="G1867" s="2">
        <v>-2383.5895565484402</v>
      </c>
      <c r="H1867" s="1">
        <v>139.28521102458501</v>
      </c>
      <c r="I1867" s="1">
        <f t="shared" si="59"/>
        <v>145.90382755454644</v>
      </c>
    </row>
    <row r="1868" spans="1:9" x14ac:dyDescent="0.45">
      <c r="A1868" t="s">
        <v>37</v>
      </c>
      <c r="B1868" t="s">
        <v>34</v>
      </c>
      <c r="C1868" t="str">
        <f t="shared" si="58"/>
        <v>MarylandLipscomb</v>
      </c>
      <c r="D1868" t="s">
        <v>37</v>
      </c>
      <c r="E1868">
        <v>93.6</v>
      </c>
      <c r="F1868" s="1">
        <v>-17.622641509434001</v>
      </c>
      <c r="G1868" s="2">
        <v>-1470.2718499538501</v>
      </c>
      <c r="H1868" s="1">
        <v>138.743580623128</v>
      </c>
      <c r="I1868" s="1">
        <f t="shared" si="59"/>
        <v>138.2984075018089</v>
      </c>
    </row>
    <row r="1869" spans="1:9" x14ac:dyDescent="0.45">
      <c r="A1869" t="s">
        <v>38</v>
      </c>
      <c r="B1869" t="s">
        <v>34</v>
      </c>
      <c r="C1869" t="str">
        <f t="shared" si="58"/>
        <v>McNeese St.Lipscomb</v>
      </c>
      <c r="D1869" t="s">
        <v>38</v>
      </c>
      <c r="E1869">
        <v>77.400000000000006</v>
      </c>
      <c r="F1869" s="1">
        <v>-8.0792452830188708</v>
      </c>
      <c r="G1869" s="2">
        <v>-343.02673420754201</v>
      </c>
      <c r="H1869" s="1">
        <v>139.33681603609199</v>
      </c>
      <c r="I1869" s="1">
        <f t="shared" si="59"/>
        <v>146.62845044920144</v>
      </c>
    </row>
    <row r="1870" spans="1:9" x14ac:dyDescent="0.45">
      <c r="A1870" t="s">
        <v>39</v>
      </c>
      <c r="B1870" t="s">
        <v>34</v>
      </c>
      <c r="C1870" t="str">
        <f t="shared" si="58"/>
        <v>MemphisLipscomb</v>
      </c>
      <c r="D1870" t="s">
        <v>39</v>
      </c>
      <c r="E1870">
        <v>89.2</v>
      </c>
      <c r="F1870" s="1">
        <v>-13.856603773584901</v>
      </c>
      <c r="G1870" s="2">
        <v>-827.93696987924704</v>
      </c>
      <c r="H1870" s="1">
        <v>137.871097862618</v>
      </c>
      <c r="I1870" s="1">
        <f t="shared" si="59"/>
        <v>126.04725272061408</v>
      </c>
    </row>
    <row r="1871" spans="1:9" x14ac:dyDescent="0.45">
      <c r="A1871" t="s">
        <v>40</v>
      </c>
      <c r="B1871" t="s">
        <v>34</v>
      </c>
      <c r="C1871" t="str">
        <f t="shared" si="58"/>
        <v>MichiganLipscomb</v>
      </c>
      <c r="D1871" t="s">
        <v>40</v>
      </c>
      <c r="E1871">
        <v>80.3</v>
      </c>
      <c r="F1871" s="1">
        <v>-9.2301886792452805</v>
      </c>
      <c r="G1871" s="2">
        <v>-408.88637710909302</v>
      </c>
      <c r="H1871" s="1">
        <v>137.433719159535</v>
      </c>
      <c r="I1871" s="1">
        <f t="shared" si="59"/>
        <v>119.90570536633065</v>
      </c>
    </row>
    <row r="1872" spans="1:9" x14ac:dyDescent="0.45">
      <c r="A1872" t="s">
        <v>41</v>
      </c>
      <c r="B1872" t="s">
        <v>34</v>
      </c>
      <c r="C1872" t="str">
        <f t="shared" si="58"/>
        <v>Michigan St.Lipscomb</v>
      </c>
      <c r="D1872" t="s">
        <v>41</v>
      </c>
      <c r="E1872">
        <v>97.5</v>
      </c>
      <c r="F1872" s="1">
        <v>-23.977358490566001</v>
      </c>
      <c r="G1872" s="2">
        <v>-3877.5533586411002</v>
      </c>
      <c r="H1872" s="1">
        <v>139.08079886874199</v>
      </c>
      <c r="I1872" s="1">
        <f t="shared" si="59"/>
        <v>143.03353019884091</v>
      </c>
    </row>
    <row r="1873" spans="1:9" x14ac:dyDescent="0.45">
      <c r="A1873" t="s">
        <v>42</v>
      </c>
      <c r="B1873" t="s">
        <v>34</v>
      </c>
      <c r="C1873" t="str">
        <f t="shared" si="58"/>
        <v>MississippiLipscomb</v>
      </c>
      <c r="D1873" t="s">
        <v>42</v>
      </c>
      <c r="E1873">
        <v>91.4</v>
      </c>
      <c r="F1873" s="1">
        <v>-15.4830188679245</v>
      </c>
      <c r="G1873" s="2">
        <v>-1060.9291145064699</v>
      </c>
      <c r="H1873" s="1">
        <v>138.34849021863101</v>
      </c>
      <c r="I1873" s="1">
        <f t="shared" si="59"/>
        <v>132.75066040910062</v>
      </c>
    </row>
    <row r="1874" spans="1:9" x14ac:dyDescent="0.45">
      <c r="A1874" t="s">
        <v>43</v>
      </c>
      <c r="B1874" t="s">
        <v>34</v>
      </c>
      <c r="C1874" t="str">
        <f t="shared" si="58"/>
        <v>Mississippi St.Lipscomb</v>
      </c>
      <c r="D1874" t="s">
        <v>43</v>
      </c>
      <c r="E1874">
        <v>89.1</v>
      </c>
      <c r="F1874" s="1">
        <v>-13.7584905660377</v>
      </c>
      <c r="G1874" s="2">
        <v>-815.65978710018601</v>
      </c>
      <c r="H1874" s="1">
        <v>138.488236691308</v>
      </c>
      <c r="I1874" s="1">
        <f t="shared" si="59"/>
        <v>134.71294063328645</v>
      </c>
    </row>
    <row r="1875" spans="1:9" x14ac:dyDescent="0.45">
      <c r="A1875" t="s">
        <v>44</v>
      </c>
      <c r="B1875" t="s">
        <v>34</v>
      </c>
      <c r="C1875" t="str">
        <f t="shared" si="58"/>
        <v>MissouriLipscomb</v>
      </c>
      <c r="D1875" t="s">
        <v>44</v>
      </c>
      <c r="E1875">
        <v>79.400000000000006</v>
      </c>
      <c r="F1875" s="1">
        <v>-8.8264150943396196</v>
      </c>
      <c r="G1875" s="2">
        <v>-384.26494721020202</v>
      </c>
      <c r="H1875" s="1">
        <v>137.90589858995301</v>
      </c>
      <c r="I1875" s="1">
        <f t="shared" si="59"/>
        <v>126.53591463621474</v>
      </c>
    </row>
    <row r="1876" spans="1:9" x14ac:dyDescent="0.45">
      <c r="A1876" t="s">
        <v>45</v>
      </c>
      <c r="B1876" t="s">
        <v>34</v>
      </c>
      <c r="C1876" t="str">
        <f t="shared" si="58"/>
        <v>MontanaLipscomb</v>
      </c>
      <c r="D1876" t="s">
        <v>34</v>
      </c>
      <c r="E1876">
        <v>25.6</v>
      </c>
      <c r="F1876" s="1">
        <v>6.9811320754716997</v>
      </c>
      <c r="G1876" s="2">
        <v>290.078120509092</v>
      </c>
      <c r="H1876" s="1">
        <v>137.04261015335999</v>
      </c>
      <c r="I1876" s="1">
        <f t="shared" si="59"/>
        <v>114.41386393651425</v>
      </c>
    </row>
    <row r="1877" spans="1:9" x14ac:dyDescent="0.45">
      <c r="A1877" t="s">
        <v>46</v>
      </c>
      <c r="B1877" t="s">
        <v>34</v>
      </c>
      <c r="C1877" t="str">
        <f t="shared" si="58"/>
        <v>Mount St. Mary'sLipscomb</v>
      </c>
      <c r="D1877" t="s">
        <v>34</v>
      </c>
      <c r="E1877">
        <v>11.6</v>
      </c>
      <c r="F1877" s="1">
        <v>13.316981132075499</v>
      </c>
      <c r="G1877" s="2">
        <v>762.32315501761002</v>
      </c>
      <c r="H1877" s="1">
        <v>138.345898107511</v>
      </c>
      <c r="I1877" s="1">
        <f t="shared" si="59"/>
        <v>132.714262721973</v>
      </c>
    </row>
    <row r="1878" spans="1:9" x14ac:dyDescent="0.45">
      <c r="A1878" t="s">
        <v>47</v>
      </c>
      <c r="B1878" t="s">
        <v>34</v>
      </c>
      <c r="C1878" t="str">
        <f t="shared" si="58"/>
        <v>Nebraska OmahaLipscomb</v>
      </c>
      <c r="D1878" t="s">
        <v>34</v>
      </c>
      <c r="E1878">
        <v>15.5</v>
      </c>
      <c r="F1878" s="1">
        <v>11.1245283018868</v>
      </c>
      <c r="G1878" s="2">
        <v>545.80384397493106</v>
      </c>
      <c r="H1878" s="1">
        <v>137.76367423961401</v>
      </c>
      <c r="I1878" s="1">
        <f t="shared" si="59"/>
        <v>124.53884075862942</v>
      </c>
    </row>
    <row r="1879" spans="1:9" x14ac:dyDescent="0.45">
      <c r="A1879" t="s">
        <v>48</v>
      </c>
      <c r="B1879" t="s">
        <v>34</v>
      </c>
      <c r="C1879" t="str">
        <f t="shared" si="58"/>
        <v>New MexicoLipscomb</v>
      </c>
      <c r="D1879" t="s">
        <v>48</v>
      </c>
      <c r="E1879">
        <v>81.5</v>
      </c>
      <c r="F1879" s="1">
        <v>-9.7056603773584893</v>
      </c>
      <c r="G1879" s="2">
        <v>-439.58878473530501</v>
      </c>
      <c r="H1879" s="1">
        <v>138.53366417143101</v>
      </c>
      <c r="I1879" s="1">
        <f t="shared" si="59"/>
        <v>135.35082038919282</v>
      </c>
    </row>
    <row r="1880" spans="1:9" x14ac:dyDescent="0.45">
      <c r="A1880" t="s">
        <v>49</v>
      </c>
      <c r="B1880" t="s">
        <v>34</v>
      </c>
      <c r="C1880" t="str">
        <f t="shared" si="58"/>
        <v>Norfolk St.Lipscomb</v>
      </c>
      <c r="D1880" t="s">
        <v>34</v>
      </c>
      <c r="E1880">
        <v>20.6</v>
      </c>
      <c r="F1880" s="1">
        <v>8.8603773584905703</v>
      </c>
      <c r="G1880" s="2">
        <v>386.35252379414499</v>
      </c>
      <c r="H1880" s="1">
        <v>137.56978993539499</v>
      </c>
      <c r="I1880" s="1">
        <f t="shared" si="59"/>
        <v>121.81637250121317</v>
      </c>
    </row>
    <row r="1881" spans="1:9" x14ac:dyDescent="0.45">
      <c r="A1881" t="s">
        <v>50</v>
      </c>
      <c r="B1881" t="s">
        <v>34</v>
      </c>
      <c r="C1881" t="str">
        <f t="shared" si="58"/>
        <v>North CarolinaLipscomb</v>
      </c>
      <c r="D1881" t="s">
        <v>50</v>
      </c>
      <c r="E1881">
        <v>93.8</v>
      </c>
      <c r="F1881" s="1">
        <v>-17.7584905660377</v>
      </c>
      <c r="G1881" s="2">
        <v>-1501.0792041391401</v>
      </c>
      <c r="H1881" s="1">
        <v>139.643395889864</v>
      </c>
      <c r="I1881" s="1">
        <f t="shared" si="59"/>
        <v>150.93335756182043</v>
      </c>
    </row>
    <row r="1882" spans="1:9" x14ac:dyDescent="0.45">
      <c r="A1882" t="s">
        <v>51</v>
      </c>
      <c r="B1882" t="s">
        <v>34</v>
      </c>
      <c r="C1882" t="str">
        <f t="shared" si="58"/>
        <v>OklahomaLipscomb</v>
      </c>
      <c r="D1882" t="s">
        <v>51</v>
      </c>
      <c r="E1882">
        <v>84</v>
      </c>
      <c r="F1882" s="1">
        <v>-10.8754716981132</v>
      </c>
      <c r="G1882" s="2">
        <v>-525.32296691647798</v>
      </c>
      <c r="H1882" s="1">
        <v>138.06701901603901</v>
      </c>
      <c r="I1882" s="1">
        <f t="shared" si="59"/>
        <v>128.79832183522672</v>
      </c>
    </row>
    <row r="1883" spans="1:9" x14ac:dyDescent="0.45">
      <c r="A1883" t="s">
        <v>52</v>
      </c>
      <c r="B1883" t="s">
        <v>34</v>
      </c>
      <c r="C1883" t="str">
        <f t="shared" si="58"/>
        <v>OregonLipscomb</v>
      </c>
      <c r="D1883" t="s">
        <v>52</v>
      </c>
      <c r="E1883">
        <v>93.6</v>
      </c>
      <c r="F1883" s="1">
        <v>-17.641509433962302</v>
      </c>
      <c r="G1883" s="2">
        <v>-1474.6624923633599</v>
      </c>
      <c r="H1883" s="1">
        <v>138.35773640756801</v>
      </c>
      <c r="I1883" s="1">
        <f t="shared" si="59"/>
        <v>132.88049276445528</v>
      </c>
    </row>
    <row r="1884" spans="1:9" x14ac:dyDescent="0.45">
      <c r="A1884" t="s">
        <v>53</v>
      </c>
      <c r="B1884" t="s">
        <v>34</v>
      </c>
      <c r="C1884" t="str">
        <f t="shared" si="58"/>
        <v>PurdueLipscomb</v>
      </c>
      <c r="D1884" t="s">
        <v>53</v>
      </c>
      <c r="E1884">
        <v>98.8</v>
      </c>
      <c r="F1884" s="1">
        <v>-29.011320754717001</v>
      </c>
      <c r="G1884" s="2">
        <v>-8357.8053843080797</v>
      </c>
      <c r="H1884" s="1">
        <v>139.84582360736599</v>
      </c>
      <c r="I1884" s="1">
        <f t="shared" si="59"/>
        <v>153.77578999873327</v>
      </c>
    </row>
    <row r="1885" spans="1:9" x14ac:dyDescent="0.45">
      <c r="A1885" t="s">
        <v>54</v>
      </c>
      <c r="B1885" t="s">
        <v>34</v>
      </c>
      <c r="C1885" t="str">
        <f t="shared" si="58"/>
        <v>Robert MorrisLipscomb</v>
      </c>
      <c r="D1885" t="s">
        <v>34</v>
      </c>
      <c r="E1885">
        <v>9.4</v>
      </c>
      <c r="F1885" s="1">
        <v>14.8754716981132</v>
      </c>
      <c r="G1885" s="2">
        <v>967.25870370025996</v>
      </c>
      <c r="H1885" s="1">
        <v>136.928788936053</v>
      </c>
      <c r="I1885" s="1">
        <f t="shared" si="59"/>
        <v>112.81561877485986</v>
      </c>
    </row>
    <row r="1886" spans="1:9" x14ac:dyDescent="0.45">
      <c r="A1886" t="s">
        <v>55</v>
      </c>
      <c r="B1886" t="s">
        <v>34</v>
      </c>
      <c r="C1886" t="str">
        <f t="shared" si="58"/>
        <v>Saint FrancisLipscomb</v>
      </c>
      <c r="D1886" t="s">
        <v>34</v>
      </c>
      <c r="E1886">
        <v>5.8</v>
      </c>
      <c r="F1886" s="1">
        <v>18.237735849056602</v>
      </c>
      <c r="G1886" s="2">
        <v>1615.5665060332699</v>
      </c>
      <c r="H1886" s="1">
        <v>137.635636818096</v>
      </c>
      <c r="I1886" s="1">
        <f t="shared" si="59"/>
        <v>122.74097570065943</v>
      </c>
    </row>
    <row r="1887" spans="1:9" x14ac:dyDescent="0.45">
      <c r="A1887" t="s">
        <v>56</v>
      </c>
      <c r="B1887" t="s">
        <v>34</v>
      </c>
      <c r="C1887" t="str">
        <f t="shared" si="58"/>
        <v>Saint Mary'sLipscomb</v>
      </c>
      <c r="D1887" t="s">
        <v>56</v>
      </c>
      <c r="E1887">
        <v>93.5</v>
      </c>
      <c r="F1887" s="1">
        <v>-17.498113207547199</v>
      </c>
      <c r="G1887" s="2">
        <v>-1442.5780977807999</v>
      </c>
      <c r="H1887" s="1">
        <v>139.36484293403799</v>
      </c>
      <c r="I1887" s="1">
        <f t="shared" si="59"/>
        <v>147.02199617905927</v>
      </c>
    </row>
    <row r="1888" spans="1:9" x14ac:dyDescent="0.45">
      <c r="A1888" t="s">
        <v>57</v>
      </c>
      <c r="B1888" t="s">
        <v>34</v>
      </c>
      <c r="C1888" t="str">
        <f t="shared" si="58"/>
        <v>San Diego St.Lipscomb</v>
      </c>
      <c r="D1888" t="s">
        <v>57</v>
      </c>
      <c r="E1888">
        <v>81.7</v>
      </c>
      <c r="F1888" s="1">
        <v>-9.8226415094339607</v>
      </c>
      <c r="G1888" s="2">
        <v>-447.445111995817</v>
      </c>
      <c r="H1888" s="1">
        <v>138.579542097066</v>
      </c>
      <c r="I1888" s="1">
        <f t="shared" si="59"/>
        <v>135.9950251728676</v>
      </c>
    </row>
    <row r="1889" spans="1:9" x14ac:dyDescent="0.45">
      <c r="A1889" t="s">
        <v>58</v>
      </c>
      <c r="B1889" t="s">
        <v>34</v>
      </c>
      <c r="C1889" t="str">
        <f t="shared" si="58"/>
        <v>SIU EdwardsvilleLipscomb</v>
      </c>
      <c r="D1889" t="s">
        <v>34</v>
      </c>
      <c r="E1889">
        <v>17.5</v>
      </c>
      <c r="F1889" s="1">
        <v>10.150943396226401</v>
      </c>
      <c r="G1889" s="2">
        <v>470.479290326642</v>
      </c>
      <c r="H1889" s="1">
        <v>138.63880027725099</v>
      </c>
      <c r="I1889" s="1">
        <f t="shared" si="59"/>
        <v>136.82711168546984</v>
      </c>
    </row>
    <row r="1890" spans="1:9" x14ac:dyDescent="0.45">
      <c r="A1890" t="s">
        <v>59</v>
      </c>
      <c r="B1890" t="s">
        <v>34</v>
      </c>
      <c r="C1890" t="str">
        <f t="shared" si="58"/>
        <v>St. John'sLipscomb</v>
      </c>
      <c r="D1890" t="s">
        <v>59</v>
      </c>
      <c r="E1890">
        <v>97.7</v>
      </c>
      <c r="F1890" s="1">
        <v>-24.479245283018901</v>
      </c>
      <c r="G1890" s="2">
        <v>-4185.9012965133797</v>
      </c>
      <c r="H1890" s="1">
        <v>139.458256725805</v>
      </c>
      <c r="I1890" s="1">
        <f t="shared" si="59"/>
        <v>148.33368607533518</v>
      </c>
    </row>
    <row r="1891" spans="1:9" x14ac:dyDescent="0.45">
      <c r="A1891" t="s">
        <v>60</v>
      </c>
      <c r="B1891" t="s">
        <v>34</v>
      </c>
      <c r="C1891" t="str">
        <f t="shared" si="58"/>
        <v>TennesseeLipscomb</v>
      </c>
      <c r="D1891" t="s">
        <v>60</v>
      </c>
      <c r="E1891">
        <v>98.9</v>
      </c>
      <c r="F1891" s="1">
        <v>-29.6943396226415</v>
      </c>
      <c r="G1891" s="2">
        <v>-9275.6953440062407</v>
      </c>
      <c r="H1891" s="1">
        <v>140.25148909993899</v>
      </c>
      <c r="I1891" s="1">
        <f t="shared" si="59"/>
        <v>159.47202947055558</v>
      </c>
    </row>
    <row r="1892" spans="1:9" x14ac:dyDescent="0.45">
      <c r="A1892" t="s">
        <v>61</v>
      </c>
      <c r="B1892" t="s">
        <v>34</v>
      </c>
      <c r="C1892" t="str">
        <f t="shared" si="58"/>
        <v>TexasLipscomb</v>
      </c>
      <c r="D1892" t="s">
        <v>61</v>
      </c>
      <c r="E1892">
        <v>78.8</v>
      </c>
      <c r="F1892" s="1">
        <v>-8.6</v>
      </c>
      <c r="G1892" s="2">
        <v>-371.28008289883599</v>
      </c>
      <c r="H1892" s="1">
        <v>137.95137092757699</v>
      </c>
      <c r="I1892" s="1">
        <f t="shared" si="59"/>
        <v>127.17442426839183</v>
      </c>
    </row>
    <row r="1893" spans="1:9" x14ac:dyDescent="0.45">
      <c r="A1893" t="s">
        <v>62</v>
      </c>
      <c r="B1893" t="s">
        <v>34</v>
      </c>
      <c r="C1893" t="str">
        <f t="shared" si="58"/>
        <v>Texas A&amp;MLipscomb</v>
      </c>
      <c r="D1893" t="s">
        <v>62</v>
      </c>
      <c r="E1893">
        <v>95.5</v>
      </c>
      <c r="F1893" s="1">
        <v>-20</v>
      </c>
      <c r="G1893" s="2">
        <v>-2113.7612476139502</v>
      </c>
      <c r="H1893" s="1">
        <v>138.73834623697499</v>
      </c>
      <c r="I1893" s="1">
        <f t="shared" si="59"/>
        <v>138.22490774015452</v>
      </c>
    </row>
    <row r="1894" spans="1:9" x14ac:dyDescent="0.45">
      <c r="A1894" t="s">
        <v>63</v>
      </c>
      <c r="B1894" t="s">
        <v>34</v>
      </c>
      <c r="C1894" t="str">
        <f t="shared" si="58"/>
        <v>Texas TechLipscomb</v>
      </c>
      <c r="D1894" t="s">
        <v>63</v>
      </c>
      <c r="E1894">
        <v>97.6</v>
      </c>
      <c r="F1894" s="1">
        <v>-24.335849056603799</v>
      </c>
      <c r="G1894" s="2">
        <v>-4094.2218627554598</v>
      </c>
      <c r="H1894" s="1">
        <v>139.72885884221401</v>
      </c>
      <c r="I1894" s="1">
        <f t="shared" si="59"/>
        <v>152.13340403229267</v>
      </c>
    </row>
    <row r="1895" spans="1:9" x14ac:dyDescent="0.45">
      <c r="A1895" t="s">
        <v>64</v>
      </c>
      <c r="B1895" t="s">
        <v>34</v>
      </c>
      <c r="C1895" t="str">
        <f t="shared" si="58"/>
        <v>TroyLipscomb</v>
      </c>
      <c r="D1895" t="s">
        <v>34</v>
      </c>
      <c r="E1895">
        <v>37.1</v>
      </c>
      <c r="F1895" s="1">
        <v>3.4754716981132101</v>
      </c>
      <c r="G1895" s="2">
        <v>169.89081154850001</v>
      </c>
      <c r="H1895" s="1">
        <v>138.495163436773</v>
      </c>
      <c r="I1895" s="1">
        <f t="shared" si="59"/>
        <v>134.81020402307763</v>
      </c>
    </row>
    <row r="1896" spans="1:9" x14ac:dyDescent="0.45">
      <c r="A1896" t="s">
        <v>65</v>
      </c>
      <c r="B1896" t="s">
        <v>34</v>
      </c>
      <c r="C1896" t="str">
        <f t="shared" si="58"/>
        <v>UC San DiegoLipscomb</v>
      </c>
      <c r="D1896" t="s">
        <v>65</v>
      </c>
      <c r="E1896">
        <v>60.2</v>
      </c>
      <c r="F1896" s="1">
        <v>-2.7056603773584902</v>
      </c>
      <c r="G1896" s="2">
        <v>-151.13255399562101</v>
      </c>
      <c r="H1896" s="1">
        <v>138.56528366643599</v>
      </c>
      <c r="I1896" s="1">
        <f t="shared" si="59"/>
        <v>135.79481234518602</v>
      </c>
    </row>
    <row r="1897" spans="1:9" x14ac:dyDescent="0.45">
      <c r="A1897" t="s">
        <v>66</v>
      </c>
      <c r="B1897" t="s">
        <v>34</v>
      </c>
      <c r="C1897" t="str">
        <f t="shared" si="58"/>
        <v>UCLALipscomb</v>
      </c>
      <c r="D1897" t="s">
        <v>66</v>
      </c>
      <c r="E1897">
        <v>83.9</v>
      </c>
      <c r="F1897" s="1">
        <v>-10.807547169811301</v>
      </c>
      <c r="G1897" s="2">
        <v>-520.05523582838703</v>
      </c>
      <c r="H1897" s="1">
        <v>137.78654224564801</v>
      </c>
      <c r="I1897" s="1">
        <f t="shared" si="59"/>
        <v>124.8599467954938</v>
      </c>
    </row>
    <row r="1898" spans="1:9" x14ac:dyDescent="0.45">
      <c r="A1898" t="s">
        <v>67</v>
      </c>
      <c r="B1898" t="s">
        <v>34</v>
      </c>
      <c r="C1898" t="str">
        <f t="shared" si="58"/>
        <v>UNC WilmingtonLipscomb</v>
      </c>
      <c r="D1898" t="s">
        <v>34</v>
      </c>
      <c r="E1898">
        <v>46.6</v>
      </c>
      <c r="F1898" s="1">
        <v>0.88301886792452799</v>
      </c>
      <c r="G1898" s="2">
        <v>114.447146345306</v>
      </c>
      <c r="H1898" s="1">
        <v>139.10195213710099</v>
      </c>
      <c r="I1898" s="1">
        <f t="shared" si="59"/>
        <v>143.33055837695963</v>
      </c>
    </row>
    <row r="1899" spans="1:9" x14ac:dyDescent="0.45">
      <c r="A1899" t="s">
        <v>68</v>
      </c>
      <c r="B1899" t="s">
        <v>34</v>
      </c>
      <c r="C1899" t="str">
        <f t="shared" si="58"/>
        <v>Utah St.Lipscomb</v>
      </c>
      <c r="D1899" t="s">
        <v>68</v>
      </c>
      <c r="E1899">
        <v>83.1</v>
      </c>
      <c r="F1899" s="1">
        <v>-10.441509433962301</v>
      </c>
      <c r="G1899" s="2">
        <v>-491.85061645943</v>
      </c>
      <c r="H1899" s="1">
        <v>138.64913863568</v>
      </c>
      <c r="I1899" s="1">
        <f t="shared" si="59"/>
        <v>136.97227997420856</v>
      </c>
    </row>
    <row r="1900" spans="1:9" x14ac:dyDescent="0.45">
      <c r="A1900" t="s">
        <v>69</v>
      </c>
      <c r="B1900" t="s">
        <v>34</v>
      </c>
      <c r="C1900" t="str">
        <f t="shared" si="58"/>
        <v>VanderbiltLipscomb</v>
      </c>
      <c r="D1900" t="s">
        <v>34</v>
      </c>
      <c r="E1900">
        <v>49.2</v>
      </c>
      <c r="F1900" s="1">
        <v>0.20377358490566</v>
      </c>
      <c r="G1900" s="2">
        <v>103.177677670126</v>
      </c>
      <c r="H1900" s="1">
        <v>137.08317651696299</v>
      </c>
      <c r="I1900" s="1">
        <f t="shared" si="59"/>
        <v>114.98348527679167</v>
      </c>
    </row>
    <row r="1901" spans="1:9" x14ac:dyDescent="0.45">
      <c r="A1901" t="s">
        <v>70</v>
      </c>
      <c r="B1901" t="s">
        <v>34</v>
      </c>
      <c r="C1901" t="str">
        <f t="shared" si="58"/>
        <v>VCULipscomb</v>
      </c>
      <c r="D1901" t="s">
        <v>70</v>
      </c>
      <c r="E1901">
        <v>75.7</v>
      </c>
      <c r="F1901" s="1">
        <v>-7.4415094339622598</v>
      </c>
      <c r="G1901" s="2">
        <v>-311.125782171705</v>
      </c>
      <c r="H1901" s="1">
        <v>139.00834964615601</v>
      </c>
      <c r="I1901" s="1">
        <f t="shared" si="59"/>
        <v>142.0162188204942</v>
      </c>
    </row>
    <row r="1902" spans="1:9" x14ac:dyDescent="0.45">
      <c r="A1902" t="s">
        <v>71</v>
      </c>
      <c r="B1902" t="s">
        <v>34</v>
      </c>
      <c r="C1902" t="str">
        <f t="shared" si="58"/>
        <v>WisconsinLipscomb</v>
      </c>
      <c r="D1902" t="s">
        <v>71</v>
      </c>
      <c r="E1902">
        <v>97.3</v>
      </c>
      <c r="F1902" s="1">
        <v>-23.392452830188699</v>
      </c>
      <c r="G1902" s="2">
        <v>-3546.6770137086901</v>
      </c>
      <c r="H1902" s="1">
        <v>139.661605254487</v>
      </c>
      <c r="I1902" s="1">
        <f t="shared" si="59"/>
        <v>151.1890482809508</v>
      </c>
    </row>
    <row r="1903" spans="1:9" x14ac:dyDescent="0.45">
      <c r="A1903" t="s">
        <v>80</v>
      </c>
      <c r="B1903" t="s">
        <v>34</v>
      </c>
      <c r="C1903" t="str">
        <f t="shared" si="58"/>
        <v>WoffordLipscomb</v>
      </c>
      <c r="D1903" t="s">
        <v>34</v>
      </c>
      <c r="E1903">
        <v>23.4</v>
      </c>
      <c r="F1903" s="1">
        <v>7.7811320754717004</v>
      </c>
      <c r="G1903" s="2">
        <v>327.69094686560101</v>
      </c>
      <c r="H1903" s="1">
        <v>137.75925368371401</v>
      </c>
      <c r="I1903" s="1">
        <f t="shared" si="59"/>
        <v>124.47676856992722</v>
      </c>
    </row>
    <row r="1904" spans="1:9" x14ac:dyDescent="0.45">
      <c r="A1904" t="s">
        <v>72</v>
      </c>
      <c r="B1904" t="s">
        <v>34</v>
      </c>
      <c r="C1904" t="str">
        <f t="shared" si="58"/>
        <v>XavierLipscomb</v>
      </c>
      <c r="D1904" t="s">
        <v>72</v>
      </c>
      <c r="E1904">
        <v>75.5</v>
      </c>
      <c r="F1904" s="1">
        <v>-7.3660377358490603</v>
      </c>
      <c r="G1904" s="2">
        <v>-307.67344622207497</v>
      </c>
      <c r="H1904" s="1">
        <v>138.50205585433599</v>
      </c>
      <c r="I1904" s="1">
        <f t="shared" si="59"/>
        <v>134.90698539023214</v>
      </c>
    </row>
    <row r="1905" spans="1:9" x14ac:dyDescent="0.45">
      <c r="A1905" t="s">
        <v>73</v>
      </c>
      <c r="B1905" t="s">
        <v>34</v>
      </c>
      <c r="C1905" t="str">
        <f t="shared" si="58"/>
        <v>YaleLipscomb</v>
      </c>
      <c r="D1905" t="s">
        <v>73</v>
      </c>
      <c r="E1905">
        <v>61.7</v>
      </c>
      <c r="F1905" s="1">
        <v>-3.1169811320754701</v>
      </c>
      <c r="G1905" s="2">
        <v>-160.89573224310101</v>
      </c>
      <c r="H1905" s="1">
        <v>139.10176199073001</v>
      </c>
      <c r="I1905" s="1">
        <f t="shared" si="59"/>
        <v>143.32788839569761</v>
      </c>
    </row>
    <row r="1906" spans="1:9" x14ac:dyDescent="0.45">
      <c r="A1906" t="s">
        <v>7</v>
      </c>
      <c r="B1906" t="s">
        <v>35</v>
      </c>
      <c r="C1906" t="str">
        <f t="shared" si="58"/>
        <v>AkronLouisville</v>
      </c>
      <c r="D1906" t="s">
        <v>35</v>
      </c>
      <c r="E1906">
        <v>25</v>
      </c>
      <c r="F1906" s="1">
        <v>7.1962264150943396</v>
      </c>
      <c r="G1906" s="2">
        <v>299.68655381250301</v>
      </c>
      <c r="H1906" s="1">
        <v>138.67322704549201</v>
      </c>
      <c r="I1906" s="1">
        <f t="shared" si="59"/>
        <v>137.31052257382999</v>
      </c>
    </row>
    <row r="1907" spans="1:9" x14ac:dyDescent="0.45">
      <c r="A1907" t="s">
        <v>8</v>
      </c>
      <c r="B1907" t="s">
        <v>35</v>
      </c>
      <c r="C1907" t="str">
        <f t="shared" si="58"/>
        <v>AlabamaLouisville</v>
      </c>
      <c r="D1907" t="s">
        <v>8</v>
      </c>
      <c r="E1907">
        <v>96.2</v>
      </c>
      <c r="F1907" s="1">
        <v>-21.143396226415099</v>
      </c>
      <c r="G1907" s="2">
        <v>-2516.8854298576098</v>
      </c>
      <c r="H1907" s="1">
        <v>140.48083823308701</v>
      </c>
      <c r="I1907" s="1">
        <f t="shared" si="59"/>
        <v>162.69248476927902</v>
      </c>
    </row>
    <row r="1908" spans="1:9" x14ac:dyDescent="0.45">
      <c r="A1908" t="s">
        <v>9</v>
      </c>
      <c r="B1908" t="s">
        <v>35</v>
      </c>
      <c r="C1908" t="str">
        <f t="shared" si="58"/>
        <v>Alabama St.Louisville</v>
      </c>
      <c r="D1908" t="s">
        <v>35</v>
      </c>
      <c r="E1908">
        <v>4.8</v>
      </c>
      <c r="F1908" s="1">
        <v>19.513207547169799</v>
      </c>
      <c r="G1908" s="2">
        <v>1962.2619167412499</v>
      </c>
      <c r="H1908" s="1">
        <v>138.859988804913</v>
      </c>
      <c r="I1908" s="1">
        <f t="shared" si="59"/>
        <v>139.93297808290774</v>
      </c>
    </row>
    <row r="1909" spans="1:9" x14ac:dyDescent="0.45">
      <c r="A1909" t="s">
        <v>10</v>
      </c>
      <c r="B1909" t="s">
        <v>35</v>
      </c>
      <c r="C1909" t="str">
        <f t="shared" si="58"/>
        <v>AmericanLouisville</v>
      </c>
      <c r="D1909" t="s">
        <v>35</v>
      </c>
      <c r="E1909">
        <v>5.4</v>
      </c>
      <c r="F1909" s="1">
        <v>18.754716981132098</v>
      </c>
      <c r="G1909" s="2">
        <v>1748.2788558180901</v>
      </c>
      <c r="H1909" s="1">
        <v>138.623278324675</v>
      </c>
      <c r="I1909" s="1">
        <f t="shared" si="59"/>
        <v>136.60915684197963</v>
      </c>
    </row>
    <row r="1910" spans="1:9" x14ac:dyDescent="0.45">
      <c r="A1910" t="s">
        <v>11</v>
      </c>
      <c r="B1910" t="s">
        <v>35</v>
      </c>
      <c r="C1910" t="str">
        <f t="shared" si="58"/>
        <v>ArizonaLouisville</v>
      </c>
      <c r="D1910" t="s">
        <v>11</v>
      </c>
      <c r="E1910">
        <v>94.3</v>
      </c>
      <c r="F1910" s="1">
        <v>-18.388679245283001</v>
      </c>
      <c r="G1910" s="2">
        <v>-1653.1385897096</v>
      </c>
      <c r="H1910" s="1">
        <v>140.09131757326401</v>
      </c>
      <c r="I1910" s="1">
        <f t="shared" si="59"/>
        <v>157.22294644719761</v>
      </c>
    </row>
    <row r="1911" spans="1:9" x14ac:dyDescent="0.45">
      <c r="A1911" t="s">
        <v>12</v>
      </c>
      <c r="B1911" t="s">
        <v>35</v>
      </c>
      <c r="C1911" t="str">
        <f t="shared" si="58"/>
        <v>ArkansasLouisville</v>
      </c>
      <c r="D1911" t="s">
        <v>12</v>
      </c>
      <c r="E1911">
        <v>51.9</v>
      </c>
      <c r="F1911" s="1">
        <v>-0.490566037735849</v>
      </c>
      <c r="G1911" s="2">
        <v>-107.748109710862</v>
      </c>
      <c r="H1911" s="1">
        <v>138.417241551053</v>
      </c>
      <c r="I1911" s="1">
        <f t="shared" si="59"/>
        <v>133.71604706547734</v>
      </c>
    </row>
    <row r="1912" spans="1:9" x14ac:dyDescent="0.45">
      <c r="A1912" t="s">
        <v>13</v>
      </c>
      <c r="B1912" t="s">
        <v>35</v>
      </c>
      <c r="C1912" t="str">
        <f t="shared" si="58"/>
        <v>AuburnLouisville</v>
      </c>
      <c r="D1912" t="s">
        <v>13</v>
      </c>
      <c r="E1912">
        <v>98</v>
      </c>
      <c r="F1912" s="1">
        <v>-25.584905660377402</v>
      </c>
      <c r="G1912" s="2">
        <v>-4954.2049598576696</v>
      </c>
      <c r="H1912" s="1">
        <v>141.50305446644001</v>
      </c>
      <c r="I1912" s="1">
        <f t="shared" si="59"/>
        <v>177.0461543905987</v>
      </c>
    </row>
    <row r="1913" spans="1:9" x14ac:dyDescent="0.45">
      <c r="A1913" t="s">
        <v>14</v>
      </c>
      <c r="B1913" t="s">
        <v>35</v>
      </c>
      <c r="C1913" t="str">
        <f t="shared" si="58"/>
        <v>BaylorLouisville</v>
      </c>
      <c r="D1913" t="s">
        <v>14</v>
      </c>
      <c r="E1913">
        <v>83.3</v>
      </c>
      <c r="F1913" s="1">
        <v>-10.5358490566038</v>
      </c>
      <c r="G1913" s="2">
        <v>-498.89800389990199</v>
      </c>
      <c r="H1913" s="1">
        <v>139.96597182762</v>
      </c>
      <c r="I1913" s="1">
        <f t="shared" si="59"/>
        <v>155.46287713631355</v>
      </c>
    </row>
    <row r="1914" spans="1:9" x14ac:dyDescent="0.45">
      <c r="A1914" t="s">
        <v>15</v>
      </c>
      <c r="B1914" t="s">
        <v>35</v>
      </c>
      <c r="C1914" t="str">
        <f t="shared" si="58"/>
        <v>BryantLouisville</v>
      </c>
      <c r="D1914" t="s">
        <v>35</v>
      </c>
      <c r="E1914">
        <v>18.899999999999999</v>
      </c>
      <c r="F1914" s="1">
        <v>9.5358490566037695</v>
      </c>
      <c r="G1914" s="2">
        <v>428.252635736527</v>
      </c>
      <c r="H1914" s="1">
        <v>139.55829170326601</v>
      </c>
      <c r="I1914" s="1">
        <f t="shared" si="59"/>
        <v>149.73834877800195</v>
      </c>
    </row>
    <row r="1915" spans="1:9" x14ac:dyDescent="0.45">
      <c r="A1915" t="s">
        <v>16</v>
      </c>
      <c r="B1915" t="s">
        <v>35</v>
      </c>
      <c r="C1915" t="str">
        <f t="shared" si="58"/>
        <v>BYULouisville</v>
      </c>
      <c r="D1915" t="s">
        <v>16</v>
      </c>
      <c r="E1915">
        <v>85.5</v>
      </c>
      <c r="F1915" s="1">
        <v>-11.6301886792453</v>
      </c>
      <c r="G1915" s="2">
        <v>-589.55117381658295</v>
      </c>
      <c r="H1915" s="1">
        <v>139.72833237770899</v>
      </c>
      <c r="I1915" s="1">
        <f t="shared" si="59"/>
        <v>152.12601156744446</v>
      </c>
    </row>
    <row r="1916" spans="1:9" x14ac:dyDescent="0.45">
      <c r="A1916" t="s">
        <v>17</v>
      </c>
      <c r="B1916" t="s">
        <v>35</v>
      </c>
      <c r="C1916" t="str">
        <f t="shared" si="58"/>
        <v>ClemsonLouisville</v>
      </c>
      <c r="D1916" t="s">
        <v>17</v>
      </c>
      <c r="E1916">
        <v>89.2</v>
      </c>
      <c r="F1916" s="1">
        <v>-13.8339622641509</v>
      </c>
      <c r="G1916" s="2">
        <v>-825.20656464246201</v>
      </c>
      <c r="H1916" s="1">
        <v>140.078382600151</v>
      </c>
      <c r="I1916" s="1">
        <f t="shared" si="59"/>
        <v>157.04131723356664</v>
      </c>
    </row>
    <row r="1917" spans="1:9" x14ac:dyDescent="0.45">
      <c r="A1917" t="s">
        <v>18</v>
      </c>
      <c r="B1917" t="s">
        <v>35</v>
      </c>
      <c r="C1917" t="str">
        <f t="shared" si="58"/>
        <v>Colorado St.Louisville</v>
      </c>
      <c r="D1917" t="s">
        <v>18</v>
      </c>
      <c r="E1917">
        <v>57.8</v>
      </c>
      <c r="F1917" s="1">
        <v>-2.0528301886792502</v>
      </c>
      <c r="G1917" s="2">
        <v>-136.77249747842799</v>
      </c>
      <c r="H1917" s="1">
        <v>139.46799357494601</v>
      </c>
      <c r="I1917" s="1">
        <f t="shared" si="59"/>
        <v>148.47040814172638</v>
      </c>
    </row>
    <row r="1918" spans="1:9" x14ac:dyDescent="0.45">
      <c r="A1918" t="s">
        <v>19</v>
      </c>
      <c r="B1918" t="s">
        <v>35</v>
      </c>
      <c r="C1918" t="str">
        <f t="shared" si="58"/>
        <v>ConnecticutLouisville</v>
      </c>
      <c r="D1918" t="s">
        <v>19</v>
      </c>
      <c r="E1918">
        <v>92.8</v>
      </c>
      <c r="F1918" s="1">
        <v>-16.728301886792501</v>
      </c>
      <c r="G1918" s="2">
        <v>-1283.06601714354</v>
      </c>
      <c r="H1918" s="1">
        <v>139.87863343090001</v>
      </c>
      <c r="I1918" s="1">
        <f t="shared" si="59"/>
        <v>154.23649620939128</v>
      </c>
    </row>
    <row r="1919" spans="1:9" x14ac:dyDescent="0.45">
      <c r="A1919" t="s">
        <v>20</v>
      </c>
      <c r="B1919" t="s">
        <v>35</v>
      </c>
      <c r="C1919" t="str">
        <f t="shared" si="58"/>
        <v>CreightonLouisville</v>
      </c>
      <c r="D1919" t="s">
        <v>20</v>
      </c>
      <c r="E1919">
        <v>79.8</v>
      </c>
      <c r="F1919" s="1">
        <v>-9.0188679245282994</v>
      </c>
      <c r="G1919" s="2">
        <v>-395.928115325031</v>
      </c>
      <c r="H1919" s="1">
        <v>139.427930183738</v>
      </c>
      <c r="I1919" s="1">
        <f t="shared" si="59"/>
        <v>147.90784939676968</v>
      </c>
    </row>
    <row r="1920" spans="1:9" x14ac:dyDescent="0.45">
      <c r="A1920" t="s">
        <v>21</v>
      </c>
      <c r="B1920" t="s">
        <v>35</v>
      </c>
      <c r="C1920" t="str">
        <f t="shared" si="58"/>
        <v>DrakeLouisville</v>
      </c>
      <c r="D1920" t="s">
        <v>21</v>
      </c>
      <c r="E1920">
        <v>57</v>
      </c>
      <c r="F1920" s="1">
        <v>-1.8490566037735801</v>
      </c>
      <c r="G1920" s="2">
        <v>-132.564930717024</v>
      </c>
      <c r="H1920" s="1">
        <v>139.66260598941301</v>
      </c>
      <c r="I1920" s="1">
        <f t="shared" si="59"/>
        <v>151.20310031616387</v>
      </c>
    </row>
    <row r="1921" spans="1:9" x14ac:dyDescent="0.45">
      <c r="A1921" t="s">
        <v>22</v>
      </c>
      <c r="B1921" t="s">
        <v>35</v>
      </c>
      <c r="C1921" t="str">
        <f t="shared" si="58"/>
        <v>DukeLouisville</v>
      </c>
      <c r="D1921" t="s">
        <v>22</v>
      </c>
      <c r="E1921">
        <v>98.6</v>
      </c>
      <c r="F1921" s="1">
        <v>-27.8</v>
      </c>
      <c r="G1921" s="2">
        <v>-6945.1411272149999</v>
      </c>
      <c r="H1921" s="1">
        <v>141.742945878016</v>
      </c>
      <c r="I1921" s="1">
        <f t="shared" si="59"/>
        <v>180.41464136468966</v>
      </c>
    </row>
    <row r="1922" spans="1:9" x14ac:dyDescent="0.45">
      <c r="A1922" t="s">
        <v>23</v>
      </c>
      <c r="B1922" t="s">
        <v>35</v>
      </c>
      <c r="C1922" t="str">
        <f t="shared" si="58"/>
        <v>FloridaLouisville</v>
      </c>
      <c r="D1922" t="s">
        <v>23</v>
      </c>
      <c r="E1922">
        <v>97.5</v>
      </c>
      <c r="F1922" s="1">
        <v>-23.9433962264151</v>
      </c>
      <c r="G1922" s="2">
        <v>-3856.1055679900501</v>
      </c>
      <c r="H1922" s="1">
        <v>141.47759640557001</v>
      </c>
      <c r="I1922" s="1">
        <f t="shared" si="59"/>
        <v>176.68867954036205</v>
      </c>
    </row>
    <row r="1923" spans="1:9" x14ac:dyDescent="0.45">
      <c r="A1923" t="s">
        <v>24</v>
      </c>
      <c r="B1923" t="s">
        <v>35</v>
      </c>
      <c r="C1923" t="str">
        <f t="shared" ref="C1923:C1986" si="60">A1923&amp;B1923</f>
        <v>GeorgiaLouisville</v>
      </c>
      <c r="D1923" t="s">
        <v>24</v>
      </c>
      <c r="E1923">
        <v>60.8</v>
      </c>
      <c r="F1923" s="1">
        <v>-2.8792452830188702</v>
      </c>
      <c r="G1923" s="2">
        <v>-155.17916013947101</v>
      </c>
      <c r="H1923" s="1">
        <v>138.74155470185499</v>
      </c>
      <c r="I1923" s="1">
        <f t="shared" ref="I1923:I1986" si="61">18*(H1923-AVERAGE($H$2:$H$4625))/_xlfn.STDEV.P($H$2:$H$4625)+AVERAGE($H$2:$H$4625)</f>
        <v>138.26996009148348</v>
      </c>
    </row>
    <row r="1924" spans="1:9" x14ac:dyDescent="0.45">
      <c r="A1924" t="s">
        <v>25</v>
      </c>
      <c r="B1924" t="s">
        <v>35</v>
      </c>
      <c r="C1924" t="str">
        <f t="shared" si="60"/>
        <v>GonzagaLouisville</v>
      </c>
      <c r="D1924" t="s">
        <v>25</v>
      </c>
      <c r="E1924">
        <v>88.7</v>
      </c>
      <c r="F1924" s="1">
        <v>-13.5094339622642</v>
      </c>
      <c r="G1924" s="2">
        <v>-785.36626004678897</v>
      </c>
      <c r="H1924" s="1">
        <v>140.71851643236101</v>
      </c>
      <c r="I1924" s="1">
        <f t="shared" si="61"/>
        <v>166.02989444568269</v>
      </c>
    </row>
    <row r="1925" spans="1:9" x14ac:dyDescent="0.45">
      <c r="A1925" t="s">
        <v>26</v>
      </c>
      <c r="B1925" t="s">
        <v>35</v>
      </c>
      <c r="C1925" t="str">
        <f t="shared" si="60"/>
        <v>Grand CanyonLouisville</v>
      </c>
      <c r="D1925" t="s">
        <v>35</v>
      </c>
      <c r="E1925">
        <v>46</v>
      </c>
      <c r="F1925" s="1">
        <v>1.0415094339622599</v>
      </c>
      <c r="G1925" s="2">
        <v>117.194328585587</v>
      </c>
      <c r="H1925" s="1">
        <v>139.53648814990001</v>
      </c>
      <c r="I1925" s="1">
        <f t="shared" si="61"/>
        <v>149.43218948276186</v>
      </c>
    </row>
    <row r="1926" spans="1:9" x14ac:dyDescent="0.45">
      <c r="A1926" t="s">
        <v>27</v>
      </c>
      <c r="B1926" t="s">
        <v>35</v>
      </c>
      <c r="C1926" t="str">
        <f t="shared" si="60"/>
        <v>High PointLouisville</v>
      </c>
      <c r="D1926" t="s">
        <v>35</v>
      </c>
      <c r="E1926">
        <v>34.799999999999997</v>
      </c>
      <c r="F1926" s="1">
        <v>4.1283018867924497</v>
      </c>
      <c r="G1926" s="2">
        <v>187.75376581962499</v>
      </c>
      <c r="H1926" s="1">
        <v>139.72769528344801</v>
      </c>
      <c r="I1926" s="1">
        <f t="shared" si="61"/>
        <v>152.11706567102706</v>
      </c>
    </row>
    <row r="1927" spans="1:9" x14ac:dyDescent="0.45">
      <c r="A1927" t="s">
        <v>28</v>
      </c>
      <c r="B1927" t="s">
        <v>35</v>
      </c>
      <c r="C1927" t="str">
        <f t="shared" si="60"/>
        <v>HoustonLouisville</v>
      </c>
      <c r="D1927" t="s">
        <v>28</v>
      </c>
      <c r="E1927">
        <v>99.1</v>
      </c>
      <c r="F1927" s="1">
        <v>-31.154716981132101</v>
      </c>
      <c r="G1927" s="2">
        <v>-11585.405409639599</v>
      </c>
      <c r="H1927" s="1">
        <v>141.841157640652</v>
      </c>
      <c r="I1927" s="1">
        <f t="shared" si="61"/>
        <v>181.79370300332221</v>
      </c>
    </row>
    <row r="1928" spans="1:9" x14ac:dyDescent="0.45">
      <c r="A1928" t="s">
        <v>29</v>
      </c>
      <c r="B1928" t="s">
        <v>35</v>
      </c>
      <c r="C1928" t="str">
        <f t="shared" si="60"/>
        <v>IllinoisLouisville</v>
      </c>
      <c r="D1928" t="s">
        <v>29</v>
      </c>
      <c r="E1928">
        <v>91.9</v>
      </c>
      <c r="F1928" s="1">
        <v>-15.966037735849101</v>
      </c>
      <c r="G1928" s="2">
        <v>-1142.08297028374</v>
      </c>
      <c r="H1928" s="1">
        <v>139.89962141561301</v>
      </c>
      <c r="I1928" s="1">
        <f t="shared" si="61"/>
        <v>154.53120352156105</v>
      </c>
    </row>
    <row r="1929" spans="1:9" x14ac:dyDescent="0.45">
      <c r="A1929" t="s">
        <v>30</v>
      </c>
      <c r="B1929" t="s">
        <v>35</v>
      </c>
      <c r="C1929" t="str">
        <f t="shared" si="60"/>
        <v>Iowa St.Louisville</v>
      </c>
      <c r="D1929" t="s">
        <v>30</v>
      </c>
      <c r="E1929">
        <v>96</v>
      </c>
      <c r="F1929" s="1">
        <v>-20.826415094339598</v>
      </c>
      <c r="G1929" s="2">
        <v>-2397.4729455894799</v>
      </c>
      <c r="H1929" s="1">
        <v>140.79616370719901</v>
      </c>
      <c r="I1929" s="1">
        <f t="shared" si="61"/>
        <v>167.12019539537968</v>
      </c>
    </row>
    <row r="1930" spans="1:9" x14ac:dyDescent="0.45">
      <c r="A1930" t="s">
        <v>31</v>
      </c>
      <c r="B1930" t="s">
        <v>35</v>
      </c>
      <c r="C1930" t="str">
        <f t="shared" si="60"/>
        <v>KansasLouisville</v>
      </c>
      <c r="D1930" t="s">
        <v>31</v>
      </c>
      <c r="E1930">
        <v>88.1</v>
      </c>
      <c r="F1930" s="1">
        <v>-13.1094339622642</v>
      </c>
      <c r="G1930" s="2">
        <v>-738.84404826238494</v>
      </c>
      <c r="H1930" s="1">
        <v>139.846751596053</v>
      </c>
      <c r="I1930" s="1">
        <f t="shared" si="61"/>
        <v>153.78882055194799</v>
      </c>
    </row>
    <row r="1931" spans="1:9" x14ac:dyDescent="0.45">
      <c r="A1931" t="s">
        <v>32</v>
      </c>
      <c r="B1931" t="s">
        <v>35</v>
      </c>
      <c r="C1931" t="str">
        <f t="shared" si="60"/>
        <v>KentuckyLouisville</v>
      </c>
      <c r="D1931" t="s">
        <v>32</v>
      </c>
      <c r="E1931">
        <v>92.5</v>
      </c>
      <c r="F1931" s="1">
        <v>-16.4754716981132</v>
      </c>
      <c r="G1931" s="2">
        <v>-1234.3511386622599</v>
      </c>
      <c r="H1931" s="1">
        <v>139.781033928179</v>
      </c>
      <c r="I1931" s="1">
        <f t="shared" si="61"/>
        <v>152.86603175035279</v>
      </c>
    </row>
    <row r="1932" spans="1:9" x14ac:dyDescent="0.45">
      <c r="A1932" t="s">
        <v>33</v>
      </c>
      <c r="B1932" t="s">
        <v>35</v>
      </c>
      <c r="C1932" t="str">
        <f t="shared" si="60"/>
        <v>LibertyLouisville</v>
      </c>
      <c r="D1932" t="s">
        <v>35</v>
      </c>
      <c r="E1932">
        <v>27</v>
      </c>
      <c r="F1932" s="1">
        <v>6.5132075471698103</v>
      </c>
      <c r="G1932" s="2">
        <v>270.01580948335902</v>
      </c>
      <c r="H1932" s="1">
        <v>139.12603497189599</v>
      </c>
      <c r="I1932" s="1">
        <f t="shared" si="61"/>
        <v>143.66872269377774</v>
      </c>
    </row>
    <row r="1933" spans="1:9" x14ac:dyDescent="0.45">
      <c r="A1933" t="s">
        <v>34</v>
      </c>
      <c r="B1933" t="s">
        <v>35</v>
      </c>
      <c r="C1933" t="str">
        <f t="shared" si="60"/>
        <v>LipscombLouisville</v>
      </c>
      <c r="D1933" t="s">
        <v>35</v>
      </c>
      <c r="E1933">
        <v>21.8</v>
      </c>
      <c r="F1933" s="1">
        <v>8.3773584905660403</v>
      </c>
      <c r="G1933" s="2">
        <v>358.91159885933098</v>
      </c>
      <c r="H1933" s="1">
        <v>139.532353169488</v>
      </c>
      <c r="I1933" s="1">
        <f t="shared" si="61"/>
        <v>149.37412726384181</v>
      </c>
    </row>
    <row r="1934" spans="1:9" x14ac:dyDescent="0.45">
      <c r="A1934" t="s">
        <v>35</v>
      </c>
      <c r="B1934" t="s">
        <v>35</v>
      </c>
      <c r="C1934" t="str">
        <f t="shared" si="60"/>
        <v>LouisvilleLouisville</v>
      </c>
      <c r="D1934" t="s">
        <v>35</v>
      </c>
      <c r="E1934">
        <v>41.2</v>
      </c>
      <c r="F1934" s="1">
        <v>2.3283018867924499</v>
      </c>
      <c r="G1934" s="2">
        <v>142.64273539779199</v>
      </c>
      <c r="H1934" s="1">
        <v>138.77771517530499</v>
      </c>
      <c r="I1934" s="1">
        <f t="shared" si="61"/>
        <v>138.77771517530684</v>
      </c>
    </row>
    <row r="1935" spans="1:9" x14ac:dyDescent="0.45">
      <c r="A1935" t="s">
        <v>36</v>
      </c>
      <c r="B1935" t="s">
        <v>35</v>
      </c>
      <c r="C1935" t="str">
        <f t="shared" si="60"/>
        <v>MarquetteLouisville</v>
      </c>
      <c r="D1935" t="s">
        <v>36</v>
      </c>
      <c r="E1935">
        <v>90.5</v>
      </c>
      <c r="F1935" s="1">
        <v>-14.739622641509399</v>
      </c>
      <c r="G1935" s="2">
        <v>-947.31330916094601</v>
      </c>
      <c r="H1935" s="1">
        <v>140.039849018768</v>
      </c>
      <c r="I1935" s="1">
        <f t="shared" si="61"/>
        <v>156.50023964308104</v>
      </c>
    </row>
    <row r="1936" spans="1:9" x14ac:dyDescent="0.45">
      <c r="A1936" t="s">
        <v>37</v>
      </c>
      <c r="B1936" t="s">
        <v>35</v>
      </c>
      <c r="C1936" t="str">
        <f t="shared" si="60"/>
        <v>MarylandLouisville</v>
      </c>
      <c r="D1936" t="s">
        <v>37</v>
      </c>
      <c r="E1936">
        <v>85.4</v>
      </c>
      <c r="F1936" s="1">
        <v>-11.5735849056604</v>
      </c>
      <c r="G1936" s="2">
        <v>-584.33218408744199</v>
      </c>
      <c r="H1936" s="1">
        <v>139.49821861730999</v>
      </c>
      <c r="I1936" s="1">
        <f t="shared" si="61"/>
        <v>148.89481959032949</v>
      </c>
    </row>
    <row r="1937" spans="1:9" x14ac:dyDescent="0.45">
      <c r="A1937" t="s">
        <v>38</v>
      </c>
      <c r="B1937" t="s">
        <v>35</v>
      </c>
      <c r="C1937" t="str">
        <f t="shared" si="60"/>
        <v>McNeese St.Louisville</v>
      </c>
      <c r="D1937" t="s">
        <v>38</v>
      </c>
      <c r="E1937">
        <v>57.7</v>
      </c>
      <c r="F1937" s="1">
        <v>-2.0301886792452799</v>
      </c>
      <c r="G1937" s="2">
        <v>-136.32959156918301</v>
      </c>
      <c r="H1937" s="1">
        <v>140.091454030275</v>
      </c>
      <c r="I1937" s="1">
        <f t="shared" si="61"/>
        <v>157.22486253773644</v>
      </c>
    </row>
    <row r="1938" spans="1:9" x14ac:dyDescent="0.45">
      <c r="A1938" t="s">
        <v>39</v>
      </c>
      <c r="B1938" t="s">
        <v>35</v>
      </c>
      <c r="C1938" t="str">
        <f t="shared" si="60"/>
        <v>MemphisLouisville</v>
      </c>
      <c r="D1938" t="s">
        <v>39</v>
      </c>
      <c r="E1938">
        <v>76.7</v>
      </c>
      <c r="F1938" s="1">
        <v>-7.8075471698113201</v>
      </c>
      <c r="G1938" s="2">
        <v>-329.04814025478601</v>
      </c>
      <c r="H1938" s="1">
        <v>138.62573585679999</v>
      </c>
      <c r="I1938" s="1">
        <f t="shared" si="61"/>
        <v>136.64366480913469</v>
      </c>
    </row>
    <row r="1939" spans="1:9" x14ac:dyDescent="0.45">
      <c r="A1939" t="s">
        <v>40</v>
      </c>
      <c r="B1939" t="s">
        <v>35</v>
      </c>
      <c r="C1939" t="str">
        <f t="shared" si="60"/>
        <v>MichiganLouisville</v>
      </c>
      <c r="D1939" t="s">
        <v>40</v>
      </c>
      <c r="E1939">
        <v>61.9</v>
      </c>
      <c r="F1939" s="1">
        <v>-3.1811320754716998</v>
      </c>
      <c r="G1939" s="2">
        <v>-162.504280951347</v>
      </c>
      <c r="H1939" s="1">
        <v>138.18835715371699</v>
      </c>
      <c r="I1939" s="1">
        <f t="shared" si="61"/>
        <v>130.50211745485126</v>
      </c>
    </row>
    <row r="1940" spans="1:9" x14ac:dyDescent="0.45">
      <c r="A1940" t="s">
        <v>41</v>
      </c>
      <c r="B1940" t="s">
        <v>35</v>
      </c>
      <c r="C1940" t="str">
        <f t="shared" si="60"/>
        <v>Michigan St.Louisville</v>
      </c>
      <c r="D1940" t="s">
        <v>41</v>
      </c>
      <c r="E1940">
        <v>93.9</v>
      </c>
      <c r="F1940" s="1">
        <v>-17.9283018867925</v>
      </c>
      <c r="G1940" s="2">
        <v>-1541.06141870393</v>
      </c>
      <c r="H1940" s="1">
        <v>139.83543686292401</v>
      </c>
      <c r="I1940" s="1">
        <f t="shared" si="61"/>
        <v>153.62994228736193</v>
      </c>
    </row>
    <row r="1941" spans="1:9" x14ac:dyDescent="0.45">
      <c r="A1941" t="s">
        <v>42</v>
      </c>
      <c r="B1941" t="s">
        <v>35</v>
      </c>
      <c r="C1941" t="str">
        <f t="shared" si="60"/>
        <v>MississippiLouisville</v>
      </c>
      <c r="D1941" t="s">
        <v>42</v>
      </c>
      <c r="E1941">
        <v>80.8</v>
      </c>
      <c r="F1941" s="1">
        <v>-9.4339622641509404</v>
      </c>
      <c r="G1941" s="2">
        <v>-421.64653200765503</v>
      </c>
      <c r="H1941" s="1">
        <v>139.103128212813</v>
      </c>
      <c r="I1941" s="1">
        <f t="shared" si="61"/>
        <v>143.34707249762124</v>
      </c>
    </row>
    <row r="1942" spans="1:9" x14ac:dyDescent="0.45">
      <c r="A1942" t="s">
        <v>43</v>
      </c>
      <c r="B1942" t="s">
        <v>35</v>
      </c>
      <c r="C1942" t="str">
        <f t="shared" si="60"/>
        <v>Mississippi St.Louisville</v>
      </c>
      <c r="D1942" t="s">
        <v>43</v>
      </c>
      <c r="E1942">
        <v>76.400000000000006</v>
      </c>
      <c r="F1942" s="1">
        <v>-7.7094339622641499</v>
      </c>
      <c r="G1942" s="2">
        <v>-324.16880244528301</v>
      </c>
      <c r="H1942" s="1">
        <v>139.24287468548999</v>
      </c>
      <c r="I1942" s="1">
        <f t="shared" si="61"/>
        <v>145.30935272180704</v>
      </c>
    </row>
    <row r="1943" spans="1:9" x14ac:dyDescent="0.45">
      <c r="A1943" t="s">
        <v>44</v>
      </c>
      <c r="B1943" t="s">
        <v>35</v>
      </c>
      <c r="C1943" t="str">
        <f t="shared" si="60"/>
        <v>MissouriLouisville</v>
      </c>
      <c r="D1943" t="s">
        <v>44</v>
      </c>
      <c r="E1943">
        <v>60.4</v>
      </c>
      <c r="F1943" s="1">
        <v>-2.7773584905660398</v>
      </c>
      <c r="G1943" s="2">
        <v>-152.71895185820901</v>
      </c>
      <c r="H1943" s="1">
        <v>138.660536584136</v>
      </c>
      <c r="I1943" s="1">
        <f t="shared" si="61"/>
        <v>137.13232672474933</v>
      </c>
    </row>
    <row r="1944" spans="1:9" x14ac:dyDescent="0.45">
      <c r="A1944" t="s">
        <v>45</v>
      </c>
      <c r="B1944" t="s">
        <v>35</v>
      </c>
      <c r="C1944" t="str">
        <f t="shared" si="60"/>
        <v>MontanaLouisville</v>
      </c>
      <c r="D1944" t="s">
        <v>35</v>
      </c>
      <c r="E1944">
        <v>12</v>
      </c>
      <c r="F1944" s="1">
        <v>13.030188679245301</v>
      </c>
      <c r="G1944" s="2">
        <v>729.88225958852297</v>
      </c>
      <c r="H1944" s="1">
        <v>137.79724814754201</v>
      </c>
      <c r="I1944" s="1">
        <f t="shared" si="61"/>
        <v>125.01027602503527</v>
      </c>
    </row>
    <row r="1945" spans="1:9" x14ac:dyDescent="0.45">
      <c r="A1945" t="s">
        <v>46</v>
      </c>
      <c r="B1945" t="s">
        <v>35</v>
      </c>
      <c r="C1945" t="str">
        <f t="shared" si="60"/>
        <v>Mount St. Mary'sLouisville</v>
      </c>
      <c r="D1945" t="s">
        <v>35</v>
      </c>
      <c r="E1945">
        <v>5</v>
      </c>
      <c r="F1945" s="1">
        <v>19.366037735849101</v>
      </c>
      <c r="G1945" s="2">
        <v>1918.12517932894</v>
      </c>
      <c r="H1945" s="1">
        <v>139.100536101693</v>
      </c>
      <c r="I1945" s="1">
        <f t="shared" si="61"/>
        <v>143.31067481049362</v>
      </c>
    </row>
    <row r="1946" spans="1:9" x14ac:dyDescent="0.45">
      <c r="A1946" t="s">
        <v>47</v>
      </c>
      <c r="B1946" t="s">
        <v>35</v>
      </c>
      <c r="C1946" t="str">
        <f t="shared" si="60"/>
        <v>Nebraska OmahaLouisville</v>
      </c>
      <c r="D1946" t="s">
        <v>35</v>
      </c>
      <c r="E1946">
        <v>6.8</v>
      </c>
      <c r="F1946" s="1">
        <v>17.173584905660402</v>
      </c>
      <c r="G1946" s="2">
        <v>1373.3284752168599</v>
      </c>
      <c r="H1946" s="1">
        <v>138.518312233796</v>
      </c>
      <c r="I1946" s="1">
        <f t="shared" si="61"/>
        <v>135.13525284715004</v>
      </c>
    </row>
    <row r="1947" spans="1:9" x14ac:dyDescent="0.45">
      <c r="A1947" t="s">
        <v>48</v>
      </c>
      <c r="B1947" t="s">
        <v>35</v>
      </c>
      <c r="C1947" t="str">
        <f t="shared" si="60"/>
        <v>New MexicoLouisville</v>
      </c>
      <c r="D1947" t="s">
        <v>48</v>
      </c>
      <c r="E1947">
        <v>63.6</v>
      </c>
      <c r="F1947" s="1">
        <v>-3.65660377358491</v>
      </c>
      <c r="G1947" s="2">
        <v>-174.70638147141801</v>
      </c>
      <c r="H1947" s="1">
        <v>139.288302165613</v>
      </c>
      <c r="I1947" s="1">
        <f t="shared" si="61"/>
        <v>145.94723247771344</v>
      </c>
    </row>
    <row r="1948" spans="1:9" x14ac:dyDescent="0.45">
      <c r="A1948" t="s">
        <v>49</v>
      </c>
      <c r="B1948" t="s">
        <v>35</v>
      </c>
      <c r="C1948" t="str">
        <f t="shared" si="60"/>
        <v>Norfolk St.Louisville</v>
      </c>
      <c r="D1948" t="s">
        <v>35</v>
      </c>
      <c r="E1948">
        <v>9.3000000000000007</v>
      </c>
      <c r="F1948" s="1">
        <v>14.909433962264201</v>
      </c>
      <c r="G1948" s="2">
        <v>972.12382846972002</v>
      </c>
      <c r="H1948" s="1">
        <v>138.32442792957701</v>
      </c>
      <c r="I1948" s="1">
        <f t="shared" si="61"/>
        <v>132.41278458973417</v>
      </c>
    </row>
    <row r="1949" spans="1:9" x14ac:dyDescent="0.45">
      <c r="A1949" t="s">
        <v>50</v>
      </c>
      <c r="B1949" t="s">
        <v>35</v>
      </c>
      <c r="C1949" t="str">
        <f t="shared" si="60"/>
        <v>North CarolinaLouisville</v>
      </c>
      <c r="D1949" t="s">
        <v>50</v>
      </c>
      <c r="E1949">
        <v>85.6</v>
      </c>
      <c r="F1949" s="1">
        <v>-11.7094339622642</v>
      </c>
      <c r="G1949" s="2">
        <v>-596.57599366429804</v>
      </c>
      <c r="H1949" s="1">
        <v>140.39803388404701</v>
      </c>
      <c r="I1949" s="1">
        <f t="shared" si="61"/>
        <v>161.52976965035541</v>
      </c>
    </row>
    <row r="1950" spans="1:9" x14ac:dyDescent="0.45">
      <c r="A1950" t="s">
        <v>51</v>
      </c>
      <c r="B1950" t="s">
        <v>35</v>
      </c>
      <c r="C1950" t="str">
        <f t="shared" si="60"/>
        <v>OklahomaLouisville</v>
      </c>
      <c r="D1950" t="s">
        <v>51</v>
      </c>
      <c r="E1950">
        <v>67.599999999999994</v>
      </c>
      <c r="F1950" s="1">
        <v>-4.8264150943396196</v>
      </c>
      <c r="G1950" s="2">
        <v>-208.779836612689</v>
      </c>
      <c r="H1950" s="1">
        <v>138.821657010221</v>
      </c>
      <c r="I1950" s="1">
        <f t="shared" si="61"/>
        <v>139.39473392374734</v>
      </c>
    </row>
    <row r="1951" spans="1:9" x14ac:dyDescent="0.45">
      <c r="A1951" t="s">
        <v>52</v>
      </c>
      <c r="B1951" t="s">
        <v>35</v>
      </c>
      <c r="C1951" t="str">
        <f t="shared" si="60"/>
        <v>OregonLouisville</v>
      </c>
      <c r="D1951" t="s">
        <v>52</v>
      </c>
      <c r="E1951">
        <v>85.4</v>
      </c>
      <c r="F1951" s="1">
        <v>-11.5924528301887</v>
      </c>
      <c r="G1951" s="2">
        <v>-586.07716320050804</v>
      </c>
      <c r="H1951" s="1">
        <v>139.11237440175</v>
      </c>
      <c r="I1951" s="1">
        <f t="shared" si="61"/>
        <v>143.47690485297591</v>
      </c>
    </row>
    <row r="1952" spans="1:9" x14ac:dyDescent="0.45">
      <c r="A1952" t="s">
        <v>53</v>
      </c>
      <c r="B1952" t="s">
        <v>35</v>
      </c>
      <c r="C1952" t="str">
        <f t="shared" si="60"/>
        <v>PurdueLouisville</v>
      </c>
      <c r="D1952" t="s">
        <v>53</v>
      </c>
      <c r="E1952">
        <v>97.1</v>
      </c>
      <c r="F1952" s="1">
        <v>-22.962264150943401</v>
      </c>
      <c r="G1952" s="2">
        <v>-3321.6542060189799</v>
      </c>
      <c r="H1952" s="1">
        <v>140.60046160154801</v>
      </c>
      <c r="I1952" s="1">
        <f t="shared" si="61"/>
        <v>164.37220208725427</v>
      </c>
    </row>
    <row r="1953" spans="1:9" x14ac:dyDescent="0.45">
      <c r="A1953" t="s">
        <v>54</v>
      </c>
      <c r="B1953" t="s">
        <v>35</v>
      </c>
      <c r="C1953" t="str">
        <f t="shared" si="60"/>
        <v>Robert MorrisLouisville</v>
      </c>
      <c r="D1953" t="s">
        <v>35</v>
      </c>
      <c r="E1953">
        <v>3.9</v>
      </c>
      <c r="F1953" s="1">
        <v>20.924528301886799</v>
      </c>
      <c r="G1953" s="2">
        <v>2433.7753120586799</v>
      </c>
      <c r="H1953" s="1">
        <v>137.68342693023499</v>
      </c>
      <c r="I1953" s="1">
        <f t="shared" si="61"/>
        <v>123.41203086338048</v>
      </c>
    </row>
    <row r="1954" spans="1:9" x14ac:dyDescent="0.45">
      <c r="A1954" t="s">
        <v>55</v>
      </c>
      <c r="B1954" t="s">
        <v>35</v>
      </c>
      <c r="C1954" t="str">
        <f t="shared" si="60"/>
        <v>Saint FrancisLouisville</v>
      </c>
      <c r="D1954" t="s">
        <v>35</v>
      </c>
      <c r="E1954">
        <v>2.4</v>
      </c>
      <c r="F1954" s="1">
        <v>24.286792452830198</v>
      </c>
      <c r="G1954" s="2">
        <v>4065.0198983281598</v>
      </c>
      <c r="H1954" s="1">
        <v>138.39027481227899</v>
      </c>
      <c r="I1954" s="1">
        <f t="shared" si="61"/>
        <v>133.337387789194</v>
      </c>
    </row>
    <row r="1955" spans="1:9" x14ac:dyDescent="0.45">
      <c r="A1955" t="s">
        <v>56</v>
      </c>
      <c r="B1955" t="s">
        <v>35</v>
      </c>
      <c r="C1955" t="str">
        <f t="shared" si="60"/>
        <v>Saint Mary'sLouisville</v>
      </c>
      <c r="D1955" t="s">
        <v>56</v>
      </c>
      <c r="E1955">
        <v>85.1</v>
      </c>
      <c r="F1955" s="1">
        <v>-11.449056603773601</v>
      </c>
      <c r="G1955" s="2">
        <v>-573.32581768427406</v>
      </c>
      <c r="H1955" s="1">
        <v>140.11948092822101</v>
      </c>
      <c r="I1955" s="1">
        <f t="shared" si="61"/>
        <v>157.61840826759425</v>
      </c>
    </row>
    <row r="1956" spans="1:9" x14ac:dyDescent="0.45">
      <c r="A1956" t="s">
        <v>57</v>
      </c>
      <c r="B1956" t="s">
        <v>35</v>
      </c>
      <c r="C1956" t="str">
        <f t="shared" si="60"/>
        <v>San Diego St.Louisville</v>
      </c>
      <c r="D1956" t="s">
        <v>57</v>
      </c>
      <c r="E1956">
        <v>64</v>
      </c>
      <c r="F1956" s="1">
        <v>-3.7735849056603801</v>
      </c>
      <c r="G1956" s="2">
        <v>-177.828732529955</v>
      </c>
      <c r="H1956" s="1">
        <v>139.33418009124901</v>
      </c>
      <c r="I1956" s="1">
        <f t="shared" si="61"/>
        <v>146.59143726140258</v>
      </c>
    </row>
    <row r="1957" spans="1:9" x14ac:dyDescent="0.45">
      <c r="A1957" t="s">
        <v>58</v>
      </c>
      <c r="B1957" t="s">
        <v>35</v>
      </c>
      <c r="C1957" t="str">
        <f t="shared" si="60"/>
        <v>SIU EdwardsvilleLouisville</v>
      </c>
      <c r="D1957" t="s">
        <v>35</v>
      </c>
      <c r="E1957">
        <v>7.8</v>
      </c>
      <c r="F1957" s="1">
        <v>16.2</v>
      </c>
      <c r="G1957" s="2">
        <v>1183.8000291457699</v>
      </c>
      <c r="H1957" s="1">
        <v>139.39343827143301</v>
      </c>
      <c r="I1957" s="1">
        <f t="shared" si="61"/>
        <v>147.42352377399087</v>
      </c>
    </row>
    <row r="1958" spans="1:9" x14ac:dyDescent="0.45">
      <c r="A1958" t="s">
        <v>59</v>
      </c>
      <c r="B1958" t="s">
        <v>35</v>
      </c>
      <c r="C1958" t="str">
        <f t="shared" si="60"/>
        <v>St. John'sLouisville</v>
      </c>
      <c r="D1958" t="s">
        <v>59</v>
      </c>
      <c r="E1958">
        <v>94.3</v>
      </c>
      <c r="F1958" s="1">
        <v>-18.430188679245301</v>
      </c>
      <c r="G1958" s="2">
        <v>-1663.60856806372</v>
      </c>
      <c r="H1958" s="1">
        <v>140.21289471998699</v>
      </c>
      <c r="I1958" s="1">
        <f t="shared" si="61"/>
        <v>158.9300981638558</v>
      </c>
    </row>
    <row r="1959" spans="1:9" x14ac:dyDescent="0.45">
      <c r="A1959" t="s">
        <v>60</v>
      </c>
      <c r="B1959" t="s">
        <v>35</v>
      </c>
      <c r="C1959" t="str">
        <f t="shared" si="60"/>
        <v>TennesseeLouisville</v>
      </c>
      <c r="D1959" t="s">
        <v>60</v>
      </c>
      <c r="E1959">
        <v>97.4</v>
      </c>
      <c r="F1959" s="1">
        <v>-23.6452830188679</v>
      </c>
      <c r="G1959" s="2">
        <v>-3686.4524879959999</v>
      </c>
      <c r="H1959" s="1">
        <v>141.00612709412201</v>
      </c>
      <c r="I1959" s="1">
        <f t="shared" si="61"/>
        <v>170.06844155909056</v>
      </c>
    </row>
    <row r="1960" spans="1:9" x14ac:dyDescent="0.45">
      <c r="A1960" t="s">
        <v>61</v>
      </c>
      <c r="B1960" t="s">
        <v>35</v>
      </c>
      <c r="C1960" t="str">
        <f t="shared" si="60"/>
        <v>TexasLouisville</v>
      </c>
      <c r="D1960" t="s">
        <v>61</v>
      </c>
      <c r="E1960">
        <v>59.6</v>
      </c>
      <c r="F1960" s="1">
        <v>-2.5509433962264101</v>
      </c>
      <c r="G1960" s="2">
        <v>-147.55835919408599</v>
      </c>
      <c r="H1960" s="1">
        <v>138.70600892176</v>
      </c>
      <c r="I1960" s="1">
        <f t="shared" si="61"/>
        <v>137.77083635692682</v>
      </c>
    </row>
    <row r="1961" spans="1:9" x14ac:dyDescent="0.45">
      <c r="A1961" t="s">
        <v>62</v>
      </c>
      <c r="B1961" t="s">
        <v>35</v>
      </c>
      <c r="C1961" t="str">
        <f t="shared" si="60"/>
        <v>Texas A&amp;MLouisville</v>
      </c>
      <c r="D1961" t="s">
        <v>62</v>
      </c>
      <c r="E1961">
        <v>89.4</v>
      </c>
      <c r="F1961" s="1">
        <v>-13.9509433962264</v>
      </c>
      <c r="G1961" s="2">
        <v>-840.07506944815896</v>
      </c>
      <c r="H1961" s="1">
        <v>139.49298423115701</v>
      </c>
      <c r="I1961" s="1">
        <f t="shared" si="61"/>
        <v>148.82131982867554</v>
      </c>
    </row>
    <row r="1962" spans="1:9" x14ac:dyDescent="0.45">
      <c r="A1962" t="s">
        <v>63</v>
      </c>
      <c r="B1962" t="s">
        <v>35</v>
      </c>
      <c r="C1962" t="str">
        <f t="shared" si="60"/>
        <v>Texas TechLouisville</v>
      </c>
      <c r="D1962" t="s">
        <v>63</v>
      </c>
      <c r="E1962">
        <v>94.2</v>
      </c>
      <c r="F1962" s="1">
        <v>-18.286792452830198</v>
      </c>
      <c r="G1962" s="2">
        <v>-1627.1722833281001</v>
      </c>
      <c r="H1962" s="1">
        <v>140.48349683639699</v>
      </c>
      <c r="I1962" s="1">
        <f t="shared" si="61"/>
        <v>162.72981612082725</v>
      </c>
    </row>
    <row r="1963" spans="1:9" x14ac:dyDescent="0.45">
      <c r="A1963" t="s">
        <v>64</v>
      </c>
      <c r="B1963" t="s">
        <v>35</v>
      </c>
      <c r="C1963" t="str">
        <f t="shared" si="60"/>
        <v>TroyLouisville</v>
      </c>
      <c r="D1963" t="s">
        <v>35</v>
      </c>
      <c r="E1963">
        <v>19</v>
      </c>
      <c r="F1963" s="1">
        <v>9.5245283018867894</v>
      </c>
      <c r="G1963" s="2">
        <v>427.47205200696999</v>
      </c>
      <c r="H1963" s="1">
        <v>139.24980143095601</v>
      </c>
      <c r="I1963" s="1">
        <f t="shared" si="61"/>
        <v>145.40661611161264</v>
      </c>
    </row>
    <row r="1964" spans="1:9" x14ac:dyDescent="0.45">
      <c r="A1964" t="s">
        <v>65</v>
      </c>
      <c r="B1964" t="s">
        <v>35</v>
      </c>
      <c r="C1964" t="str">
        <f t="shared" si="60"/>
        <v>UC San DiegoLouisville</v>
      </c>
      <c r="D1964" t="s">
        <v>35</v>
      </c>
      <c r="E1964">
        <v>37.5</v>
      </c>
      <c r="F1964" s="1">
        <v>3.34339622641509</v>
      </c>
      <c r="G1964" s="2">
        <v>166.486802886665</v>
      </c>
      <c r="H1964" s="1">
        <v>139.319921660619</v>
      </c>
      <c r="I1964" s="1">
        <f t="shared" si="61"/>
        <v>146.39122443372099</v>
      </c>
    </row>
    <row r="1965" spans="1:9" x14ac:dyDescent="0.45">
      <c r="A1965" t="s">
        <v>66</v>
      </c>
      <c r="B1965" t="s">
        <v>35</v>
      </c>
      <c r="C1965" t="str">
        <f t="shared" si="60"/>
        <v>UCLALouisville</v>
      </c>
      <c r="D1965" t="s">
        <v>66</v>
      </c>
      <c r="E1965">
        <v>67.400000000000006</v>
      </c>
      <c r="F1965" s="1">
        <v>-4.7584905660377403</v>
      </c>
      <c r="G1965" s="2">
        <v>-206.68627492748999</v>
      </c>
      <c r="H1965" s="1">
        <v>138.54118023983099</v>
      </c>
      <c r="I1965" s="1">
        <f t="shared" si="61"/>
        <v>135.45635888402839</v>
      </c>
    </row>
    <row r="1966" spans="1:9" x14ac:dyDescent="0.45">
      <c r="A1966" t="s">
        <v>67</v>
      </c>
      <c r="B1966" t="s">
        <v>35</v>
      </c>
      <c r="C1966" t="str">
        <f t="shared" si="60"/>
        <v>UNC WilmingtonLouisville</v>
      </c>
      <c r="D1966" t="s">
        <v>35</v>
      </c>
      <c r="E1966">
        <v>25.8</v>
      </c>
      <c r="F1966" s="1">
        <v>6.9320754716981101</v>
      </c>
      <c r="G1966" s="2">
        <v>287.96705394867001</v>
      </c>
      <c r="H1966" s="1">
        <v>139.85659013128301</v>
      </c>
      <c r="I1966" s="1">
        <f t="shared" si="61"/>
        <v>153.92697046548065</v>
      </c>
    </row>
    <row r="1967" spans="1:9" x14ac:dyDescent="0.45">
      <c r="A1967" t="s">
        <v>68</v>
      </c>
      <c r="B1967" t="s">
        <v>35</v>
      </c>
      <c r="C1967" t="str">
        <f t="shared" si="60"/>
        <v>Utah St.Louisville</v>
      </c>
      <c r="D1967" t="s">
        <v>68</v>
      </c>
      <c r="E1967">
        <v>66.2</v>
      </c>
      <c r="F1967" s="1">
        <v>-4.39245283018868</v>
      </c>
      <c r="G1967" s="2">
        <v>-195.476873864867</v>
      </c>
      <c r="H1967" s="1">
        <v>139.40377662986199</v>
      </c>
      <c r="I1967" s="1">
        <f t="shared" si="61"/>
        <v>147.56869206272918</v>
      </c>
    </row>
    <row r="1968" spans="1:9" x14ac:dyDescent="0.45">
      <c r="A1968" t="s">
        <v>69</v>
      </c>
      <c r="B1968" t="s">
        <v>35</v>
      </c>
      <c r="C1968" t="str">
        <f t="shared" si="60"/>
        <v>VanderbiltLouisville</v>
      </c>
      <c r="D1968" t="s">
        <v>35</v>
      </c>
      <c r="E1968">
        <v>27.8</v>
      </c>
      <c r="F1968" s="1">
        <v>6.2528301886792503</v>
      </c>
      <c r="G1968" s="2">
        <v>259.61129500150298</v>
      </c>
      <c r="H1968" s="1">
        <v>137.83781451114501</v>
      </c>
      <c r="I1968" s="1">
        <f t="shared" si="61"/>
        <v>125.57989736531269</v>
      </c>
    </row>
    <row r="1969" spans="1:9" x14ac:dyDescent="0.45">
      <c r="A1969" t="s">
        <v>70</v>
      </c>
      <c r="B1969" t="s">
        <v>35</v>
      </c>
      <c r="C1969" t="str">
        <f t="shared" si="60"/>
        <v>VCULouisville</v>
      </c>
      <c r="D1969" t="s">
        <v>70</v>
      </c>
      <c r="E1969">
        <v>55.3</v>
      </c>
      <c r="F1969" s="1">
        <v>-1.39245283018868</v>
      </c>
      <c r="G1969" s="2">
        <v>-123.65115187916599</v>
      </c>
      <c r="H1969" s="1">
        <v>139.762987640338</v>
      </c>
      <c r="I1969" s="1">
        <f t="shared" si="61"/>
        <v>152.61263090901483</v>
      </c>
    </row>
    <row r="1970" spans="1:9" x14ac:dyDescent="0.45">
      <c r="A1970" t="s">
        <v>71</v>
      </c>
      <c r="B1970" t="s">
        <v>35</v>
      </c>
      <c r="C1970" t="str">
        <f t="shared" si="60"/>
        <v>WisconsinLouisville</v>
      </c>
      <c r="D1970" t="s">
        <v>71</v>
      </c>
      <c r="E1970">
        <v>93.4</v>
      </c>
      <c r="F1970" s="1">
        <v>-17.343396226415098</v>
      </c>
      <c r="G1970" s="2">
        <v>-1409.56077322583</v>
      </c>
      <c r="H1970" s="1">
        <v>140.41624324867001</v>
      </c>
      <c r="I1970" s="1">
        <f t="shared" si="61"/>
        <v>161.78546036948578</v>
      </c>
    </row>
    <row r="1971" spans="1:9" x14ac:dyDescent="0.45">
      <c r="A1971" t="s">
        <v>80</v>
      </c>
      <c r="B1971" t="s">
        <v>35</v>
      </c>
      <c r="C1971" t="str">
        <f t="shared" si="60"/>
        <v>WoffordLouisville</v>
      </c>
      <c r="D1971" t="s">
        <v>35</v>
      </c>
      <c r="E1971">
        <v>10.8</v>
      </c>
      <c r="F1971" s="1">
        <v>13.8301886792453</v>
      </c>
      <c r="G1971" s="2">
        <v>824.52205745545405</v>
      </c>
      <c r="H1971" s="1">
        <v>138.51389167789699</v>
      </c>
      <c r="I1971" s="1">
        <f t="shared" si="61"/>
        <v>135.07318065846181</v>
      </c>
    </row>
    <row r="1972" spans="1:9" x14ac:dyDescent="0.45">
      <c r="A1972" t="s">
        <v>72</v>
      </c>
      <c r="B1972" t="s">
        <v>35</v>
      </c>
      <c r="C1972" t="str">
        <f t="shared" si="60"/>
        <v>XavierLouisville</v>
      </c>
      <c r="D1972" t="s">
        <v>72</v>
      </c>
      <c r="E1972">
        <v>55</v>
      </c>
      <c r="F1972" s="1">
        <v>-1.3169811320754701</v>
      </c>
      <c r="G1972" s="2">
        <v>-122.279085206112</v>
      </c>
      <c r="H1972" s="1">
        <v>139.25669384851801</v>
      </c>
      <c r="I1972" s="1">
        <f t="shared" si="61"/>
        <v>145.50339747875313</v>
      </c>
    </row>
    <row r="1973" spans="1:9" x14ac:dyDescent="0.45">
      <c r="A1973" t="s">
        <v>73</v>
      </c>
      <c r="B1973" t="s">
        <v>35</v>
      </c>
      <c r="C1973" t="str">
        <f t="shared" si="60"/>
        <v>YaleLouisville</v>
      </c>
      <c r="D1973" t="s">
        <v>35</v>
      </c>
      <c r="E1973">
        <v>39</v>
      </c>
      <c r="F1973" s="1">
        <v>2.9320754716981101</v>
      </c>
      <c r="G1973" s="2">
        <v>156.38435759632199</v>
      </c>
      <c r="H1973" s="1">
        <v>139.856399984912</v>
      </c>
      <c r="I1973" s="1">
        <f t="shared" si="61"/>
        <v>153.92430048421824</v>
      </c>
    </row>
    <row r="1974" spans="1:9" x14ac:dyDescent="0.45">
      <c r="A1974" t="s">
        <v>7</v>
      </c>
      <c r="B1974" t="s">
        <v>36</v>
      </c>
      <c r="C1974" t="str">
        <f t="shared" si="60"/>
        <v>AkronMarquette</v>
      </c>
      <c r="D1974" t="s">
        <v>36</v>
      </c>
      <c r="E1974">
        <v>2.4</v>
      </c>
      <c r="F1974" s="1">
        <v>24.264150943396199</v>
      </c>
      <c r="G1974" s="2">
        <v>4049.5853352884801</v>
      </c>
      <c r="H1974" s="1">
        <v>137.41109320203</v>
      </c>
      <c r="I1974" s="1">
        <f t="shared" si="61"/>
        <v>119.58799810606976</v>
      </c>
    </row>
    <row r="1975" spans="1:9" x14ac:dyDescent="0.45">
      <c r="A1975" t="s">
        <v>8</v>
      </c>
      <c r="B1975" t="s">
        <v>36</v>
      </c>
      <c r="C1975" t="str">
        <f t="shared" si="60"/>
        <v>AlabamaMarquette</v>
      </c>
      <c r="D1975" t="s">
        <v>8</v>
      </c>
      <c r="E1975">
        <v>65.099999999999994</v>
      </c>
      <c r="F1975" s="1">
        <v>-4.0754716981132102</v>
      </c>
      <c r="G1975" s="2">
        <v>-186.26023613876899</v>
      </c>
      <c r="H1975" s="1">
        <v>139.218704389625</v>
      </c>
      <c r="I1975" s="1">
        <f t="shared" si="61"/>
        <v>144.9699603015188</v>
      </c>
    </row>
    <row r="1976" spans="1:9" x14ac:dyDescent="0.45">
      <c r="A1976" t="s">
        <v>9</v>
      </c>
      <c r="B1976" t="s">
        <v>36</v>
      </c>
      <c r="C1976" t="str">
        <f t="shared" si="60"/>
        <v>Alabama St.Marquette</v>
      </c>
      <c r="D1976" t="s">
        <v>36</v>
      </c>
      <c r="E1976">
        <v>0.4</v>
      </c>
      <c r="F1976" s="1">
        <v>36.5811320754717</v>
      </c>
      <c r="G1976" s="2">
        <v>26515.5275768629</v>
      </c>
      <c r="H1976" s="1">
        <v>137.59785496145099</v>
      </c>
      <c r="I1976" s="1">
        <f t="shared" si="61"/>
        <v>122.21045361514751</v>
      </c>
    </row>
    <row r="1977" spans="1:9" x14ac:dyDescent="0.45">
      <c r="A1977" t="s">
        <v>10</v>
      </c>
      <c r="B1977" t="s">
        <v>36</v>
      </c>
      <c r="C1977" t="str">
        <f t="shared" si="60"/>
        <v>AmericanMarquette</v>
      </c>
      <c r="D1977" t="s">
        <v>36</v>
      </c>
      <c r="E1977">
        <v>0.4</v>
      </c>
      <c r="F1977" s="1">
        <v>35.822641509434</v>
      </c>
      <c r="G1977" s="2">
        <v>23624.0309298137</v>
      </c>
      <c r="H1977" s="1">
        <v>137.36114448121299</v>
      </c>
      <c r="I1977" s="1">
        <f t="shared" si="61"/>
        <v>118.8866323742194</v>
      </c>
    </row>
    <row r="1978" spans="1:9" x14ac:dyDescent="0.45">
      <c r="A1978" t="s">
        <v>11</v>
      </c>
      <c r="B1978" t="s">
        <v>36</v>
      </c>
      <c r="C1978" t="str">
        <f t="shared" si="60"/>
        <v>ArizonaMarquette</v>
      </c>
      <c r="D1978" t="s">
        <v>11</v>
      </c>
      <c r="E1978">
        <v>55</v>
      </c>
      <c r="F1978" s="1">
        <v>-1.32075471698113</v>
      </c>
      <c r="G1978" s="2">
        <v>-122.339293015352</v>
      </c>
      <c r="H1978" s="1">
        <v>138.829183729802</v>
      </c>
      <c r="I1978" s="1">
        <f t="shared" si="61"/>
        <v>139.50042197943739</v>
      </c>
    </row>
    <row r="1979" spans="1:9" x14ac:dyDescent="0.45">
      <c r="A1979" t="s">
        <v>12</v>
      </c>
      <c r="B1979" t="s">
        <v>36</v>
      </c>
      <c r="C1979" t="str">
        <f t="shared" si="60"/>
        <v>ArkansasMarquette</v>
      </c>
      <c r="D1979" t="s">
        <v>36</v>
      </c>
      <c r="E1979">
        <v>7.4</v>
      </c>
      <c r="F1979" s="1">
        <v>16.577358490565999</v>
      </c>
      <c r="G1979" s="2">
        <v>1254.1042442420601</v>
      </c>
      <c r="H1979" s="1">
        <v>137.15510770759099</v>
      </c>
      <c r="I1979" s="1">
        <f t="shared" si="61"/>
        <v>115.99352259771713</v>
      </c>
    </row>
    <row r="1980" spans="1:9" x14ac:dyDescent="0.45">
      <c r="A1980" t="s">
        <v>13</v>
      </c>
      <c r="B1980" t="s">
        <v>36</v>
      </c>
      <c r="C1980" t="str">
        <f t="shared" si="60"/>
        <v>AuburnMarquette</v>
      </c>
      <c r="D1980" t="s">
        <v>13</v>
      </c>
      <c r="E1980">
        <v>78.599999999999994</v>
      </c>
      <c r="F1980" s="1">
        <v>-8.51698113207547</v>
      </c>
      <c r="G1980" s="2">
        <v>-366.63225697768598</v>
      </c>
      <c r="H1980" s="1">
        <v>140.240920622977</v>
      </c>
      <c r="I1980" s="1">
        <f t="shared" si="61"/>
        <v>159.32362992282449</v>
      </c>
    </row>
    <row r="1981" spans="1:9" x14ac:dyDescent="0.45">
      <c r="A1981" t="s">
        <v>14</v>
      </c>
      <c r="B1981" t="s">
        <v>36</v>
      </c>
      <c r="C1981" t="str">
        <f t="shared" si="60"/>
        <v>BaylorMarquette</v>
      </c>
      <c r="D1981" t="s">
        <v>36</v>
      </c>
      <c r="E1981">
        <v>27</v>
      </c>
      <c r="F1981" s="1">
        <v>6.5320754716981098</v>
      </c>
      <c r="G1981" s="2">
        <v>270.851678381466</v>
      </c>
      <c r="H1981" s="1">
        <v>138.70383798415801</v>
      </c>
      <c r="I1981" s="1">
        <f t="shared" si="61"/>
        <v>137.74035266855373</v>
      </c>
    </row>
    <row r="1982" spans="1:9" x14ac:dyDescent="0.45">
      <c r="A1982" t="s">
        <v>15</v>
      </c>
      <c r="B1982" t="s">
        <v>36</v>
      </c>
      <c r="C1982" t="str">
        <f t="shared" si="60"/>
        <v>BryantMarquette</v>
      </c>
      <c r="D1982" t="s">
        <v>36</v>
      </c>
      <c r="E1982">
        <v>1.7</v>
      </c>
      <c r="F1982" s="1">
        <v>26.603773584905699</v>
      </c>
      <c r="G1982" s="2">
        <v>5786.8648807056497</v>
      </c>
      <c r="H1982" s="1">
        <v>138.296157859803</v>
      </c>
      <c r="I1982" s="1">
        <f t="shared" si="61"/>
        <v>132.01582431022777</v>
      </c>
    </row>
    <row r="1983" spans="1:9" x14ac:dyDescent="0.45">
      <c r="A1983" t="s">
        <v>16</v>
      </c>
      <c r="B1983" t="s">
        <v>36</v>
      </c>
      <c r="C1983" t="str">
        <f t="shared" si="60"/>
        <v>BYUMarquette</v>
      </c>
      <c r="D1983" t="s">
        <v>36</v>
      </c>
      <c r="E1983">
        <v>30.4</v>
      </c>
      <c r="F1983" s="1">
        <v>5.4377358490566001</v>
      </c>
      <c r="G1983" s="2">
        <v>229.203787048164</v>
      </c>
      <c r="H1983" s="1">
        <v>138.46619853424701</v>
      </c>
      <c r="I1983" s="1">
        <f t="shared" si="61"/>
        <v>134.40348709968464</v>
      </c>
    </row>
    <row r="1984" spans="1:9" x14ac:dyDescent="0.45">
      <c r="A1984" t="s">
        <v>17</v>
      </c>
      <c r="B1984" t="s">
        <v>36</v>
      </c>
      <c r="C1984" t="str">
        <f t="shared" si="60"/>
        <v>ClemsonMarquette</v>
      </c>
      <c r="D1984" t="s">
        <v>36</v>
      </c>
      <c r="E1984">
        <v>37.9</v>
      </c>
      <c r="F1984" s="1">
        <v>3.2339622641509398</v>
      </c>
      <c r="G1984" s="2">
        <v>163.749741564402</v>
      </c>
      <c r="H1984" s="1">
        <v>138.81624875668899</v>
      </c>
      <c r="I1984" s="1">
        <f t="shared" si="61"/>
        <v>139.31879276580642</v>
      </c>
    </row>
    <row r="1985" spans="1:9" x14ac:dyDescent="0.45">
      <c r="A1985" t="s">
        <v>18</v>
      </c>
      <c r="B1985" t="s">
        <v>36</v>
      </c>
      <c r="C1985" t="str">
        <f t="shared" si="60"/>
        <v>Colorado St.Marquette</v>
      </c>
      <c r="D1985" t="s">
        <v>36</v>
      </c>
      <c r="E1985">
        <v>9.1999999999999993</v>
      </c>
      <c r="F1985" s="1">
        <v>15.0150943396226</v>
      </c>
      <c r="G1985" s="2">
        <v>987.97173546358704</v>
      </c>
      <c r="H1985" s="1">
        <v>138.205859731483</v>
      </c>
      <c r="I1985" s="1">
        <f t="shared" si="61"/>
        <v>130.7478836739522</v>
      </c>
    </row>
    <row r="1986" spans="1:9" x14ac:dyDescent="0.45">
      <c r="A1986" t="s">
        <v>19</v>
      </c>
      <c r="B1986" t="s">
        <v>36</v>
      </c>
      <c r="C1986" t="str">
        <f t="shared" si="60"/>
        <v>ConnecticutMarquette</v>
      </c>
      <c r="D1986" t="s">
        <v>36</v>
      </c>
      <c r="E1986">
        <v>48.7</v>
      </c>
      <c r="F1986" s="1">
        <v>0.339622641509434</v>
      </c>
      <c r="G1986" s="2">
        <v>105.315985219749</v>
      </c>
      <c r="H1986" s="1">
        <v>138.616499587437</v>
      </c>
      <c r="I1986" s="1">
        <f t="shared" si="61"/>
        <v>136.5139717416171</v>
      </c>
    </row>
    <row r="1987" spans="1:9" x14ac:dyDescent="0.45">
      <c r="A1987" t="s">
        <v>20</v>
      </c>
      <c r="B1987" t="s">
        <v>36</v>
      </c>
      <c r="C1987" t="str">
        <f t="shared" ref="C1987:C2050" si="62">A1987&amp;B1987</f>
        <v>CreightonMarquette</v>
      </c>
      <c r="D1987" t="s">
        <v>36</v>
      </c>
      <c r="E1987">
        <v>22.7</v>
      </c>
      <c r="F1987" s="1">
        <v>8.0490566037735896</v>
      </c>
      <c r="G1987" s="2">
        <v>341.292665176154</v>
      </c>
      <c r="H1987" s="1">
        <v>138.16579634027599</v>
      </c>
      <c r="I1987" s="1">
        <f t="shared" ref="I1987:I2050" si="63">18*(H1987-AVERAGE($H$2:$H$4625))/_xlfn.STDEV.P($H$2:$H$4625)+AVERAGE($H$2:$H$4625)</f>
        <v>130.18532492900945</v>
      </c>
    </row>
    <row r="1988" spans="1:9" x14ac:dyDescent="0.45">
      <c r="A1988" t="s">
        <v>21</v>
      </c>
      <c r="B1988" t="s">
        <v>36</v>
      </c>
      <c r="C1988" t="str">
        <f t="shared" si="62"/>
        <v>DrakeMarquette</v>
      </c>
      <c r="D1988" t="s">
        <v>36</v>
      </c>
      <c r="E1988">
        <v>8.9</v>
      </c>
      <c r="F1988" s="1">
        <v>15.218867924528301</v>
      </c>
      <c r="G1988" s="2">
        <v>1019.32962938665</v>
      </c>
      <c r="H1988" s="1">
        <v>138.400472145951</v>
      </c>
      <c r="I1988" s="1">
        <f t="shared" si="63"/>
        <v>133.48057584840365</v>
      </c>
    </row>
    <row r="1989" spans="1:9" x14ac:dyDescent="0.45">
      <c r="A1989" t="s">
        <v>22</v>
      </c>
      <c r="B1989" t="s">
        <v>36</v>
      </c>
      <c r="C1989" t="str">
        <f t="shared" si="62"/>
        <v>DukeMarquette</v>
      </c>
      <c r="D1989" t="s">
        <v>22</v>
      </c>
      <c r="E1989">
        <v>83.7</v>
      </c>
      <c r="F1989" s="1">
        <v>-10.732075471698099</v>
      </c>
      <c r="G1989" s="2">
        <v>-513.97000873628303</v>
      </c>
      <c r="H1989" s="1">
        <v>140.480812034553</v>
      </c>
      <c r="I1989" s="1">
        <f t="shared" si="63"/>
        <v>162.69211689691545</v>
      </c>
    </row>
    <row r="1990" spans="1:9" x14ac:dyDescent="0.45">
      <c r="A1990" t="s">
        <v>23</v>
      </c>
      <c r="B1990" t="s">
        <v>36</v>
      </c>
      <c r="C1990" t="str">
        <f t="shared" si="62"/>
        <v>FloridaMarquette</v>
      </c>
      <c r="D1990" t="s">
        <v>23</v>
      </c>
      <c r="E1990">
        <v>74.099999999999994</v>
      </c>
      <c r="F1990" s="1">
        <v>-6.87547169811321</v>
      </c>
      <c r="G1990" s="2">
        <v>-285.36822739304301</v>
      </c>
      <c r="H1990" s="1">
        <v>140.215462562108</v>
      </c>
      <c r="I1990" s="1">
        <f t="shared" si="63"/>
        <v>158.96615507260179</v>
      </c>
    </row>
    <row r="1991" spans="1:9" x14ac:dyDescent="0.45">
      <c r="A1991" t="s">
        <v>24</v>
      </c>
      <c r="B1991" t="s">
        <v>36</v>
      </c>
      <c r="C1991" t="str">
        <f t="shared" si="62"/>
        <v>GeorgiaMarquette</v>
      </c>
      <c r="D1991" t="s">
        <v>36</v>
      </c>
      <c r="E1991">
        <v>10.3</v>
      </c>
      <c r="F1991" s="1">
        <v>14.188679245283</v>
      </c>
      <c r="G1991" s="2">
        <v>870.78291682982501</v>
      </c>
      <c r="H1991" s="1">
        <v>137.47942085839199</v>
      </c>
      <c r="I1991" s="1">
        <f t="shared" si="63"/>
        <v>120.54743562370929</v>
      </c>
    </row>
    <row r="1992" spans="1:9" x14ac:dyDescent="0.45">
      <c r="A1992" t="s">
        <v>25</v>
      </c>
      <c r="B1992" t="s">
        <v>36</v>
      </c>
      <c r="C1992" t="str">
        <f t="shared" si="62"/>
        <v>GonzagaMarquette</v>
      </c>
      <c r="D1992" t="s">
        <v>36</v>
      </c>
      <c r="E1992">
        <v>36.799999999999997</v>
      </c>
      <c r="F1992" s="1">
        <v>3.5584905660377402</v>
      </c>
      <c r="G1992" s="2">
        <v>172.056489528085</v>
      </c>
      <c r="H1992" s="1">
        <v>139.45638258889801</v>
      </c>
      <c r="I1992" s="1">
        <f t="shared" si="63"/>
        <v>148.30736997790848</v>
      </c>
    </row>
    <row r="1993" spans="1:9" x14ac:dyDescent="0.45">
      <c r="A1993" t="s">
        <v>26</v>
      </c>
      <c r="B1993" t="s">
        <v>36</v>
      </c>
      <c r="C1993" t="str">
        <f t="shared" si="62"/>
        <v>Grand CanyonMarquette</v>
      </c>
      <c r="D1993" t="s">
        <v>36</v>
      </c>
      <c r="E1993">
        <v>5.9</v>
      </c>
      <c r="F1993" s="1">
        <v>18.109433962264099</v>
      </c>
      <c r="G1993" s="2">
        <v>1583.6160427674499</v>
      </c>
      <c r="H1993" s="1">
        <v>138.274354306438</v>
      </c>
      <c r="I1993" s="1">
        <f t="shared" si="63"/>
        <v>131.70966501500163</v>
      </c>
    </row>
    <row r="1994" spans="1:9" x14ac:dyDescent="0.45">
      <c r="A1994" t="s">
        <v>27</v>
      </c>
      <c r="B1994" t="s">
        <v>36</v>
      </c>
      <c r="C1994" t="str">
        <f t="shared" si="62"/>
        <v>High PointMarquette</v>
      </c>
      <c r="D1994" t="s">
        <v>36</v>
      </c>
      <c r="E1994">
        <v>3.8</v>
      </c>
      <c r="F1994" s="1">
        <v>21.196226415094301</v>
      </c>
      <c r="G1994" s="2">
        <v>2537.0671023967102</v>
      </c>
      <c r="H1994" s="1">
        <v>138.465561439986</v>
      </c>
      <c r="I1994" s="1">
        <f t="shared" si="63"/>
        <v>134.39454120326684</v>
      </c>
    </row>
    <row r="1995" spans="1:9" x14ac:dyDescent="0.45">
      <c r="A1995" t="s">
        <v>28</v>
      </c>
      <c r="B1995" t="s">
        <v>36</v>
      </c>
      <c r="C1995" t="str">
        <f t="shared" si="62"/>
        <v>HoustonMarquette</v>
      </c>
      <c r="D1995" t="s">
        <v>28</v>
      </c>
      <c r="E1995">
        <v>89.6</v>
      </c>
      <c r="F1995" s="1">
        <v>-14.086792452830201</v>
      </c>
      <c r="G1995" s="2">
        <v>-857.36931914493402</v>
      </c>
      <c r="H1995" s="1">
        <v>140.579023797189</v>
      </c>
      <c r="I1995" s="1">
        <f t="shared" si="63"/>
        <v>164.07117853554803</v>
      </c>
    </row>
    <row r="1996" spans="1:9" x14ac:dyDescent="0.45">
      <c r="A1996" t="s">
        <v>29</v>
      </c>
      <c r="B1996" t="s">
        <v>36</v>
      </c>
      <c r="C1996" t="str">
        <f t="shared" si="62"/>
        <v>IllinoisMarquette</v>
      </c>
      <c r="D1996" t="s">
        <v>36</v>
      </c>
      <c r="E1996">
        <v>45.8</v>
      </c>
      <c r="F1996" s="1">
        <v>1.1018867924528299</v>
      </c>
      <c r="G1996" s="2">
        <v>118.316589261356</v>
      </c>
      <c r="H1996" s="1">
        <v>138.637487572151</v>
      </c>
      <c r="I1996" s="1">
        <f t="shared" si="63"/>
        <v>136.80867905380083</v>
      </c>
    </row>
    <row r="1997" spans="1:9" x14ac:dyDescent="0.45">
      <c r="A1997" t="s">
        <v>30</v>
      </c>
      <c r="B1997" t="s">
        <v>36</v>
      </c>
      <c r="C1997" t="str">
        <f t="shared" si="62"/>
        <v>Iowa St.Marquette</v>
      </c>
      <c r="D1997" t="s">
        <v>30</v>
      </c>
      <c r="E1997">
        <v>64</v>
      </c>
      <c r="F1997" s="1">
        <v>-3.7584905660377399</v>
      </c>
      <c r="G1997" s="2">
        <v>-177.42320396644701</v>
      </c>
      <c r="H1997" s="1">
        <v>139.534029863737</v>
      </c>
      <c r="I1997" s="1">
        <f t="shared" si="63"/>
        <v>149.39767092761946</v>
      </c>
    </row>
    <row r="1998" spans="1:9" x14ac:dyDescent="0.45">
      <c r="A1998" t="s">
        <v>31</v>
      </c>
      <c r="B1998" t="s">
        <v>36</v>
      </c>
      <c r="C1998" t="str">
        <f t="shared" si="62"/>
        <v>KansasMarquette</v>
      </c>
      <c r="D1998" t="s">
        <v>36</v>
      </c>
      <c r="E1998">
        <v>35.299999999999997</v>
      </c>
      <c r="F1998" s="1">
        <v>3.9584905660377401</v>
      </c>
      <c r="G1998" s="2">
        <v>182.89023511151501</v>
      </c>
      <c r="H1998" s="1">
        <v>138.58461775259099</v>
      </c>
      <c r="I1998" s="1">
        <f t="shared" si="63"/>
        <v>136.06629608418777</v>
      </c>
    </row>
    <row r="1999" spans="1:9" x14ac:dyDescent="0.45">
      <c r="A1999" t="s">
        <v>32</v>
      </c>
      <c r="B1999" t="s">
        <v>36</v>
      </c>
      <c r="C1999" t="str">
        <f t="shared" si="62"/>
        <v>KentuckyMarquette</v>
      </c>
      <c r="D1999" t="s">
        <v>36</v>
      </c>
      <c r="E1999">
        <v>47.7</v>
      </c>
      <c r="F1999" s="1">
        <v>0.592452830188679</v>
      </c>
      <c r="G1999" s="2">
        <v>109.472383882513</v>
      </c>
      <c r="H1999" s="1">
        <v>138.51890008471599</v>
      </c>
      <c r="I1999" s="1">
        <f t="shared" si="63"/>
        <v>135.14350728257861</v>
      </c>
    </row>
    <row r="2000" spans="1:9" x14ac:dyDescent="0.45">
      <c r="A2000" t="s">
        <v>33</v>
      </c>
      <c r="B2000" t="s">
        <v>36</v>
      </c>
      <c r="C2000" t="str">
        <f t="shared" si="62"/>
        <v>LibertyMarquette</v>
      </c>
      <c r="D2000" t="s">
        <v>36</v>
      </c>
      <c r="E2000">
        <v>2.7</v>
      </c>
      <c r="F2000" s="1">
        <v>23.5811320754717</v>
      </c>
      <c r="G2000" s="2">
        <v>3648.65239520879</v>
      </c>
      <c r="H2000" s="1">
        <v>137.86390112843401</v>
      </c>
      <c r="I2000" s="1">
        <f t="shared" si="63"/>
        <v>125.94619822601791</v>
      </c>
    </row>
    <row r="2001" spans="1:9" x14ac:dyDescent="0.45">
      <c r="A2001" t="s">
        <v>34</v>
      </c>
      <c r="B2001" t="s">
        <v>36</v>
      </c>
      <c r="C2001" t="str">
        <f t="shared" si="62"/>
        <v>LipscombMarquette</v>
      </c>
      <c r="D2001" t="s">
        <v>36</v>
      </c>
      <c r="E2001">
        <v>2</v>
      </c>
      <c r="F2001" s="1">
        <v>25.445283018867901</v>
      </c>
      <c r="G2001" s="2">
        <v>4849.8777436475402</v>
      </c>
      <c r="H2001" s="1">
        <v>138.27021932602599</v>
      </c>
      <c r="I2001" s="1">
        <f t="shared" si="63"/>
        <v>131.65160279608159</v>
      </c>
    </row>
    <row r="2002" spans="1:9" x14ac:dyDescent="0.45">
      <c r="A2002" t="s">
        <v>35</v>
      </c>
      <c r="B2002" t="s">
        <v>36</v>
      </c>
      <c r="C2002" t="str">
        <f t="shared" si="62"/>
        <v>LouisvilleMarquette</v>
      </c>
      <c r="D2002" t="s">
        <v>36</v>
      </c>
      <c r="E2002">
        <v>4.9000000000000004</v>
      </c>
      <c r="F2002" s="1">
        <v>19.396226415094301</v>
      </c>
      <c r="G2002" s="2">
        <v>1927.4936499611299</v>
      </c>
      <c r="H2002" s="1">
        <v>137.51558133184301</v>
      </c>
      <c r="I2002" s="1">
        <f t="shared" si="63"/>
        <v>121.05519070754703</v>
      </c>
    </row>
    <row r="2003" spans="1:9" x14ac:dyDescent="0.45">
      <c r="A2003" t="s">
        <v>36</v>
      </c>
      <c r="B2003" t="s">
        <v>36</v>
      </c>
      <c r="C2003" t="str">
        <f t="shared" si="62"/>
        <v>MarquetteMarquette</v>
      </c>
      <c r="D2003" t="s">
        <v>36</v>
      </c>
      <c r="E2003">
        <v>41.2</v>
      </c>
      <c r="F2003" s="1">
        <v>2.3283018867924499</v>
      </c>
      <c r="G2003" s="2">
        <v>142.64273539779199</v>
      </c>
      <c r="H2003" s="1">
        <v>138.77771517530499</v>
      </c>
      <c r="I2003" s="1">
        <f t="shared" si="63"/>
        <v>138.77771517530684</v>
      </c>
    </row>
    <row r="2004" spans="1:9" x14ac:dyDescent="0.45">
      <c r="A2004" t="s">
        <v>37</v>
      </c>
      <c r="B2004" t="s">
        <v>36</v>
      </c>
      <c r="C2004" t="str">
        <f t="shared" si="62"/>
        <v>MarylandMarquette</v>
      </c>
      <c r="D2004" t="s">
        <v>36</v>
      </c>
      <c r="E2004">
        <v>30.2</v>
      </c>
      <c r="F2004" s="1">
        <v>5.49433962264151</v>
      </c>
      <c r="G2004" s="2">
        <v>231.25093119503799</v>
      </c>
      <c r="H2004" s="1">
        <v>138.23608477384801</v>
      </c>
      <c r="I2004" s="1">
        <f t="shared" si="63"/>
        <v>131.17229512256966</v>
      </c>
    </row>
    <row r="2005" spans="1:9" x14ac:dyDescent="0.45">
      <c r="A2005" t="s">
        <v>38</v>
      </c>
      <c r="B2005" t="s">
        <v>36</v>
      </c>
      <c r="C2005" t="str">
        <f t="shared" si="62"/>
        <v>McNeese St.Marquette</v>
      </c>
      <c r="D2005" t="s">
        <v>36</v>
      </c>
      <c r="E2005">
        <v>9.1999999999999993</v>
      </c>
      <c r="F2005" s="1">
        <v>15.037735849056601</v>
      </c>
      <c r="G2005" s="2">
        <v>991.181445950995</v>
      </c>
      <c r="H2005" s="1">
        <v>138.82932018681299</v>
      </c>
      <c r="I2005" s="1">
        <f t="shared" si="63"/>
        <v>139.50233806997622</v>
      </c>
    </row>
    <row r="2006" spans="1:9" x14ac:dyDescent="0.45">
      <c r="A2006" t="s">
        <v>39</v>
      </c>
      <c r="B2006" t="s">
        <v>36</v>
      </c>
      <c r="C2006" t="str">
        <f t="shared" si="62"/>
        <v>MemphisMarquette</v>
      </c>
      <c r="D2006" t="s">
        <v>36</v>
      </c>
      <c r="E2006">
        <v>19.600000000000001</v>
      </c>
      <c r="F2006" s="1">
        <v>9.2603773584905706</v>
      </c>
      <c r="G2006" s="2">
        <v>410.66137493687302</v>
      </c>
      <c r="H2006" s="1">
        <v>137.36360201333801</v>
      </c>
      <c r="I2006" s="1">
        <f t="shared" si="63"/>
        <v>118.92114034137487</v>
      </c>
    </row>
    <row r="2007" spans="1:9" x14ac:dyDescent="0.45">
      <c r="A2007" t="s">
        <v>40</v>
      </c>
      <c r="B2007" t="s">
        <v>36</v>
      </c>
      <c r="C2007" t="str">
        <f t="shared" si="62"/>
        <v>MichiganMarquette</v>
      </c>
      <c r="D2007" t="s">
        <v>36</v>
      </c>
      <c r="E2007">
        <v>10.7</v>
      </c>
      <c r="F2007" s="1">
        <v>13.8867924528302</v>
      </c>
      <c r="G2007" s="2">
        <v>831.53108894348202</v>
      </c>
      <c r="H2007" s="1">
        <v>136.92622331025501</v>
      </c>
      <c r="I2007" s="1">
        <f t="shared" si="63"/>
        <v>112.77959298709145</v>
      </c>
    </row>
    <row r="2008" spans="1:9" x14ac:dyDescent="0.45">
      <c r="A2008" t="s">
        <v>41</v>
      </c>
      <c r="B2008" t="s">
        <v>36</v>
      </c>
      <c r="C2008" t="str">
        <f t="shared" si="62"/>
        <v>Michigan St.Marquette</v>
      </c>
      <c r="D2008" t="s">
        <v>41</v>
      </c>
      <c r="E2008">
        <v>53.3</v>
      </c>
      <c r="F2008" s="1">
        <v>-0.86037735849056596</v>
      </c>
      <c r="G2008" s="2">
        <v>-114.04510525073</v>
      </c>
      <c r="H2008" s="1">
        <v>138.573303019462</v>
      </c>
      <c r="I2008" s="1">
        <f t="shared" si="63"/>
        <v>135.9074178196017</v>
      </c>
    </row>
    <row r="2009" spans="1:9" x14ac:dyDescent="0.45">
      <c r="A2009" t="s">
        <v>42</v>
      </c>
      <c r="B2009" t="s">
        <v>36</v>
      </c>
      <c r="C2009" t="str">
        <f t="shared" si="62"/>
        <v>MississippiMarquette</v>
      </c>
      <c r="D2009" t="s">
        <v>36</v>
      </c>
      <c r="E2009">
        <v>23.8</v>
      </c>
      <c r="F2009" s="1">
        <v>7.6339622641509397</v>
      </c>
      <c r="G2009" s="2">
        <v>320.47544907827699</v>
      </c>
      <c r="H2009" s="1">
        <v>137.84099436935099</v>
      </c>
      <c r="I2009" s="1">
        <f t="shared" si="63"/>
        <v>125.62454802986102</v>
      </c>
    </row>
    <row r="2010" spans="1:9" x14ac:dyDescent="0.45">
      <c r="A2010" t="s">
        <v>43</v>
      </c>
      <c r="B2010" t="s">
        <v>36</v>
      </c>
      <c r="C2010" t="str">
        <f t="shared" si="62"/>
        <v>Mississippi St.Marquette</v>
      </c>
      <c r="D2010" t="s">
        <v>36</v>
      </c>
      <c r="E2010">
        <v>19.3</v>
      </c>
      <c r="F2010" s="1">
        <v>9.3584905660377409</v>
      </c>
      <c r="G2010" s="2">
        <v>416.84258533872901</v>
      </c>
      <c r="H2010" s="1">
        <v>137.98074084202801</v>
      </c>
      <c r="I2010" s="1">
        <f t="shared" si="63"/>
        <v>127.58682825404723</v>
      </c>
    </row>
    <row r="2011" spans="1:9" x14ac:dyDescent="0.45">
      <c r="A2011" t="s">
        <v>44</v>
      </c>
      <c r="B2011" t="s">
        <v>36</v>
      </c>
      <c r="C2011" t="str">
        <f t="shared" si="62"/>
        <v>MissouriMarquette</v>
      </c>
      <c r="D2011" t="s">
        <v>36</v>
      </c>
      <c r="E2011">
        <v>10.199999999999999</v>
      </c>
      <c r="F2011" s="1">
        <v>14.2905660377358</v>
      </c>
      <c r="G2011" s="2">
        <v>884.81069345544802</v>
      </c>
      <c r="H2011" s="1">
        <v>137.39840274067399</v>
      </c>
      <c r="I2011" s="1">
        <f t="shared" si="63"/>
        <v>119.40980225698911</v>
      </c>
    </row>
    <row r="2012" spans="1:9" x14ac:dyDescent="0.45">
      <c r="A2012" t="s">
        <v>45</v>
      </c>
      <c r="B2012" t="s">
        <v>36</v>
      </c>
      <c r="C2012" t="str">
        <f t="shared" si="62"/>
        <v>MontanaMarquette</v>
      </c>
      <c r="D2012" t="s">
        <v>36</v>
      </c>
      <c r="E2012">
        <v>1</v>
      </c>
      <c r="F2012" s="1">
        <v>30.0981132075472</v>
      </c>
      <c r="G2012" s="2">
        <v>9862.7064087971394</v>
      </c>
      <c r="H2012" s="1">
        <v>136.53511430408</v>
      </c>
      <c r="I2012" s="1">
        <f t="shared" si="63"/>
        <v>107.28775155727504</v>
      </c>
    </row>
    <row r="2013" spans="1:9" x14ac:dyDescent="0.45">
      <c r="A2013" t="s">
        <v>46</v>
      </c>
      <c r="B2013" t="s">
        <v>36</v>
      </c>
      <c r="C2013" t="str">
        <f t="shared" si="62"/>
        <v>Mount St. Mary'sMarquette</v>
      </c>
      <c r="D2013" t="s">
        <v>36</v>
      </c>
      <c r="E2013">
        <v>0.4</v>
      </c>
      <c r="F2013" s="1">
        <v>36.430188679245298</v>
      </c>
      <c r="G2013" s="2">
        <v>25919.119488817101</v>
      </c>
      <c r="H2013" s="1">
        <v>137.83840225823101</v>
      </c>
      <c r="I2013" s="1">
        <f t="shared" si="63"/>
        <v>125.5881503427338</v>
      </c>
    </row>
    <row r="2014" spans="1:9" x14ac:dyDescent="0.45">
      <c r="A2014" t="s">
        <v>47</v>
      </c>
      <c r="B2014" t="s">
        <v>36</v>
      </c>
      <c r="C2014" t="str">
        <f t="shared" si="62"/>
        <v>Nebraska OmahaMarquette</v>
      </c>
      <c r="D2014" t="s">
        <v>36</v>
      </c>
      <c r="E2014">
        <v>0.5</v>
      </c>
      <c r="F2014" s="1">
        <v>34.2415094339623</v>
      </c>
      <c r="G2014" s="2">
        <v>18557.425360003799</v>
      </c>
      <c r="H2014" s="1">
        <v>137.25617839033399</v>
      </c>
      <c r="I2014" s="1">
        <f t="shared" si="63"/>
        <v>117.41272837938982</v>
      </c>
    </row>
    <row r="2015" spans="1:9" x14ac:dyDescent="0.45">
      <c r="A2015" t="s">
        <v>48</v>
      </c>
      <c r="B2015" t="s">
        <v>36</v>
      </c>
      <c r="C2015" t="str">
        <f t="shared" si="62"/>
        <v>New MexicoMarquette</v>
      </c>
      <c r="D2015" t="s">
        <v>36</v>
      </c>
      <c r="E2015">
        <v>11.4</v>
      </c>
      <c r="F2015" s="1">
        <v>13.411320754717</v>
      </c>
      <c r="G2015" s="2">
        <v>773.45406938989299</v>
      </c>
      <c r="H2015" s="1">
        <v>138.02616832215099</v>
      </c>
      <c r="I2015" s="1">
        <f t="shared" si="63"/>
        <v>128.22470800995322</v>
      </c>
    </row>
    <row r="2016" spans="1:9" x14ac:dyDescent="0.45">
      <c r="A2016" t="s">
        <v>49</v>
      </c>
      <c r="B2016" t="s">
        <v>36</v>
      </c>
      <c r="C2016" t="str">
        <f t="shared" si="62"/>
        <v>Norfolk St.Marquette</v>
      </c>
      <c r="D2016" t="s">
        <v>36</v>
      </c>
      <c r="E2016">
        <v>0.8</v>
      </c>
      <c r="F2016" s="1">
        <v>31.977358490566001</v>
      </c>
      <c r="G2016" s="2">
        <v>13136.0528184339</v>
      </c>
      <c r="H2016" s="1">
        <v>137.062294086115</v>
      </c>
      <c r="I2016" s="1">
        <f t="shared" si="63"/>
        <v>114.69026012197395</v>
      </c>
    </row>
    <row r="2017" spans="1:9" x14ac:dyDescent="0.45">
      <c r="A2017" t="s">
        <v>50</v>
      </c>
      <c r="B2017" t="s">
        <v>36</v>
      </c>
      <c r="C2017" t="str">
        <f t="shared" si="62"/>
        <v>North CarolinaMarquette</v>
      </c>
      <c r="D2017" t="s">
        <v>36</v>
      </c>
      <c r="E2017">
        <v>30.6</v>
      </c>
      <c r="F2017" s="1">
        <v>5.35849056603774</v>
      </c>
      <c r="G2017" s="2">
        <v>226.50485961976099</v>
      </c>
      <c r="H2017" s="1">
        <v>139.135900040584</v>
      </c>
      <c r="I2017" s="1">
        <f t="shared" si="63"/>
        <v>143.80724518258123</v>
      </c>
    </row>
    <row r="2018" spans="1:9" x14ac:dyDescent="0.45">
      <c r="A2018" t="s">
        <v>51</v>
      </c>
      <c r="B2018" t="s">
        <v>36</v>
      </c>
      <c r="C2018" t="str">
        <f t="shared" si="62"/>
        <v>OklahomaMarquette</v>
      </c>
      <c r="D2018" t="s">
        <v>36</v>
      </c>
      <c r="E2018">
        <v>13.4</v>
      </c>
      <c r="F2018" s="1">
        <v>12.2415094339623</v>
      </c>
      <c r="G2018" s="2">
        <v>647.22419506500796</v>
      </c>
      <c r="H2018" s="1">
        <v>137.55952316675899</v>
      </c>
      <c r="I2018" s="1">
        <f t="shared" si="63"/>
        <v>121.6722094559871</v>
      </c>
    </row>
    <row r="2019" spans="1:9" x14ac:dyDescent="0.45">
      <c r="A2019" t="s">
        <v>52</v>
      </c>
      <c r="B2019" t="s">
        <v>36</v>
      </c>
      <c r="C2019" t="str">
        <f t="shared" si="62"/>
        <v>OregonMarquette</v>
      </c>
      <c r="D2019" t="s">
        <v>36</v>
      </c>
      <c r="E2019">
        <v>30.3</v>
      </c>
      <c r="F2019" s="1">
        <v>5.4754716981132097</v>
      </c>
      <c r="G2019" s="2">
        <v>230.56240744739901</v>
      </c>
      <c r="H2019" s="1">
        <v>137.85024055828799</v>
      </c>
      <c r="I2019" s="1">
        <f t="shared" si="63"/>
        <v>125.75438038521567</v>
      </c>
    </row>
    <row r="2020" spans="1:9" x14ac:dyDescent="0.45">
      <c r="A2020" t="s">
        <v>53</v>
      </c>
      <c r="B2020" t="s">
        <v>36</v>
      </c>
      <c r="C2020" t="str">
        <f t="shared" si="62"/>
        <v>PurdueMarquette</v>
      </c>
      <c r="D2020" t="s">
        <v>53</v>
      </c>
      <c r="E2020">
        <v>71.099999999999994</v>
      </c>
      <c r="F2020" s="1">
        <v>-5.8943396226415103</v>
      </c>
      <c r="G2020" s="2">
        <v>-245.81655145877301</v>
      </c>
      <c r="H2020" s="1">
        <v>139.338327758086</v>
      </c>
      <c r="I2020" s="1">
        <f t="shared" si="63"/>
        <v>146.64967761949407</v>
      </c>
    </row>
    <row r="2021" spans="1:9" x14ac:dyDescent="0.45">
      <c r="A2021" t="s">
        <v>54</v>
      </c>
      <c r="B2021" t="s">
        <v>36</v>
      </c>
      <c r="C2021" t="str">
        <f t="shared" si="62"/>
        <v>Robert MorrisMarquette</v>
      </c>
      <c r="D2021" t="s">
        <v>36</v>
      </c>
      <c r="E2021">
        <v>0.3</v>
      </c>
      <c r="F2021" s="1">
        <v>37.992452830188697</v>
      </c>
      <c r="G2021" s="2">
        <v>32886.963688288102</v>
      </c>
      <c r="H2021" s="1">
        <v>136.42129308677301</v>
      </c>
      <c r="I2021" s="1">
        <f t="shared" si="63"/>
        <v>105.68950639562065</v>
      </c>
    </row>
    <row r="2022" spans="1:9" x14ac:dyDescent="0.45">
      <c r="A2022" t="s">
        <v>55</v>
      </c>
      <c r="B2022" t="s">
        <v>36</v>
      </c>
      <c r="C2022" t="str">
        <f t="shared" si="62"/>
        <v>Saint FrancisMarquette</v>
      </c>
      <c r="D2022" t="s">
        <v>36</v>
      </c>
      <c r="E2022">
        <v>0.2</v>
      </c>
      <c r="F2022" s="1">
        <v>41.3547169811321</v>
      </c>
      <c r="G2022" s="2">
        <v>54929.541410872698</v>
      </c>
      <c r="H2022" s="1">
        <v>137.12814096881601</v>
      </c>
      <c r="I2022" s="1">
        <f t="shared" si="63"/>
        <v>115.61486332142022</v>
      </c>
    </row>
    <row r="2023" spans="1:9" x14ac:dyDescent="0.45">
      <c r="A2023" t="s">
        <v>56</v>
      </c>
      <c r="B2023" t="s">
        <v>36</v>
      </c>
      <c r="C2023" t="str">
        <f t="shared" si="62"/>
        <v>Saint Mary'sMarquette</v>
      </c>
      <c r="D2023" t="s">
        <v>36</v>
      </c>
      <c r="E2023">
        <v>29.8</v>
      </c>
      <c r="F2023" s="1">
        <v>5.6188679245283</v>
      </c>
      <c r="G2023" s="2">
        <v>235.690348366389</v>
      </c>
      <c r="H2023" s="1">
        <v>138.857347084758</v>
      </c>
      <c r="I2023" s="1">
        <f t="shared" si="63"/>
        <v>139.89588379982007</v>
      </c>
    </row>
    <row r="2024" spans="1:9" x14ac:dyDescent="0.45">
      <c r="A2024" t="s">
        <v>57</v>
      </c>
      <c r="B2024" t="s">
        <v>36</v>
      </c>
      <c r="C2024" t="str">
        <f t="shared" si="62"/>
        <v>San Diego St.Marquette</v>
      </c>
      <c r="D2024" t="s">
        <v>36</v>
      </c>
      <c r="E2024">
        <v>11.6</v>
      </c>
      <c r="F2024" s="1">
        <v>13.2943396226415</v>
      </c>
      <c r="G2024" s="2">
        <v>759.87361420736204</v>
      </c>
      <c r="H2024" s="1">
        <v>138.072046247787</v>
      </c>
      <c r="I2024" s="1">
        <f t="shared" si="63"/>
        <v>128.86891279364238</v>
      </c>
    </row>
    <row r="2025" spans="1:9" x14ac:dyDescent="0.45">
      <c r="A2025" t="s">
        <v>58</v>
      </c>
      <c r="B2025" t="s">
        <v>36</v>
      </c>
      <c r="C2025" t="str">
        <f t="shared" si="62"/>
        <v>SIU EdwardsvilleMarquette</v>
      </c>
      <c r="D2025" t="s">
        <v>36</v>
      </c>
      <c r="E2025">
        <v>0.6</v>
      </c>
      <c r="F2025" s="1">
        <v>33.267924528301897</v>
      </c>
      <c r="G2025" s="2">
        <v>15996.377471583401</v>
      </c>
      <c r="H2025" s="1">
        <v>138.131304427971</v>
      </c>
      <c r="I2025" s="1">
        <f t="shared" si="63"/>
        <v>129.70099930623064</v>
      </c>
    </row>
    <row r="2026" spans="1:9" x14ac:dyDescent="0.45">
      <c r="A2026" t="s">
        <v>59</v>
      </c>
      <c r="B2026" t="s">
        <v>36</v>
      </c>
      <c r="C2026" t="str">
        <f t="shared" si="62"/>
        <v>St. John'sMarquette</v>
      </c>
      <c r="D2026" t="s">
        <v>59</v>
      </c>
      <c r="E2026">
        <v>55.2</v>
      </c>
      <c r="F2026" s="1">
        <v>-1.3622641509433999</v>
      </c>
      <c r="G2026" s="2">
        <v>-123.114115984039</v>
      </c>
      <c r="H2026" s="1">
        <v>138.95076087652501</v>
      </c>
      <c r="I2026" s="1">
        <f t="shared" si="63"/>
        <v>141.20757369609598</v>
      </c>
    </row>
    <row r="2027" spans="1:9" x14ac:dyDescent="0.45">
      <c r="A2027" t="s">
        <v>60</v>
      </c>
      <c r="B2027" t="s">
        <v>36</v>
      </c>
      <c r="C2027" t="str">
        <f t="shared" si="62"/>
        <v>TennesseeMarquette</v>
      </c>
      <c r="D2027" t="s">
        <v>60</v>
      </c>
      <c r="E2027">
        <v>73.2</v>
      </c>
      <c r="F2027" s="1">
        <v>-6.5773584905660396</v>
      </c>
      <c r="G2027" s="2">
        <v>-272.81317726382701</v>
      </c>
      <c r="H2027" s="1">
        <v>139.74399325066</v>
      </c>
      <c r="I2027" s="1">
        <f t="shared" si="63"/>
        <v>152.34591709133036</v>
      </c>
    </row>
    <row r="2028" spans="1:9" x14ac:dyDescent="0.45">
      <c r="A2028" t="s">
        <v>61</v>
      </c>
      <c r="B2028" t="s">
        <v>36</v>
      </c>
      <c r="C2028" t="str">
        <f t="shared" si="62"/>
        <v>TexasMarquette</v>
      </c>
      <c r="D2028" t="s">
        <v>36</v>
      </c>
      <c r="E2028">
        <v>9.8000000000000007</v>
      </c>
      <c r="F2028" s="1">
        <v>14.5169811320755</v>
      </c>
      <c r="G2028" s="2">
        <v>915.75538272092103</v>
      </c>
      <c r="H2028" s="1">
        <v>137.44387507829799</v>
      </c>
      <c r="I2028" s="1">
        <f t="shared" si="63"/>
        <v>120.0483118891666</v>
      </c>
    </row>
    <row r="2029" spans="1:9" x14ac:dyDescent="0.45">
      <c r="A2029" t="s">
        <v>62</v>
      </c>
      <c r="B2029" t="s">
        <v>36</v>
      </c>
      <c r="C2029" t="str">
        <f t="shared" si="62"/>
        <v>Texas A&amp;MMarquette</v>
      </c>
      <c r="D2029" t="s">
        <v>36</v>
      </c>
      <c r="E2029">
        <v>38.299999999999997</v>
      </c>
      <c r="F2029" s="1">
        <v>3.1169811320754701</v>
      </c>
      <c r="G2029" s="2">
        <v>160.85153174015201</v>
      </c>
      <c r="H2029" s="1">
        <v>138.230850387695</v>
      </c>
      <c r="I2029" s="1">
        <f t="shared" si="63"/>
        <v>131.09879536091532</v>
      </c>
    </row>
    <row r="2030" spans="1:9" x14ac:dyDescent="0.45">
      <c r="A2030" t="s">
        <v>63</v>
      </c>
      <c r="B2030" t="s">
        <v>36</v>
      </c>
      <c r="C2030" t="str">
        <f t="shared" si="62"/>
        <v>Texas TechMarquette</v>
      </c>
      <c r="D2030" t="s">
        <v>63</v>
      </c>
      <c r="E2030">
        <v>54.6</v>
      </c>
      <c r="F2030" s="1">
        <v>-1.2188679245283001</v>
      </c>
      <c r="G2030" s="2">
        <v>-120.41767580509099</v>
      </c>
      <c r="H2030" s="1">
        <v>139.22136299293501</v>
      </c>
      <c r="I2030" s="1">
        <f t="shared" si="63"/>
        <v>145.00729165306743</v>
      </c>
    </row>
    <row r="2031" spans="1:9" x14ac:dyDescent="0.45">
      <c r="A2031" t="s">
        <v>64</v>
      </c>
      <c r="B2031" t="s">
        <v>36</v>
      </c>
      <c r="C2031" t="str">
        <f t="shared" si="62"/>
        <v>TroyMarquette</v>
      </c>
      <c r="D2031" t="s">
        <v>36</v>
      </c>
      <c r="E2031">
        <v>1.7</v>
      </c>
      <c r="F2031" s="1">
        <v>26.592452830188702</v>
      </c>
      <c r="G2031" s="2">
        <v>5776.3170587097602</v>
      </c>
      <c r="H2031" s="1">
        <v>137.98766758749301</v>
      </c>
      <c r="I2031" s="1">
        <f t="shared" si="63"/>
        <v>127.68409164383843</v>
      </c>
    </row>
    <row r="2032" spans="1:9" x14ac:dyDescent="0.45">
      <c r="A2032" t="s">
        <v>65</v>
      </c>
      <c r="B2032" t="s">
        <v>36</v>
      </c>
      <c r="C2032" t="str">
        <f t="shared" si="62"/>
        <v>UC San DiegoMarquette</v>
      </c>
      <c r="D2032" t="s">
        <v>36</v>
      </c>
      <c r="E2032">
        <v>4.3</v>
      </c>
      <c r="F2032" s="1">
        <v>20.407547169811298</v>
      </c>
      <c r="G2032" s="2">
        <v>2249.6922431518701</v>
      </c>
      <c r="H2032" s="1">
        <v>138.057787817156</v>
      </c>
      <c r="I2032" s="1">
        <f t="shared" si="63"/>
        <v>128.66869996594679</v>
      </c>
    </row>
    <row r="2033" spans="1:9" x14ac:dyDescent="0.45">
      <c r="A2033" t="s">
        <v>66</v>
      </c>
      <c r="B2033" t="s">
        <v>36</v>
      </c>
      <c r="C2033" t="str">
        <f t="shared" si="62"/>
        <v>UCLAMarquette</v>
      </c>
      <c r="D2033" t="s">
        <v>36</v>
      </c>
      <c r="E2033">
        <v>13.3</v>
      </c>
      <c r="F2033" s="1">
        <v>12.309433962264199</v>
      </c>
      <c r="G2033" s="2">
        <v>653.78004294120103</v>
      </c>
      <c r="H2033" s="1">
        <v>137.27904639636901</v>
      </c>
      <c r="I2033" s="1">
        <f t="shared" si="63"/>
        <v>117.73383441626856</v>
      </c>
    </row>
    <row r="2034" spans="1:9" x14ac:dyDescent="0.45">
      <c r="A2034" t="s">
        <v>67</v>
      </c>
      <c r="B2034" t="s">
        <v>36</v>
      </c>
      <c r="C2034" t="str">
        <f t="shared" si="62"/>
        <v>UNC WilmingtonMarquette</v>
      </c>
      <c r="D2034" t="s">
        <v>36</v>
      </c>
      <c r="E2034">
        <v>2.5</v>
      </c>
      <c r="F2034" s="1">
        <v>24</v>
      </c>
      <c r="G2034" s="2">
        <v>3891.2228255871501</v>
      </c>
      <c r="H2034" s="1">
        <v>138.594456287821</v>
      </c>
      <c r="I2034" s="1">
        <f t="shared" si="63"/>
        <v>136.20444599772043</v>
      </c>
    </row>
    <row r="2035" spans="1:9" x14ac:dyDescent="0.45">
      <c r="A2035" t="s">
        <v>68</v>
      </c>
      <c r="B2035" t="s">
        <v>36</v>
      </c>
      <c r="C2035" t="str">
        <f t="shared" si="62"/>
        <v>Utah St.Marquette</v>
      </c>
      <c r="D2035" t="s">
        <v>36</v>
      </c>
      <c r="E2035">
        <v>12.6</v>
      </c>
      <c r="F2035" s="1">
        <v>12.675471698113199</v>
      </c>
      <c r="G2035" s="2">
        <v>691.27032280485901</v>
      </c>
      <c r="H2035" s="1">
        <v>138.14164278640001</v>
      </c>
      <c r="I2035" s="1">
        <f t="shared" si="63"/>
        <v>129.84616759496936</v>
      </c>
    </row>
    <row r="2036" spans="1:9" x14ac:dyDescent="0.45">
      <c r="A2036" t="s">
        <v>69</v>
      </c>
      <c r="B2036" t="s">
        <v>36</v>
      </c>
      <c r="C2036" t="str">
        <f t="shared" si="62"/>
        <v>VanderbiltMarquette</v>
      </c>
      <c r="D2036" t="s">
        <v>36</v>
      </c>
      <c r="E2036">
        <v>2.8</v>
      </c>
      <c r="F2036" s="1">
        <v>23.320754716981099</v>
      </c>
      <c r="G2036" s="2">
        <v>3508.05893604119</v>
      </c>
      <c r="H2036" s="1">
        <v>136.575680667683</v>
      </c>
      <c r="I2036" s="1">
        <f t="shared" si="63"/>
        <v>107.85737289755247</v>
      </c>
    </row>
    <row r="2037" spans="1:9" x14ac:dyDescent="0.45">
      <c r="A2037" t="s">
        <v>70</v>
      </c>
      <c r="B2037" t="s">
        <v>36</v>
      </c>
      <c r="C2037" t="str">
        <f t="shared" si="62"/>
        <v>VCUMarquette</v>
      </c>
      <c r="D2037" t="s">
        <v>36</v>
      </c>
      <c r="E2037">
        <v>8.4</v>
      </c>
      <c r="F2037" s="1">
        <v>15.675471698113199</v>
      </c>
      <c r="G2037" s="2">
        <v>1092.8111840761501</v>
      </c>
      <c r="H2037" s="1">
        <v>138.50085379687599</v>
      </c>
      <c r="I2037" s="1">
        <f t="shared" si="63"/>
        <v>134.8901064412546</v>
      </c>
    </row>
    <row r="2038" spans="1:9" x14ac:dyDescent="0.45">
      <c r="A2038" t="s">
        <v>71</v>
      </c>
      <c r="B2038" t="s">
        <v>36</v>
      </c>
      <c r="C2038" t="str">
        <f t="shared" si="62"/>
        <v>WisconsinMarquette</v>
      </c>
      <c r="D2038" t="s">
        <v>71</v>
      </c>
      <c r="E2038">
        <v>51.1</v>
      </c>
      <c r="F2038" s="1">
        <v>-0.27547169811320799</v>
      </c>
      <c r="G2038" s="2">
        <v>-104.31349768981801</v>
      </c>
      <c r="H2038" s="1">
        <v>139.154109405208</v>
      </c>
      <c r="I2038" s="1">
        <f t="shared" si="63"/>
        <v>144.06293590172555</v>
      </c>
    </row>
    <row r="2039" spans="1:9" x14ac:dyDescent="0.45">
      <c r="A2039" t="s">
        <v>80</v>
      </c>
      <c r="B2039" t="s">
        <v>36</v>
      </c>
      <c r="C2039" t="str">
        <f t="shared" si="62"/>
        <v>WoffordMarquette</v>
      </c>
      <c r="D2039" t="s">
        <v>36</v>
      </c>
      <c r="E2039">
        <v>0.9</v>
      </c>
      <c r="F2039" s="1">
        <v>30.898113207547201</v>
      </c>
      <c r="G2039" s="2">
        <v>11141.549028531001</v>
      </c>
      <c r="H2039" s="1">
        <v>137.25175783443399</v>
      </c>
      <c r="I2039" s="1">
        <f t="shared" si="63"/>
        <v>117.3506561906876</v>
      </c>
    </row>
    <row r="2040" spans="1:9" x14ac:dyDescent="0.45">
      <c r="A2040" t="s">
        <v>72</v>
      </c>
      <c r="B2040" t="s">
        <v>36</v>
      </c>
      <c r="C2040" t="str">
        <f t="shared" si="62"/>
        <v>XavierMarquette</v>
      </c>
      <c r="D2040" t="s">
        <v>36</v>
      </c>
      <c r="E2040">
        <v>8.3000000000000007</v>
      </c>
      <c r="F2040" s="1">
        <v>15.7509433962264</v>
      </c>
      <c r="G2040" s="2">
        <v>1105.07337759096</v>
      </c>
      <c r="H2040" s="1">
        <v>137.994560005056</v>
      </c>
      <c r="I2040" s="1">
        <f t="shared" si="63"/>
        <v>127.78087301099292</v>
      </c>
    </row>
    <row r="2041" spans="1:9" x14ac:dyDescent="0.45">
      <c r="A2041" t="s">
        <v>73</v>
      </c>
      <c r="B2041" t="s">
        <v>36</v>
      </c>
      <c r="C2041" t="str">
        <f t="shared" si="62"/>
        <v>YaleMarquette</v>
      </c>
      <c r="D2041" t="s">
        <v>36</v>
      </c>
      <c r="E2041">
        <v>4.5</v>
      </c>
      <c r="F2041" s="1">
        <v>20</v>
      </c>
      <c r="G2041" s="2">
        <v>2113.18056527418</v>
      </c>
      <c r="H2041" s="1">
        <v>138.59426614144999</v>
      </c>
      <c r="I2041" s="1">
        <f t="shared" si="63"/>
        <v>136.20177601645801</v>
      </c>
    </row>
    <row r="2042" spans="1:9" x14ac:dyDescent="0.45">
      <c r="A2042" t="s">
        <v>7</v>
      </c>
      <c r="B2042" t="s">
        <v>37</v>
      </c>
      <c r="C2042" t="str">
        <f t="shared" si="62"/>
        <v>AkronMaryland</v>
      </c>
      <c r="D2042" t="s">
        <v>37</v>
      </c>
      <c r="E2042">
        <v>3.8</v>
      </c>
      <c r="F2042" s="1">
        <v>21.094339622641499</v>
      </c>
      <c r="G2042" s="2">
        <v>2497.90963637307</v>
      </c>
      <c r="H2042" s="1">
        <v>137.95272360348699</v>
      </c>
      <c r="I2042" s="1">
        <f t="shared" si="63"/>
        <v>127.19341815880694</v>
      </c>
    </row>
    <row r="2043" spans="1:9" x14ac:dyDescent="0.45">
      <c r="A2043" t="s">
        <v>8</v>
      </c>
      <c r="B2043" t="s">
        <v>37</v>
      </c>
      <c r="C2043" t="str">
        <f t="shared" si="62"/>
        <v>AlabamaMaryland</v>
      </c>
      <c r="D2043" t="s">
        <v>8</v>
      </c>
      <c r="E2043">
        <v>75.099999999999994</v>
      </c>
      <c r="F2043" s="1">
        <v>-7.2452830188679203</v>
      </c>
      <c r="G2043" s="2">
        <v>-301.96317345976001</v>
      </c>
      <c r="H2043" s="1">
        <v>139.76033479108199</v>
      </c>
      <c r="I2043" s="1">
        <f t="shared" si="63"/>
        <v>152.57538035425594</v>
      </c>
    </row>
    <row r="2044" spans="1:9" x14ac:dyDescent="0.45">
      <c r="A2044" t="s">
        <v>9</v>
      </c>
      <c r="B2044" t="s">
        <v>37</v>
      </c>
      <c r="C2044" t="str">
        <f t="shared" si="62"/>
        <v>Alabama St.Maryland</v>
      </c>
      <c r="D2044" t="s">
        <v>37</v>
      </c>
      <c r="E2044">
        <v>0.6</v>
      </c>
      <c r="F2044" s="1">
        <v>33.415094339622598</v>
      </c>
      <c r="G2044" s="2">
        <v>16355.598503036301</v>
      </c>
      <c r="H2044" s="1">
        <v>138.139485362908</v>
      </c>
      <c r="I2044" s="1">
        <f t="shared" si="63"/>
        <v>129.81587366788509</v>
      </c>
    </row>
    <row r="2045" spans="1:9" x14ac:dyDescent="0.45">
      <c r="A2045" t="s">
        <v>10</v>
      </c>
      <c r="B2045" t="s">
        <v>37</v>
      </c>
      <c r="C2045" t="str">
        <f t="shared" si="62"/>
        <v>AmericanMaryland</v>
      </c>
      <c r="D2045" t="s">
        <v>37</v>
      </c>
      <c r="E2045">
        <v>0.7</v>
      </c>
      <c r="F2045" s="1">
        <v>32.656603773584898</v>
      </c>
      <c r="G2045" s="2">
        <v>14572.0338315463</v>
      </c>
      <c r="H2045" s="1">
        <v>137.90277488267</v>
      </c>
      <c r="I2045" s="1">
        <f t="shared" si="63"/>
        <v>126.49205242695696</v>
      </c>
    </row>
    <row r="2046" spans="1:9" x14ac:dyDescent="0.45">
      <c r="A2046" t="s">
        <v>11</v>
      </c>
      <c r="B2046" t="s">
        <v>37</v>
      </c>
      <c r="C2046" t="str">
        <f t="shared" si="62"/>
        <v>ArizonaMaryland</v>
      </c>
      <c r="D2046" t="s">
        <v>11</v>
      </c>
      <c r="E2046">
        <v>66.5</v>
      </c>
      <c r="F2046" s="1">
        <v>-4.4905660377358503</v>
      </c>
      <c r="G2046" s="2">
        <v>-198.33519984489001</v>
      </c>
      <c r="H2046" s="1">
        <v>139.37081413125901</v>
      </c>
      <c r="I2046" s="1">
        <f t="shared" si="63"/>
        <v>147.10584203217496</v>
      </c>
    </row>
    <row r="2047" spans="1:9" x14ac:dyDescent="0.45">
      <c r="A2047" t="s">
        <v>12</v>
      </c>
      <c r="B2047" t="s">
        <v>37</v>
      </c>
      <c r="C2047" t="str">
        <f t="shared" si="62"/>
        <v>ArkansasMaryland</v>
      </c>
      <c r="D2047" t="s">
        <v>37</v>
      </c>
      <c r="E2047">
        <v>11.4</v>
      </c>
      <c r="F2047" s="1">
        <v>13.411320754717</v>
      </c>
      <c r="G2047" s="2">
        <v>773.57033309324004</v>
      </c>
      <c r="H2047" s="1">
        <v>137.696738109048</v>
      </c>
      <c r="I2047" s="1">
        <f t="shared" si="63"/>
        <v>123.5989426504547</v>
      </c>
    </row>
    <row r="2048" spans="1:9" x14ac:dyDescent="0.45">
      <c r="A2048" t="s">
        <v>13</v>
      </c>
      <c r="B2048" t="s">
        <v>37</v>
      </c>
      <c r="C2048" t="str">
        <f t="shared" si="62"/>
        <v>AuburnMaryland</v>
      </c>
      <c r="D2048" t="s">
        <v>13</v>
      </c>
      <c r="E2048">
        <v>85.6</v>
      </c>
      <c r="F2048" s="1">
        <v>-11.683018867924501</v>
      </c>
      <c r="G2048" s="2">
        <v>-594.38043301531502</v>
      </c>
      <c r="H2048" s="1">
        <v>140.78255102443501</v>
      </c>
      <c r="I2048" s="1">
        <f t="shared" si="63"/>
        <v>166.92904997557602</v>
      </c>
    </row>
    <row r="2049" spans="1:9" x14ac:dyDescent="0.45">
      <c r="A2049" t="s">
        <v>14</v>
      </c>
      <c r="B2049" t="s">
        <v>37</v>
      </c>
      <c r="C2049" t="str">
        <f t="shared" si="62"/>
        <v>BaylorMaryland</v>
      </c>
      <c r="D2049" t="s">
        <v>37</v>
      </c>
      <c r="E2049">
        <v>37.4</v>
      </c>
      <c r="F2049" s="1">
        <v>3.3660377358490599</v>
      </c>
      <c r="G2049" s="2">
        <v>167.069702559728</v>
      </c>
      <c r="H2049" s="1">
        <v>139.245468385615</v>
      </c>
      <c r="I2049" s="1">
        <f t="shared" si="63"/>
        <v>145.3457727212909</v>
      </c>
    </row>
    <row r="2050" spans="1:9" x14ac:dyDescent="0.45">
      <c r="A2050" t="s">
        <v>15</v>
      </c>
      <c r="B2050" t="s">
        <v>37</v>
      </c>
      <c r="C2050" t="str">
        <f t="shared" si="62"/>
        <v>BryantMaryland</v>
      </c>
      <c r="D2050" t="s">
        <v>37</v>
      </c>
      <c r="E2050">
        <v>2.7</v>
      </c>
      <c r="F2050" s="1">
        <v>23.4339622641509</v>
      </c>
      <c r="G2050" s="2">
        <v>3569.5174574889802</v>
      </c>
      <c r="H2050" s="1">
        <v>138.83778826126101</v>
      </c>
      <c r="I2050" s="1">
        <f t="shared" si="63"/>
        <v>139.6212443629793</v>
      </c>
    </row>
    <row r="2051" spans="1:9" x14ac:dyDescent="0.45">
      <c r="A2051" t="s">
        <v>16</v>
      </c>
      <c r="B2051" t="s">
        <v>37</v>
      </c>
      <c r="C2051" t="str">
        <f t="shared" ref="C2051:C2114" si="64">A2051&amp;B2051</f>
        <v>BYUMaryland</v>
      </c>
      <c r="D2051" t="s">
        <v>37</v>
      </c>
      <c r="E2051">
        <v>41.4</v>
      </c>
      <c r="F2051" s="1">
        <v>2.2716981132075502</v>
      </c>
      <c r="G2051" s="2">
        <v>141.37999349506899</v>
      </c>
      <c r="H2051" s="1">
        <v>139.007828935704</v>
      </c>
      <c r="I2051" s="1">
        <f t="shared" ref="I2051:I2114" si="65">18*(H2051-AVERAGE($H$2:$H$4625))/_xlfn.STDEV.P($H$2:$H$4625)+AVERAGE($H$2:$H$4625)</f>
        <v>142.00890715242181</v>
      </c>
    </row>
    <row r="2052" spans="1:9" x14ac:dyDescent="0.45">
      <c r="A2052" t="s">
        <v>17</v>
      </c>
      <c r="B2052" t="s">
        <v>37</v>
      </c>
      <c r="C2052" t="str">
        <f t="shared" si="64"/>
        <v>ClemsonMaryland</v>
      </c>
      <c r="D2052" t="s">
        <v>37</v>
      </c>
      <c r="E2052">
        <v>49.7</v>
      </c>
      <c r="F2052" s="1">
        <v>6.4150943396226401E-2</v>
      </c>
      <c r="G2052" s="2">
        <v>101.005911356646</v>
      </c>
      <c r="H2052" s="1">
        <v>139.35787915814601</v>
      </c>
      <c r="I2052" s="1">
        <f t="shared" si="65"/>
        <v>146.92421281854399</v>
      </c>
    </row>
    <row r="2053" spans="1:9" x14ac:dyDescent="0.45">
      <c r="A2053" t="s">
        <v>18</v>
      </c>
      <c r="B2053" t="s">
        <v>37</v>
      </c>
      <c r="C2053" t="str">
        <f t="shared" si="64"/>
        <v>Colorado St.Maryland</v>
      </c>
      <c r="D2053" t="s">
        <v>37</v>
      </c>
      <c r="E2053">
        <v>14.1</v>
      </c>
      <c r="F2053" s="1">
        <v>11.849056603773599</v>
      </c>
      <c r="G2053" s="2">
        <v>609.41156048090102</v>
      </c>
      <c r="H2053" s="1">
        <v>138.74749013294101</v>
      </c>
      <c r="I2053" s="1">
        <f t="shared" si="65"/>
        <v>138.35330372670373</v>
      </c>
    </row>
    <row r="2054" spans="1:9" x14ac:dyDescent="0.45">
      <c r="A2054" t="s">
        <v>19</v>
      </c>
      <c r="B2054" t="s">
        <v>37</v>
      </c>
      <c r="C2054" t="str">
        <f t="shared" si="64"/>
        <v>ConnecticutMaryland</v>
      </c>
      <c r="D2054" t="s">
        <v>19</v>
      </c>
      <c r="E2054">
        <v>60.6</v>
      </c>
      <c r="F2054" s="1">
        <v>-2.82641509433962</v>
      </c>
      <c r="G2054" s="2">
        <v>-153.93576588702999</v>
      </c>
      <c r="H2054" s="1">
        <v>139.15812998889501</v>
      </c>
      <c r="I2054" s="1">
        <f t="shared" si="65"/>
        <v>144.11939179436862</v>
      </c>
    </row>
    <row r="2055" spans="1:9" x14ac:dyDescent="0.45">
      <c r="A2055" t="s">
        <v>20</v>
      </c>
      <c r="B2055" t="s">
        <v>37</v>
      </c>
      <c r="C2055" t="str">
        <f t="shared" si="64"/>
        <v>CreightonMaryland</v>
      </c>
      <c r="D2055" t="s">
        <v>37</v>
      </c>
      <c r="E2055">
        <v>32.200000000000003</v>
      </c>
      <c r="F2055" s="1">
        <v>4.8792452830188697</v>
      </c>
      <c r="G2055" s="2">
        <v>210.51988452695099</v>
      </c>
      <c r="H2055" s="1">
        <v>138.707426741734</v>
      </c>
      <c r="I2055" s="1">
        <f t="shared" si="65"/>
        <v>137.79074498176098</v>
      </c>
    </row>
    <row r="2056" spans="1:9" x14ac:dyDescent="0.45">
      <c r="A2056" t="s">
        <v>21</v>
      </c>
      <c r="B2056" t="s">
        <v>37</v>
      </c>
      <c r="C2056" t="str">
        <f t="shared" si="64"/>
        <v>DrakeMaryland</v>
      </c>
      <c r="D2056" t="s">
        <v>37</v>
      </c>
      <c r="E2056">
        <v>13.7</v>
      </c>
      <c r="F2056" s="1">
        <v>12.0528301886792</v>
      </c>
      <c r="G2056" s="2">
        <v>628.75408049750899</v>
      </c>
      <c r="H2056" s="1">
        <v>138.94210254740801</v>
      </c>
      <c r="I2056" s="1">
        <f t="shared" si="65"/>
        <v>141.08599590114122</v>
      </c>
    </row>
    <row r="2057" spans="1:9" x14ac:dyDescent="0.45">
      <c r="A2057" t="s">
        <v>22</v>
      </c>
      <c r="B2057" t="s">
        <v>37</v>
      </c>
      <c r="C2057" t="str">
        <f t="shared" si="64"/>
        <v>DukeMaryland</v>
      </c>
      <c r="D2057" t="s">
        <v>22</v>
      </c>
      <c r="E2057">
        <v>89.3</v>
      </c>
      <c r="F2057" s="1">
        <v>-13.898113207547199</v>
      </c>
      <c r="G2057" s="2">
        <v>-833.24287630302604</v>
      </c>
      <c r="H2057" s="1">
        <v>141.022442436011</v>
      </c>
      <c r="I2057" s="1">
        <f t="shared" si="65"/>
        <v>170.29753694966698</v>
      </c>
    </row>
    <row r="2058" spans="1:9" x14ac:dyDescent="0.45">
      <c r="A2058" t="s">
        <v>23</v>
      </c>
      <c r="B2058" t="s">
        <v>37</v>
      </c>
      <c r="C2058" t="str">
        <f t="shared" si="64"/>
        <v>FloridaMaryland</v>
      </c>
      <c r="D2058" t="s">
        <v>23</v>
      </c>
      <c r="E2058">
        <v>82.2</v>
      </c>
      <c r="F2058" s="1">
        <v>-10.0415094339623</v>
      </c>
      <c r="G2058" s="2">
        <v>-462.63602653220198</v>
      </c>
      <c r="H2058" s="1">
        <v>140.75709296356499</v>
      </c>
      <c r="I2058" s="1">
        <f t="shared" si="65"/>
        <v>166.57157512533897</v>
      </c>
    </row>
    <row r="2059" spans="1:9" x14ac:dyDescent="0.45">
      <c r="A2059" t="s">
        <v>24</v>
      </c>
      <c r="B2059" t="s">
        <v>37</v>
      </c>
      <c r="C2059" t="str">
        <f t="shared" si="64"/>
        <v>GeorgiaMaryland</v>
      </c>
      <c r="D2059" t="s">
        <v>37</v>
      </c>
      <c r="E2059">
        <v>15.7</v>
      </c>
      <c r="F2059" s="1">
        <v>11.018867924528299</v>
      </c>
      <c r="G2059" s="2">
        <v>537.12586821764603</v>
      </c>
      <c r="H2059" s="1">
        <v>138.02105125985</v>
      </c>
      <c r="I2059" s="1">
        <f t="shared" si="65"/>
        <v>128.15285567646083</v>
      </c>
    </row>
    <row r="2060" spans="1:9" x14ac:dyDescent="0.45">
      <c r="A2060" t="s">
        <v>25</v>
      </c>
      <c r="B2060" t="s">
        <v>37</v>
      </c>
      <c r="C2060" t="str">
        <f t="shared" si="64"/>
        <v>GonzagaMaryland</v>
      </c>
      <c r="D2060" t="s">
        <v>37</v>
      </c>
      <c r="E2060">
        <v>48.5</v>
      </c>
      <c r="F2060" s="1">
        <v>0.388679245283019</v>
      </c>
      <c r="G2060" s="2">
        <v>106.129770731726</v>
      </c>
      <c r="H2060" s="1">
        <v>139.99801299035599</v>
      </c>
      <c r="I2060" s="1">
        <f t="shared" si="65"/>
        <v>155.91279003065961</v>
      </c>
    </row>
    <row r="2061" spans="1:9" x14ac:dyDescent="0.45">
      <c r="A2061" t="s">
        <v>26</v>
      </c>
      <c r="B2061" t="s">
        <v>37</v>
      </c>
      <c r="C2061" t="str">
        <f t="shared" si="64"/>
        <v>Grand CanyonMaryland</v>
      </c>
      <c r="D2061" t="s">
        <v>37</v>
      </c>
      <c r="E2061">
        <v>9.3000000000000007</v>
      </c>
      <c r="F2061" s="1">
        <v>14.9396226415094</v>
      </c>
      <c r="G2061" s="2">
        <v>976.82341425755396</v>
      </c>
      <c r="H2061" s="1">
        <v>138.81598470789501</v>
      </c>
      <c r="I2061" s="1">
        <f t="shared" si="65"/>
        <v>139.31508506773918</v>
      </c>
    </row>
    <row r="2062" spans="1:9" x14ac:dyDescent="0.45">
      <c r="A2062" t="s">
        <v>27</v>
      </c>
      <c r="B2062" t="s">
        <v>37</v>
      </c>
      <c r="C2062" t="str">
        <f t="shared" si="64"/>
        <v>High PointMaryland</v>
      </c>
      <c r="D2062" t="s">
        <v>37</v>
      </c>
      <c r="E2062">
        <v>6</v>
      </c>
      <c r="F2062" s="1">
        <v>18.030188679245299</v>
      </c>
      <c r="G2062" s="2">
        <v>1564.9415528986201</v>
      </c>
      <c r="H2062" s="1">
        <v>139.00719184144299</v>
      </c>
      <c r="I2062" s="1">
        <f t="shared" si="65"/>
        <v>141.99996125600401</v>
      </c>
    </row>
    <row r="2063" spans="1:9" x14ac:dyDescent="0.45">
      <c r="A2063" t="s">
        <v>28</v>
      </c>
      <c r="B2063" t="s">
        <v>37</v>
      </c>
      <c r="C2063" t="str">
        <f t="shared" si="64"/>
        <v>HoustonMaryland</v>
      </c>
      <c r="D2063" t="s">
        <v>28</v>
      </c>
      <c r="E2063">
        <v>93.3</v>
      </c>
      <c r="F2063" s="1">
        <v>-17.252830188679201</v>
      </c>
      <c r="G2063" s="2">
        <v>-1389.9582960002001</v>
      </c>
      <c r="H2063" s="1">
        <v>141.120654198647</v>
      </c>
      <c r="I2063" s="1">
        <f t="shared" si="65"/>
        <v>171.67659858829956</v>
      </c>
    </row>
    <row r="2064" spans="1:9" x14ac:dyDescent="0.45">
      <c r="A2064" t="s">
        <v>29</v>
      </c>
      <c r="B2064" t="s">
        <v>37</v>
      </c>
      <c r="C2064" t="str">
        <f t="shared" si="64"/>
        <v>IllinoisMaryland</v>
      </c>
      <c r="D2064" t="s">
        <v>29</v>
      </c>
      <c r="E2064">
        <v>57.8</v>
      </c>
      <c r="F2064" s="1">
        <v>-2.0641509433962302</v>
      </c>
      <c r="G2064" s="2">
        <v>-137.021333577642</v>
      </c>
      <c r="H2064" s="1">
        <v>139.17911797360799</v>
      </c>
      <c r="I2064" s="1">
        <f t="shared" si="65"/>
        <v>144.41409910653798</v>
      </c>
    </row>
    <row r="2065" spans="1:9" x14ac:dyDescent="0.45">
      <c r="A2065" t="s">
        <v>30</v>
      </c>
      <c r="B2065" t="s">
        <v>37</v>
      </c>
      <c r="C2065" t="str">
        <f t="shared" si="64"/>
        <v>Iowa St.Maryland</v>
      </c>
      <c r="D2065" t="s">
        <v>30</v>
      </c>
      <c r="E2065">
        <v>74.2</v>
      </c>
      <c r="F2065" s="1">
        <v>-6.9245283018867898</v>
      </c>
      <c r="G2065" s="2">
        <v>-287.63666806044199</v>
      </c>
      <c r="H2065" s="1">
        <v>140.07566026519399</v>
      </c>
      <c r="I2065" s="1">
        <f t="shared" si="65"/>
        <v>157.00309098035663</v>
      </c>
    </row>
    <row r="2066" spans="1:9" x14ac:dyDescent="0.45">
      <c r="A2066" t="s">
        <v>31</v>
      </c>
      <c r="B2066" t="s">
        <v>37</v>
      </c>
      <c r="C2066" t="str">
        <f t="shared" si="64"/>
        <v>KansasMaryland</v>
      </c>
      <c r="D2066" t="s">
        <v>37</v>
      </c>
      <c r="E2066">
        <v>47</v>
      </c>
      <c r="F2066" s="1">
        <v>0.78867924528301903</v>
      </c>
      <c r="G2066" s="2">
        <v>112.81236049099</v>
      </c>
      <c r="H2066" s="1">
        <v>139.126248154048</v>
      </c>
      <c r="I2066" s="1">
        <f t="shared" si="65"/>
        <v>143.67171613692534</v>
      </c>
    </row>
    <row r="2067" spans="1:9" x14ac:dyDescent="0.45">
      <c r="A2067" t="s">
        <v>32</v>
      </c>
      <c r="B2067" t="s">
        <v>37</v>
      </c>
      <c r="C2067" t="str">
        <f t="shared" si="64"/>
        <v>KentuckyMaryland</v>
      </c>
      <c r="D2067" t="s">
        <v>32</v>
      </c>
      <c r="E2067">
        <v>59.7</v>
      </c>
      <c r="F2067" s="1">
        <v>-2.5735849056603799</v>
      </c>
      <c r="G2067" s="2">
        <v>-148.091201360409</v>
      </c>
      <c r="H2067" s="1">
        <v>139.060530486174</v>
      </c>
      <c r="I2067" s="1">
        <f t="shared" si="65"/>
        <v>142.74892733533014</v>
      </c>
    </row>
    <row r="2068" spans="1:9" x14ac:dyDescent="0.45">
      <c r="A2068" t="s">
        <v>33</v>
      </c>
      <c r="B2068" t="s">
        <v>37</v>
      </c>
      <c r="C2068" t="str">
        <f t="shared" si="64"/>
        <v>LibertyMaryland</v>
      </c>
      <c r="D2068" t="s">
        <v>37</v>
      </c>
      <c r="E2068">
        <v>4.3</v>
      </c>
      <c r="F2068" s="1">
        <v>20.411320754717</v>
      </c>
      <c r="G2068" s="2">
        <v>2250.60178343383</v>
      </c>
      <c r="H2068" s="1">
        <v>138.40553152989099</v>
      </c>
      <c r="I2068" s="1">
        <f t="shared" si="65"/>
        <v>133.55161827875509</v>
      </c>
    </row>
    <row r="2069" spans="1:9" x14ac:dyDescent="0.45">
      <c r="A2069" t="s">
        <v>34</v>
      </c>
      <c r="B2069" t="s">
        <v>37</v>
      </c>
      <c r="C2069" t="str">
        <f t="shared" si="64"/>
        <v>LipscombMaryland</v>
      </c>
      <c r="D2069" t="s">
        <v>37</v>
      </c>
      <c r="E2069">
        <v>3.2</v>
      </c>
      <c r="F2069" s="1">
        <v>22.279245283018899</v>
      </c>
      <c r="G2069" s="2">
        <v>2991.5547761201801</v>
      </c>
      <c r="H2069" s="1">
        <v>138.81184972748301</v>
      </c>
      <c r="I2069" s="1">
        <f t="shared" si="65"/>
        <v>139.25702284881916</v>
      </c>
    </row>
    <row r="2070" spans="1:9" x14ac:dyDescent="0.45">
      <c r="A2070" t="s">
        <v>35</v>
      </c>
      <c r="B2070" t="s">
        <v>37</v>
      </c>
      <c r="C2070" t="str">
        <f t="shared" si="64"/>
        <v>LouisvilleMaryland</v>
      </c>
      <c r="D2070" t="s">
        <v>37</v>
      </c>
      <c r="E2070">
        <v>7.8</v>
      </c>
      <c r="F2070" s="1">
        <v>16.230188679245298</v>
      </c>
      <c r="G2070" s="2">
        <v>1188.9377710675701</v>
      </c>
      <c r="H2070" s="1">
        <v>138.05721173329999</v>
      </c>
      <c r="I2070" s="1">
        <f t="shared" si="65"/>
        <v>128.66061076028419</v>
      </c>
    </row>
    <row r="2071" spans="1:9" x14ac:dyDescent="0.45">
      <c r="A2071" t="s">
        <v>36</v>
      </c>
      <c r="B2071" t="s">
        <v>37</v>
      </c>
      <c r="C2071" t="str">
        <f t="shared" si="64"/>
        <v>MarquetteMaryland</v>
      </c>
      <c r="D2071" t="s">
        <v>36</v>
      </c>
      <c r="E2071">
        <v>53.2</v>
      </c>
      <c r="F2071" s="1">
        <v>-0.83773584905660403</v>
      </c>
      <c r="G2071" s="2">
        <v>-113.65385555555</v>
      </c>
      <c r="H2071" s="1">
        <v>139.319345576763</v>
      </c>
      <c r="I2071" s="1">
        <f t="shared" si="65"/>
        <v>146.38313522805836</v>
      </c>
    </row>
    <row r="2072" spans="1:9" x14ac:dyDescent="0.45">
      <c r="A2072" t="s">
        <v>37</v>
      </c>
      <c r="B2072" t="s">
        <v>37</v>
      </c>
      <c r="C2072" t="str">
        <f t="shared" si="64"/>
        <v>MarylandMaryland</v>
      </c>
      <c r="D2072" t="s">
        <v>37</v>
      </c>
      <c r="E2072">
        <v>41.2</v>
      </c>
      <c r="F2072" s="1">
        <v>2.3283018867924499</v>
      </c>
      <c r="G2072" s="2">
        <v>142.64273539779199</v>
      </c>
      <c r="H2072" s="1">
        <v>138.77771517530499</v>
      </c>
      <c r="I2072" s="1">
        <f t="shared" si="65"/>
        <v>138.77771517530684</v>
      </c>
    </row>
    <row r="2073" spans="1:9" x14ac:dyDescent="0.45">
      <c r="A2073" t="s">
        <v>38</v>
      </c>
      <c r="B2073" t="s">
        <v>37</v>
      </c>
      <c r="C2073" t="str">
        <f t="shared" si="64"/>
        <v>McNeese St.Maryland</v>
      </c>
      <c r="D2073" t="s">
        <v>37</v>
      </c>
      <c r="E2073">
        <v>14.1</v>
      </c>
      <c r="F2073" s="1">
        <v>11.8679245283019</v>
      </c>
      <c r="G2073" s="2">
        <v>611.39140930309895</v>
      </c>
      <c r="H2073" s="1">
        <v>139.37095058827001</v>
      </c>
      <c r="I2073" s="1">
        <f t="shared" si="65"/>
        <v>147.10775812271376</v>
      </c>
    </row>
    <row r="2074" spans="1:9" x14ac:dyDescent="0.45">
      <c r="A2074" t="s">
        <v>39</v>
      </c>
      <c r="B2074" t="s">
        <v>37</v>
      </c>
      <c r="C2074" t="str">
        <f t="shared" si="64"/>
        <v>MemphisMaryland</v>
      </c>
      <c r="D2074" t="s">
        <v>37</v>
      </c>
      <c r="E2074">
        <v>28.3</v>
      </c>
      <c r="F2074" s="1">
        <v>6.0943396226415096</v>
      </c>
      <c r="G2074" s="2">
        <v>253.308652814932</v>
      </c>
      <c r="H2074" s="1">
        <v>137.90523241479499</v>
      </c>
      <c r="I2074" s="1">
        <f t="shared" si="65"/>
        <v>126.52656039411204</v>
      </c>
    </row>
    <row r="2075" spans="1:9" x14ac:dyDescent="0.45">
      <c r="A2075" t="s">
        <v>40</v>
      </c>
      <c r="B2075" t="s">
        <v>37</v>
      </c>
      <c r="C2075" t="str">
        <f t="shared" si="64"/>
        <v>MichiganMaryland</v>
      </c>
      <c r="D2075" t="s">
        <v>37</v>
      </c>
      <c r="E2075">
        <v>16.3</v>
      </c>
      <c r="F2075" s="1">
        <v>10.7169811320755</v>
      </c>
      <c r="G2075" s="2">
        <v>512.91412528481806</v>
      </c>
      <c r="H2075" s="1">
        <v>137.467853711712</v>
      </c>
      <c r="I2075" s="1">
        <f t="shared" si="65"/>
        <v>120.38501303982861</v>
      </c>
    </row>
    <row r="2076" spans="1:9" x14ac:dyDescent="0.45">
      <c r="A2076" t="s">
        <v>41</v>
      </c>
      <c r="B2076" t="s">
        <v>37</v>
      </c>
      <c r="C2076" t="str">
        <f t="shared" si="64"/>
        <v>Michigan St.Maryland</v>
      </c>
      <c r="D2076" t="s">
        <v>41</v>
      </c>
      <c r="E2076">
        <v>64.900000000000006</v>
      </c>
      <c r="F2076" s="1">
        <v>-4.0301886792452803</v>
      </c>
      <c r="G2076" s="2">
        <v>-184.88874819962101</v>
      </c>
      <c r="H2076" s="1">
        <v>139.11493342091899</v>
      </c>
      <c r="I2076" s="1">
        <f t="shared" si="65"/>
        <v>143.51283787233888</v>
      </c>
    </row>
    <row r="2077" spans="1:9" x14ac:dyDescent="0.45">
      <c r="A2077" t="s">
        <v>42</v>
      </c>
      <c r="B2077" t="s">
        <v>37</v>
      </c>
      <c r="C2077" t="str">
        <f t="shared" si="64"/>
        <v>MississippiMaryland</v>
      </c>
      <c r="D2077" t="s">
        <v>37</v>
      </c>
      <c r="E2077">
        <v>33.6</v>
      </c>
      <c r="F2077" s="1">
        <v>4.4679245283018902</v>
      </c>
      <c r="G2077" s="2">
        <v>197.67918100103199</v>
      </c>
      <c r="H2077" s="1">
        <v>138.38262477080801</v>
      </c>
      <c r="I2077" s="1">
        <f t="shared" si="65"/>
        <v>133.22996808259859</v>
      </c>
    </row>
    <row r="2078" spans="1:9" x14ac:dyDescent="0.45">
      <c r="A2078" t="s">
        <v>43</v>
      </c>
      <c r="B2078" t="s">
        <v>37</v>
      </c>
      <c r="C2078" t="str">
        <f t="shared" si="64"/>
        <v>Mississippi St.Maryland</v>
      </c>
      <c r="D2078" t="s">
        <v>37</v>
      </c>
      <c r="E2078">
        <v>28</v>
      </c>
      <c r="F2078" s="1">
        <v>6.1924528301886799</v>
      </c>
      <c r="G2078" s="2">
        <v>257.12141480137501</v>
      </c>
      <c r="H2078" s="1">
        <v>138.522371243485</v>
      </c>
      <c r="I2078" s="1">
        <f t="shared" si="65"/>
        <v>135.19224830678439</v>
      </c>
    </row>
    <row r="2079" spans="1:9" x14ac:dyDescent="0.45">
      <c r="A2079" t="s">
        <v>44</v>
      </c>
      <c r="B2079" t="s">
        <v>37</v>
      </c>
      <c r="C2079" t="str">
        <f t="shared" si="64"/>
        <v>MissouriMaryland</v>
      </c>
      <c r="D2079" t="s">
        <v>37</v>
      </c>
      <c r="E2079">
        <v>15.5</v>
      </c>
      <c r="F2079" s="1">
        <v>11.1245283018868</v>
      </c>
      <c r="G2079" s="2">
        <v>545.778635231762</v>
      </c>
      <c r="H2079" s="1">
        <v>137.940033142131</v>
      </c>
      <c r="I2079" s="1">
        <f t="shared" si="65"/>
        <v>127.01522230972667</v>
      </c>
    </row>
    <row r="2080" spans="1:9" x14ac:dyDescent="0.45">
      <c r="A2080" t="s">
        <v>45</v>
      </c>
      <c r="B2080" t="s">
        <v>37</v>
      </c>
      <c r="C2080" t="str">
        <f t="shared" si="64"/>
        <v>MontanaMaryland</v>
      </c>
      <c r="D2080" t="s">
        <v>37</v>
      </c>
      <c r="E2080">
        <v>1.6</v>
      </c>
      <c r="F2080" s="1">
        <v>26.932075471698099</v>
      </c>
      <c r="G2080" s="2">
        <v>6083.62272664587</v>
      </c>
      <c r="H2080" s="1">
        <v>137.07674470553701</v>
      </c>
      <c r="I2080" s="1">
        <f t="shared" si="65"/>
        <v>114.8931716100126</v>
      </c>
    </row>
    <row r="2081" spans="1:9" x14ac:dyDescent="0.45">
      <c r="A2081" t="s">
        <v>46</v>
      </c>
      <c r="B2081" t="s">
        <v>37</v>
      </c>
      <c r="C2081" t="str">
        <f t="shared" si="64"/>
        <v>Mount St. Mary'sMaryland</v>
      </c>
      <c r="D2081" t="s">
        <v>37</v>
      </c>
      <c r="E2081">
        <v>0.6</v>
      </c>
      <c r="F2081" s="1">
        <v>33.264150943396203</v>
      </c>
      <c r="G2081" s="2">
        <v>15987.715525646299</v>
      </c>
      <c r="H2081" s="1">
        <v>138.380032659688</v>
      </c>
      <c r="I2081" s="1">
        <f t="shared" si="65"/>
        <v>133.19357039547097</v>
      </c>
    </row>
    <row r="2082" spans="1:9" x14ac:dyDescent="0.45">
      <c r="A2082" t="s">
        <v>47</v>
      </c>
      <c r="B2082" t="s">
        <v>37</v>
      </c>
      <c r="C2082" t="str">
        <f t="shared" si="64"/>
        <v>Nebraska OmahaMaryland</v>
      </c>
      <c r="D2082" t="s">
        <v>37</v>
      </c>
      <c r="E2082">
        <v>0.9</v>
      </c>
      <c r="F2082" s="1">
        <v>31.075471698113201</v>
      </c>
      <c r="G2082" s="2">
        <v>11446.794620942401</v>
      </c>
      <c r="H2082" s="1">
        <v>137.797808791791</v>
      </c>
      <c r="I2082" s="1">
        <f t="shared" si="65"/>
        <v>125.01814843212738</v>
      </c>
    </row>
    <row r="2083" spans="1:9" x14ac:dyDescent="0.45">
      <c r="A2083" t="s">
        <v>48</v>
      </c>
      <c r="B2083" t="s">
        <v>37</v>
      </c>
      <c r="C2083" t="str">
        <f t="shared" si="64"/>
        <v>New MexicoMaryland</v>
      </c>
      <c r="D2083" t="s">
        <v>37</v>
      </c>
      <c r="E2083">
        <v>17.3</v>
      </c>
      <c r="F2083" s="1">
        <v>10.2415094339623</v>
      </c>
      <c r="G2083" s="2">
        <v>477.09042118094999</v>
      </c>
      <c r="H2083" s="1">
        <v>138.56779872360801</v>
      </c>
      <c r="I2083" s="1">
        <f t="shared" si="65"/>
        <v>135.83012806269079</v>
      </c>
    </row>
    <row r="2084" spans="1:9" x14ac:dyDescent="0.45">
      <c r="A2084" t="s">
        <v>49</v>
      </c>
      <c r="B2084" t="s">
        <v>37</v>
      </c>
      <c r="C2084" t="str">
        <f t="shared" si="64"/>
        <v>Norfolk St.Maryland</v>
      </c>
      <c r="D2084" t="s">
        <v>37</v>
      </c>
      <c r="E2084">
        <v>1.2</v>
      </c>
      <c r="F2084" s="1">
        <v>28.811320754716998</v>
      </c>
      <c r="G2084" s="2">
        <v>8102.7241562583904</v>
      </c>
      <c r="H2084" s="1">
        <v>137.60392448757199</v>
      </c>
      <c r="I2084" s="1">
        <f t="shared" si="65"/>
        <v>122.29568017471112</v>
      </c>
    </row>
    <row r="2085" spans="1:9" x14ac:dyDescent="0.45">
      <c r="A2085" t="s">
        <v>50</v>
      </c>
      <c r="B2085" t="s">
        <v>37</v>
      </c>
      <c r="C2085" t="str">
        <f t="shared" si="64"/>
        <v>North CarolinaMaryland</v>
      </c>
      <c r="D2085" t="s">
        <v>37</v>
      </c>
      <c r="E2085">
        <v>41.7</v>
      </c>
      <c r="F2085" s="1">
        <v>2.1924528301886799</v>
      </c>
      <c r="G2085" s="2">
        <v>139.71521148083801</v>
      </c>
      <c r="H2085" s="1">
        <v>139.67753044204201</v>
      </c>
      <c r="I2085" s="1">
        <f t="shared" si="65"/>
        <v>151.41266523533275</v>
      </c>
    </row>
    <row r="2086" spans="1:9" x14ac:dyDescent="0.45">
      <c r="A2086" t="s">
        <v>51</v>
      </c>
      <c r="B2086" t="s">
        <v>37</v>
      </c>
      <c r="C2086" t="str">
        <f t="shared" si="64"/>
        <v>OklahomaMaryland</v>
      </c>
      <c r="D2086" t="s">
        <v>37</v>
      </c>
      <c r="E2086">
        <v>20</v>
      </c>
      <c r="F2086" s="1">
        <v>9.0754716981132102</v>
      </c>
      <c r="G2086" s="2">
        <v>399.22792579737501</v>
      </c>
      <c r="H2086" s="1">
        <v>138.10115356821601</v>
      </c>
      <c r="I2086" s="1">
        <f t="shared" si="65"/>
        <v>129.27762950872466</v>
      </c>
    </row>
    <row r="2087" spans="1:9" x14ac:dyDescent="0.45">
      <c r="A2087" t="s">
        <v>52</v>
      </c>
      <c r="B2087" t="s">
        <v>37</v>
      </c>
      <c r="C2087" t="str">
        <f t="shared" si="64"/>
        <v>OregonMaryland</v>
      </c>
      <c r="D2087" t="s">
        <v>37</v>
      </c>
      <c r="E2087">
        <v>41.3</v>
      </c>
      <c r="F2087" s="1">
        <v>2.30943396226415</v>
      </c>
      <c r="G2087" s="2">
        <v>142.218032629063</v>
      </c>
      <c r="H2087" s="1">
        <v>138.39187095974501</v>
      </c>
      <c r="I2087" s="1">
        <f t="shared" si="65"/>
        <v>133.35980043795323</v>
      </c>
    </row>
    <row r="2088" spans="1:9" x14ac:dyDescent="0.45">
      <c r="A2088" t="s">
        <v>53</v>
      </c>
      <c r="B2088" t="s">
        <v>37</v>
      </c>
      <c r="C2088" t="str">
        <f t="shared" si="64"/>
        <v>PurdueMaryland</v>
      </c>
      <c r="D2088" t="s">
        <v>53</v>
      </c>
      <c r="E2088">
        <v>79.900000000000006</v>
      </c>
      <c r="F2088" s="1">
        <v>-9.0641509433962302</v>
      </c>
      <c r="G2088" s="2">
        <v>-398.51525750307701</v>
      </c>
      <c r="H2088" s="1">
        <v>139.87995815954301</v>
      </c>
      <c r="I2088" s="1">
        <f t="shared" si="65"/>
        <v>154.25509767223161</v>
      </c>
    </row>
    <row r="2089" spans="1:9" x14ac:dyDescent="0.45">
      <c r="A2089" t="s">
        <v>54</v>
      </c>
      <c r="B2089" t="s">
        <v>37</v>
      </c>
      <c r="C2089" t="str">
        <f t="shared" si="64"/>
        <v>Robert MorrisMaryland</v>
      </c>
      <c r="D2089" t="s">
        <v>37</v>
      </c>
      <c r="E2089">
        <v>0.5</v>
      </c>
      <c r="F2089" s="1">
        <v>34.826415094339602</v>
      </c>
      <c r="G2089" s="2">
        <v>20285.697597769999</v>
      </c>
      <c r="H2089" s="1">
        <v>136.96292348822999</v>
      </c>
      <c r="I2089" s="1">
        <f t="shared" si="65"/>
        <v>113.29492644835781</v>
      </c>
    </row>
    <row r="2090" spans="1:9" x14ac:dyDescent="0.45">
      <c r="A2090" t="s">
        <v>55</v>
      </c>
      <c r="B2090" t="s">
        <v>37</v>
      </c>
      <c r="C2090" t="str">
        <f t="shared" si="64"/>
        <v>Saint FrancisMaryland</v>
      </c>
      <c r="D2090" t="s">
        <v>37</v>
      </c>
      <c r="E2090">
        <v>0.3</v>
      </c>
      <c r="F2090" s="1">
        <v>38.188679245282998</v>
      </c>
      <c r="G2090" s="2">
        <v>33882.242118994298</v>
      </c>
      <c r="H2090" s="1">
        <v>137.66977137027399</v>
      </c>
      <c r="I2090" s="1">
        <f t="shared" si="65"/>
        <v>123.22028337417136</v>
      </c>
    </row>
    <row r="2091" spans="1:9" x14ac:dyDescent="0.45">
      <c r="A2091" t="s">
        <v>56</v>
      </c>
      <c r="B2091" t="s">
        <v>37</v>
      </c>
      <c r="C2091" t="str">
        <f t="shared" si="64"/>
        <v>Saint Mary'sMaryland</v>
      </c>
      <c r="D2091" t="s">
        <v>37</v>
      </c>
      <c r="E2091">
        <v>40.799999999999997</v>
      </c>
      <c r="F2091" s="1">
        <v>2.4528301886792501</v>
      </c>
      <c r="G2091" s="2">
        <v>145.381105382383</v>
      </c>
      <c r="H2091" s="1">
        <v>139.39897748621601</v>
      </c>
      <c r="I2091" s="1">
        <f t="shared" si="65"/>
        <v>147.5013038525716</v>
      </c>
    </row>
    <row r="2092" spans="1:9" x14ac:dyDescent="0.45">
      <c r="A2092" t="s">
        <v>57</v>
      </c>
      <c r="B2092" t="s">
        <v>37</v>
      </c>
      <c r="C2092" t="str">
        <f t="shared" si="64"/>
        <v>San Diego St.Maryland</v>
      </c>
      <c r="D2092" t="s">
        <v>37</v>
      </c>
      <c r="E2092">
        <v>17.600000000000001</v>
      </c>
      <c r="F2092" s="1">
        <v>10.128301886792499</v>
      </c>
      <c r="G2092" s="2">
        <v>468.71357588492202</v>
      </c>
      <c r="H2092" s="1">
        <v>138.61367664924401</v>
      </c>
      <c r="I2092" s="1">
        <f t="shared" si="65"/>
        <v>136.47433284637992</v>
      </c>
    </row>
    <row r="2093" spans="1:9" x14ac:dyDescent="0.45">
      <c r="A2093" t="s">
        <v>58</v>
      </c>
      <c r="B2093" t="s">
        <v>37</v>
      </c>
      <c r="C2093" t="str">
        <f t="shared" si="64"/>
        <v>SIU EdwardsvilleMaryland</v>
      </c>
      <c r="D2093" t="s">
        <v>37</v>
      </c>
      <c r="E2093">
        <v>1</v>
      </c>
      <c r="F2093" s="1">
        <v>30.101886792452799</v>
      </c>
      <c r="G2093" s="2">
        <v>9867.0609766229209</v>
      </c>
      <c r="H2093" s="1">
        <v>138.67293482942799</v>
      </c>
      <c r="I2093" s="1">
        <f t="shared" si="65"/>
        <v>137.30641935896782</v>
      </c>
    </row>
    <row r="2094" spans="1:9" x14ac:dyDescent="0.45">
      <c r="A2094" t="s">
        <v>59</v>
      </c>
      <c r="B2094" t="s">
        <v>37</v>
      </c>
      <c r="C2094" t="str">
        <f t="shared" si="64"/>
        <v>St. John'sMaryland</v>
      </c>
      <c r="D2094" t="s">
        <v>59</v>
      </c>
      <c r="E2094">
        <v>66.599999999999994</v>
      </c>
      <c r="F2094" s="1">
        <v>-4.5320754716981098</v>
      </c>
      <c r="G2094" s="2">
        <v>-199.59133484903501</v>
      </c>
      <c r="H2094" s="1">
        <v>139.49239127798199</v>
      </c>
      <c r="I2094" s="1">
        <f t="shared" si="65"/>
        <v>148.81299374883315</v>
      </c>
    </row>
    <row r="2095" spans="1:9" x14ac:dyDescent="0.45">
      <c r="A2095" t="s">
        <v>60</v>
      </c>
      <c r="B2095" t="s">
        <v>37</v>
      </c>
      <c r="C2095" t="str">
        <f t="shared" si="64"/>
        <v>TennesseeMaryland</v>
      </c>
      <c r="D2095" t="s">
        <v>60</v>
      </c>
      <c r="E2095">
        <v>81.599999999999994</v>
      </c>
      <c r="F2095" s="1">
        <v>-9.7471698113207594</v>
      </c>
      <c r="G2095" s="2">
        <v>-442.28190877439903</v>
      </c>
      <c r="H2095" s="1">
        <v>140.28562365211701</v>
      </c>
      <c r="I2095" s="1">
        <f t="shared" si="65"/>
        <v>159.95133714406791</v>
      </c>
    </row>
    <row r="2096" spans="1:9" x14ac:dyDescent="0.45">
      <c r="A2096" t="s">
        <v>61</v>
      </c>
      <c r="B2096" t="s">
        <v>37</v>
      </c>
      <c r="C2096" t="str">
        <f t="shared" si="64"/>
        <v>TexasMaryland</v>
      </c>
      <c r="D2096" t="s">
        <v>37</v>
      </c>
      <c r="E2096">
        <v>15</v>
      </c>
      <c r="F2096" s="1">
        <v>11.3509433962264</v>
      </c>
      <c r="G2096" s="2">
        <v>564.86627782005905</v>
      </c>
      <c r="H2096" s="1">
        <v>137.98550547975501</v>
      </c>
      <c r="I2096" s="1">
        <f t="shared" si="65"/>
        <v>127.65373194190416</v>
      </c>
    </row>
    <row r="2097" spans="1:9" x14ac:dyDescent="0.45">
      <c r="A2097" t="s">
        <v>62</v>
      </c>
      <c r="B2097" t="s">
        <v>37</v>
      </c>
      <c r="C2097" t="str">
        <f t="shared" si="64"/>
        <v>Texas A&amp;MMaryland</v>
      </c>
      <c r="D2097" t="s">
        <v>62</v>
      </c>
      <c r="E2097">
        <v>50.2</v>
      </c>
      <c r="F2097" s="1">
        <v>-5.2830188679245299E-2</v>
      </c>
      <c r="G2097" s="2">
        <v>-100.787954392245</v>
      </c>
      <c r="H2097" s="1">
        <v>138.77248078915301</v>
      </c>
      <c r="I2097" s="1">
        <f t="shared" si="65"/>
        <v>138.70421541366684</v>
      </c>
    </row>
    <row r="2098" spans="1:9" x14ac:dyDescent="0.45">
      <c r="A2098" t="s">
        <v>63</v>
      </c>
      <c r="B2098" t="s">
        <v>37</v>
      </c>
      <c r="C2098" t="str">
        <f t="shared" si="64"/>
        <v>Texas TechMaryland</v>
      </c>
      <c r="D2098" t="s">
        <v>63</v>
      </c>
      <c r="E2098">
        <v>66.099999999999994</v>
      </c>
      <c r="F2098" s="1">
        <v>-4.3849056603773597</v>
      </c>
      <c r="G2098" s="2">
        <v>-195.21989384606701</v>
      </c>
      <c r="H2098" s="1">
        <v>139.762993394392</v>
      </c>
      <c r="I2098" s="1">
        <f t="shared" si="65"/>
        <v>152.6127117058046</v>
      </c>
    </row>
    <row r="2099" spans="1:9" x14ac:dyDescent="0.45">
      <c r="A2099" t="s">
        <v>64</v>
      </c>
      <c r="B2099" t="s">
        <v>37</v>
      </c>
      <c r="C2099" t="str">
        <f t="shared" si="64"/>
        <v>TroyMaryland</v>
      </c>
      <c r="D2099" t="s">
        <v>37</v>
      </c>
      <c r="E2099">
        <v>2.7</v>
      </c>
      <c r="F2099" s="1">
        <v>23.422641509434001</v>
      </c>
      <c r="G2099" s="2">
        <v>3563.0112342525599</v>
      </c>
      <c r="H2099" s="1">
        <v>138.52929798895099</v>
      </c>
      <c r="I2099" s="1">
        <f t="shared" si="65"/>
        <v>135.28951169658956</v>
      </c>
    </row>
    <row r="2100" spans="1:9" x14ac:dyDescent="0.45">
      <c r="A2100" t="s">
        <v>65</v>
      </c>
      <c r="B2100" t="s">
        <v>37</v>
      </c>
      <c r="C2100" t="str">
        <f t="shared" si="64"/>
        <v>UC San DiegoMaryland</v>
      </c>
      <c r="D2100" t="s">
        <v>37</v>
      </c>
      <c r="E2100">
        <v>6.7</v>
      </c>
      <c r="F2100" s="1">
        <v>17.2415094339623</v>
      </c>
      <c r="G2100" s="2">
        <v>1387.6798407169499</v>
      </c>
      <c r="H2100" s="1">
        <v>138.59941821861401</v>
      </c>
      <c r="I2100" s="1">
        <f t="shared" si="65"/>
        <v>136.27412001869834</v>
      </c>
    </row>
    <row r="2101" spans="1:9" x14ac:dyDescent="0.45">
      <c r="A2101" t="s">
        <v>66</v>
      </c>
      <c r="B2101" t="s">
        <v>37</v>
      </c>
      <c r="C2101" t="str">
        <f t="shared" si="64"/>
        <v>UCLAMaryland</v>
      </c>
      <c r="D2101" t="s">
        <v>37</v>
      </c>
      <c r="E2101">
        <v>19.899999999999999</v>
      </c>
      <c r="F2101" s="1">
        <v>9.1396226415094297</v>
      </c>
      <c r="G2101" s="2">
        <v>403.27177577920901</v>
      </c>
      <c r="H2101" s="1">
        <v>137.820676797826</v>
      </c>
      <c r="I2101" s="1">
        <f t="shared" si="65"/>
        <v>125.33925446900572</v>
      </c>
    </row>
    <row r="2102" spans="1:9" x14ac:dyDescent="0.45">
      <c r="A2102" t="s">
        <v>67</v>
      </c>
      <c r="B2102" t="s">
        <v>37</v>
      </c>
      <c r="C2102" t="str">
        <f t="shared" si="64"/>
        <v>UNC WilmingtonMaryland</v>
      </c>
      <c r="D2102" t="s">
        <v>37</v>
      </c>
      <c r="E2102">
        <v>4</v>
      </c>
      <c r="F2102" s="1">
        <v>20.833962264150902</v>
      </c>
      <c r="G2102" s="2">
        <v>2400.2267364534</v>
      </c>
      <c r="H2102" s="1">
        <v>139.13608668927799</v>
      </c>
      <c r="I2102" s="1">
        <f t="shared" si="65"/>
        <v>143.80986605045757</v>
      </c>
    </row>
    <row r="2103" spans="1:9" x14ac:dyDescent="0.45">
      <c r="A2103" t="s">
        <v>68</v>
      </c>
      <c r="B2103" t="s">
        <v>37</v>
      </c>
      <c r="C2103" t="str">
        <f t="shared" si="64"/>
        <v>Utah St.Maryland</v>
      </c>
      <c r="D2103" t="s">
        <v>37</v>
      </c>
      <c r="E2103">
        <v>19</v>
      </c>
      <c r="F2103" s="1">
        <v>9.50566037735849</v>
      </c>
      <c r="G2103" s="2">
        <v>426.39694134263101</v>
      </c>
      <c r="H2103" s="1">
        <v>138.683273187857</v>
      </c>
      <c r="I2103" s="1">
        <f t="shared" si="65"/>
        <v>137.45158764770653</v>
      </c>
    </row>
    <row r="2104" spans="1:9" x14ac:dyDescent="0.45">
      <c r="A2104" t="s">
        <v>69</v>
      </c>
      <c r="B2104" t="s">
        <v>37</v>
      </c>
      <c r="C2104" t="str">
        <f t="shared" si="64"/>
        <v>VanderbiltMaryland</v>
      </c>
      <c r="D2104" t="s">
        <v>37</v>
      </c>
      <c r="E2104">
        <v>4.4000000000000004</v>
      </c>
      <c r="F2104" s="1">
        <v>20.154716981132101</v>
      </c>
      <c r="G2104" s="2">
        <v>2163.8793841290199</v>
      </c>
      <c r="H2104" s="1">
        <v>137.11731106913999</v>
      </c>
      <c r="I2104" s="1">
        <f t="shared" si="65"/>
        <v>115.46279295028963</v>
      </c>
    </row>
    <row r="2105" spans="1:9" x14ac:dyDescent="0.45">
      <c r="A2105" t="s">
        <v>70</v>
      </c>
      <c r="B2105" t="s">
        <v>37</v>
      </c>
      <c r="C2105" t="str">
        <f t="shared" si="64"/>
        <v>VCUMaryland</v>
      </c>
      <c r="D2105" t="s">
        <v>37</v>
      </c>
      <c r="E2105">
        <v>12.9</v>
      </c>
      <c r="F2105" s="1">
        <v>12.5094339622642</v>
      </c>
      <c r="G2105" s="2">
        <v>674.07977889806</v>
      </c>
      <c r="H2105" s="1">
        <v>139.042484198333</v>
      </c>
      <c r="I2105" s="1">
        <f t="shared" si="65"/>
        <v>142.49552649399214</v>
      </c>
    </row>
    <row r="2106" spans="1:9" x14ac:dyDescent="0.45">
      <c r="A2106" t="s">
        <v>71</v>
      </c>
      <c r="B2106" t="s">
        <v>37</v>
      </c>
      <c r="C2106" t="str">
        <f t="shared" si="64"/>
        <v>WisconsinMaryland</v>
      </c>
      <c r="D2106" t="s">
        <v>71</v>
      </c>
      <c r="E2106">
        <v>62.8</v>
      </c>
      <c r="F2106" s="1">
        <v>-3.44528301886792</v>
      </c>
      <c r="G2106" s="2">
        <v>-169.11196640831801</v>
      </c>
      <c r="H2106" s="1">
        <v>139.69573980666499</v>
      </c>
      <c r="I2106" s="1">
        <f t="shared" si="65"/>
        <v>151.66835595446273</v>
      </c>
    </row>
    <row r="2107" spans="1:9" x14ac:dyDescent="0.45">
      <c r="A2107" t="s">
        <v>80</v>
      </c>
      <c r="B2107" t="s">
        <v>37</v>
      </c>
      <c r="C2107" t="str">
        <f t="shared" si="64"/>
        <v>WoffordMaryland</v>
      </c>
      <c r="D2107" t="s">
        <v>37</v>
      </c>
      <c r="E2107">
        <v>1.4</v>
      </c>
      <c r="F2107" s="1">
        <v>27.728301886792501</v>
      </c>
      <c r="G2107" s="2">
        <v>6872.4524558038602</v>
      </c>
      <c r="H2107" s="1">
        <v>137.793388235892</v>
      </c>
      <c r="I2107" s="1">
        <f t="shared" si="65"/>
        <v>124.95607624343914</v>
      </c>
    </row>
    <row r="2108" spans="1:9" x14ac:dyDescent="0.45">
      <c r="A2108" t="s">
        <v>72</v>
      </c>
      <c r="B2108" t="s">
        <v>37</v>
      </c>
      <c r="C2108" t="str">
        <f t="shared" si="64"/>
        <v>XavierMaryland</v>
      </c>
      <c r="D2108" t="s">
        <v>37</v>
      </c>
      <c r="E2108">
        <v>12.8</v>
      </c>
      <c r="F2108" s="1">
        <v>12.5811320754717</v>
      </c>
      <c r="G2108" s="2">
        <v>681.64347957546101</v>
      </c>
      <c r="H2108" s="1">
        <v>138.53619040651299</v>
      </c>
      <c r="I2108" s="1">
        <f t="shared" si="65"/>
        <v>135.38629306373008</v>
      </c>
    </row>
    <row r="2109" spans="1:9" x14ac:dyDescent="0.45">
      <c r="A2109" t="s">
        <v>73</v>
      </c>
      <c r="B2109" t="s">
        <v>37</v>
      </c>
      <c r="C2109" t="str">
        <f t="shared" si="64"/>
        <v>YaleMaryland</v>
      </c>
      <c r="D2109" t="s">
        <v>37</v>
      </c>
      <c r="E2109">
        <v>7.1</v>
      </c>
      <c r="F2109" s="1">
        <v>16.8301886792453</v>
      </c>
      <c r="G2109" s="2">
        <v>1303.47521051032</v>
      </c>
      <c r="H2109" s="1">
        <v>139.13589654290701</v>
      </c>
      <c r="I2109" s="1">
        <f t="shared" si="65"/>
        <v>143.80719606919558</v>
      </c>
    </row>
    <row r="2110" spans="1:9" x14ac:dyDescent="0.45">
      <c r="A2110" t="s">
        <v>7</v>
      </c>
      <c r="B2110" t="s">
        <v>38</v>
      </c>
      <c r="C2110" t="str">
        <f t="shared" si="64"/>
        <v>AkronMcNeese St.</v>
      </c>
      <c r="D2110" t="s">
        <v>38</v>
      </c>
      <c r="E2110">
        <v>14.6</v>
      </c>
      <c r="F2110" s="1">
        <v>11.554716981132101</v>
      </c>
      <c r="G2110" s="2">
        <v>582.78323490822402</v>
      </c>
      <c r="H2110" s="1">
        <v>137.359488190522</v>
      </c>
      <c r="I2110" s="1">
        <f t="shared" si="65"/>
        <v>118.86337521140041</v>
      </c>
    </row>
    <row r="2111" spans="1:9" x14ac:dyDescent="0.45">
      <c r="A2111" t="s">
        <v>8</v>
      </c>
      <c r="B2111" t="s">
        <v>38</v>
      </c>
      <c r="C2111" t="str">
        <f t="shared" si="64"/>
        <v>AlabamaMcNeese St.</v>
      </c>
      <c r="D2111" t="s">
        <v>8</v>
      </c>
      <c r="E2111">
        <v>92.8</v>
      </c>
      <c r="F2111" s="1">
        <v>-16.784905660377401</v>
      </c>
      <c r="G2111" s="2">
        <v>-1294.26633374879</v>
      </c>
      <c r="H2111" s="1">
        <v>139.167099378118</v>
      </c>
      <c r="I2111" s="1">
        <f t="shared" si="65"/>
        <v>144.2453374068634</v>
      </c>
    </row>
    <row r="2112" spans="1:9" x14ac:dyDescent="0.45">
      <c r="A2112" t="s">
        <v>9</v>
      </c>
      <c r="B2112" t="s">
        <v>38</v>
      </c>
      <c r="C2112" t="str">
        <f t="shared" si="64"/>
        <v>Alabama St.McNeese St.</v>
      </c>
      <c r="D2112" t="s">
        <v>38</v>
      </c>
      <c r="E2112">
        <v>2.6</v>
      </c>
      <c r="F2112" s="1">
        <v>23.871698113207501</v>
      </c>
      <c r="G2112" s="2">
        <v>3815.8980876104001</v>
      </c>
      <c r="H2112" s="1">
        <v>137.54624994994401</v>
      </c>
      <c r="I2112" s="1">
        <f t="shared" si="65"/>
        <v>121.48583072049252</v>
      </c>
    </row>
    <row r="2113" spans="1:9" x14ac:dyDescent="0.45">
      <c r="A2113" t="s">
        <v>10</v>
      </c>
      <c r="B2113" t="s">
        <v>38</v>
      </c>
      <c r="C2113" t="str">
        <f t="shared" si="64"/>
        <v>AmericanMcNeese St.</v>
      </c>
      <c r="D2113" t="s">
        <v>38</v>
      </c>
      <c r="E2113">
        <v>2.9</v>
      </c>
      <c r="F2113" s="1">
        <v>23.116981132075502</v>
      </c>
      <c r="G2113" s="2">
        <v>3399.7775147188099</v>
      </c>
      <c r="H2113" s="1">
        <v>137.30953946970601</v>
      </c>
      <c r="I2113" s="1">
        <f t="shared" si="65"/>
        <v>118.1620094795644</v>
      </c>
    </row>
    <row r="2114" spans="1:9" x14ac:dyDescent="0.45">
      <c r="A2114" t="s">
        <v>11</v>
      </c>
      <c r="B2114" t="s">
        <v>38</v>
      </c>
      <c r="C2114" t="str">
        <f t="shared" si="64"/>
        <v>ArizonaMcNeese St.</v>
      </c>
      <c r="D2114" t="s">
        <v>11</v>
      </c>
      <c r="E2114">
        <v>89.5</v>
      </c>
      <c r="F2114" s="1">
        <v>-14.030188679245301</v>
      </c>
      <c r="G2114" s="2">
        <v>-850.09893430195905</v>
      </c>
      <c r="H2114" s="1">
        <v>138.77757871829499</v>
      </c>
      <c r="I2114" s="1">
        <f t="shared" si="65"/>
        <v>138.77579908478199</v>
      </c>
    </row>
    <row r="2115" spans="1:9" x14ac:dyDescent="0.45">
      <c r="A2115" t="s">
        <v>12</v>
      </c>
      <c r="B2115" t="s">
        <v>38</v>
      </c>
      <c r="C2115" t="str">
        <f t="shared" ref="C2115:C2178" si="66">A2115&amp;B2115</f>
        <v>ArkansasMcNeese St.</v>
      </c>
      <c r="D2115" t="s">
        <v>38</v>
      </c>
      <c r="E2115">
        <v>35.700000000000003</v>
      </c>
      <c r="F2115" s="1">
        <v>3.8716981132075499</v>
      </c>
      <c r="G2115" s="2">
        <v>180.48043635545599</v>
      </c>
      <c r="H2115" s="1">
        <v>137.10350269608401</v>
      </c>
      <c r="I2115" s="1">
        <f t="shared" ref="I2115:I2178" si="67">18*(H2115-AVERAGE($H$2:$H$4625))/_xlfn.STDEV.P($H$2:$H$4625)+AVERAGE($H$2:$H$4625)</f>
        <v>115.26889970306213</v>
      </c>
    </row>
    <row r="2116" spans="1:9" x14ac:dyDescent="0.45">
      <c r="A2116" t="s">
        <v>13</v>
      </c>
      <c r="B2116" t="s">
        <v>38</v>
      </c>
      <c r="C2116" t="str">
        <f t="shared" si="66"/>
        <v>AuburnMcNeese St.</v>
      </c>
      <c r="D2116" t="s">
        <v>13</v>
      </c>
      <c r="E2116">
        <v>96.2</v>
      </c>
      <c r="F2116" s="1">
        <v>-21.2264150943396</v>
      </c>
      <c r="G2116" s="2">
        <v>-2547.6172311895102</v>
      </c>
      <c r="H2116" s="1">
        <v>140.18931561146999</v>
      </c>
      <c r="I2116" s="1">
        <f t="shared" si="67"/>
        <v>158.5990070281691</v>
      </c>
    </row>
    <row r="2117" spans="1:9" x14ac:dyDescent="0.45">
      <c r="A2117" t="s">
        <v>14</v>
      </c>
      <c r="B2117" t="s">
        <v>38</v>
      </c>
      <c r="C2117" t="str">
        <f t="shared" si="66"/>
        <v>BaylorMcNeese St.</v>
      </c>
      <c r="D2117" t="s">
        <v>14</v>
      </c>
      <c r="E2117">
        <v>72</v>
      </c>
      <c r="F2117" s="1">
        <v>-6.1773584905660401</v>
      </c>
      <c r="G2117" s="2">
        <v>-256.54997353560299</v>
      </c>
      <c r="H2117" s="1">
        <v>138.65223297265101</v>
      </c>
      <c r="I2117" s="1">
        <f t="shared" si="67"/>
        <v>137.01572977389833</v>
      </c>
    </row>
    <row r="2118" spans="1:9" x14ac:dyDescent="0.45">
      <c r="A2118" t="s">
        <v>15</v>
      </c>
      <c r="B2118" t="s">
        <v>38</v>
      </c>
      <c r="C2118" t="str">
        <f t="shared" si="66"/>
        <v>BryantMcNeese St.</v>
      </c>
      <c r="D2118" t="s">
        <v>38</v>
      </c>
      <c r="E2118">
        <v>10.7</v>
      </c>
      <c r="F2118" s="1">
        <v>13.8943396226415</v>
      </c>
      <c r="G2118" s="2">
        <v>832.79831289545905</v>
      </c>
      <c r="H2118" s="1">
        <v>138.244552848296</v>
      </c>
      <c r="I2118" s="1">
        <f t="shared" si="67"/>
        <v>131.29120141557237</v>
      </c>
    </row>
    <row r="2119" spans="1:9" x14ac:dyDescent="0.45">
      <c r="A2119" t="s">
        <v>16</v>
      </c>
      <c r="B2119" t="s">
        <v>38</v>
      </c>
      <c r="C2119" t="str">
        <f t="shared" si="66"/>
        <v>BYUMcNeese St.</v>
      </c>
      <c r="D2119" t="s">
        <v>16</v>
      </c>
      <c r="E2119">
        <v>75.2</v>
      </c>
      <c r="F2119" s="1">
        <v>-7.2716981132075498</v>
      </c>
      <c r="G2119" s="2">
        <v>-303.166853461443</v>
      </c>
      <c r="H2119" s="1">
        <v>138.41459352274001</v>
      </c>
      <c r="I2119" s="1">
        <f t="shared" si="67"/>
        <v>133.67886420502924</v>
      </c>
    </row>
    <row r="2120" spans="1:9" x14ac:dyDescent="0.45">
      <c r="A2120" t="s">
        <v>17</v>
      </c>
      <c r="B2120" t="s">
        <v>38</v>
      </c>
      <c r="C2120" t="str">
        <f t="shared" si="66"/>
        <v>ClemsonMcNeese St.</v>
      </c>
      <c r="D2120" t="s">
        <v>17</v>
      </c>
      <c r="E2120">
        <v>80.900000000000006</v>
      </c>
      <c r="F2120" s="1">
        <v>-9.4754716981132106</v>
      </c>
      <c r="G2120" s="2">
        <v>-424.34870587877901</v>
      </c>
      <c r="H2120" s="1">
        <v>138.76464374518201</v>
      </c>
      <c r="I2120" s="1">
        <f t="shared" si="67"/>
        <v>138.59416987115142</v>
      </c>
    </row>
    <row r="2121" spans="1:9" x14ac:dyDescent="0.45">
      <c r="A2121" t="s">
        <v>18</v>
      </c>
      <c r="B2121" t="s">
        <v>38</v>
      </c>
      <c r="C2121" t="str">
        <f t="shared" si="66"/>
        <v>Colorado St.McNeese St.</v>
      </c>
      <c r="D2121" t="s">
        <v>38</v>
      </c>
      <c r="E2121">
        <v>41.3</v>
      </c>
      <c r="F2121" s="1">
        <v>2.3056603773584898</v>
      </c>
      <c r="G2121" s="2">
        <v>142.18082008891599</v>
      </c>
      <c r="H2121" s="1">
        <v>138.154254719976</v>
      </c>
      <c r="I2121" s="1">
        <f t="shared" si="67"/>
        <v>130.02326077929681</v>
      </c>
    </row>
    <row r="2122" spans="1:9" x14ac:dyDescent="0.45">
      <c r="A2122" t="s">
        <v>19</v>
      </c>
      <c r="B2122" t="s">
        <v>38</v>
      </c>
      <c r="C2122" t="str">
        <f t="shared" si="66"/>
        <v>ConnecticutMcNeese St.</v>
      </c>
      <c r="D2122" t="s">
        <v>19</v>
      </c>
      <c r="E2122">
        <v>86.8</v>
      </c>
      <c r="F2122" s="1">
        <v>-12.3698113207547</v>
      </c>
      <c r="G2122" s="2">
        <v>-659.79528915623996</v>
      </c>
      <c r="H2122" s="1">
        <v>138.56489457593</v>
      </c>
      <c r="I2122" s="1">
        <f t="shared" si="67"/>
        <v>135.7893488469617</v>
      </c>
    </row>
    <row r="2123" spans="1:9" x14ac:dyDescent="0.45">
      <c r="A2123" t="s">
        <v>20</v>
      </c>
      <c r="B2123" t="s">
        <v>38</v>
      </c>
      <c r="C2123" t="str">
        <f t="shared" si="66"/>
        <v>CreightonMcNeese St.</v>
      </c>
      <c r="D2123" t="s">
        <v>20</v>
      </c>
      <c r="E2123">
        <v>67.099999999999994</v>
      </c>
      <c r="F2123" s="1">
        <v>-4.6603773584905701</v>
      </c>
      <c r="G2123" s="2">
        <v>-203.59942656538999</v>
      </c>
      <c r="H2123" s="1">
        <v>138.11419132876901</v>
      </c>
      <c r="I2123" s="1">
        <f t="shared" si="67"/>
        <v>129.46070203435445</v>
      </c>
    </row>
    <row r="2124" spans="1:9" x14ac:dyDescent="0.45">
      <c r="A2124" t="s">
        <v>21</v>
      </c>
      <c r="B2124" t="s">
        <v>38</v>
      </c>
      <c r="C2124" t="str">
        <f t="shared" si="66"/>
        <v>DrakeMcNeese St.</v>
      </c>
      <c r="D2124" t="s">
        <v>38</v>
      </c>
      <c r="E2124">
        <v>40.5</v>
      </c>
      <c r="F2124" s="1">
        <v>2.5132075471698099</v>
      </c>
      <c r="G2124" s="2">
        <v>146.69359197722301</v>
      </c>
      <c r="H2124" s="1">
        <v>138.348867134443</v>
      </c>
      <c r="I2124" s="1">
        <f t="shared" si="67"/>
        <v>132.75595295373429</v>
      </c>
    </row>
    <row r="2125" spans="1:9" x14ac:dyDescent="0.45">
      <c r="A2125" t="s">
        <v>22</v>
      </c>
      <c r="B2125" t="s">
        <v>38</v>
      </c>
      <c r="C2125" t="str">
        <f t="shared" si="66"/>
        <v>DukeMcNeese St.</v>
      </c>
      <c r="D2125" t="s">
        <v>22</v>
      </c>
      <c r="E2125">
        <v>97.3</v>
      </c>
      <c r="F2125" s="1">
        <v>-23.437735849056601</v>
      </c>
      <c r="G2125" s="2">
        <v>-3571.4229330641601</v>
      </c>
      <c r="H2125" s="1">
        <v>140.42920702304599</v>
      </c>
      <c r="I2125" s="1">
        <f t="shared" si="67"/>
        <v>161.96749400226005</v>
      </c>
    </row>
    <row r="2126" spans="1:9" x14ac:dyDescent="0.45">
      <c r="A2126" t="s">
        <v>23</v>
      </c>
      <c r="B2126" t="s">
        <v>38</v>
      </c>
      <c r="C2126" t="str">
        <f t="shared" si="66"/>
        <v>FloridaMcNeese St.</v>
      </c>
      <c r="D2126" t="s">
        <v>23</v>
      </c>
      <c r="E2126">
        <v>95.2</v>
      </c>
      <c r="F2126" s="1">
        <v>-19.5811320754717</v>
      </c>
      <c r="G2126" s="2">
        <v>-1982.9379425956199</v>
      </c>
      <c r="H2126" s="1">
        <v>140.1638575506</v>
      </c>
      <c r="I2126" s="1">
        <f t="shared" si="67"/>
        <v>158.24153217793244</v>
      </c>
    </row>
    <row r="2127" spans="1:9" x14ac:dyDescent="0.45">
      <c r="A2127" t="s">
        <v>24</v>
      </c>
      <c r="B2127" t="s">
        <v>38</v>
      </c>
      <c r="C2127" t="str">
        <f t="shared" si="66"/>
        <v>GeorgiaMcNeese St.</v>
      </c>
      <c r="D2127" t="s">
        <v>38</v>
      </c>
      <c r="E2127">
        <v>44.4</v>
      </c>
      <c r="F2127" s="1">
        <v>1.47924528301887</v>
      </c>
      <c r="G2127" s="2">
        <v>125.31596278529901</v>
      </c>
      <c r="H2127" s="1">
        <v>137.42781584688501</v>
      </c>
      <c r="I2127" s="1">
        <f t="shared" si="67"/>
        <v>119.82281272905429</v>
      </c>
    </row>
    <row r="2128" spans="1:9" x14ac:dyDescent="0.45">
      <c r="A2128" t="s">
        <v>25</v>
      </c>
      <c r="B2128" t="s">
        <v>38</v>
      </c>
      <c r="C2128" t="str">
        <f t="shared" si="66"/>
        <v>GonzagaMcNeese St.</v>
      </c>
      <c r="D2128" t="s">
        <v>25</v>
      </c>
      <c r="E2128">
        <v>80.2</v>
      </c>
      <c r="F2128" s="1">
        <v>-9.1509433962264204</v>
      </c>
      <c r="G2128" s="2">
        <v>-403.86149404435201</v>
      </c>
      <c r="H2128" s="1">
        <v>139.404777577391</v>
      </c>
      <c r="I2128" s="1">
        <f t="shared" si="67"/>
        <v>147.58274708325308</v>
      </c>
    </row>
    <row r="2129" spans="1:9" x14ac:dyDescent="0.45">
      <c r="A2129" t="s">
        <v>26</v>
      </c>
      <c r="B2129" t="s">
        <v>38</v>
      </c>
      <c r="C2129" t="str">
        <f t="shared" si="66"/>
        <v>Grand CanyonMcNeese St.</v>
      </c>
      <c r="D2129" t="s">
        <v>38</v>
      </c>
      <c r="E2129">
        <v>30.5</v>
      </c>
      <c r="F2129" s="1">
        <v>5.4</v>
      </c>
      <c r="G2129" s="2">
        <v>227.90108217112899</v>
      </c>
      <c r="H2129" s="1">
        <v>138.22274929493099</v>
      </c>
      <c r="I2129" s="1">
        <f t="shared" si="67"/>
        <v>130.98504212034624</v>
      </c>
    </row>
    <row r="2130" spans="1:9" x14ac:dyDescent="0.45">
      <c r="A2130" t="s">
        <v>27</v>
      </c>
      <c r="B2130" t="s">
        <v>38</v>
      </c>
      <c r="C2130" t="str">
        <f t="shared" si="66"/>
        <v>High PointMcNeese St.</v>
      </c>
      <c r="D2130" t="s">
        <v>38</v>
      </c>
      <c r="E2130">
        <v>21.5</v>
      </c>
      <c r="F2130" s="1">
        <v>8.4905660377358494</v>
      </c>
      <c r="G2130" s="2">
        <v>365.11396864011601</v>
      </c>
      <c r="H2130" s="1">
        <v>138.413956428479</v>
      </c>
      <c r="I2130" s="1">
        <f t="shared" si="67"/>
        <v>133.66991830861144</v>
      </c>
    </row>
    <row r="2131" spans="1:9" x14ac:dyDescent="0.45">
      <c r="A2131" t="s">
        <v>28</v>
      </c>
      <c r="B2131" t="s">
        <v>38</v>
      </c>
      <c r="C2131" t="str">
        <f t="shared" si="66"/>
        <v>HoustonMcNeese St.</v>
      </c>
      <c r="D2131" t="s">
        <v>28</v>
      </c>
      <c r="E2131">
        <v>98.3</v>
      </c>
      <c r="F2131" s="1">
        <v>-26.792452830188701</v>
      </c>
      <c r="G2131" s="2">
        <v>-5957.6014095230203</v>
      </c>
      <c r="H2131" s="1">
        <v>140.52741878568199</v>
      </c>
      <c r="I2131" s="1">
        <f t="shared" si="67"/>
        <v>163.34655564089263</v>
      </c>
    </row>
    <row r="2132" spans="1:9" x14ac:dyDescent="0.45">
      <c r="A2132" t="s">
        <v>29</v>
      </c>
      <c r="B2132" t="s">
        <v>38</v>
      </c>
      <c r="C2132" t="str">
        <f t="shared" si="66"/>
        <v>IllinoisMcNeese St.</v>
      </c>
      <c r="D2132" t="s">
        <v>29</v>
      </c>
      <c r="E2132">
        <v>85.5</v>
      </c>
      <c r="F2132" s="1">
        <v>-11.603773584905699</v>
      </c>
      <c r="G2132" s="2">
        <v>-587.29710985282804</v>
      </c>
      <c r="H2132" s="1">
        <v>138.585882560644</v>
      </c>
      <c r="I2132" s="1">
        <f t="shared" si="67"/>
        <v>136.08405615914543</v>
      </c>
    </row>
    <row r="2133" spans="1:9" x14ac:dyDescent="0.45">
      <c r="A2133" t="s">
        <v>30</v>
      </c>
      <c r="B2133" t="s">
        <v>38</v>
      </c>
      <c r="C2133" t="str">
        <f t="shared" si="66"/>
        <v>Iowa St.McNeese St.</v>
      </c>
      <c r="D2133" t="s">
        <v>30</v>
      </c>
      <c r="E2133">
        <v>92.5</v>
      </c>
      <c r="F2133" s="1">
        <v>-16.4679245283019</v>
      </c>
      <c r="G2133" s="2">
        <v>-1232.8604563162601</v>
      </c>
      <c r="H2133" s="1">
        <v>139.48242485223</v>
      </c>
      <c r="I2133" s="1">
        <f t="shared" si="67"/>
        <v>148.67304803296406</v>
      </c>
    </row>
    <row r="2134" spans="1:9" x14ac:dyDescent="0.45">
      <c r="A2134" t="s">
        <v>31</v>
      </c>
      <c r="B2134" t="s">
        <v>38</v>
      </c>
      <c r="C2134" t="str">
        <f t="shared" si="66"/>
        <v>KansasMcNeese St.</v>
      </c>
      <c r="D2134" t="s">
        <v>31</v>
      </c>
      <c r="E2134">
        <v>79.2</v>
      </c>
      <c r="F2134" s="1">
        <v>-8.7509433962264094</v>
      </c>
      <c r="G2134" s="2">
        <v>-379.93822293721598</v>
      </c>
      <c r="H2134" s="1">
        <v>138.53301274108401</v>
      </c>
      <c r="I2134" s="1">
        <f t="shared" si="67"/>
        <v>135.34167318953277</v>
      </c>
    </row>
    <row r="2135" spans="1:9" x14ac:dyDescent="0.45">
      <c r="A2135" t="s">
        <v>32</v>
      </c>
      <c r="B2135" t="s">
        <v>38</v>
      </c>
      <c r="C2135" t="str">
        <f t="shared" si="66"/>
        <v>KentuckyMcNeese St.</v>
      </c>
      <c r="D2135" t="s">
        <v>32</v>
      </c>
      <c r="E2135">
        <v>86.4</v>
      </c>
      <c r="F2135" s="1">
        <v>-12.1132075471698</v>
      </c>
      <c r="G2135" s="2">
        <v>-634.74447578864397</v>
      </c>
      <c r="H2135" s="1">
        <v>138.46729507320899</v>
      </c>
      <c r="I2135" s="1">
        <f t="shared" si="67"/>
        <v>134.41888438792321</v>
      </c>
    </row>
    <row r="2136" spans="1:9" x14ac:dyDescent="0.45">
      <c r="A2136" t="s">
        <v>33</v>
      </c>
      <c r="B2136" t="s">
        <v>38</v>
      </c>
      <c r="C2136" t="str">
        <f t="shared" si="66"/>
        <v>LibertyMcNeese St.</v>
      </c>
      <c r="D2136" t="s">
        <v>38</v>
      </c>
      <c r="E2136">
        <v>16</v>
      </c>
      <c r="F2136" s="1">
        <v>10.871698113207501</v>
      </c>
      <c r="G2136" s="2">
        <v>525.08424193608096</v>
      </c>
      <c r="H2136" s="1">
        <v>137.812296116927</v>
      </c>
      <c r="I2136" s="1">
        <f t="shared" si="67"/>
        <v>125.22157533136252</v>
      </c>
    </row>
    <row r="2137" spans="1:9" x14ac:dyDescent="0.45">
      <c r="A2137" t="s">
        <v>34</v>
      </c>
      <c r="B2137" t="s">
        <v>38</v>
      </c>
      <c r="C2137" t="str">
        <f t="shared" si="66"/>
        <v>LipscombMcNeese St.</v>
      </c>
      <c r="D2137" t="s">
        <v>38</v>
      </c>
      <c r="E2137">
        <v>12.5</v>
      </c>
      <c r="F2137" s="1">
        <v>12.735849056603801</v>
      </c>
      <c r="G2137" s="2">
        <v>697.954779646833</v>
      </c>
      <c r="H2137" s="1">
        <v>138.21861431451799</v>
      </c>
      <c r="I2137" s="1">
        <f t="shared" si="67"/>
        <v>130.92697990141224</v>
      </c>
    </row>
    <row r="2138" spans="1:9" x14ac:dyDescent="0.45">
      <c r="A2138" t="s">
        <v>35</v>
      </c>
      <c r="B2138" t="s">
        <v>38</v>
      </c>
      <c r="C2138" t="str">
        <f t="shared" si="66"/>
        <v>LouisvilleMcNeese St.</v>
      </c>
      <c r="D2138" t="s">
        <v>38</v>
      </c>
      <c r="E2138">
        <v>26.5</v>
      </c>
      <c r="F2138" s="1">
        <v>6.6867924528301899</v>
      </c>
      <c r="G2138" s="2">
        <v>277.38913779659498</v>
      </c>
      <c r="H2138" s="1">
        <v>137.463976320336</v>
      </c>
      <c r="I2138" s="1">
        <f t="shared" si="67"/>
        <v>120.33056781289163</v>
      </c>
    </row>
    <row r="2139" spans="1:9" x14ac:dyDescent="0.45">
      <c r="A2139" t="s">
        <v>36</v>
      </c>
      <c r="B2139" t="s">
        <v>38</v>
      </c>
      <c r="C2139" t="str">
        <f t="shared" si="66"/>
        <v>MarquetteMcNeese St.</v>
      </c>
      <c r="D2139" t="s">
        <v>36</v>
      </c>
      <c r="E2139">
        <v>83</v>
      </c>
      <c r="F2139" s="1">
        <v>-10.381132075471699</v>
      </c>
      <c r="G2139" s="2">
        <v>-487.14006168669101</v>
      </c>
      <c r="H2139" s="1">
        <v>138.72611016379801</v>
      </c>
      <c r="I2139" s="1">
        <f t="shared" si="67"/>
        <v>138.05309228065184</v>
      </c>
    </row>
    <row r="2140" spans="1:9" x14ac:dyDescent="0.45">
      <c r="A2140" t="s">
        <v>37</v>
      </c>
      <c r="B2140" t="s">
        <v>38</v>
      </c>
      <c r="C2140" t="str">
        <f t="shared" si="66"/>
        <v>MarylandMcNeese St.</v>
      </c>
      <c r="D2140" t="s">
        <v>37</v>
      </c>
      <c r="E2140">
        <v>75</v>
      </c>
      <c r="F2140" s="1">
        <v>-7.2113207547169802</v>
      </c>
      <c r="G2140" s="2">
        <v>-300.48307508103801</v>
      </c>
      <c r="H2140" s="1">
        <v>138.184479762341</v>
      </c>
      <c r="I2140" s="1">
        <f t="shared" si="67"/>
        <v>130.44767222791427</v>
      </c>
    </row>
    <row r="2141" spans="1:9" x14ac:dyDescent="0.45">
      <c r="A2141" t="s">
        <v>38</v>
      </c>
      <c r="B2141" t="s">
        <v>38</v>
      </c>
      <c r="C2141" t="str">
        <f t="shared" si="66"/>
        <v>McNeese St.McNeese St.</v>
      </c>
      <c r="D2141" t="s">
        <v>38</v>
      </c>
      <c r="E2141">
        <v>41.2</v>
      </c>
      <c r="F2141" s="1">
        <v>2.3283018867924499</v>
      </c>
      <c r="G2141" s="2">
        <v>142.64273539779199</v>
      </c>
      <c r="H2141" s="1">
        <v>138.77771517530499</v>
      </c>
      <c r="I2141" s="1">
        <f t="shared" si="67"/>
        <v>138.77771517530684</v>
      </c>
    </row>
    <row r="2142" spans="1:9" x14ac:dyDescent="0.45">
      <c r="A2142" t="s">
        <v>39</v>
      </c>
      <c r="B2142" t="s">
        <v>38</v>
      </c>
      <c r="C2142" t="str">
        <f t="shared" si="66"/>
        <v>MemphisMcNeese St.</v>
      </c>
      <c r="D2142" t="s">
        <v>39</v>
      </c>
      <c r="E2142">
        <v>62.9</v>
      </c>
      <c r="F2142" s="1">
        <v>-3.4490566037735899</v>
      </c>
      <c r="G2142" s="2">
        <v>-169.20751539275</v>
      </c>
      <c r="H2142" s="1">
        <v>137.311997001831</v>
      </c>
      <c r="I2142" s="1">
        <f t="shared" si="67"/>
        <v>118.19651744671947</v>
      </c>
    </row>
    <row r="2143" spans="1:9" x14ac:dyDescent="0.45">
      <c r="A2143" t="s">
        <v>40</v>
      </c>
      <c r="B2143" t="s">
        <v>38</v>
      </c>
      <c r="C2143" t="str">
        <f t="shared" si="66"/>
        <v>MichiganMcNeese St.</v>
      </c>
      <c r="D2143" t="s">
        <v>38</v>
      </c>
      <c r="E2143">
        <v>45.5</v>
      </c>
      <c r="F2143" s="1">
        <v>1.1773584905660399</v>
      </c>
      <c r="G2143" s="2">
        <v>119.66716041723301</v>
      </c>
      <c r="H2143" s="1">
        <v>136.874618298748</v>
      </c>
      <c r="I2143" s="1">
        <f t="shared" si="67"/>
        <v>112.05497009243604</v>
      </c>
    </row>
    <row r="2144" spans="1:9" x14ac:dyDescent="0.45">
      <c r="A2144" t="s">
        <v>41</v>
      </c>
      <c r="B2144" t="s">
        <v>38</v>
      </c>
      <c r="C2144" t="str">
        <f t="shared" si="66"/>
        <v>Michigan St.McNeese St.</v>
      </c>
      <c r="D2144" t="s">
        <v>41</v>
      </c>
      <c r="E2144">
        <v>88.8</v>
      </c>
      <c r="F2144" s="1">
        <v>-13.569811320754701</v>
      </c>
      <c r="G2144" s="2">
        <v>-792.46511931235898</v>
      </c>
      <c r="H2144" s="1">
        <v>138.521698007955</v>
      </c>
      <c r="I2144" s="1">
        <f t="shared" si="67"/>
        <v>135.18279492494631</v>
      </c>
    </row>
    <row r="2145" spans="1:9" x14ac:dyDescent="0.45">
      <c r="A2145" t="s">
        <v>42</v>
      </c>
      <c r="B2145" t="s">
        <v>38</v>
      </c>
      <c r="C2145" t="str">
        <f t="shared" si="66"/>
        <v>MississippiMcNeese St.</v>
      </c>
      <c r="D2145" t="s">
        <v>42</v>
      </c>
      <c r="E2145">
        <v>68.400000000000006</v>
      </c>
      <c r="F2145" s="1">
        <v>-5.0716981132075496</v>
      </c>
      <c r="G2145" s="2">
        <v>-216.824693188483</v>
      </c>
      <c r="H2145" s="1">
        <v>137.78938935784399</v>
      </c>
      <c r="I2145" s="1">
        <f t="shared" si="67"/>
        <v>124.89992513520562</v>
      </c>
    </row>
    <row r="2146" spans="1:9" x14ac:dyDescent="0.45">
      <c r="A2146" t="s">
        <v>43</v>
      </c>
      <c r="B2146" t="s">
        <v>38</v>
      </c>
      <c r="C2146" t="str">
        <f t="shared" si="66"/>
        <v>Mississippi St.McNeese St.</v>
      </c>
      <c r="D2146" t="s">
        <v>43</v>
      </c>
      <c r="E2146">
        <v>62.5</v>
      </c>
      <c r="F2146" s="1">
        <v>-3.3509433962264099</v>
      </c>
      <c r="G2146" s="2">
        <v>-166.69839734434299</v>
      </c>
      <c r="H2146" s="1">
        <v>137.92913583052101</v>
      </c>
      <c r="I2146" s="1">
        <f t="shared" si="67"/>
        <v>126.86220535939184</v>
      </c>
    </row>
    <row r="2147" spans="1:9" x14ac:dyDescent="0.45">
      <c r="A2147" t="s">
        <v>44</v>
      </c>
      <c r="B2147" t="s">
        <v>38</v>
      </c>
      <c r="C2147" t="str">
        <f t="shared" si="66"/>
        <v>MissouriMcNeese St.</v>
      </c>
      <c r="D2147" t="s">
        <v>38</v>
      </c>
      <c r="E2147">
        <v>44</v>
      </c>
      <c r="F2147" s="1">
        <v>1.5849056603773599</v>
      </c>
      <c r="G2147" s="2">
        <v>127.334725785355</v>
      </c>
      <c r="H2147" s="1">
        <v>137.34679772916601</v>
      </c>
      <c r="I2147" s="1">
        <f t="shared" si="67"/>
        <v>118.68517936232014</v>
      </c>
    </row>
    <row r="2148" spans="1:9" x14ac:dyDescent="0.45">
      <c r="A2148" t="s">
        <v>45</v>
      </c>
      <c r="B2148" t="s">
        <v>38</v>
      </c>
      <c r="C2148" t="str">
        <f t="shared" si="66"/>
        <v>MontanaMcNeese St.</v>
      </c>
      <c r="D2148" t="s">
        <v>38</v>
      </c>
      <c r="E2148">
        <v>6.6</v>
      </c>
      <c r="F2148" s="1">
        <v>17.388679245283001</v>
      </c>
      <c r="G2148" s="2">
        <v>1419.3601245494999</v>
      </c>
      <c r="H2148" s="1">
        <v>136.48350929257299</v>
      </c>
      <c r="I2148" s="1">
        <f t="shared" si="67"/>
        <v>106.56312866261965</v>
      </c>
    </row>
    <row r="2149" spans="1:9" x14ac:dyDescent="0.45">
      <c r="A2149" t="s">
        <v>46</v>
      </c>
      <c r="B2149" t="s">
        <v>38</v>
      </c>
      <c r="C2149" t="str">
        <f t="shared" si="66"/>
        <v>Mount St. Mary'sMcNeese St.</v>
      </c>
      <c r="D2149" t="s">
        <v>38</v>
      </c>
      <c r="E2149">
        <v>2.6</v>
      </c>
      <c r="F2149" s="1">
        <v>23.724528301886799</v>
      </c>
      <c r="G2149" s="2">
        <v>3730.0679084441599</v>
      </c>
      <c r="H2149" s="1">
        <v>137.78679724672401</v>
      </c>
      <c r="I2149" s="1">
        <f t="shared" si="67"/>
        <v>124.8635274480784</v>
      </c>
    </row>
    <row r="2150" spans="1:9" x14ac:dyDescent="0.45">
      <c r="A2150" t="s">
        <v>47</v>
      </c>
      <c r="B2150" t="s">
        <v>38</v>
      </c>
      <c r="C2150" t="str">
        <f t="shared" si="66"/>
        <v>Nebraska OmahaMcNeese St.</v>
      </c>
      <c r="D2150" t="s">
        <v>38</v>
      </c>
      <c r="E2150">
        <v>3.6</v>
      </c>
      <c r="F2150" s="1">
        <v>21.5320754716981</v>
      </c>
      <c r="G2150" s="2">
        <v>2670.6330370737901</v>
      </c>
      <c r="H2150" s="1">
        <v>137.20457337882701</v>
      </c>
      <c r="I2150" s="1">
        <f t="shared" si="67"/>
        <v>116.68810548473482</v>
      </c>
    </row>
    <row r="2151" spans="1:9" x14ac:dyDescent="0.45">
      <c r="A2151" t="s">
        <v>48</v>
      </c>
      <c r="B2151" t="s">
        <v>38</v>
      </c>
      <c r="C2151" t="str">
        <f t="shared" si="66"/>
        <v>New MexicoMcNeese St.</v>
      </c>
      <c r="D2151" t="s">
        <v>38</v>
      </c>
      <c r="E2151">
        <v>47.3</v>
      </c>
      <c r="F2151" s="1">
        <v>0.70188679245283003</v>
      </c>
      <c r="G2151" s="2">
        <v>111.3091902729</v>
      </c>
      <c r="H2151" s="1">
        <v>137.97456331064399</v>
      </c>
      <c r="I2151" s="1">
        <f t="shared" si="67"/>
        <v>127.50008511529782</v>
      </c>
    </row>
    <row r="2152" spans="1:9" x14ac:dyDescent="0.45">
      <c r="A2152" t="s">
        <v>49</v>
      </c>
      <c r="B2152" t="s">
        <v>38</v>
      </c>
      <c r="C2152" t="str">
        <f t="shared" si="66"/>
        <v>Norfolk St.McNeese St.</v>
      </c>
      <c r="D2152" t="s">
        <v>38</v>
      </c>
      <c r="E2152">
        <v>5</v>
      </c>
      <c r="F2152" s="1">
        <v>19.267924528301901</v>
      </c>
      <c r="G2152" s="2">
        <v>1890.43339542488</v>
      </c>
      <c r="H2152" s="1">
        <v>137.010689074608</v>
      </c>
      <c r="I2152" s="1">
        <f t="shared" si="67"/>
        <v>113.96563722731855</v>
      </c>
    </row>
    <row r="2153" spans="1:9" x14ac:dyDescent="0.45">
      <c r="A2153" t="s">
        <v>50</v>
      </c>
      <c r="B2153" t="s">
        <v>38</v>
      </c>
      <c r="C2153" t="str">
        <f t="shared" si="66"/>
        <v>North CarolinaMcNeese St.</v>
      </c>
      <c r="D2153" t="s">
        <v>50</v>
      </c>
      <c r="E2153">
        <v>75.400000000000006</v>
      </c>
      <c r="F2153" s="1">
        <v>-7.3471698113207502</v>
      </c>
      <c r="G2153" s="2">
        <v>-306.77924984694801</v>
      </c>
      <c r="H2153" s="1">
        <v>139.084295029077</v>
      </c>
      <c r="I2153" s="1">
        <f t="shared" si="67"/>
        <v>143.08262228792583</v>
      </c>
    </row>
    <row r="2154" spans="1:9" x14ac:dyDescent="0.45">
      <c r="A2154" t="s">
        <v>51</v>
      </c>
      <c r="B2154" t="s">
        <v>38</v>
      </c>
      <c r="C2154" t="str">
        <f t="shared" si="66"/>
        <v>OklahomaMcNeese St.</v>
      </c>
      <c r="D2154" t="s">
        <v>51</v>
      </c>
      <c r="E2154">
        <v>51.8</v>
      </c>
      <c r="F2154" s="1">
        <v>-0.46415094339622598</v>
      </c>
      <c r="G2154" s="2">
        <v>-107.361547127977</v>
      </c>
      <c r="H2154" s="1">
        <v>137.50791815525201</v>
      </c>
      <c r="I2154" s="1">
        <f t="shared" si="67"/>
        <v>120.94758656133212</v>
      </c>
    </row>
    <row r="2155" spans="1:9" x14ac:dyDescent="0.45">
      <c r="A2155" t="s">
        <v>52</v>
      </c>
      <c r="B2155" t="s">
        <v>38</v>
      </c>
      <c r="C2155" t="str">
        <f t="shared" si="66"/>
        <v>OregonMcNeese St.</v>
      </c>
      <c r="D2155" t="s">
        <v>52</v>
      </c>
      <c r="E2155">
        <v>75.099999999999994</v>
      </c>
      <c r="F2155" s="1">
        <v>-7.2301886792452796</v>
      </c>
      <c r="G2155" s="2">
        <v>-301.38040147196</v>
      </c>
      <c r="H2155" s="1">
        <v>137.79863554678099</v>
      </c>
      <c r="I2155" s="1">
        <f t="shared" si="67"/>
        <v>125.02975749056027</v>
      </c>
    </row>
    <row r="2156" spans="1:9" x14ac:dyDescent="0.45">
      <c r="A2156" t="s">
        <v>53</v>
      </c>
      <c r="B2156" t="s">
        <v>38</v>
      </c>
      <c r="C2156" t="str">
        <f t="shared" si="66"/>
        <v>PurdueMcNeese St.</v>
      </c>
      <c r="D2156" t="s">
        <v>53</v>
      </c>
      <c r="E2156">
        <v>94.5</v>
      </c>
      <c r="F2156" s="1">
        <v>-18.603773584905699</v>
      </c>
      <c r="G2156" s="2">
        <v>-1708.1052479407599</v>
      </c>
      <c r="H2156" s="1">
        <v>139.28672274657899</v>
      </c>
      <c r="I2156" s="1">
        <f t="shared" si="67"/>
        <v>145.92505472483867</v>
      </c>
    </row>
    <row r="2157" spans="1:9" x14ac:dyDescent="0.45">
      <c r="A2157" t="s">
        <v>54</v>
      </c>
      <c r="B2157" t="s">
        <v>38</v>
      </c>
      <c r="C2157" t="str">
        <f t="shared" si="66"/>
        <v>Robert MorrisMcNeese St.</v>
      </c>
      <c r="D2157" t="s">
        <v>38</v>
      </c>
      <c r="E2157">
        <v>2.1</v>
      </c>
      <c r="F2157" s="1">
        <v>25.2830188679245</v>
      </c>
      <c r="G2157" s="2">
        <v>4732.8231158770004</v>
      </c>
      <c r="H2157" s="1">
        <v>136.369688075266</v>
      </c>
      <c r="I2157" s="1">
        <f t="shared" si="67"/>
        <v>104.96488350096526</v>
      </c>
    </row>
    <row r="2158" spans="1:9" x14ac:dyDescent="0.45">
      <c r="A2158" t="s">
        <v>55</v>
      </c>
      <c r="B2158" t="s">
        <v>38</v>
      </c>
      <c r="C2158" t="str">
        <f t="shared" si="66"/>
        <v>Saint FrancisMcNeese St.</v>
      </c>
      <c r="D2158" t="s">
        <v>38</v>
      </c>
      <c r="E2158">
        <v>1.2</v>
      </c>
      <c r="F2158" s="1">
        <v>28.649056603773602</v>
      </c>
      <c r="G2158" s="2">
        <v>7905.0108060442399</v>
      </c>
      <c r="H2158" s="1">
        <v>137.07653595730901</v>
      </c>
      <c r="I2158" s="1">
        <f t="shared" si="67"/>
        <v>114.89024042676482</v>
      </c>
    </row>
    <row r="2159" spans="1:9" x14ac:dyDescent="0.45">
      <c r="A2159" t="s">
        <v>56</v>
      </c>
      <c r="B2159" t="s">
        <v>38</v>
      </c>
      <c r="C2159" t="str">
        <f t="shared" si="66"/>
        <v>Saint Mary'sMcNeese St.</v>
      </c>
      <c r="D2159" t="s">
        <v>56</v>
      </c>
      <c r="E2159">
        <v>74.7</v>
      </c>
      <c r="F2159" s="1">
        <v>-7.0867924528301902</v>
      </c>
      <c r="G2159" s="2">
        <v>-294.82323481833402</v>
      </c>
      <c r="H2159" s="1">
        <v>138.805742073251</v>
      </c>
      <c r="I2159" s="1">
        <f t="shared" si="67"/>
        <v>139.17126090516467</v>
      </c>
    </row>
    <row r="2160" spans="1:9" x14ac:dyDescent="0.45">
      <c r="A2160" t="s">
        <v>57</v>
      </c>
      <c r="B2160" t="s">
        <v>38</v>
      </c>
      <c r="C2160" t="str">
        <f t="shared" si="66"/>
        <v>San Diego St.McNeese St.</v>
      </c>
      <c r="D2160" t="s">
        <v>38</v>
      </c>
      <c r="E2160">
        <v>47.8</v>
      </c>
      <c r="F2160" s="1">
        <v>0.58490566037735803</v>
      </c>
      <c r="G2160" s="2">
        <v>109.35480212015899</v>
      </c>
      <c r="H2160" s="1">
        <v>138.02044123627999</v>
      </c>
      <c r="I2160" s="1">
        <f t="shared" si="67"/>
        <v>128.14428989898698</v>
      </c>
    </row>
    <row r="2161" spans="1:9" x14ac:dyDescent="0.45">
      <c r="A2161" t="s">
        <v>58</v>
      </c>
      <c r="B2161" t="s">
        <v>38</v>
      </c>
      <c r="C2161" t="str">
        <f t="shared" si="66"/>
        <v>SIU EdwardsvilleMcNeese St.</v>
      </c>
      <c r="D2161" t="s">
        <v>38</v>
      </c>
      <c r="E2161">
        <v>4.2</v>
      </c>
      <c r="F2161" s="1">
        <v>20.558490566037701</v>
      </c>
      <c r="G2161" s="2">
        <v>2302.0679496406601</v>
      </c>
      <c r="H2161" s="1">
        <v>138.079699416464</v>
      </c>
      <c r="I2161" s="1">
        <f t="shared" si="67"/>
        <v>128.97637641157525</v>
      </c>
    </row>
    <row r="2162" spans="1:9" x14ac:dyDescent="0.45">
      <c r="A2162" t="s">
        <v>59</v>
      </c>
      <c r="B2162" t="s">
        <v>38</v>
      </c>
      <c r="C2162" t="str">
        <f t="shared" si="66"/>
        <v>St. John'sMcNeese St.</v>
      </c>
      <c r="D2162" t="s">
        <v>59</v>
      </c>
      <c r="E2162">
        <v>89.5</v>
      </c>
      <c r="F2162" s="1">
        <v>-14.0716981132075</v>
      </c>
      <c r="G2162" s="2">
        <v>-855.48294596100095</v>
      </c>
      <c r="H2162" s="1">
        <v>138.899155865018</v>
      </c>
      <c r="I2162" s="1">
        <f t="shared" si="67"/>
        <v>140.48295080144058</v>
      </c>
    </row>
    <row r="2163" spans="1:9" x14ac:dyDescent="0.45">
      <c r="A2163" t="s">
        <v>60</v>
      </c>
      <c r="B2163" t="s">
        <v>38</v>
      </c>
      <c r="C2163" t="str">
        <f t="shared" si="66"/>
        <v>TennesseeMcNeese St.</v>
      </c>
      <c r="D2163" t="s">
        <v>60</v>
      </c>
      <c r="E2163">
        <v>95</v>
      </c>
      <c r="F2163" s="1">
        <v>-19.286792452830198</v>
      </c>
      <c r="G2163" s="2">
        <v>-1895.6966771616701</v>
      </c>
      <c r="H2163" s="1">
        <v>139.692388239152</v>
      </c>
      <c r="I2163" s="1">
        <f t="shared" si="67"/>
        <v>151.62129419666098</v>
      </c>
    </row>
    <row r="2164" spans="1:9" x14ac:dyDescent="0.45">
      <c r="A2164" t="s">
        <v>61</v>
      </c>
      <c r="B2164" t="s">
        <v>38</v>
      </c>
      <c r="C2164" t="str">
        <f t="shared" si="66"/>
        <v>TexasMcNeese St.</v>
      </c>
      <c r="D2164" t="s">
        <v>38</v>
      </c>
      <c r="E2164">
        <v>43.1</v>
      </c>
      <c r="F2164" s="1">
        <v>1.8113207547169801</v>
      </c>
      <c r="G2164" s="2">
        <v>131.788032635371</v>
      </c>
      <c r="H2164" s="1">
        <v>137.39227006678999</v>
      </c>
      <c r="I2164" s="1">
        <f t="shared" si="67"/>
        <v>119.32368899449723</v>
      </c>
    </row>
    <row r="2165" spans="1:9" x14ac:dyDescent="0.45">
      <c r="A2165" t="s">
        <v>62</v>
      </c>
      <c r="B2165" t="s">
        <v>38</v>
      </c>
      <c r="C2165" t="str">
        <f t="shared" si="66"/>
        <v>Texas A&amp;MMcNeese St.</v>
      </c>
      <c r="D2165" t="s">
        <v>62</v>
      </c>
      <c r="E2165">
        <v>81.2</v>
      </c>
      <c r="F2165" s="1">
        <v>-9.5924528301886802</v>
      </c>
      <c r="G2165" s="2">
        <v>-431.99458636857401</v>
      </c>
      <c r="H2165" s="1">
        <v>138.17924537618799</v>
      </c>
      <c r="I2165" s="1">
        <f t="shared" si="67"/>
        <v>130.37417246625992</v>
      </c>
    </row>
    <row r="2166" spans="1:9" x14ac:dyDescent="0.45">
      <c r="A2166" t="s">
        <v>63</v>
      </c>
      <c r="B2166" t="s">
        <v>38</v>
      </c>
      <c r="C2166" t="str">
        <f t="shared" si="66"/>
        <v>Texas TechMcNeese St.</v>
      </c>
      <c r="D2166" t="s">
        <v>63</v>
      </c>
      <c r="E2166">
        <v>89.3</v>
      </c>
      <c r="F2166" s="1">
        <v>-13.9245283018868</v>
      </c>
      <c r="G2166" s="2">
        <v>-836.74619453768696</v>
      </c>
      <c r="H2166" s="1">
        <v>139.16975798142701</v>
      </c>
      <c r="I2166" s="1">
        <f t="shared" si="67"/>
        <v>144.28266875839807</v>
      </c>
    </row>
    <row r="2167" spans="1:9" x14ac:dyDescent="0.45">
      <c r="A2167" t="s">
        <v>64</v>
      </c>
      <c r="B2167" t="s">
        <v>38</v>
      </c>
      <c r="C2167" t="str">
        <f t="shared" si="66"/>
        <v>TroyMcNeese St.</v>
      </c>
      <c r="D2167" t="s">
        <v>38</v>
      </c>
      <c r="E2167">
        <v>10.7</v>
      </c>
      <c r="F2167" s="1">
        <v>13.8830188679245</v>
      </c>
      <c r="G2167" s="2">
        <v>831.28035653325196</v>
      </c>
      <c r="H2167" s="1">
        <v>137.936062575986</v>
      </c>
      <c r="I2167" s="1">
        <f t="shared" si="67"/>
        <v>126.95946874918303</v>
      </c>
    </row>
    <row r="2168" spans="1:9" x14ac:dyDescent="0.45">
      <c r="A2168" t="s">
        <v>65</v>
      </c>
      <c r="B2168" t="s">
        <v>38</v>
      </c>
      <c r="C2168" t="str">
        <f t="shared" si="66"/>
        <v>UC San DiegoMcNeese St.</v>
      </c>
      <c r="D2168" t="s">
        <v>38</v>
      </c>
      <c r="E2168">
        <v>23.6</v>
      </c>
      <c r="F2168" s="1">
        <v>7.7018867924528296</v>
      </c>
      <c r="G2168" s="2">
        <v>323.75732685198301</v>
      </c>
      <c r="H2168" s="1">
        <v>138.00618280564899</v>
      </c>
      <c r="I2168" s="1">
        <f t="shared" si="67"/>
        <v>127.9440770712914</v>
      </c>
    </row>
    <row r="2169" spans="1:9" x14ac:dyDescent="0.45">
      <c r="A2169" t="s">
        <v>66</v>
      </c>
      <c r="B2169" t="s">
        <v>38</v>
      </c>
      <c r="C2169" t="str">
        <f t="shared" si="66"/>
        <v>UCLAMcNeese St.</v>
      </c>
      <c r="D2169" t="s">
        <v>66</v>
      </c>
      <c r="E2169">
        <v>51.5</v>
      </c>
      <c r="F2169" s="1">
        <v>-0.4</v>
      </c>
      <c r="G2169" s="2">
        <v>-106.284967966035</v>
      </c>
      <c r="H2169" s="1">
        <v>137.22744138486101</v>
      </c>
      <c r="I2169" s="1">
        <f t="shared" si="67"/>
        <v>117.0092115215992</v>
      </c>
    </row>
    <row r="2170" spans="1:9" x14ac:dyDescent="0.45">
      <c r="A2170" t="s">
        <v>67</v>
      </c>
      <c r="B2170" t="s">
        <v>38</v>
      </c>
      <c r="C2170" t="str">
        <f t="shared" si="66"/>
        <v>UNC WilmingtonMcNeese St.</v>
      </c>
      <c r="D2170" t="s">
        <v>38</v>
      </c>
      <c r="E2170">
        <v>15.2</v>
      </c>
      <c r="F2170" s="1">
        <v>11.2943396226415</v>
      </c>
      <c r="G2170" s="2">
        <v>559.99299638980301</v>
      </c>
      <c r="H2170" s="1">
        <v>138.542851276314</v>
      </c>
      <c r="I2170" s="1">
        <f t="shared" si="67"/>
        <v>135.47982310306503</v>
      </c>
    </row>
    <row r="2171" spans="1:9" x14ac:dyDescent="0.45">
      <c r="A2171" t="s">
        <v>68</v>
      </c>
      <c r="B2171" t="s">
        <v>38</v>
      </c>
      <c r="C2171" t="str">
        <f t="shared" si="66"/>
        <v>Utah St.McNeese St.</v>
      </c>
      <c r="D2171" t="s">
        <v>68</v>
      </c>
      <c r="E2171">
        <v>50.1</v>
      </c>
      <c r="F2171" s="1">
        <v>-3.3962264150943403E-2</v>
      </c>
      <c r="G2171" s="2">
        <v>-100.520720517687</v>
      </c>
      <c r="H2171" s="1">
        <v>138.09003777489301</v>
      </c>
      <c r="I2171" s="1">
        <f t="shared" si="67"/>
        <v>129.12154470031396</v>
      </c>
    </row>
    <row r="2172" spans="1:9" x14ac:dyDescent="0.45">
      <c r="A2172" t="s">
        <v>69</v>
      </c>
      <c r="B2172" t="s">
        <v>38</v>
      </c>
      <c r="C2172" t="str">
        <f t="shared" si="66"/>
        <v>VanderbiltMcNeese St.</v>
      </c>
      <c r="D2172" t="s">
        <v>38</v>
      </c>
      <c r="E2172">
        <v>16.5</v>
      </c>
      <c r="F2172" s="1">
        <v>10.615094339622599</v>
      </c>
      <c r="G2172" s="2">
        <v>504.85117999103699</v>
      </c>
      <c r="H2172" s="1">
        <v>136.524075656176</v>
      </c>
      <c r="I2172" s="1">
        <f t="shared" si="67"/>
        <v>107.13275000289707</v>
      </c>
    </row>
    <row r="2173" spans="1:9" x14ac:dyDescent="0.45">
      <c r="A2173" t="s">
        <v>70</v>
      </c>
      <c r="B2173" t="s">
        <v>38</v>
      </c>
      <c r="C2173" t="str">
        <f t="shared" si="66"/>
        <v>VCUMcNeese St.</v>
      </c>
      <c r="D2173" t="s">
        <v>38</v>
      </c>
      <c r="E2173">
        <v>38.9</v>
      </c>
      <c r="F2173" s="1">
        <v>2.9698113207547201</v>
      </c>
      <c r="G2173" s="2">
        <v>157.26845695780801</v>
      </c>
      <c r="H2173" s="1">
        <v>138.44924878536901</v>
      </c>
      <c r="I2173" s="1">
        <f t="shared" si="67"/>
        <v>134.1654835465996</v>
      </c>
    </row>
    <row r="2174" spans="1:9" x14ac:dyDescent="0.45">
      <c r="A2174" t="s">
        <v>71</v>
      </c>
      <c r="B2174" t="s">
        <v>38</v>
      </c>
      <c r="C2174" t="str">
        <f t="shared" si="66"/>
        <v>WisconsinMcNeese St.</v>
      </c>
      <c r="D2174" t="s">
        <v>71</v>
      </c>
      <c r="E2174">
        <v>87.9</v>
      </c>
      <c r="F2174" s="1">
        <v>-12.9849056603774</v>
      </c>
      <c r="G2174" s="2">
        <v>-724.84310668933199</v>
      </c>
      <c r="H2174" s="1">
        <v>139.1025043937</v>
      </c>
      <c r="I2174" s="1">
        <f t="shared" si="67"/>
        <v>143.3383130070562</v>
      </c>
    </row>
    <row r="2175" spans="1:9" x14ac:dyDescent="0.45">
      <c r="A2175" t="s">
        <v>80</v>
      </c>
      <c r="B2175" t="s">
        <v>38</v>
      </c>
      <c r="C2175" t="str">
        <f t="shared" si="66"/>
        <v>WoffordMcNeese St.</v>
      </c>
      <c r="D2175" t="s">
        <v>38</v>
      </c>
      <c r="E2175">
        <v>5.9</v>
      </c>
      <c r="F2175" s="1">
        <v>18.188679245283002</v>
      </c>
      <c r="G2175" s="2">
        <v>1603.4007057844401</v>
      </c>
      <c r="H2175" s="1">
        <v>137.20015282292701</v>
      </c>
      <c r="I2175" s="1">
        <f t="shared" si="67"/>
        <v>116.62603329603262</v>
      </c>
    </row>
    <row r="2176" spans="1:9" x14ac:dyDescent="0.45">
      <c r="A2176" t="s">
        <v>72</v>
      </c>
      <c r="B2176" t="s">
        <v>38</v>
      </c>
      <c r="C2176" t="str">
        <f t="shared" si="66"/>
        <v>XavierMcNeese St.</v>
      </c>
      <c r="D2176" t="s">
        <v>38</v>
      </c>
      <c r="E2176">
        <v>38.6</v>
      </c>
      <c r="F2176" s="1">
        <v>3.0415094339622599</v>
      </c>
      <c r="G2176" s="2">
        <v>159.03313166199499</v>
      </c>
      <c r="H2176" s="1">
        <v>137.94295499354899</v>
      </c>
      <c r="I2176" s="1">
        <f t="shared" si="67"/>
        <v>127.05625011633752</v>
      </c>
    </row>
    <row r="2177" spans="1:9" x14ac:dyDescent="0.45">
      <c r="A2177" t="s">
        <v>73</v>
      </c>
      <c r="B2177" t="s">
        <v>38</v>
      </c>
      <c r="C2177" t="str">
        <f t="shared" si="66"/>
        <v>YaleMcNeese St.</v>
      </c>
      <c r="D2177" t="s">
        <v>38</v>
      </c>
      <c r="E2177">
        <v>24.7</v>
      </c>
      <c r="F2177" s="1">
        <v>7.2905660377358501</v>
      </c>
      <c r="G2177" s="2">
        <v>304.111681520584</v>
      </c>
      <c r="H2177" s="1">
        <v>138.54266112994301</v>
      </c>
      <c r="I2177" s="1">
        <f t="shared" si="67"/>
        <v>135.47715312180301</v>
      </c>
    </row>
    <row r="2178" spans="1:9" x14ac:dyDescent="0.45">
      <c r="A2178" t="s">
        <v>7</v>
      </c>
      <c r="B2178" t="s">
        <v>39</v>
      </c>
      <c r="C2178" t="str">
        <f t="shared" si="66"/>
        <v>AkronMemphis</v>
      </c>
      <c r="D2178" t="s">
        <v>39</v>
      </c>
      <c r="E2178">
        <v>6.6</v>
      </c>
      <c r="F2178" s="1">
        <v>17.332075471698101</v>
      </c>
      <c r="G2178" s="2">
        <v>1406.6186028357999</v>
      </c>
      <c r="H2178" s="1">
        <v>138.82520636399701</v>
      </c>
      <c r="I2178" s="1">
        <f t="shared" si="67"/>
        <v>139.44457294000213</v>
      </c>
    </row>
    <row r="2179" spans="1:9" x14ac:dyDescent="0.45">
      <c r="A2179" t="s">
        <v>8</v>
      </c>
      <c r="B2179" t="s">
        <v>39</v>
      </c>
      <c r="C2179" t="str">
        <f t="shared" ref="C2179:C2242" si="68">A2179&amp;B2179</f>
        <v>AlabamaMemphis</v>
      </c>
      <c r="D2179" t="s">
        <v>8</v>
      </c>
      <c r="E2179">
        <v>84.3</v>
      </c>
      <c r="F2179" s="1">
        <v>-11.0075471698113</v>
      </c>
      <c r="G2179" s="2">
        <v>-536.23400066960301</v>
      </c>
      <c r="H2179" s="1">
        <v>140.63281755159201</v>
      </c>
      <c r="I2179" s="1">
        <f t="shared" ref="I2179:I2242" si="69">18*(H2179-AVERAGE($H$2:$H$4625))/_xlfn.STDEV.P($H$2:$H$4625)+AVERAGE($H$2:$H$4625)</f>
        <v>164.82653513545117</v>
      </c>
    </row>
    <row r="2180" spans="1:9" x14ac:dyDescent="0.45">
      <c r="A2180" t="s">
        <v>9</v>
      </c>
      <c r="B2180" t="s">
        <v>39</v>
      </c>
      <c r="C2180" t="str">
        <f t="shared" si="68"/>
        <v>Alabama St.Memphis</v>
      </c>
      <c r="D2180" t="s">
        <v>39</v>
      </c>
      <c r="E2180">
        <v>1.1000000000000001</v>
      </c>
      <c r="F2180" s="1">
        <v>29.649056603773602</v>
      </c>
      <c r="G2180" s="2">
        <v>9210.1366598227596</v>
      </c>
      <c r="H2180" s="1">
        <v>139.011968123418</v>
      </c>
      <c r="I2180" s="1">
        <f t="shared" si="69"/>
        <v>142.06702844907988</v>
      </c>
    </row>
    <row r="2181" spans="1:9" x14ac:dyDescent="0.45">
      <c r="A2181" t="s">
        <v>10</v>
      </c>
      <c r="B2181" t="s">
        <v>39</v>
      </c>
      <c r="C2181" t="str">
        <f t="shared" si="68"/>
        <v>AmericanMemphis</v>
      </c>
      <c r="D2181" t="s">
        <v>39</v>
      </c>
      <c r="E2181">
        <v>1.2</v>
      </c>
      <c r="F2181" s="1">
        <v>28.890566037735901</v>
      </c>
      <c r="G2181" s="2">
        <v>8205.7787720325196</v>
      </c>
      <c r="H2181" s="1">
        <v>138.77525764318</v>
      </c>
      <c r="I2181" s="1">
        <f t="shared" si="69"/>
        <v>138.74320720815177</v>
      </c>
    </row>
    <row r="2182" spans="1:9" x14ac:dyDescent="0.45">
      <c r="A2182" t="s">
        <v>11</v>
      </c>
      <c r="B2182" t="s">
        <v>39</v>
      </c>
      <c r="C2182" t="str">
        <f t="shared" si="68"/>
        <v>ArizonaMemphis</v>
      </c>
      <c r="D2182" t="s">
        <v>11</v>
      </c>
      <c r="E2182">
        <v>77.900000000000006</v>
      </c>
      <c r="F2182" s="1">
        <v>-8.2528301886792406</v>
      </c>
      <c r="G2182" s="2">
        <v>-352.20876926107502</v>
      </c>
      <c r="H2182" s="1">
        <v>140.24329689176901</v>
      </c>
      <c r="I2182" s="1">
        <f t="shared" si="69"/>
        <v>159.35699681336979</v>
      </c>
    </row>
    <row r="2183" spans="1:9" x14ac:dyDescent="0.45">
      <c r="A2183" t="s">
        <v>12</v>
      </c>
      <c r="B2183" t="s">
        <v>39</v>
      </c>
      <c r="C2183" t="str">
        <f t="shared" si="68"/>
        <v>ArkansasMemphis</v>
      </c>
      <c r="D2183" t="s">
        <v>39</v>
      </c>
      <c r="E2183">
        <v>18.7</v>
      </c>
      <c r="F2183" s="1">
        <v>9.6452830188679304</v>
      </c>
      <c r="G2183" s="2">
        <v>435.61160311258101</v>
      </c>
      <c r="H2183" s="1">
        <v>138.569220869558</v>
      </c>
      <c r="I2183" s="1">
        <f t="shared" si="69"/>
        <v>135.85009743164952</v>
      </c>
    </row>
    <row r="2184" spans="1:9" x14ac:dyDescent="0.45">
      <c r="A2184" t="s">
        <v>13</v>
      </c>
      <c r="B2184" t="s">
        <v>39</v>
      </c>
      <c r="C2184" t="str">
        <f t="shared" si="68"/>
        <v>AuburnMemphis</v>
      </c>
      <c r="D2184" t="s">
        <v>13</v>
      </c>
      <c r="E2184">
        <v>91.3</v>
      </c>
      <c r="F2184" s="1">
        <v>-15.449056603773601</v>
      </c>
      <c r="G2184" s="2">
        <v>-1055.51612093521</v>
      </c>
      <c r="H2184" s="1">
        <v>141.655033784945</v>
      </c>
      <c r="I2184" s="1">
        <f t="shared" si="69"/>
        <v>179.18020475677085</v>
      </c>
    </row>
    <row r="2185" spans="1:9" x14ac:dyDescent="0.45">
      <c r="A2185" t="s">
        <v>14</v>
      </c>
      <c r="B2185" t="s">
        <v>39</v>
      </c>
      <c r="C2185" t="str">
        <f t="shared" si="68"/>
        <v>BaylorMemphis</v>
      </c>
      <c r="D2185" t="s">
        <v>14</v>
      </c>
      <c r="E2185">
        <v>51.5</v>
      </c>
      <c r="F2185" s="1">
        <v>-0.4</v>
      </c>
      <c r="G2185" s="2">
        <v>-106.292511126523</v>
      </c>
      <c r="H2185" s="1">
        <v>140.11795114612499</v>
      </c>
      <c r="I2185" s="1">
        <f t="shared" si="69"/>
        <v>157.5969275024857</v>
      </c>
    </row>
    <row r="2186" spans="1:9" x14ac:dyDescent="0.45">
      <c r="A2186" t="s">
        <v>15</v>
      </c>
      <c r="B2186" t="s">
        <v>39</v>
      </c>
      <c r="C2186" t="str">
        <f t="shared" si="68"/>
        <v>BryantMemphis</v>
      </c>
      <c r="D2186" t="s">
        <v>39</v>
      </c>
      <c r="E2186">
        <v>4.7</v>
      </c>
      <c r="F2186" s="1">
        <v>19.671698113207501</v>
      </c>
      <c r="G2186" s="2">
        <v>2010.0605665389401</v>
      </c>
      <c r="H2186" s="1">
        <v>139.71027102177101</v>
      </c>
      <c r="I2186" s="1">
        <f t="shared" si="69"/>
        <v>151.87239914417412</v>
      </c>
    </row>
    <row r="2187" spans="1:9" x14ac:dyDescent="0.45">
      <c r="A2187" t="s">
        <v>16</v>
      </c>
      <c r="B2187" t="s">
        <v>39</v>
      </c>
      <c r="C2187" t="str">
        <f t="shared" si="68"/>
        <v>BYUMemphis</v>
      </c>
      <c r="D2187" t="s">
        <v>16</v>
      </c>
      <c r="E2187">
        <v>55.7</v>
      </c>
      <c r="F2187" s="1">
        <v>-1.49433962264151</v>
      </c>
      <c r="G2187" s="2">
        <v>-125.606585339489</v>
      </c>
      <c r="H2187" s="1">
        <v>139.88031169621399</v>
      </c>
      <c r="I2187" s="1">
        <f t="shared" si="69"/>
        <v>154.26006193361661</v>
      </c>
    </row>
    <row r="2188" spans="1:9" x14ac:dyDescent="0.45">
      <c r="A2188" t="s">
        <v>17</v>
      </c>
      <c r="B2188" t="s">
        <v>39</v>
      </c>
      <c r="C2188" t="str">
        <f t="shared" si="68"/>
        <v>ClemsonMemphis</v>
      </c>
      <c r="D2188" t="s">
        <v>17</v>
      </c>
      <c r="E2188">
        <v>63.7</v>
      </c>
      <c r="F2188" s="1">
        <v>-3.6981132075471699</v>
      </c>
      <c r="G2188" s="2">
        <v>-175.81404869989601</v>
      </c>
      <c r="H2188" s="1">
        <v>140.230361918656</v>
      </c>
      <c r="I2188" s="1">
        <f t="shared" si="69"/>
        <v>159.17536759973879</v>
      </c>
    </row>
    <row r="2189" spans="1:9" x14ac:dyDescent="0.45">
      <c r="A2189" t="s">
        <v>18</v>
      </c>
      <c r="B2189" t="s">
        <v>39</v>
      </c>
      <c r="C2189" t="str">
        <f t="shared" si="68"/>
        <v>Colorado St.Memphis</v>
      </c>
      <c r="D2189" t="s">
        <v>39</v>
      </c>
      <c r="E2189">
        <v>22.6</v>
      </c>
      <c r="F2189" s="1">
        <v>8.0830188679245296</v>
      </c>
      <c r="G2189" s="2">
        <v>343.17079580199902</v>
      </c>
      <c r="H2189" s="1">
        <v>139.61997289345101</v>
      </c>
      <c r="I2189" s="1">
        <f t="shared" si="69"/>
        <v>150.60445850789853</v>
      </c>
    </row>
    <row r="2190" spans="1:9" x14ac:dyDescent="0.45">
      <c r="A2190" t="s">
        <v>19</v>
      </c>
      <c r="B2190" t="s">
        <v>39</v>
      </c>
      <c r="C2190" t="str">
        <f t="shared" si="68"/>
        <v>ConnecticutMemphis</v>
      </c>
      <c r="D2190" t="s">
        <v>19</v>
      </c>
      <c r="E2190">
        <v>73.2</v>
      </c>
      <c r="F2190" s="1">
        <v>-6.5924528301886802</v>
      </c>
      <c r="G2190" s="2">
        <v>-273.36310796435998</v>
      </c>
      <c r="H2190" s="1">
        <v>140.03061274940501</v>
      </c>
      <c r="I2190" s="1">
        <f t="shared" si="69"/>
        <v>156.37054657556345</v>
      </c>
    </row>
    <row r="2191" spans="1:9" x14ac:dyDescent="0.45">
      <c r="A2191" t="s">
        <v>20</v>
      </c>
      <c r="B2191" t="s">
        <v>39</v>
      </c>
      <c r="C2191" t="str">
        <f t="shared" si="68"/>
        <v>CreightonMemphis</v>
      </c>
      <c r="D2191" t="s">
        <v>39</v>
      </c>
      <c r="E2191">
        <v>45.8</v>
      </c>
      <c r="F2191" s="1">
        <v>1.1169811320754699</v>
      </c>
      <c r="G2191" s="2">
        <v>118.54759737122301</v>
      </c>
      <c r="H2191" s="1">
        <v>139.579909502243</v>
      </c>
      <c r="I2191" s="1">
        <f t="shared" si="69"/>
        <v>150.04189976294182</v>
      </c>
    </row>
    <row r="2192" spans="1:9" x14ac:dyDescent="0.45">
      <c r="A2192" t="s">
        <v>21</v>
      </c>
      <c r="B2192" t="s">
        <v>39</v>
      </c>
      <c r="C2192" t="str">
        <f t="shared" si="68"/>
        <v>DrakeMemphis</v>
      </c>
      <c r="D2192" t="s">
        <v>39</v>
      </c>
      <c r="E2192">
        <v>22</v>
      </c>
      <c r="F2192" s="1">
        <v>8.2867924528301895</v>
      </c>
      <c r="G2192" s="2">
        <v>354.06292259670198</v>
      </c>
      <c r="H2192" s="1">
        <v>139.81458530791801</v>
      </c>
      <c r="I2192" s="1">
        <f t="shared" si="69"/>
        <v>153.33715068233602</v>
      </c>
    </row>
    <row r="2193" spans="1:9" x14ac:dyDescent="0.45">
      <c r="A2193" t="s">
        <v>22</v>
      </c>
      <c r="B2193" t="s">
        <v>39</v>
      </c>
      <c r="C2193" t="str">
        <f t="shared" si="68"/>
        <v>DukeMemphis</v>
      </c>
      <c r="D2193" t="s">
        <v>22</v>
      </c>
      <c r="E2193">
        <v>93.7</v>
      </c>
      <c r="F2193" s="1">
        <v>-17.664150943396201</v>
      </c>
      <c r="G2193" s="2">
        <v>-1479.6942155893801</v>
      </c>
      <c r="H2193" s="1">
        <v>141.894925196521</v>
      </c>
      <c r="I2193" s="1">
        <f t="shared" si="69"/>
        <v>182.5486917308618</v>
      </c>
    </row>
    <row r="2194" spans="1:9" x14ac:dyDescent="0.45">
      <c r="A2194" t="s">
        <v>23</v>
      </c>
      <c r="B2194" t="s">
        <v>39</v>
      </c>
      <c r="C2194" t="str">
        <f t="shared" si="68"/>
        <v>FloridaMemphis</v>
      </c>
      <c r="D2194" t="s">
        <v>23</v>
      </c>
      <c r="E2194">
        <v>89.1</v>
      </c>
      <c r="F2194" s="1">
        <v>-13.807547169811301</v>
      </c>
      <c r="G2194" s="2">
        <v>-821.561002021695</v>
      </c>
      <c r="H2194" s="1">
        <v>141.62957572407501</v>
      </c>
      <c r="I2194" s="1">
        <f t="shared" si="69"/>
        <v>178.82272990653419</v>
      </c>
    </row>
    <row r="2195" spans="1:9" x14ac:dyDescent="0.45">
      <c r="A2195" t="s">
        <v>24</v>
      </c>
      <c r="B2195" t="s">
        <v>39</v>
      </c>
      <c r="C2195" t="str">
        <f t="shared" si="68"/>
        <v>GeorgiaMemphis</v>
      </c>
      <c r="D2195" t="s">
        <v>39</v>
      </c>
      <c r="E2195">
        <v>24.8</v>
      </c>
      <c r="F2195" s="1">
        <v>7.25660377358491</v>
      </c>
      <c r="G2195" s="2">
        <v>302.46540038825901</v>
      </c>
      <c r="H2195" s="1">
        <v>138.89353402035999</v>
      </c>
      <c r="I2195" s="1">
        <f t="shared" si="69"/>
        <v>140.40401045765563</v>
      </c>
    </row>
    <row r="2196" spans="1:9" x14ac:dyDescent="0.45">
      <c r="A2196" t="s">
        <v>25</v>
      </c>
      <c r="B2196" t="s">
        <v>39</v>
      </c>
      <c r="C2196" t="str">
        <f t="shared" si="68"/>
        <v>GonzagaMemphis</v>
      </c>
      <c r="D2196" t="s">
        <v>25</v>
      </c>
      <c r="E2196">
        <v>62.6</v>
      </c>
      <c r="F2196" s="1">
        <v>-3.3735849056603802</v>
      </c>
      <c r="G2196" s="2">
        <v>-167.325888822694</v>
      </c>
      <c r="H2196" s="1">
        <v>140.87049575086601</v>
      </c>
      <c r="I2196" s="1">
        <f t="shared" si="69"/>
        <v>168.16394481185483</v>
      </c>
    </row>
    <row r="2197" spans="1:9" x14ac:dyDescent="0.45">
      <c r="A2197" t="s">
        <v>26</v>
      </c>
      <c r="B2197" t="s">
        <v>39</v>
      </c>
      <c r="C2197" t="str">
        <f t="shared" si="68"/>
        <v>Grand CanyonMemphis</v>
      </c>
      <c r="D2197" t="s">
        <v>39</v>
      </c>
      <c r="E2197">
        <v>15.4</v>
      </c>
      <c r="F2197" s="1">
        <v>11.177358490566</v>
      </c>
      <c r="G2197" s="2">
        <v>550.067130600974</v>
      </c>
      <c r="H2197" s="1">
        <v>139.68846746840501</v>
      </c>
      <c r="I2197" s="1">
        <f t="shared" si="69"/>
        <v>151.566239848934</v>
      </c>
    </row>
    <row r="2198" spans="1:9" x14ac:dyDescent="0.45">
      <c r="A2198" t="s">
        <v>27</v>
      </c>
      <c r="B2198" t="s">
        <v>39</v>
      </c>
      <c r="C2198" t="str">
        <f t="shared" si="68"/>
        <v>High PointMemphis</v>
      </c>
      <c r="D2198" t="s">
        <v>39</v>
      </c>
      <c r="E2198">
        <v>10.199999999999999</v>
      </c>
      <c r="F2198" s="1">
        <v>14.264150943396199</v>
      </c>
      <c r="G2198" s="2">
        <v>881.24721110975497</v>
      </c>
      <c r="H2198" s="1">
        <v>139.87967460195301</v>
      </c>
      <c r="I2198" s="1">
        <f t="shared" si="69"/>
        <v>154.25111603719921</v>
      </c>
    </row>
    <row r="2199" spans="1:9" x14ac:dyDescent="0.45">
      <c r="A2199" t="s">
        <v>28</v>
      </c>
      <c r="B2199" t="s">
        <v>39</v>
      </c>
      <c r="C2199" t="str">
        <f t="shared" si="68"/>
        <v>HoustonMemphis</v>
      </c>
      <c r="D2199" t="s">
        <v>28</v>
      </c>
      <c r="E2199">
        <v>96.1</v>
      </c>
      <c r="F2199" s="1">
        <v>-21.018867924528301</v>
      </c>
      <c r="G2199" s="2">
        <v>-2468.3238332949099</v>
      </c>
      <c r="H2199" s="1">
        <v>141.993136959157</v>
      </c>
      <c r="I2199" s="1">
        <f t="shared" si="69"/>
        <v>183.92775336949435</v>
      </c>
    </row>
    <row r="2200" spans="1:9" x14ac:dyDescent="0.45">
      <c r="A2200" t="s">
        <v>29</v>
      </c>
      <c r="B2200" t="s">
        <v>39</v>
      </c>
      <c r="C2200" t="str">
        <f t="shared" si="68"/>
        <v>IllinoisMemphis</v>
      </c>
      <c r="D2200" t="s">
        <v>29</v>
      </c>
      <c r="E2200">
        <v>70.900000000000006</v>
      </c>
      <c r="F2200" s="1">
        <v>-5.8301886792452802</v>
      </c>
      <c r="G2200" s="2">
        <v>-243.326022307865</v>
      </c>
      <c r="H2200" s="1">
        <v>140.05160073411801</v>
      </c>
      <c r="I2200" s="1">
        <f t="shared" si="69"/>
        <v>156.6652538877332</v>
      </c>
    </row>
    <row r="2201" spans="1:9" x14ac:dyDescent="0.45">
      <c r="A2201" t="s">
        <v>30</v>
      </c>
      <c r="B2201" t="s">
        <v>39</v>
      </c>
      <c r="C2201" t="str">
        <f t="shared" si="68"/>
        <v>Iowa St.Memphis</v>
      </c>
      <c r="D2201" t="s">
        <v>30</v>
      </c>
      <c r="E2201">
        <v>83.6</v>
      </c>
      <c r="F2201" s="1">
        <v>-10.690566037735801</v>
      </c>
      <c r="G2201" s="2">
        <v>-510.79262244500001</v>
      </c>
      <c r="H2201" s="1">
        <v>140.94814302570401</v>
      </c>
      <c r="I2201" s="1">
        <f t="shared" si="69"/>
        <v>169.25424576155183</v>
      </c>
    </row>
    <row r="2202" spans="1:9" x14ac:dyDescent="0.45">
      <c r="A2202" t="s">
        <v>31</v>
      </c>
      <c r="B2202" t="s">
        <v>39</v>
      </c>
      <c r="C2202" t="str">
        <f t="shared" si="68"/>
        <v>KansasMemphis</v>
      </c>
      <c r="D2202" t="s">
        <v>31</v>
      </c>
      <c r="E2202">
        <v>61.2</v>
      </c>
      <c r="F2202" s="1">
        <v>-2.9735849056603798</v>
      </c>
      <c r="G2202" s="2">
        <v>-157.414117929507</v>
      </c>
      <c r="H2202" s="1">
        <v>139.998730914558</v>
      </c>
      <c r="I2202" s="1">
        <f t="shared" si="69"/>
        <v>155.92287091812017</v>
      </c>
    </row>
    <row r="2203" spans="1:9" x14ac:dyDescent="0.45">
      <c r="A2203" t="s">
        <v>32</v>
      </c>
      <c r="B2203" t="s">
        <v>39</v>
      </c>
      <c r="C2203" t="str">
        <f t="shared" si="68"/>
        <v>KentuckyMemphis</v>
      </c>
      <c r="D2203" t="s">
        <v>32</v>
      </c>
      <c r="E2203">
        <v>72.5</v>
      </c>
      <c r="F2203" s="1">
        <v>-6.3396226415094299</v>
      </c>
      <c r="G2203" s="2">
        <v>-262.98417936067398</v>
      </c>
      <c r="H2203" s="1">
        <v>139.933013246684</v>
      </c>
      <c r="I2203" s="1">
        <f t="shared" si="69"/>
        <v>155.00008211652494</v>
      </c>
    </row>
    <row r="2204" spans="1:9" x14ac:dyDescent="0.45">
      <c r="A2204" t="s">
        <v>33</v>
      </c>
      <c r="B2204" t="s">
        <v>39</v>
      </c>
      <c r="C2204" t="str">
        <f t="shared" si="68"/>
        <v>LibertyMemphis</v>
      </c>
      <c r="D2204" t="s">
        <v>39</v>
      </c>
      <c r="E2204">
        <v>7.3</v>
      </c>
      <c r="F2204" s="1">
        <v>16.649056603773602</v>
      </c>
      <c r="G2204" s="2">
        <v>1267.3550276022199</v>
      </c>
      <c r="H2204" s="1">
        <v>139.27801429040099</v>
      </c>
      <c r="I2204" s="1">
        <f t="shared" si="69"/>
        <v>145.80277305994989</v>
      </c>
    </row>
    <row r="2205" spans="1:9" x14ac:dyDescent="0.45">
      <c r="A2205" t="s">
        <v>34</v>
      </c>
      <c r="B2205" t="s">
        <v>39</v>
      </c>
      <c r="C2205" t="str">
        <f t="shared" si="68"/>
        <v>LipscombMemphis</v>
      </c>
      <c r="D2205" t="s">
        <v>39</v>
      </c>
      <c r="E2205">
        <v>5.6</v>
      </c>
      <c r="F2205" s="1">
        <v>18.513207547169799</v>
      </c>
      <c r="G2205" s="2">
        <v>1684.59920976279</v>
      </c>
      <c r="H2205" s="1">
        <v>139.684332487993</v>
      </c>
      <c r="I2205" s="1">
        <f t="shared" si="69"/>
        <v>151.50817763001399</v>
      </c>
    </row>
    <row r="2206" spans="1:9" x14ac:dyDescent="0.45">
      <c r="A2206" t="s">
        <v>35</v>
      </c>
      <c r="B2206" t="s">
        <v>39</v>
      </c>
      <c r="C2206" t="str">
        <f t="shared" si="68"/>
        <v>LouisvilleMemphis</v>
      </c>
      <c r="D2206" t="s">
        <v>39</v>
      </c>
      <c r="E2206">
        <v>13</v>
      </c>
      <c r="F2206" s="1">
        <v>12.4641509433962</v>
      </c>
      <c r="G2206" s="2">
        <v>669.51260447757898</v>
      </c>
      <c r="H2206" s="1">
        <v>138.92969449380999</v>
      </c>
      <c r="I2206" s="1">
        <f t="shared" si="69"/>
        <v>140.91176554147899</v>
      </c>
    </row>
    <row r="2207" spans="1:9" x14ac:dyDescent="0.45">
      <c r="A2207" t="s">
        <v>36</v>
      </c>
      <c r="B2207" t="s">
        <v>39</v>
      </c>
      <c r="C2207" t="str">
        <f t="shared" si="68"/>
        <v>MarquetteMemphis</v>
      </c>
      <c r="D2207" t="s">
        <v>36</v>
      </c>
      <c r="E2207">
        <v>66.900000000000006</v>
      </c>
      <c r="F2207" s="1">
        <v>-4.6037735849056602</v>
      </c>
      <c r="G2207" s="2">
        <v>-201.82945144534099</v>
      </c>
      <c r="H2207" s="1">
        <v>140.19182833727299</v>
      </c>
      <c r="I2207" s="1">
        <f t="shared" si="69"/>
        <v>158.63429000925319</v>
      </c>
    </row>
    <row r="2208" spans="1:9" x14ac:dyDescent="0.45">
      <c r="A2208" t="s">
        <v>37</v>
      </c>
      <c r="B2208" t="s">
        <v>39</v>
      </c>
      <c r="C2208" t="str">
        <f t="shared" si="68"/>
        <v>MarylandMemphis</v>
      </c>
      <c r="D2208" t="s">
        <v>37</v>
      </c>
      <c r="E2208">
        <v>55.5</v>
      </c>
      <c r="F2208" s="1">
        <v>-1.4377358490565999</v>
      </c>
      <c r="G2208" s="2">
        <v>-124.49465560732401</v>
      </c>
      <c r="H2208" s="1">
        <v>139.65019793581499</v>
      </c>
      <c r="I2208" s="1">
        <f t="shared" si="69"/>
        <v>151.02886995650167</v>
      </c>
    </row>
    <row r="2209" spans="1:9" x14ac:dyDescent="0.45">
      <c r="A2209" t="s">
        <v>38</v>
      </c>
      <c r="B2209" t="s">
        <v>39</v>
      </c>
      <c r="C2209" t="str">
        <f t="shared" si="68"/>
        <v>McNeese St.Memphis</v>
      </c>
      <c r="D2209" t="s">
        <v>39</v>
      </c>
      <c r="E2209">
        <v>22.5</v>
      </c>
      <c r="F2209" s="1">
        <v>8.1056603773584897</v>
      </c>
      <c r="G2209" s="2">
        <v>344.28568488507699</v>
      </c>
      <c r="H2209" s="1">
        <v>140.24343334878</v>
      </c>
      <c r="I2209" s="1">
        <f t="shared" si="69"/>
        <v>159.35891290390859</v>
      </c>
    </row>
    <row r="2210" spans="1:9" x14ac:dyDescent="0.45">
      <c r="A2210" t="s">
        <v>39</v>
      </c>
      <c r="B2210" t="s">
        <v>39</v>
      </c>
      <c r="C2210" t="str">
        <f t="shared" si="68"/>
        <v>MemphisMemphis</v>
      </c>
      <c r="D2210" t="s">
        <v>39</v>
      </c>
      <c r="E2210">
        <v>41.2</v>
      </c>
      <c r="F2210" s="1">
        <v>2.3283018867924499</v>
      </c>
      <c r="G2210" s="2">
        <v>142.64273539779199</v>
      </c>
      <c r="H2210" s="1">
        <v>138.77771517530499</v>
      </c>
      <c r="I2210" s="1">
        <f t="shared" si="69"/>
        <v>138.77771517530684</v>
      </c>
    </row>
    <row r="2211" spans="1:9" x14ac:dyDescent="0.45">
      <c r="A2211" t="s">
        <v>40</v>
      </c>
      <c r="B2211" t="s">
        <v>39</v>
      </c>
      <c r="C2211" t="str">
        <f t="shared" si="68"/>
        <v>MichiganMemphis</v>
      </c>
      <c r="D2211" t="s">
        <v>39</v>
      </c>
      <c r="E2211">
        <v>25.7</v>
      </c>
      <c r="F2211" s="1">
        <v>6.9547169811320799</v>
      </c>
      <c r="G2211" s="2">
        <v>288.83132511168299</v>
      </c>
      <c r="H2211" s="1">
        <v>138.34033647222199</v>
      </c>
      <c r="I2211" s="1">
        <f t="shared" si="69"/>
        <v>132.63616782102341</v>
      </c>
    </row>
    <row r="2212" spans="1:9" x14ac:dyDescent="0.45">
      <c r="A2212" t="s">
        <v>41</v>
      </c>
      <c r="B2212" t="s">
        <v>39</v>
      </c>
      <c r="C2212" t="str">
        <f t="shared" si="68"/>
        <v>Michigan St.Memphis</v>
      </c>
      <c r="D2212" t="s">
        <v>41</v>
      </c>
      <c r="E2212">
        <v>76.7</v>
      </c>
      <c r="F2212" s="1">
        <v>-7.7924528301886804</v>
      </c>
      <c r="G2212" s="2">
        <v>-328.33021321750601</v>
      </c>
      <c r="H2212" s="1">
        <v>139.98741618142901</v>
      </c>
      <c r="I2212" s="1">
        <f t="shared" si="69"/>
        <v>155.76399265353407</v>
      </c>
    </row>
    <row r="2213" spans="1:9" x14ac:dyDescent="0.45">
      <c r="A2213" t="s">
        <v>42</v>
      </c>
      <c r="B2213" t="s">
        <v>39</v>
      </c>
      <c r="C2213" t="str">
        <f t="shared" si="68"/>
        <v>MississippiMemphis</v>
      </c>
      <c r="D2213" t="s">
        <v>39</v>
      </c>
      <c r="E2213">
        <v>47.3</v>
      </c>
      <c r="F2213" s="1">
        <v>0.70188679245283003</v>
      </c>
      <c r="G2213" s="2">
        <v>111.316762360201</v>
      </c>
      <c r="H2213" s="1">
        <v>139.255107531318</v>
      </c>
      <c r="I2213" s="1">
        <f t="shared" si="69"/>
        <v>145.48112286379339</v>
      </c>
    </row>
    <row r="2214" spans="1:9" x14ac:dyDescent="0.45">
      <c r="A2214" t="s">
        <v>43</v>
      </c>
      <c r="B2214" t="s">
        <v>39</v>
      </c>
      <c r="C2214" t="str">
        <f t="shared" si="68"/>
        <v>Mississippi St.Memphis</v>
      </c>
      <c r="D2214" t="s">
        <v>39</v>
      </c>
      <c r="E2214">
        <v>40.9</v>
      </c>
      <c r="F2214" s="1">
        <v>2.4264150943396201</v>
      </c>
      <c r="G2214" s="2">
        <v>144.78977140751101</v>
      </c>
      <c r="H2214" s="1">
        <v>139.39485400399499</v>
      </c>
      <c r="I2214" s="1">
        <f t="shared" si="69"/>
        <v>147.44340308797922</v>
      </c>
    </row>
    <row r="2215" spans="1:9" x14ac:dyDescent="0.45">
      <c r="A2215" t="s">
        <v>44</v>
      </c>
      <c r="B2215" t="s">
        <v>39</v>
      </c>
      <c r="C2215" t="str">
        <f t="shared" si="68"/>
        <v>MissouriMemphis</v>
      </c>
      <c r="D2215" t="s">
        <v>39</v>
      </c>
      <c r="E2215">
        <v>24.5</v>
      </c>
      <c r="F2215" s="1">
        <v>7.35849056603774</v>
      </c>
      <c r="G2215" s="2">
        <v>307.33793175241698</v>
      </c>
      <c r="H2215" s="1">
        <v>138.812515902641</v>
      </c>
      <c r="I2215" s="1">
        <f t="shared" si="69"/>
        <v>139.26637709092148</v>
      </c>
    </row>
    <row r="2216" spans="1:9" x14ac:dyDescent="0.45">
      <c r="A2216" t="s">
        <v>45</v>
      </c>
      <c r="B2216" t="s">
        <v>39</v>
      </c>
      <c r="C2216" t="str">
        <f t="shared" si="68"/>
        <v>MontanaMemphis</v>
      </c>
      <c r="D2216" t="s">
        <v>39</v>
      </c>
      <c r="E2216">
        <v>2.8</v>
      </c>
      <c r="F2216" s="1">
        <v>23.166037735849098</v>
      </c>
      <c r="G2216" s="2">
        <v>3425.79922641232</v>
      </c>
      <c r="H2216" s="1">
        <v>137.94922746604701</v>
      </c>
      <c r="I2216" s="1">
        <f t="shared" si="69"/>
        <v>127.14432639120741</v>
      </c>
    </row>
    <row r="2217" spans="1:9" x14ac:dyDescent="0.45">
      <c r="A2217" t="s">
        <v>46</v>
      </c>
      <c r="B2217" t="s">
        <v>39</v>
      </c>
      <c r="C2217" t="str">
        <f t="shared" si="68"/>
        <v>Mount St. Mary'sMemphis</v>
      </c>
      <c r="D2217" t="s">
        <v>39</v>
      </c>
      <c r="E2217">
        <v>1.1000000000000001</v>
      </c>
      <c r="F2217" s="1">
        <v>29.501886792452801</v>
      </c>
      <c r="G2217" s="2">
        <v>9002.9750267003401</v>
      </c>
      <c r="H2217" s="1">
        <v>139.25251542019799</v>
      </c>
      <c r="I2217" s="1">
        <f t="shared" si="69"/>
        <v>145.44472517666577</v>
      </c>
    </row>
    <row r="2218" spans="1:9" x14ac:dyDescent="0.45">
      <c r="A2218" t="s">
        <v>47</v>
      </c>
      <c r="B2218" t="s">
        <v>39</v>
      </c>
      <c r="C2218" t="str">
        <f t="shared" si="68"/>
        <v>Nebraska OmahaMemphis</v>
      </c>
      <c r="D2218" t="s">
        <v>39</v>
      </c>
      <c r="E2218">
        <v>1.5</v>
      </c>
      <c r="F2218" s="1">
        <v>27.309433962264201</v>
      </c>
      <c r="G2218" s="2">
        <v>6445.8994121329497</v>
      </c>
      <c r="H2218" s="1">
        <v>138.67029155230099</v>
      </c>
      <c r="I2218" s="1">
        <f t="shared" si="69"/>
        <v>137.26930321332219</v>
      </c>
    </row>
    <row r="2219" spans="1:9" x14ac:dyDescent="0.45">
      <c r="A2219" t="s">
        <v>48</v>
      </c>
      <c r="B2219" t="s">
        <v>39</v>
      </c>
      <c r="C2219" t="str">
        <f t="shared" si="68"/>
        <v>New MexicoMemphis</v>
      </c>
      <c r="D2219" t="s">
        <v>39</v>
      </c>
      <c r="E2219">
        <v>27.1</v>
      </c>
      <c r="F2219" s="1">
        <v>6.4792452830188703</v>
      </c>
      <c r="G2219" s="2">
        <v>268.65834211773</v>
      </c>
      <c r="H2219" s="1">
        <v>139.440281484118</v>
      </c>
      <c r="I2219" s="1">
        <f t="shared" si="69"/>
        <v>148.08128284388559</v>
      </c>
    </row>
    <row r="2220" spans="1:9" x14ac:dyDescent="0.45">
      <c r="A2220" t="s">
        <v>49</v>
      </c>
      <c r="B2220" t="s">
        <v>39</v>
      </c>
      <c r="C2220" t="str">
        <f t="shared" si="68"/>
        <v>Norfolk St.Memphis</v>
      </c>
      <c r="D2220" t="s">
        <v>39</v>
      </c>
      <c r="E2220">
        <v>2.1</v>
      </c>
      <c r="F2220" s="1">
        <v>25.045283018867899</v>
      </c>
      <c r="G2220" s="2">
        <v>4562.7921706523402</v>
      </c>
      <c r="H2220" s="1">
        <v>138.47640724808201</v>
      </c>
      <c r="I2220" s="1">
        <f t="shared" si="69"/>
        <v>134.54683495590632</v>
      </c>
    </row>
    <row r="2221" spans="1:9" x14ac:dyDescent="0.45">
      <c r="A2221" t="s">
        <v>50</v>
      </c>
      <c r="B2221" t="s">
        <v>39</v>
      </c>
      <c r="C2221" t="str">
        <f t="shared" si="68"/>
        <v>North CarolinaMemphis</v>
      </c>
      <c r="D2221" t="s">
        <v>50</v>
      </c>
      <c r="E2221">
        <v>56</v>
      </c>
      <c r="F2221" s="1">
        <v>-1.5735849056603799</v>
      </c>
      <c r="G2221" s="2">
        <v>-127.10325547243799</v>
      </c>
      <c r="H2221" s="1">
        <v>140.55001320255201</v>
      </c>
      <c r="I2221" s="1">
        <f t="shared" si="69"/>
        <v>163.66382001652758</v>
      </c>
    </row>
    <row r="2222" spans="1:9" x14ac:dyDescent="0.45">
      <c r="A2222" t="s">
        <v>51</v>
      </c>
      <c r="B2222" t="s">
        <v>39</v>
      </c>
      <c r="C2222" t="str">
        <f t="shared" si="68"/>
        <v>OklahomaMemphis</v>
      </c>
      <c r="D2222" t="s">
        <v>39</v>
      </c>
      <c r="E2222">
        <v>30.8</v>
      </c>
      <c r="F2222" s="1">
        <v>5.3094339622641504</v>
      </c>
      <c r="G2222" s="2">
        <v>224.81254686759499</v>
      </c>
      <c r="H2222" s="1">
        <v>138.973636328726</v>
      </c>
      <c r="I2222" s="1">
        <f t="shared" si="69"/>
        <v>141.52878428991949</v>
      </c>
    </row>
    <row r="2223" spans="1:9" x14ac:dyDescent="0.45">
      <c r="A2223" t="s">
        <v>52</v>
      </c>
      <c r="B2223" t="s">
        <v>39</v>
      </c>
      <c r="C2223" t="str">
        <f t="shared" si="68"/>
        <v>OregonMemphis</v>
      </c>
      <c r="D2223" t="s">
        <v>52</v>
      </c>
      <c r="E2223">
        <v>55.5</v>
      </c>
      <c r="F2223" s="1">
        <v>-1.45660377358491</v>
      </c>
      <c r="G2223" s="2">
        <v>-124.86643142190201</v>
      </c>
      <c r="H2223" s="1">
        <v>139.264353720255</v>
      </c>
      <c r="I2223" s="1">
        <f t="shared" si="69"/>
        <v>145.61095521914805</v>
      </c>
    </row>
    <row r="2224" spans="1:9" x14ac:dyDescent="0.45">
      <c r="A2224" t="s">
        <v>53</v>
      </c>
      <c r="B2224" t="s">
        <v>39</v>
      </c>
      <c r="C2224" t="str">
        <f t="shared" si="68"/>
        <v>PurdueMemphis</v>
      </c>
      <c r="D2224" t="s">
        <v>53</v>
      </c>
      <c r="E2224">
        <v>87.6</v>
      </c>
      <c r="F2224" s="1">
        <v>-12.8264150943396</v>
      </c>
      <c r="G2224" s="2">
        <v>-707.693684664594</v>
      </c>
      <c r="H2224" s="1">
        <v>140.752440920053</v>
      </c>
      <c r="I2224" s="1">
        <f t="shared" si="69"/>
        <v>166.50625245342644</v>
      </c>
    </row>
    <row r="2225" spans="1:9" x14ac:dyDescent="0.45">
      <c r="A2225" t="s">
        <v>54</v>
      </c>
      <c r="B2225" t="s">
        <v>39</v>
      </c>
      <c r="C2225" t="str">
        <f t="shared" si="68"/>
        <v>Robert MorrisMemphis</v>
      </c>
      <c r="D2225" t="s">
        <v>39</v>
      </c>
      <c r="E2225">
        <v>0.9</v>
      </c>
      <c r="F2225" s="1">
        <v>31.060377358490602</v>
      </c>
      <c r="G2225" s="2">
        <v>11423.2473413074</v>
      </c>
      <c r="H2225" s="1">
        <v>137.83540624873999</v>
      </c>
      <c r="I2225" s="1">
        <f t="shared" si="69"/>
        <v>125.54608122955263</v>
      </c>
    </row>
    <row r="2226" spans="1:9" x14ac:dyDescent="0.45">
      <c r="A2226" t="s">
        <v>55</v>
      </c>
      <c r="B2226" t="s">
        <v>39</v>
      </c>
      <c r="C2226" t="str">
        <f t="shared" si="68"/>
        <v>Saint FrancisMemphis</v>
      </c>
      <c r="D2226" t="s">
        <v>39</v>
      </c>
      <c r="E2226">
        <v>0.5</v>
      </c>
      <c r="F2226" s="1">
        <v>34.422641509434001</v>
      </c>
      <c r="G2226" s="2">
        <v>19079.710241065699</v>
      </c>
      <c r="H2226" s="1">
        <v>138.54225413078399</v>
      </c>
      <c r="I2226" s="1">
        <f t="shared" si="69"/>
        <v>135.47143815536617</v>
      </c>
    </row>
    <row r="2227" spans="1:9" x14ac:dyDescent="0.45">
      <c r="A2227" t="s">
        <v>56</v>
      </c>
      <c r="B2227" t="s">
        <v>39</v>
      </c>
      <c r="C2227" t="str">
        <f t="shared" si="68"/>
        <v>Saint Mary'sMemphis</v>
      </c>
      <c r="D2227" t="s">
        <v>56</v>
      </c>
      <c r="E2227">
        <v>55</v>
      </c>
      <c r="F2227" s="1">
        <v>-1.3132075471698099</v>
      </c>
      <c r="G2227" s="2">
        <v>-122.149698693834</v>
      </c>
      <c r="H2227" s="1">
        <v>140.27146024672601</v>
      </c>
      <c r="I2227" s="1">
        <f t="shared" si="69"/>
        <v>159.75245863376639</v>
      </c>
    </row>
    <row r="2228" spans="1:9" x14ac:dyDescent="0.45">
      <c r="A2228" t="s">
        <v>57</v>
      </c>
      <c r="B2228" t="s">
        <v>39</v>
      </c>
      <c r="C2228" t="str">
        <f t="shared" si="68"/>
        <v>San Diego St.Memphis</v>
      </c>
      <c r="D2228" t="s">
        <v>39</v>
      </c>
      <c r="E2228">
        <v>27.5</v>
      </c>
      <c r="F2228" s="1">
        <v>6.3622641509433997</v>
      </c>
      <c r="G2228" s="2">
        <v>263.94118731961697</v>
      </c>
      <c r="H2228" s="1">
        <v>139.48615940975401</v>
      </c>
      <c r="I2228" s="1">
        <f t="shared" si="69"/>
        <v>148.72548762757475</v>
      </c>
    </row>
    <row r="2229" spans="1:9" x14ac:dyDescent="0.45">
      <c r="A2229" t="s">
        <v>58</v>
      </c>
      <c r="B2229" t="s">
        <v>39</v>
      </c>
      <c r="C2229" t="str">
        <f t="shared" si="68"/>
        <v>SIU EdwardsvilleMemphis</v>
      </c>
      <c r="D2229" t="s">
        <v>39</v>
      </c>
      <c r="E2229">
        <v>1.8</v>
      </c>
      <c r="F2229" s="1">
        <v>26.335849056603799</v>
      </c>
      <c r="G2229" s="2">
        <v>5556.32250379776</v>
      </c>
      <c r="H2229" s="1">
        <v>139.54541758993801</v>
      </c>
      <c r="I2229" s="1">
        <f t="shared" si="69"/>
        <v>149.55757414016301</v>
      </c>
    </row>
    <row r="2230" spans="1:9" x14ac:dyDescent="0.45">
      <c r="A2230" t="s">
        <v>59</v>
      </c>
      <c r="B2230" t="s">
        <v>39</v>
      </c>
      <c r="C2230" t="str">
        <f t="shared" si="68"/>
        <v>St. John'sMemphis</v>
      </c>
      <c r="D2230" t="s">
        <v>59</v>
      </c>
      <c r="E2230">
        <v>78</v>
      </c>
      <c r="F2230" s="1">
        <v>-8.2943396226415107</v>
      </c>
      <c r="G2230" s="2">
        <v>-354.43944623713202</v>
      </c>
      <c r="H2230" s="1">
        <v>140.36487403849199</v>
      </c>
      <c r="I2230" s="1">
        <f t="shared" si="69"/>
        <v>161.06414853002795</v>
      </c>
    </row>
    <row r="2231" spans="1:9" x14ac:dyDescent="0.45">
      <c r="A2231" t="s">
        <v>60</v>
      </c>
      <c r="B2231" t="s">
        <v>39</v>
      </c>
      <c r="C2231" t="str">
        <f t="shared" si="68"/>
        <v>TennesseeMemphis</v>
      </c>
      <c r="D2231" t="s">
        <v>60</v>
      </c>
      <c r="E2231">
        <v>88.7</v>
      </c>
      <c r="F2231" s="1">
        <v>-13.5094339622642</v>
      </c>
      <c r="G2231" s="2">
        <v>-785.415634126952</v>
      </c>
      <c r="H2231" s="1">
        <v>141.15810641262701</v>
      </c>
      <c r="I2231" s="1">
        <f t="shared" si="69"/>
        <v>172.20249192526273</v>
      </c>
    </row>
    <row r="2232" spans="1:9" x14ac:dyDescent="0.45">
      <c r="A2232" t="s">
        <v>61</v>
      </c>
      <c r="B2232" t="s">
        <v>39</v>
      </c>
      <c r="C2232" t="str">
        <f t="shared" si="68"/>
        <v>TexasMemphis</v>
      </c>
      <c r="D2232" t="s">
        <v>39</v>
      </c>
      <c r="E2232">
        <v>23.9</v>
      </c>
      <c r="F2232" s="1">
        <v>7.5849056603773599</v>
      </c>
      <c r="G2232" s="2">
        <v>318.08653240554702</v>
      </c>
      <c r="H2232" s="1">
        <v>138.857988240265</v>
      </c>
      <c r="I2232" s="1">
        <f t="shared" si="69"/>
        <v>139.90488672309897</v>
      </c>
    </row>
    <row r="2233" spans="1:9" x14ac:dyDescent="0.45">
      <c r="A2233" t="s">
        <v>62</v>
      </c>
      <c r="B2233" t="s">
        <v>39</v>
      </c>
      <c r="C2233" t="str">
        <f t="shared" si="68"/>
        <v>Texas A&amp;MMemphis</v>
      </c>
      <c r="D2233" t="s">
        <v>62</v>
      </c>
      <c r="E2233">
        <v>64.2</v>
      </c>
      <c r="F2233" s="1">
        <v>-3.81509433962264</v>
      </c>
      <c r="G2233" s="2">
        <v>-178.98185193851501</v>
      </c>
      <c r="H2233" s="1">
        <v>139.644963549663</v>
      </c>
      <c r="I2233" s="1">
        <f t="shared" si="69"/>
        <v>150.95537019486167</v>
      </c>
    </row>
    <row r="2234" spans="1:9" x14ac:dyDescent="0.45">
      <c r="A2234" t="s">
        <v>63</v>
      </c>
      <c r="B2234" t="s">
        <v>39</v>
      </c>
      <c r="C2234" t="str">
        <f t="shared" si="68"/>
        <v>Texas TechMemphis</v>
      </c>
      <c r="D2234" t="s">
        <v>63</v>
      </c>
      <c r="E2234">
        <v>77.599999999999994</v>
      </c>
      <c r="F2234" s="1">
        <v>-8.1509433962264204</v>
      </c>
      <c r="G2234" s="2">
        <v>-346.67652842548398</v>
      </c>
      <c r="H2234" s="1">
        <v>140.63547615490199</v>
      </c>
      <c r="I2234" s="1">
        <f t="shared" si="69"/>
        <v>164.8638664869994</v>
      </c>
    </row>
    <row r="2235" spans="1:9" x14ac:dyDescent="0.45">
      <c r="A2235" t="s">
        <v>64</v>
      </c>
      <c r="B2235" t="s">
        <v>39</v>
      </c>
      <c r="C2235" t="str">
        <f t="shared" si="68"/>
        <v>TroyMemphis</v>
      </c>
      <c r="D2235" t="s">
        <v>39</v>
      </c>
      <c r="E2235">
        <v>4.7</v>
      </c>
      <c r="F2235" s="1">
        <v>19.660377358490599</v>
      </c>
      <c r="G2235" s="2">
        <v>2006.39679323615</v>
      </c>
      <c r="H2235" s="1">
        <v>139.40178074946101</v>
      </c>
      <c r="I2235" s="1">
        <f t="shared" si="69"/>
        <v>147.54066647778478</v>
      </c>
    </row>
    <row r="2236" spans="1:9" x14ac:dyDescent="0.45">
      <c r="A2236" t="s">
        <v>65</v>
      </c>
      <c r="B2236" t="s">
        <v>39</v>
      </c>
      <c r="C2236" t="str">
        <f t="shared" si="68"/>
        <v>UC San DiegoMemphis</v>
      </c>
      <c r="D2236" t="s">
        <v>39</v>
      </c>
      <c r="E2236">
        <v>11.3</v>
      </c>
      <c r="F2236" s="1">
        <v>13.4792452830189</v>
      </c>
      <c r="G2236" s="2">
        <v>781.42789887582501</v>
      </c>
      <c r="H2236" s="1">
        <v>139.471900979124</v>
      </c>
      <c r="I2236" s="1">
        <f t="shared" si="69"/>
        <v>148.52527479989314</v>
      </c>
    </row>
    <row r="2237" spans="1:9" x14ac:dyDescent="0.45">
      <c r="A2237" t="s">
        <v>66</v>
      </c>
      <c r="B2237" t="s">
        <v>39</v>
      </c>
      <c r="C2237" t="str">
        <f t="shared" si="68"/>
        <v>UCLAMemphis</v>
      </c>
      <c r="D2237" t="s">
        <v>39</v>
      </c>
      <c r="E2237">
        <v>30.6</v>
      </c>
      <c r="F2237" s="1">
        <v>5.3773584905660403</v>
      </c>
      <c r="G2237" s="2">
        <v>227.08971275410099</v>
      </c>
      <c r="H2237" s="1">
        <v>138.69315955833599</v>
      </c>
      <c r="I2237" s="1">
        <f t="shared" si="69"/>
        <v>137.59040925020054</v>
      </c>
    </row>
    <row r="2238" spans="1:9" x14ac:dyDescent="0.45">
      <c r="A2238" t="s">
        <v>67</v>
      </c>
      <c r="B2238" t="s">
        <v>39</v>
      </c>
      <c r="C2238" t="str">
        <f t="shared" si="68"/>
        <v>UNC WilmingtonMemphis</v>
      </c>
      <c r="D2238" t="s">
        <v>39</v>
      </c>
      <c r="E2238">
        <v>6.9</v>
      </c>
      <c r="F2238" s="1">
        <v>17.067924528301901</v>
      </c>
      <c r="G2238" s="2">
        <v>1351.61157527756</v>
      </c>
      <c r="H2238" s="1">
        <v>140.00856944978801</v>
      </c>
      <c r="I2238" s="1">
        <f t="shared" si="69"/>
        <v>156.0610208316528</v>
      </c>
    </row>
    <row r="2239" spans="1:9" x14ac:dyDescent="0.45">
      <c r="A2239" t="s">
        <v>68</v>
      </c>
      <c r="B2239" t="s">
        <v>39</v>
      </c>
      <c r="C2239" t="str">
        <f t="shared" si="68"/>
        <v>Utah St.Memphis</v>
      </c>
      <c r="D2239" t="s">
        <v>39</v>
      </c>
      <c r="E2239">
        <v>29.4</v>
      </c>
      <c r="F2239" s="1">
        <v>5.74339622641509</v>
      </c>
      <c r="G2239" s="2">
        <v>240.11191644054</v>
      </c>
      <c r="H2239" s="1">
        <v>139.55575594836699</v>
      </c>
      <c r="I2239" s="1">
        <f t="shared" si="69"/>
        <v>149.70274242890133</v>
      </c>
    </row>
    <row r="2240" spans="1:9" x14ac:dyDescent="0.45">
      <c r="A2240" t="s">
        <v>69</v>
      </c>
      <c r="B2240" t="s">
        <v>39</v>
      </c>
      <c r="C2240" t="str">
        <f t="shared" si="68"/>
        <v>VanderbiltMemphis</v>
      </c>
      <c r="D2240" t="s">
        <v>39</v>
      </c>
      <c r="E2240">
        <v>7.6</v>
      </c>
      <c r="F2240" s="1">
        <v>16.388679245283001</v>
      </c>
      <c r="G2240" s="2">
        <v>1218.5200584070101</v>
      </c>
      <c r="H2240" s="1">
        <v>137.98979382965001</v>
      </c>
      <c r="I2240" s="1">
        <f t="shared" si="69"/>
        <v>127.71394773148484</v>
      </c>
    </row>
    <row r="2241" spans="1:9" x14ac:dyDescent="0.45">
      <c r="A2241" t="s">
        <v>70</v>
      </c>
      <c r="B2241" t="s">
        <v>39</v>
      </c>
      <c r="C2241" t="str">
        <f t="shared" si="68"/>
        <v>VCUMemphis</v>
      </c>
      <c r="D2241" t="s">
        <v>39</v>
      </c>
      <c r="E2241">
        <v>20.9</v>
      </c>
      <c r="F2241" s="1">
        <v>8.74339622641509</v>
      </c>
      <c r="G2241" s="2">
        <v>379.58665236993397</v>
      </c>
      <c r="H2241" s="1">
        <v>139.914966958843</v>
      </c>
      <c r="I2241" s="1">
        <f t="shared" si="69"/>
        <v>154.74668127518697</v>
      </c>
    </row>
    <row r="2242" spans="1:9" x14ac:dyDescent="0.45">
      <c r="A2242" t="s">
        <v>71</v>
      </c>
      <c r="B2242" t="s">
        <v>39</v>
      </c>
      <c r="C2242" t="str">
        <f t="shared" si="68"/>
        <v>WisconsinMemphis</v>
      </c>
      <c r="D2242" t="s">
        <v>71</v>
      </c>
      <c r="E2242">
        <v>75</v>
      </c>
      <c r="F2242" s="1">
        <v>-7.2075471698113196</v>
      </c>
      <c r="G2242" s="2">
        <v>-300.31339672723402</v>
      </c>
      <c r="H2242" s="1">
        <v>140.56822256717501</v>
      </c>
      <c r="I2242" s="1">
        <f t="shared" si="69"/>
        <v>163.91951073565792</v>
      </c>
    </row>
    <row r="2243" spans="1:9" x14ac:dyDescent="0.45">
      <c r="A2243" t="s">
        <v>80</v>
      </c>
      <c r="B2243" t="s">
        <v>39</v>
      </c>
      <c r="C2243" t="str">
        <f t="shared" ref="C2243:C2306" si="70">A2243&amp;B2243</f>
        <v>WoffordMemphis</v>
      </c>
      <c r="D2243" t="s">
        <v>39</v>
      </c>
      <c r="E2243">
        <v>2.5</v>
      </c>
      <c r="F2243" s="1">
        <v>23.966037735849099</v>
      </c>
      <c r="G2243" s="2">
        <v>3870.0036745422499</v>
      </c>
      <c r="H2243" s="1">
        <v>138.66587099640199</v>
      </c>
      <c r="I2243" s="1">
        <f t="shared" ref="I2243:I2306" si="71">18*(H2243-AVERAGE($H$2:$H$4625))/_xlfn.STDEV.P($H$2:$H$4625)+AVERAGE($H$2:$H$4625)</f>
        <v>137.20723102463396</v>
      </c>
    </row>
    <row r="2244" spans="1:9" x14ac:dyDescent="0.45">
      <c r="A2244" t="s">
        <v>72</v>
      </c>
      <c r="B2244" t="s">
        <v>39</v>
      </c>
      <c r="C2244" t="str">
        <f t="shared" si="70"/>
        <v>XavierMemphis</v>
      </c>
      <c r="D2244" t="s">
        <v>39</v>
      </c>
      <c r="E2244">
        <v>20.7</v>
      </c>
      <c r="F2244" s="1">
        <v>8.8188679245283002</v>
      </c>
      <c r="G2244" s="2">
        <v>383.84591056094001</v>
      </c>
      <c r="H2244" s="1">
        <v>139.40867316702301</v>
      </c>
      <c r="I2244" s="1">
        <f t="shared" si="71"/>
        <v>147.63744784492528</v>
      </c>
    </row>
    <row r="2245" spans="1:9" x14ac:dyDescent="0.45">
      <c r="A2245" t="s">
        <v>73</v>
      </c>
      <c r="B2245" t="s">
        <v>39</v>
      </c>
      <c r="C2245" t="str">
        <f t="shared" si="70"/>
        <v>YaleMemphis</v>
      </c>
      <c r="D2245" t="s">
        <v>39</v>
      </c>
      <c r="E2245">
        <v>12</v>
      </c>
      <c r="F2245" s="1">
        <v>13.0679245283019</v>
      </c>
      <c r="G2245" s="2">
        <v>734.010731509621</v>
      </c>
      <c r="H2245" s="1">
        <v>140.008379303417</v>
      </c>
      <c r="I2245" s="1">
        <f t="shared" si="71"/>
        <v>156.05835085039038</v>
      </c>
    </row>
    <row r="2246" spans="1:9" x14ac:dyDescent="0.45">
      <c r="A2246" t="s">
        <v>7</v>
      </c>
      <c r="B2246" t="s">
        <v>40</v>
      </c>
      <c r="C2246" t="str">
        <f t="shared" si="70"/>
        <v>AkronMichigan</v>
      </c>
      <c r="D2246" t="s">
        <v>40</v>
      </c>
      <c r="E2246">
        <v>12.6</v>
      </c>
      <c r="F2246" s="1">
        <v>12.7056603773585</v>
      </c>
      <c r="G2246" s="2">
        <v>694.67508447130899</v>
      </c>
      <c r="H2246" s="1">
        <v>139.26258506708001</v>
      </c>
      <c r="I2246" s="1">
        <f t="shared" si="71"/>
        <v>145.58612029428556</v>
      </c>
    </row>
    <row r="2247" spans="1:9" x14ac:dyDescent="0.45">
      <c r="A2247" t="s">
        <v>8</v>
      </c>
      <c r="B2247" t="s">
        <v>40</v>
      </c>
      <c r="C2247" t="str">
        <f t="shared" si="70"/>
        <v>AlabamaMichigan</v>
      </c>
      <c r="D2247" t="s">
        <v>8</v>
      </c>
      <c r="E2247">
        <v>91.6</v>
      </c>
      <c r="F2247" s="1">
        <v>-15.633962264150901</v>
      </c>
      <c r="G2247" s="2">
        <v>-1085.79786100862</v>
      </c>
      <c r="H2247" s="1">
        <v>141.07019625467501</v>
      </c>
      <c r="I2247" s="1">
        <f t="shared" si="71"/>
        <v>170.96808248973457</v>
      </c>
    </row>
    <row r="2248" spans="1:9" x14ac:dyDescent="0.45">
      <c r="A2248" t="s">
        <v>9</v>
      </c>
      <c r="B2248" t="s">
        <v>40</v>
      </c>
      <c r="C2248" t="str">
        <f t="shared" si="70"/>
        <v>Alabama St.Michigan</v>
      </c>
      <c r="D2248" t="s">
        <v>40</v>
      </c>
      <c r="E2248">
        <v>2.2000000000000002</v>
      </c>
      <c r="F2248" s="1">
        <v>25.022641509433999</v>
      </c>
      <c r="G2248" s="2">
        <v>4548.5339446356902</v>
      </c>
      <c r="H2248" s="1">
        <v>139.44934682650199</v>
      </c>
      <c r="I2248" s="1">
        <f t="shared" si="71"/>
        <v>148.2085758033773</v>
      </c>
    </row>
    <row r="2249" spans="1:9" x14ac:dyDescent="0.45">
      <c r="A2249" t="s">
        <v>10</v>
      </c>
      <c r="B2249" t="s">
        <v>40</v>
      </c>
      <c r="C2249" t="str">
        <f t="shared" si="70"/>
        <v>AmericanMichigan</v>
      </c>
      <c r="D2249" t="s">
        <v>40</v>
      </c>
      <c r="E2249">
        <v>2.4</v>
      </c>
      <c r="F2249" s="1">
        <v>24.267924528301901</v>
      </c>
      <c r="G2249" s="2">
        <v>4052.52002932594</v>
      </c>
      <c r="H2249" s="1">
        <v>139.212636346263</v>
      </c>
      <c r="I2249" s="1">
        <f t="shared" si="71"/>
        <v>144.88475456243521</v>
      </c>
    </row>
    <row r="2250" spans="1:9" x14ac:dyDescent="0.45">
      <c r="A2250" t="s">
        <v>11</v>
      </c>
      <c r="B2250" t="s">
        <v>40</v>
      </c>
      <c r="C2250" t="str">
        <f t="shared" si="70"/>
        <v>ArizonaMichigan</v>
      </c>
      <c r="D2250" t="s">
        <v>11</v>
      </c>
      <c r="E2250">
        <v>87.7</v>
      </c>
      <c r="F2250" s="1">
        <v>-12.8792452830189</v>
      </c>
      <c r="G2250" s="2">
        <v>-713.17284583709795</v>
      </c>
      <c r="H2250" s="1">
        <v>140.680675594853</v>
      </c>
      <c r="I2250" s="1">
        <f t="shared" si="71"/>
        <v>165.49854416766718</v>
      </c>
    </row>
    <row r="2251" spans="1:9" x14ac:dyDescent="0.45">
      <c r="A2251" t="s">
        <v>12</v>
      </c>
      <c r="B2251" t="s">
        <v>40</v>
      </c>
      <c r="C2251" t="str">
        <f t="shared" si="70"/>
        <v>ArkansasMichigan</v>
      </c>
      <c r="D2251" t="s">
        <v>40</v>
      </c>
      <c r="E2251">
        <v>31.7</v>
      </c>
      <c r="F2251" s="1">
        <v>5.02264150943396</v>
      </c>
      <c r="G2251" s="2">
        <v>215.13189615069999</v>
      </c>
      <c r="H2251" s="1">
        <v>139.00659957264199</v>
      </c>
      <c r="I2251" s="1">
        <f t="shared" si="71"/>
        <v>141.9916447859469</v>
      </c>
    </row>
    <row r="2252" spans="1:9" x14ac:dyDescent="0.45">
      <c r="A2252" t="s">
        <v>13</v>
      </c>
      <c r="B2252" t="s">
        <v>40</v>
      </c>
      <c r="C2252" t="str">
        <f t="shared" si="70"/>
        <v>AuburnMichigan</v>
      </c>
      <c r="D2252" t="s">
        <v>13</v>
      </c>
      <c r="E2252">
        <v>95.5</v>
      </c>
      <c r="F2252" s="1">
        <v>-20.0716981132075</v>
      </c>
      <c r="G2252" s="2">
        <v>-2137.2705664699502</v>
      </c>
      <c r="H2252" s="1">
        <v>142.092412488028</v>
      </c>
      <c r="I2252" s="1">
        <f t="shared" si="71"/>
        <v>185.32175211105425</v>
      </c>
    </row>
    <row r="2253" spans="1:9" x14ac:dyDescent="0.45">
      <c r="A2253" t="s">
        <v>14</v>
      </c>
      <c r="B2253" t="s">
        <v>40</v>
      </c>
      <c r="C2253" t="str">
        <f t="shared" si="70"/>
        <v>BaylorMichigan</v>
      </c>
      <c r="D2253" t="s">
        <v>14</v>
      </c>
      <c r="E2253">
        <v>68.3</v>
      </c>
      <c r="F2253" s="1">
        <v>-5.0264150943396197</v>
      </c>
      <c r="G2253" s="2">
        <v>-215.227272195154</v>
      </c>
      <c r="H2253" s="1">
        <v>140.55532984920799</v>
      </c>
      <c r="I2253" s="1">
        <f t="shared" si="71"/>
        <v>163.73847485676913</v>
      </c>
    </row>
    <row r="2254" spans="1:9" x14ac:dyDescent="0.45">
      <c r="A2254" t="s">
        <v>15</v>
      </c>
      <c r="B2254" t="s">
        <v>40</v>
      </c>
      <c r="C2254" t="str">
        <f t="shared" si="70"/>
        <v>BryantMichigan</v>
      </c>
      <c r="D2254" t="s">
        <v>40</v>
      </c>
      <c r="E2254">
        <v>9.1999999999999993</v>
      </c>
      <c r="F2254" s="1">
        <v>15.045283018867901</v>
      </c>
      <c r="G2254" s="2">
        <v>992.69197139708695</v>
      </c>
      <c r="H2254" s="1">
        <v>140.14764972485401</v>
      </c>
      <c r="I2254" s="1">
        <f t="shared" si="71"/>
        <v>158.01394649845753</v>
      </c>
    </row>
    <row r="2255" spans="1:9" x14ac:dyDescent="0.45">
      <c r="A2255" t="s">
        <v>16</v>
      </c>
      <c r="B2255" t="s">
        <v>40</v>
      </c>
      <c r="C2255" t="str">
        <f t="shared" si="70"/>
        <v>BYUMichigan</v>
      </c>
      <c r="D2255" t="s">
        <v>16</v>
      </c>
      <c r="E2255">
        <v>71.8</v>
      </c>
      <c r="F2255" s="1">
        <v>-6.1207547169811303</v>
      </c>
      <c r="G2255" s="2">
        <v>-254.33553545636801</v>
      </c>
      <c r="H2255" s="1">
        <v>140.31769039929799</v>
      </c>
      <c r="I2255" s="1">
        <f t="shared" si="71"/>
        <v>160.401609287914</v>
      </c>
    </row>
    <row r="2256" spans="1:9" x14ac:dyDescent="0.45">
      <c r="A2256" t="s">
        <v>17</v>
      </c>
      <c r="B2256" t="s">
        <v>40</v>
      </c>
      <c r="C2256" t="str">
        <f t="shared" si="70"/>
        <v>ClemsonMichigan</v>
      </c>
      <c r="D2256" t="s">
        <v>17</v>
      </c>
      <c r="E2256">
        <v>78.099999999999994</v>
      </c>
      <c r="F2256" s="1">
        <v>-8.3245283018867902</v>
      </c>
      <c r="G2256" s="2">
        <v>-355.99853380284497</v>
      </c>
      <c r="H2256" s="1">
        <v>140.66774062173999</v>
      </c>
      <c r="I2256" s="1">
        <f t="shared" si="71"/>
        <v>165.31691495403618</v>
      </c>
    </row>
    <row r="2257" spans="1:9" x14ac:dyDescent="0.45">
      <c r="A2257" t="s">
        <v>18</v>
      </c>
      <c r="B2257" t="s">
        <v>40</v>
      </c>
      <c r="C2257" t="str">
        <f t="shared" si="70"/>
        <v>Colorado St.Michigan</v>
      </c>
      <c r="D2257" t="s">
        <v>40</v>
      </c>
      <c r="E2257">
        <v>37.1</v>
      </c>
      <c r="F2257" s="1">
        <v>3.4566037735849102</v>
      </c>
      <c r="G2257" s="2">
        <v>169.478919929846</v>
      </c>
      <c r="H2257" s="1">
        <v>140.05735159653401</v>
      </c>
      <c r="I2257" s="1">
        <f t="shared" si="71"/>
        <v>156.74600586218196</v>
      </c>
    </row>
    <row r="2258" spans="1:9" x14ac:dyDescent="0.45">
      <c r="A2258" t="s">
        <v>19</v>
      </c>
      <c r="B2258" t="s">
        <v>40</v>
      </c>
      <c r="C2258" t="str">
        <f t="shared" si="70"/>
        <v>ConnecticutMichigan</v>
      </c>
      <c r="D2258" t="s">
        <v>19</v>
      </c>
      <c r="E2258">
        <v>84.7</v>
      </c>
      <c r="F2258" s="1">
        <v>-11.218867924528301</v>
      </c>
      <c r="G2258" s="2">
        <v>-553.52155502211997</v>
      </c>
      <c r="H2258" s="1">
        <v>140.46799145248801</v>
      </c>
      <c r="I2258" s="1">
        <f t="shared" si="71"/>
        <v>162.51209392984686</v>
      </c>
    </row>
    <row r="2259" spans="1:9" x14ac:dyDescent="0.45">
      <c r="A2259" t="s">
        <v>20</v>
      </c>
      <c r="B2259" t="s">
        <v>40</v>
      </c>
      <c r="C2259" t="str">
        <f t="shared" si="70"/>
        <v>CreightonMichigan</v>
      </c>
      <c r="D2259" t="s">
        <v>20</v>
      </c>
      <c r="E2259">
        <v>63.1</v>
      </c>
      <c r="F2259" s="1">
        <v>-3.5094339622641502</v>
      </c>
      <c r="G2259" s="2">
        <v>-170.80551050645599</v>
      </c>
      <c r="H2259" s="1">
        <v>140.01728820532699</v>
      </c>
      <c r="I2259" s="1">
        <f t="shared" si="71"/>
        <v>156.18344711723921</v>
      </c>
    </row>
    <row r="2260" spans="1:9" x14ac:dyDescent="0.45">
      <c r="A2260" t="s">
        <v>21</v>
      </c>
      <c r="B2260" t="s">
        <v>40</v>
      </c>
      <c r="C2260" t="str">
        <f t="shared" si="70"/>
        <v>DrakeMichigan</v>
      </c>
      <c r="D2260" t="s">
        <v>40</v>
      </c>
      <c r="E2260">
        <v>36.4</v>
      </c>
      <c r="F2260" s="1">
        <v>3.6641509433962298</v>
      </c>
      <c r="G2260" s="2">
        <v>174.85812441777699</v>
      </c>
      <c r="H2260" s="1">
        <v>140.25196401100101</v>
      </c>
      <c r="I2260" s="1">
        <f t="shared" si="71"/>
        <v>159.47869803661945</v>
      </c>
    </row>
    <row r="2261" spans="1:9" x14ac:dyDescent="0.45">
      <c r="A2261" t="s">
        <v>22</v>
      </c>
      <c r="B2261" t="s">
        <v>40</v>
      </c>
      <c r="C2261" t="str">
        <f t="shared" si="70"/>
        <v>DukeMichigan</v>
      </c>
      <c r="D2261" t="s">
        <v>22</v>
      </c>
      <c r="E2261">
        <v>96.8</v>
      </c>
      <c r="F2261" s="1">
        <v>-22.286792452830198</v>
      </c>
      <c r="G2261" s="2">
        <v>-2996.17109737079</v>
      </c>
      <c r="H2261" s="1">
        <v>142.332303899604</v>
      </c>
      <c r="I2261" s="1">
        <f t="shared" si="71"/>
        <v>188.69023908514521</v>
      </c>
    </row>
    <row r="2262" spans="1:9" x14ac:dyDescent="0.45">
      <c r="A2262" t="s">
        <v>23</v>
      </c>
      <c r="B2262" t="s">
        <v>40</v>
      </c>
      <c r="C2262" t="str">
        <f t="shared" si="70"/>
        <v>FloridaMichigan</v>
      </c>
      <c r="D2262" t="s">
        <v>23</v>
      </c>
      <c r="E2262">
        <v>94.3</v>
      </c>
      <c r="F2262" s="1">
        <v>-18.430188679245301</v>
      </c>
      <c r="G2262" s="2">
        <v>-1663.54460472357</v>
      </c>
      <c r="H2262" s="1">
        <v>142.06695442715801</v>
      </c>
      <c r="I2262" s="1">
        <f t="shared" si="71"/>
        <v>184.9642772608176</v>
      </c>
    </row>
    <row r="2263" spans="1:9" x14ac:dyDescent="0.45">
      <c r="A2263" t="s">
        <v>24</v>
      </c>
      <c r="B2263" t="s">
        <v>40</v>
      </c>
      <c r="C2263" t="str">
        <f t="shared" si="70"/>
        <v>GeorgiaMichigan</v>
      </c>
      <c r="D2263" t="s">
        <v>40</v>
      </c>
      <c r="E2263">
        <v>40.1</v>
      </c>
      <c r="F2263" s="1">
        <v>2.63018867924528</v>
      </c>
      <c r="G2263" s="2">
        <v>149.376083282818</v>
      </c>
      <c r="H2263" s="1">
        <v>139.33091272344299</v>
      </c>
      <c r="I2263" s="1">
        <f t="shared" si="71"/>
        <v>146.54555781193906</v>
      </c>
    </row>
    <row r="2264" spans="1:9" x14ac:dyDescent="0.45">
      <c r="A2264" t="s">
        <v>25</v>
      </c>
      <c r="B2264" t="s">
        <v>40</v>
      </c>
      <c r="C2264" t="str">
        <f t="shared" si="70"/>
        <v>GonzagaMichigan</v>
      </c>
      <c r="D2264" t="s">
        <v>25</v>
      </c>
      <c r="E2264">
        <v>77.2</v>
      </c>
      <c r="F2264" s="1">
        <v>-8</v>
      </c>
      <c r="G2264" s="2">
        <v>-338.81121291857301</v>
      </c>
      <c r="H2264" s="1">
        <v>141.30787445394901</v>
      </c>
      <c r="I2264" s="1">
        <f t="shared" si="71"/>
        <v>174.30549216613827</v>
      </c>
    </row>
    <row r="2265" spans="1:9" x14ac:dyDescent="0.45">
      <c r="A2265" t="s">
        <v>26</v>
      </c>
      <c r="B2265" t="s">
        <v>40</v>
      </c>
      <c r="C2265" t="str">
        <f t="shared" si="70"/>
        <v>Grand CanyonMichigan</v>
      </c>
      <c r="D2265" t="s">
        <v>40</v>
      </c>
      <c r="E2265">
        <v>26.9</v>
      </c>
      <c r="F2265" s="1">
        <v>6.5509433962264101</v>
      </c>
      <c r="G2265" s="2">
        <v>271.65709997348</v>
      </c>
      <c r="H2265" s="1">
        <v>140.12584617148801</v>
      </c>
      <c r="I2265" s="1">
        <f t="shared" si="71"/>
        <v>157.70778720321744</v>
      </c>
    </row>
    <row r="2266" spans="1:9" x14ac:dyDescent="0.45">
      <c r="A2266" t="s">
        <v>27</v>
      </c>
      <c r="B2266" t="s">
        <v>40</v>
      </c>
      <c r="C2266" t="str">
        <f t="shared" si="70"/>
        <v>High PointMichigan</v>
      </c>
      <c r="D2266" t="s">
        <v>40</v>
      </c>
      <c r="E2266">
        <v>18.7</v>
      </c>
      <c r="F2266" s="1">
        <v>9.6415094339622591</v>
      </c>
      <c r="G2266" s="2">
        <v>435.21426460846902</v>
      </c>
      <c r="H2266" s="1">
        <v>140.31705330503701</v>
      </c>
      <c r="I2266" s="1">
        <f t="shared" si="71"/>
        <v>160.39266339149663</v>
      </c>
    </row>
    <row r="2267" spans="1:9" x14ac:dyDescent="0.45">
      <c r="A2267" t="s">
        <v>28</v>
      </c>
      <c r="B2267" t="s">
        <v>40</v>
      </c>
      <c r="C2267" t="str">
        <f t="shared" si="70"/>
        <v>HoustonMichigan</v>
      </c>
      <c r="D2267" t="s">
        <v>28</v>
      </c>
      <c r="E2267">
        <v>98</v>
      </c>
      <c r="F2267" s="1">
        <v>-25.641509433962302</v>
      </c>
      <c r="G2267" s="2">
        <v>-4998.0059733652097</v>
      </c>
      <c r="H2267" s="1">
        <v>142.43051566224</v>
      </c>
      <c r="I2267" s="1">
        <f t="shared" si="71"/>
        <v>190.06930072377779</v>
      </c>
    </row>
    <row r="2268" spans="1:9" x14ac:dyDescent="0.45">
      <c r="A2268" t="s">
        <v>29</v>
      </c>
      <c r="B2268" t="s">
        <v>40</v>
      </c>
      <c r="C2268" t="str">
        <f t="shared" si="70"/>
        <v>IllinoisMichigan</v>
      </c>
      <c r="D2268" t="s">
        <v>29</v>
      </c>
      <c r="E2268">
        <v>83.1</v>
      </c>
      <c r="F2268" s="1">
        <v>-10.452830188679201</v>
      </c>
      <c r="G2268" s="2">
        <v>-492.70071315825197</v>
      </c>
      <c r="H2268" s="1">
        <v>140.488979437202</v>
      </c>
      <c r="I2268" s="1">
        <f t="shared" si="71"/>
        <v>162.80680124203059</v>
      </c>
    </row>
    <row r="2269" spans="1:9" x14ac:dyDescent="0.45">
      <c r="A2269" t="s">
        <v>30</v>
      </c>
      <c r="B2269" t="s">
        <v>40</v>
      </c>
      <c r="C2269" t="str">
        <f t="shared" si="70"/>
        <v>Iowa St.Michigan</v>
      </c>
      <c r="D2269" t="s">
        <v>30</v>
      </c>
      <c r="E2269">
        <v>91.2</v>
      </c>
      <c r="F2269" s="1">
        <v>-15.316981132075499</v>
      </c>
      <c r="G2269" s="2">
        <v>-1034.28267543126</v>
      </c>
      <c r="H2269" s="1">
        <v>141.38552172878801</v>
      </c>
      <c r="I2269" s="1">
        <f t="shared" si="71"/>
        <v>175.39579311584924</v>
      </c>
    </row>
    <row r="2270" spans="1:9" x14ac:dyDescent="0.45">
      <c r="A2270" t="s">
        <v>31</v>
      </c>
      <c r="B2270" t="s">
        <v>40</v>
      </c>
      <c r="C2270" t="str">
        <f t="shared" si="70"/>
        <v>KansasMichigan</v>
      </c>
      <c r="D2270" t="s">
        <v>31</v>
      </c>
      <c r="E2270">
        <v>76.099999999999994</v>
      </c>
      <c r="F2270" s="1">
        <v>-7.6</v>
      </c>
      <c r="G2270" s="2">
        <v>-318.74128146851302</v>
      </c>
      <c r="H2270" s="1">
        <v>140.43610961764199</v>
      </c>
      <c r="I2270" s="1">
        <f t="shared" si="71"/>
        <v>162.06441827241756</v>
      </c>
    </row>
    <row r="2271" spans="1:9" x14ac:dyDescent="0.45">
      <c r="A2271" t="s">
        <v>32</v>
      </c>
      <c r="B2271" t="s">
        <v>40</v>
      </c>
      <c r="C2271" t="str">
        <f t="shared" si="70"/>
        <v>KentuckyMichigan</v>
      </c>
      <c r="D2271" t="s">
        <v>32</v>
      </c>
      <c r="E2271">
        <v>84.2</v>
      </c>
      <c r="F2271" s="1">
        <v>-10.962264150943399</v>
      </c>
      <c r="G2271" s="2">
        <v>-532.50569540976403</v>
      </c>
      <c r="H2271" s="1">
        <v>140.370391949767</v>
      </c>
      <c r="I2271" s="1">
        <f t="shared" si="71"/>
        <v>161.14162947080837</v>
      </c>
    </row>
    <row r="2272" spans="1:9" x14ac:dyDescent="0.45">
      <c r="A2272" t="s">
        <v>33</v>
      </c>
      <c r="B2272" t="s">
        <v>40</v>
      </c>
      <c r="C2272" t="str">
        <f t="shared" si="70"/>
        <v>LibertyMichigan</v>
      </c>
      <c r="D2272" t="s">
        <v>40</v>
      </c>
      <c r="E2272">
        <v>13.8</v>
      </c>
      <c r="F2272" s="1">
        <v>12.022641509433999</v>
      </c>
      <c r="G2272" s="2">
        <v>625.89813548590303</v>
      </c>
      <c r="H2272" s="1">
        <v>139.71539299348501</v>
      </c>
      <c r="I2272" s="1">
        <f t="shared" si="71"/>
        <v>151.94432041424767</v>
      </c>
    </row>
    <row r="2273" spans="1:9" x14ac:dyDescent="0.45">
      <c r="A2273" t="s">
        <v>34</v>
      </c>
      <c r="B2273" t="s">
        <v>40</v>
      </c>
      <c r="C2273" t="str">
        <f t="shared" si="70"/>
        <v>LipscombMichigan</v>
      </c>
      <c r="D2273" t="s">
        <v>40</v>
      </c>
      <c r="E2273">
        <v>10.7</v>
      </c>
      <c r="F2273" s="1">
        <v>13.8867924528302</v>
      </c>
      <c r="G2273" s="2">
        <v>831.95906550858695</v>
      </c>
      <c r="H2273" s="1">
        <v>140.121711191076</v>
      </c>
      <c r="I2273" s="1">
        <f t="shared" si="71"/>
        <v>157.64972498429739</v>
      </c>
    </row>
    <row r="2274" spans="1:9" x14ac:dyDescent="0.45">
      <c r="A2274" t="s">
        <v>35</v>
      </c>
      <c r="B2274" t="s">
        <v>40</v>
      </c>
      <c r="C2274" t="str">
        <f t="shared" si="70"/>
        <v>LouisvilleMichigan</v>
      </c>
      <c r="D2274" t="s">
        <v>40</v>
      </c>
      <c r="E2274">
        <v>23.2</v>
      </c>
      <c r="F2274" s="1">
        <v>7.8377358490565996</v>
      </c>
      <c r="G2274" s="2">
        <v>330.64664730895799</v>
      </c>
      <c r="H2274" s="1">
        <v>139.36707319689401</v>
      </c>
      <c r="I2274" s="1">
        <f t="shared" si="71"/>
        <v>147.0533128957768</v>
      </c>
    </row>
    <row r="2275" spans="1:9" x14ac:dyDescent="0.45">
      <c r="A2275" t="s">
        <v>36</v>
      </c>
      <c r="B2275" t="s">
        <v>40</v>
      </c>
      <c r="C2275" t="str">
        <f t="shared" si="70"/>
        <v>MarquetteMichigan</v>
      </c>
      <c r="D2275" t="s">
        <v>36</v>
      </c>
      <c r="E2275">
        <v>80.3</v>
      </c>
      <c r="F2275" s="1">
        <v>-9.2301886792452805</v>
      </c>
      <c r="G2275" s="2">
        <v>-408.67603768922498</v>
      </c>
      <c r="H2275" s="1">
        <v>140.62920704035599</v>
      </c>
      <c r="I2275" s="1">
        <f t="shared" si="71"/>
        <v>164.77583736353662</v>
      </c>
    </row>
    <row r="2276" spans="1:9" x14ac:dyDescent="0.45">
      <c r="A2276" t="s">
        <v>37</v>
      </c>
      <c r="B2276" t="s">
        <v>40</v>
      </c>
      <c r="C2276" t="str">
        <f t="shared" si="70"/>
        <v>MarylandMichigan</v>
      </c>
      <c r="D2276" t="s">
        <v>37</v>
      </c>
      <c r="E2276">
        <v>71.599999999999994</v>
      </c>
      <c r="F2276" s="1">
        <v>-6.0603773584905696</v>
      </c>
      <c r="G2276" s="2">
        <v>-252.08403532159599</v>
      </c>
      <c r="H2276" s="1">
        <v>140.08757663889901</v>
      </c>
      <c r="I2276" s="1">
        <f t="shared" si="71"/>
        <v>157.17041731079945</v>
      </c>
    </row>
    <row r="2277" spans="1:9" x14ac:dyDescent="0.45">
      <c r="A2277" t="s">
        <v>38</v>
      </c>
      <c r="B2277" t="s">
        <v>40</v>
      </c>
      <c r="C2277" t="str">
        <f t="shared" si="70"/>
        <v>McNeese St.Michigan</v>
      </c>
      <c r="D2277" t="s">
        <v>40</v>
      </c>
      <c r="E2277">
        <v>37</v>
      </c>
      <c r="F2277" s="1">
        <v>3.4792452830188698</v>
      </c>
      <c r="G2277" s="2">
        <v>170.029520971522</v>
      </c>
      <c r="H2277" s="1">
        <v>140.680812051863</v>
      </c>
      <c r="I2277" s="1">
        <f t="shared" si="71"/>
        <v>165.50046025819202</v>
      </c>
    </row>
    <row r="2278" spans="1:9" x14ac:dyDescent="0.45">
      <c r="A2278" t="s">
        <v>39</v>
      </c>
      <c r="B2278" t="s">
        <v>40</v>
      </c>
      <c r="C2278" t="str">
        <f t="shared" si="70"/>
        <v>MemphisMichigan</v>
      </c>
      <c r="D2278" t="s">
        <v>39</v>
      </c>
      <c r="E2278">
        <v>58.7</v>
      </c>
      <c r="F2278" s="1">
        <v>-2.29811320754717</v>
      </c>
      <c r="G2278" s="2">
        <v>-141.95313088912499</v>
      </c>
      <c r="H2278" s="1">
        <v>139.21509387838901</v>
      </c>
      <c r="I2278" s="1">
        <f t="shared" si="71"/>
        <v>144.91926252960462</v>
      </c>
    </row>
    <row r="2279" spans="1:9" x14ac:dyDescent="0.45">
      <c r="A2279" t="s">
        <v>40</v>
      </c>
      <c r="B2279" t="s">
        <v>40</v>
      </c>
      <c r="C2279" t="str">
        <f t="shared" si="70"/>
        <v>MichiganMichigan</v>
      </c>
      <c r="D2279" t="s">
        <v>40</v>
      </c>
      <c r="E2279">
        <v>41.2</v>
      </c>
      <c r="F2279" s="1">
        <v>2.3283018867924499</v>
      </c>
      <c r="G2279" s="2">
        <v>142.64273539779199</v>
      </c>
      <c r="H2279" s="1">
        <v>138.77771517530499</v>
      </c>
      <c r="I2279" s="1">
        <f t="shared" si="71"/>
        <v>138.77771517530684</v>
      </c>
    </row>
    <row r="2280" spans="1:9" x14ac:dyDescent="0.45">
      <c r="A2280" t="s">
        <v>41</v>
      </c>
      <c r="B2280" t="s">
        <v>40</v>
      </c>
      <c r="C2280" t="str">
        <f t="shared" si="70"/>
        <v>Michigan St.Michigan</v>
      </c>
      <c r="D2280" t="s">
        <v>41</v>
      </c>
      <c r="E2280">
        <v>86.9</v>
      </c>
      <c r="F2280" s="1">
        <v>-12.4188679245283</v>
      </c>
      <c r="G2280" s="2">
        <v>-664.82215370697202</v>
      </c>
      <c r="H2280" s="1">
        <v>140.42479488451301</v>
      </c>
      <c r="I2280" s="1">
        <f t="shared" si="71"/>
        <v>161.90554000783146</v>
      </c>
    </row>
    <row r="2281" spans="1:9" x14ac:dyDescent="0.45">
      <c r="A2281" t="s">
        <v>42</v>
      </c>
      <c r="B2281" t="s">
        <v>40</v>
      </c>
      <c r="C2281" t="str">
        <f t="shared" si="70"/>
        <v>MississippiMichigan</v>
      </c>
      <c r="D2281" t="s">
        <v>42</v>
      </c>
      <c r="E2281">
        <v>64.5</v>
      </c>
      <c r="F2281" s="1">
        <v>-3.9207547169811301</v>
      </c>
      <c r="G2281" s="2">
        <v>-181.90057327381501</v>
      </c>
      <c r="H2281" s="1">
        <v>139.692486234402</v>
      </c>
      <c r="I2281" s="1">
        <f t="shared" si="71"/>
        <v>151.62267021809078</v>
      </c>
    </row>
    <row r="2282" spans="1:9" x14ac:dyDescent="0.45">
      <c r="A2282" t="s">
        <v>43</v>
      </c>
      <c r="B2282" t="s">
        <v>40</v>
      </c>
      <c r="C2282" t="str">
        <f t="shared" si="70"/>
        <v>Mississippi St.Michigan</v>
      </c>
      <c r="D2282" t="s">
        <v>43</v>
      </c>
      <c r="E2282">
        <v>58.3</v>
      </c>
      <c r="F2282" s="1">
        <v>-2.2000000000000002</v>
      </c>
      <c r="G2282" s="2">
        <v>-139.848158412489</v>
      </c>
      <c r="H2282" s="1">
        <v>139.83223270707899</v>
      </c>
      <c r="I2282" s="1">
        <f t="shared" si="71"/>
        <v>153.58495044227661</v>
      </c>
    </row>
    <row r="2283" spans="1:9" x14ac:dyDescent="0.45">
      <c r="A2283" t="s">
        <v>44</v>
      </c>
      <c r="B2283" t="s">
        <v>40</v>
      </c>
      <c r="C2283" t="str">
        <f t="shared" si="70"/>
        <v>MissouriMichigan</v>
      </c>
      <c r="D2283" t="s">
        <v>40</v>
      </c>
      <c r="E2283">
        <v>39.700000000000003</v>
      </c>
      <c r="F2283" s="1">
        <v>2.7358490566037701</v>
      </c>
      <c r="G2283" s="2">
        <v>151.78244000962499</v>
      </c>
      <c r="H2283" s="1">
        <v>139.24989460572399</v>
      </c>
      <c r="I2283" s="1">
        <f t="shared" si="71"/>
        <v>145.40792444520491</v>
      </c>
    </row>
    <row r="2284" spans="1:9" x14ac:dyDescent="0.45">
      <c r="A2284" t="s">
        <v>45</v>
      </c>
      <c r="B2284" t="s">
        <v>40</v>
      </c>
      <c r="C2284" t="str">
        <f t="shared" si="70"/>
        <v>MontanaMichigan</v>
      </c>
      <c r="D2284" t="s">
        <v>40</v>
      </c>
      <c r="E2284">
        <v>5.6</v>
      </c>
      <c r="F2284" s="1">
        <v>18.5396226415094</v>
      </c>
      <c r="G2284" s="2">
        <v>1691.8711029357301</v>
      </c>
      <c r="H2284" s="1">
        <v>138.386606169131</v>
      </c>
      <c r="I2284" s="1">
        <f t="shared" si="71"/>
        <v>133.2858737455048</v>
      </c>
    </row>
    <row r="2285" spans="1:9" x14ac:dyDescent="0.45">
      <c r="A2285" t="s">
        <v>46</v>
      </c>
      <c r="B2285" t="s">
        <v>40</v>
      </c>
      <c r="C2285" t="str">
        <f t="shared" si="70"/>
        <v>Mount St. Mary'sMichigan</v>
      </c>
      <c r="D2285" t="s">
        <v>40</v>
      </c>
      <c r="E2285">
        <v>2.2000000000000002</v>
      </c>
      <c r="F2285" s="1">
        <v>24.875471698113198</v>
      </c>
      <c r="G2285" s="2">
        <v>4446.2247439053699</v>
      </c>
      <c r="H2285" s="1">
        <v>139.68989412328099</v>
      </c>
      <c r="I2285" s="1">
        <f t="shared" si="71"/>
        <v>151.5862725309492</v>
      </c>
    </row>
    <row r="2286" spans="1:9" x14ac:dyDescent="0.45">
      <c r="A2286" t="s">
        <v>47</v>
      </c>
      <c r="B2286" t="s">
        <v>40</v>
      </c>
      <c r="C2286" t="str">
        <f t="shared" si="70"/>
        <v>Nebraska OmahaMichigan</v>
      </c>
      <c r="D2286" t="s">
        <v>40</v>
      </c>
      <c r="E2286">
        <v>3</v>
      </c>
      <c r="F2286" s="1">
        <v>22.686792452830201</v>
      </c>
      <c r="G2286" s="2">
        <v>3183.38297928776</v>
      </c>
      <c r="H2286" s="1">
        <v>139.10767025538499</v>
      </c>
      <c r="I2286" s="1">
        <f t="shared" si="71"/>
        <v>143.41085056761958</v>
      </c>
    </row>
    <row r="2287" spans="1:9" x14ac:dyDescent="0.45">
      <c r="A2287" t="s">
        <v>48</v>
      </c>
      <c r="B2287" t="s">
        <v>40</v>
      </c>
      <c r="C2287" t="str">
        <f t="shared" si="70"/>
        <v>New MexicoMichigan</v>
      </c>
      <c r="D2287" t="s">
        <v>40</v>
      </c>
      <c r="E2287">
        <v>43</v>
      </c>
      <c r="F2287" s="1">
        <v>1.85283018867925</v>
      </c>
      <c r="G2287" s="2">
        <v>132.68007129175001</v>
      </c>
      <c r="H2287" s="1">
        <v>139.877660187202</v>
      </c>
      <c r="I2287" s="1">
        <f t="shared" si="71"/>
        <v>154.22283019818298</v>
      </c>
    </row>
    <row r="2288" spans="1:9" x14ac:dyDescent="0.45">
      <c r="A2288" t="s">
        <v>49</v>
      </c>
      <c r="B2288" t="s">
        <v>40</v>
      </c>
      <c r="C2288" t="str">
        <f t="shared" si="70"/>
        <v>Norfolk St.Michigan</v>
      </c>
      <c r="D2288" t="s">
        <v>40</v>
      </c>
      <c r="E2288">
        <v>4.2</v>
      </c>
      <c r="F2288" s="1">
        <v>20.4188679245283</v>
      </c>
      <c r="G2288" s="2">
        <v>2253.3883955343499</v>
      </c>
      <c r="H2288" s="1">
        <v>138.91378595116501</v>
      </c>
      <c r="I2288" s="1">
        <f t="shared" si="71"/>
        <v>140.68838231018975</v>
      </c>
    </row>
    <row r="2289" spans="1:9" x14ac:dyDescent="0.45">
      <c r="A2289" t="s">
        <v>50</v>
      </c>
      <c r="B2289" t="s">
        <v>40</v>
      </c>
      <c r="C2289" t="str">
        <f t="shared" si="70"/>
        <v>North CarolinaMichigan</v>
      </c>
      <c r="D2289" t="s">
        <v>50</v>
      </c>
      <c r="E2289">
        <v>72</v>
      </c>
      <c r="F2289" s="1">
        <v>-6.1962264150943396</v>
      </c>
      <c r="G2289" s="2">
        <v>-257.366080380715</v>
      </c>
      <c r="H2289" s="1">
        <v>140.98739190563501</v>
      </c>
      <c r="I2289" s="1">
        <f t="shared" si="71"/>
        <v>169.80536737081098</v>
      </c>
    </row>
    <row r="2290" spans="1:9" x14ac:dyDescent="0.45">
      <c r="A2290" t="s">
        <v>51</v>
      </c>
      <c r="B2290" t="s">
        <v>40</v>
      </c>
      <c r="C2290" t="str">
        <f t="shared" si="70"/>
        <v>OklahomaMichigan</v>
      </c>
      <c r="D2290" t="s">
        <v>40</v>
      </c>
      <c r="E2290">
        <v>47.4</v>
      </c>
      <c r="F2290" s="1">
        <v>0.68679245283018897</v>
      </c>
      <c r="G2290" s="2">
        <v>111.026311375812</v>
      </c>
      <c r="H2290" s="1">
        <v>139.41101503181</v>
      </c>
      <c r="I2290" s="1">
        <f t="shared" si="71"/>
        <v>147.67033164421687</v>
      </c>
    </row>
    <row r="2291" spans="1:9" x14ac:dyDescent="0.45">
      <c r="A2291" t="s">
        <v>52</v>
      </c>
      <c r="B2291" t="s">
        <v>40</v>
      </c>
      <c r="C2291" t="str">
        <f t="shared" si="70"/>
        <v>OregonMichigan</v>
      </c>
      <c r="D2291" t="s">
        <v>52</v>
      </c>
      <c r="E2291">
        <v>71.7</v>
      </c>
      <c r="F2291" s="1">
        <v>-6.0792452830188699</v>
      </c>
      <c r="G2291" s="2">
        <v>-252.836828661331</v>
      </c>
      <c r="H2291" s="1">
        <v>139.701732423338</v>
      </c>
      <c r="I2291" s="1">
        <f t="shared" si="71"/>
        <v>151.75250257343146</v>
      </c>
    </row>
    <row r="2292" spans="1:9" x14ac:dyDescent="0.45">
      <c r="A2292" t="s">
        <v>53</v>
      </c>
      <c r="B2292" t="s">
        <v>40</v>
      </c>
      <c r="C2292" t="str">
        <f t="shared" si="70"/>
        <v>PurdueMichigan</v>
      </c>
      <c r="D2292" t="s">
        <v>53</v>
      </c>
      <c r="E2292">
        <v>93.5</v>
      </c>
      <c r="F2292" s="1">
        <v>-17.452830188679201</v>
      </c>
      <c r="G2292" s="2">
        <v>-1432.97942334615</v>
      </c>
      <c r="H2292" s="1">
        <v>141.189819623137</v>
      </c>
      <c r="I2292" s="1">
        <f t="shared" si="71"/>
        <v>172.64779980772383</v>
      </c>
    </row>
    <row r="2293" spans="1:9" x14ac:dyDescent="0.45">
      <c r="A2293" t="s">
        <v>54</v>
      </c>
      <c r="B2293" t="s">
        <v>40</v>
      </c>
      <c r="C2293" t="str">
        <f t="shared" si="70"/>
        <v>Robert MorrisMichigan</v>
      </c>
      <c r="D2293" t="s">
        <v>40</v>
      </c>
      <c r="E2293">
        <v>1.7</v>
      </c>
      <c r="F2293" s="1">
        <v>26.437735849056601</v>
      </c>
      <c r="G2293" s="2">
        <v>5641.5045953190001</v>
      </c>
      <c r="H2293" s="1">
        <v>138.27278495182401</v>
      </c>
      <c r="I2293" s="1">
        <f t="shared" si="71"/>
        <v>131.68762858385043</v>
      </c>
    </row>
    <row r="2294" spans="1:9" x14ac:dyDescent="0.45">
      <c r="A2294" t="s">
        <v>55</v>
      </c>
      <c r="B2294" t="s">
        <v>40</v>
      </c>
      <c r="C2294" t="str">
        <f t="shared" si="70"/>
        <v>Saint FrancisMichigan</v>
      </c>
      <c r="D2294" t="s">
        <v>40</v>
      </c>
      <c r="E2294">
        <v>1.1000000000000001</v>
      </c>
      <c r="F2294" s="1">
        <v>29.8</v>
      </c>
      <c r="G2294" s="2">
        <v>9422.7385424018903</v>
      </c>
      <c r="H2294" s="1">
        <v>138.97963283386699</v>
      </c>
      <c r="I2294" s="1">
        <f t="shared" si="71"/>
        <v>141.61298550964958</v>
      </c>
    </row>
    <row r="2295" spans="1:9" x14ac:dyDescent="0.45">
      <c r="A2295" t="s">
        <v>56</v>
      </c>
      <c r="B2295" t="s">
        <v>40</v>
      </c>
      <c r="C2295" t="str">
        <f t="shared" si="70"/>
        <v>Saint Mary'sMichigan</v>
      </c>
      <c r="D2295" t="s">
        <v>56</v>
      </c>
      <c r="E2295">
        <v>71.2</v>
      </c>
      <c r="F2295" s="1">
        <v>-5.9358490566037698</v>
      </c>
      <c r="G2295" s="2">
        <v>-247.33582987836601</v>
      </c>
      <c r="H2295" s="1">
        <v>140.70883894980901</v>
      </c>
      <c r="I2295" s="1">
        <f t="shared" si="71"/>
        <v>165.89400598804983</v>
      </c>
    </row>
    <row r="2296" spans="1:9" x14ac:dyDescent="0.45">
      <c r="A2296" t="s">
        <v>57</v>
      </c>
      <c r="B2296" t="s">
        <v>40</v>
      </c>
      <c r="C2296" t="str">
        <f t="shared" si="70"/>
        <v>San Diego St.Michigan</v>
      </c>
      <c r="D2296" t="s">
        <v>40</v>
      </c>
      <c r="E2296">
        <v>43.4</v>
      </c>
      <c r="F2296" s="1">
        <v>1.7358490566037701</v>
      </c>
      <c r="G2296" s="2">
        <v>130.350449103307</v>
      </c>
      <c r="H2296" s="1">
        <v>139.92353811283701</v>
      </c>
      <c r="I2296" s="1">
        <f t="shared" si="71"/>
        <v>154.86703498185818</v>
      </c>
    </row>
    <row r="2297" spans="1:9" x14ac:dyDescent="0.45">
      <c r="A2297" t="s">
        <v>58</v>
      </c>
      <c r="B2297" t="s">
        <v>40</v>
      </c>
      <c r="C2297" t="str">
        <f t="shared" si="70"/>
        <v>SIU EdwardsvilleMichigan</v>
      </c>
      <c r="D2297" t="s">
        <v>40</v>
      </c>
      <c r="E2297">
        <v>3.5</v>
      </c>
      <c r="F2297" s="1">
        <v>21.713207547169802</v>
      </c>
      <c r="G2297" s="2">
        <v>2744.0549960692601</v>
      </c>
      <c r="H2297" s="1">
        <v>139.98279629302101</v>
      </c>
      <c r="I2297" s="1">
        <f t="shared" si="71"/>
        <v>155.69912149444644</v>
      </c>
    </row>
    <row r="2298" spans="1:9" x14ac:dyDescent="0.45">
      <c r="A2298" t="s">
        <v>59</v>
      </c>
      <c r="B2298" t="s">
        <v>40</v>
      </c>
      <c r="C2298" t="str">
        <f t="shared" si="70"/>
        <v>St. John'sMichigan</v>
      </c>
      <c r="D2298" t="s">
        <v>59</v>
      </c>
      <c r="E2298">
        <v>87.8</v>
      </c>
      <c r="F2298" s="1">
        <v>-12.920754716981101</v>
      </c>
      <c r="G2298" s="2">
        <v>-717.68965060177197</v>
      </c>
      <c r="H2298" s="1">
        <v>140.80225274157601</v>
      </c>
      <c r="I2298" s="1">
        <f t="shared" si="71"/>
        <v>167.20569588432576</v>
      </c>
    </row>
    <row r="2299" spans="1:9" x14ac:dyDescent="0.45">
      <c r="A2299" t="s">
        <v>60</v>
      </c>
      <c r="B2299" t="s">
        <v>40</v>
      </c>
      <c r="C2299" t="str">
        <f t="shared" si="70"/>
        <v>TennesseeMichigan</v>
      </c>
      <c r="D2299" t="s">
        <v>60</v>
      </c>
      <c r="E2299">
        <v>94.1</v>
      </c>
      <c r="F2299" s="1">
        <v>-18.135849056603799</v>
      </c>
      <c r="G2299" s="2">
        <v>-1590.3553569390699</v>
      </c>
      <c r="H2299" s="1">
        <v>141.59548511571001</v>
      </c>
      <c r="I2299" s="1">
        <f t="shared" si="71"/>
        <v>178.34403927954617</v>
      </c>
    </row>
    <row r="2300" spans="1:9" x14ac:dyDescent="0.45">
      <c r="A2300" t="s">
        <v>61</v>
      </c>
      <c r="B2300" t="s">
        <v>40</v>
      </c>
      <c r="C2300" t="str">
        <f t="shared" si="70"/>
        <v>TexasMichigan</v>
      </c>
      <c r="D2300" t="s">
        <v>40</v>
      </c>
      <c r="E2300">
        <v>38.9</v>
      </c>
      <c r="F2300" s="1">
        <v>2.9622641509433998</v>
      </c>
      <c r="G2300" s="2">
        <v>157.09076243022199</v>
      </c>
      <c r="H2300" s="1">
        <v>139.295366943348</v>
      </c>
      <c r="I2300" s="1">
        <f t="shared" si="71"/>
        <v>146.0464340773824</v>
      </c>
    </row>
    <row r="2301" spans="1:9" x14ac:dyDescent="0.45">
      <c r="A2301" t="s">
        <v>62</v>
      </c>
      <c r="B2301" t="s">
        <v>40</v>
      </c>
      <c r="C2301" t="str">
        <f t="shared" si="70"/>
        <v>Texas A&amp;MMichigan</v>
      </c>
      <c r="D2301" t="s">
        <v>62</v>
      </c>
      <c r="E2301">
        <v>78.400000000000006</v>
      </c>
      <c r="F2301" s="1">
        <v>-8.4415094339622598</v>
      </c>
      <c r="G2301" s="2">
        <v>-362.41288644794599</v>
      </c>
      <c r="H2301" s="1">
        <v>140.082342252746</v>
      </c>
      <c r="I2301" s="1">
        <f t="shared" si="71"/>
        <v>157.09691754914508</v>
      </c>
    </row>
    <row r="2302" spans="1:9" x14ac:dyDescent="0.45">
      <c r="A2302" t="s">
        <v>63</v>
      </c>
      <c r="B2302" t="s">
        <v>40</v>
      </c>
      <c r="C2302" t="str">
        <f t="shared" si="70"/>
        <v>Texas TechMichigan</v>
      </c>
      <c r="D2302" t="s">
        <v>63</v>
      </c>
      <c r="E2302">
        <v>87.5</v>
      </c>
      <c r="F2302" s="1">
        <v>-12.7735849056604</v>
      </c>
      <c r="G2302" s="2">
        <v>-701.97084212534605</v>
      </c>
      <c r="H2302" s="1">
        <v>141.07285485798499</v>
      </c>
      <c r="I2302" s="1">
        <f t="shared" si="71"/>
        <v>171.00541384128283</v>
      </c>
    </row>
    <row r="2303" spans="1:9" x14ac:dyDescent="0.45">
      <c r="A2303" t="s">
        <v>64</v>
      </c>
      <c r="B2303" t="s">
        <v>40</v>
      </c>
      <c r="C2303" t="str">
        <f t="shared" si="70"/>
        <v>TroyMichigan</v>
      </c>
      <c r="D2303" t="s">
        <v>40</v>
      </c>
      <c r="E2303">
        <v>9.1999999999999993</v>
      </c>
      <c r="F2303" s="1">
        <v>15.033962264150899</v>
      </c>
      <c r="G2303" s="2">
        <v>990.88257400715202</v>
      </c>
      <c r="H2303" s="1">
        <v>139.83915945254401</v>
      </c>
      <c r="I2303" s="1">
        <f t="shared" si="71"/>
        <v>153.68221383206821</v>
      </c>
    </row>
    <row r="2304" spans="1:9" x14ac:dyDescent="0.45">
      <c r="A2304" t="s">
        <v>65</v>
      </c>
      <c r="B2304" t="s">
        <v>40</v>
      </c>
      <c r="C2304" t="str">
        <f t="shared" si="70"/>
        <v>UC San DiegoMichigan</v>
      </c>
      <c r="D2304" t="s">
        <v>40</v>
      </c>
      <c r="E2304">
        <v>20.6</v>
      </c>
      <c r="F2304" s="1">
        <v>8.8528301886792509</v>
      </c>
      <c r="G2304" s="2">
        <v>385.917327245222</v>
      </c>
      <c r="H2304" s="1">
        <v>139.909279682207</v>
      </c>
      <c r="I2304" s="1">
        <f t="shared" si="71"/>
        <v>154.66682215417657</v>
      </c>
    </row>
    <row r="2305" spans="1:9" x14ac:dyDescent="0.45">
      <c r="A2305" t="s">
        <v>66</v>
      </c>
      <c r="B2305" t="s">
        <v>40</v>
      </c>
      <c r="C2305" t="str">
        <f t="shared" si="70"/>
        <v>UCLAMichigan</v>
      </c>
      <c r="D2305" t="s">
        <v>40</v>
      </c>
      <c r="E2305">
        <v>47.1</v>
      </c>
      <c r="F2305" s="1">
        <v>0.75094339622641504</v>
      </c>
      <c r="G2305" s="2">
        <v>112.150916440308</v>
      </c>
      <c r="H2305" s="1">
        <v>139.13053826141899</v>
      </c>
      <c r="I2305" s="1">
        <f t="shared" si="71"/>
        <v>143.73195660448397</v>
      </c>
    </row>
    <row r="2306" spans="1:9" x14ac:dyDescent="0.45">
      <c r="A2306" t="s">
        <v>67</v>
      </c>
      <c r="B2306" t="s">
        <v>40</v>
      </c>
      <c r="C2306" t="str">
        <f t="shared" si="70"/>
        <v>UNC WilmingtonMichigan</v>
      </c>
      <c r="D2306" t="s">
        <v>40</v>
      </c>
      <c r="E2306">
        <v>13</v>
      </c>
      <c r="F2306" s="1">
        <v>12.445283018867899</v>
      </c>
      <c r="G2306" s="2">
        <v>667.50921915536696</v>
      </c>
      <c r="H2306" s="1">
        <v>140.44594815287101</v>
      </c>
      <c r="I2306" s="1">
        <f t="shared" si="71"/>
        <v>162.20256818593623</v>
      </c>
    </row>
    <row r="2307" spans="1:9" x14ac:dyDescent="0.45">
      <c r="A2307" t="s">
        <v>68</v>
      </c>
      <c r="B2307" t="s">
        <v>40</v>
      </c>
      <c r="C2307" t="str">
        <f t="shared" ref="C2307:C2370" si="72">A2307&amp;B2307</f>
        <v>Utah St.Michigan</v>
      </c>
      <c r="D2307" t="s">
        <v>40</v>
      </c>
      <c r="E2307">
        <v>45.7</v>
      </c>
      <c r="F2307" s="1">
        <v>1.1169811320754699</v>
      </c>
      <c r="G2307" s="2">
        <v>118.582084368588</v>
      </c>
      <c r="H2307" s="1">
        <v>139.99313465145099</v>
      </c>
      <c r="I2307" s="1">
        <f t="shared" ref="I2307:I2370" si="73">18*(H2307-AVERAGE($H$2:$H$4625))/_xlfn.STDEV.P($H$2:$H$4625)+AVERAGE($H$2:$H$4625)</f>
        <v>155.84428978319872</v>
      </c>
    </row>
    <row r="2308" spans="1:9" x14ac:dyDescent="0.45">
      <c r="A2308" t="s">
        <v>69</v>
      </c>
      <c r="B2308" t="s">
        <v>40</v>
      </c>
      <c r="C2308" t="str">
        <f t="shared" si="72"/>
        <v>VanderbiltMichigan</v>
      </c>
      <c r="D2308" t="s">
        <v>40</v>
      </c>
      <c r="E2308">
        <v>14.2</v>
      </c>
      <c r="F2308" s="1">
        <v>11.7660377358491</v>
      </c>
      <c r="G2308" s="2">
        <v>601.78041353736296</v>
      </c>
      <c r="H2308" s="1">
        <v>138.42717253273301</v>
      </c>
      <c r="I2308" s="1">
        <f t="shared" si="73"/>
        <v>133.85549508576827</v>
      </c>
    </row>
    <row r="2309" spans="1:9" x14ac:dyDescent="0.45">
      <c r="A2309" t="s">
        <v>70</v>
      </c>
      <c r="B2309" t="s">
        <v>40</v>
      </c>
      <c r="C2309" t="str">
        <f t="shared" si="72"/>
        <v>VCUMichigan</v>
      </c>
      <c r="D2309" t="s">
        <v>40</v>
      </c>
      <c r="E2309">
        <v>34.799999999999997</v>
      </c>
      <c r="F2309" s="1">
        <v>4.1207547169811303</v>
      </c>
      <c r="G2309" s="2">
        <v>187.46331753871101</v>
      </c>
      <c r="H2309" s="1">
        <v>140.35234566192599</v>
      </c>
      <c r="I2309" s="1">
        <f t="shared" si="73"/>
        <v>160.8882286294704</v>
      </c>
    </row>
    <row r="2310" spans="1:9" x14ac:dyDescent="0.45">
      <c r="A2310" t="s">
        <v>71</v>
      </c>
      <c r="B2310" t="s">
        <v>40</v>
      </c>
      <c r="C2310" t="str">
        <f t="shared" si="72"/>
        <v>WisconsinMichigan</v>
      </c>
      <c r="D2310" t="s">
        <v>71</v>
      </c>
      <c r="E2310">
        <v>85.9</v>
      </c>
      <c r="F2310" s="1">
        <v>-11.8339622641509</v>
      </c>
      <c r="G2310" s="2">
        <v>-608.092070610002</v>
      </c>
      <c r="H2310" s="1">
        <v>141.00560127025801</v>
      </c>
      <c r="I2310" s="1">
        <f t="shared" si="73"/>
        <v>170.06105808994135</v>
      </c>
    </row>
    <row r="2311" spans="1:9" x14ac:dyDescent="0.45">
      <c r="A2311" t="s">
        <v>80</v>
      </c>
      <c r="B2311" t="s">
        <v>40</v>
      </c>
      <c r="C2311" t="str">
        <f t="shared" si="72"/>
        <v>WoffordMichigan</v>
      </c>
      <c r="D2311" t="s">
        <v>40</v>
      </c>
      <c r="E2311">
        <v>5</v>
      </c>
      <c r="F2311" s="1">
        <v>19.339622641509401</v>
      </c>
      <c r="G2311" s="2">
        <v>1911.24667631794</v>
      </c>
      <c r="H2311" s="1">
        <v>139.10324969948499</v>
      </c>
      <c r="I2311" s="1">
        <f t="shared" si="73"/>
        <v>143.34877837891739</v>
      </c>
    </row>
    <row r="2312" spans="1:9" x14ac:dyDescent="0.45">
      <c r="A2312" t="s">
        <v>72</v>
      </c>
      <c r="B2312" t="s">
        <v>40</v>
      </c>
      <c r="C2312" t="str">
        <f t="shared" si="72"/>
        <v>XavierMichigan</v>
      </c>
      <c r="D2312" t="s">
        <v>40</v>
      </c>
      <c r="E2312">
        <v>34.5</v>
      </c>
      <c r="F2312" s="1">
        <v>4.1924528301886799</v>
      </c>
      <c r="G2312" s="2">
        <v>189.566802120571</v>
      </c>
      <c r="H2312" s="1">
        <v>139.846051870107</v>
      </c>
      <c r="I2312" s="1">
        <f t="shared" si="73"/>
        <v>153.77899519922269</v>
      </c>
    </row>
    <row r="2313" spans="1:9" x14ac:dyDescent="0.45">
      <c r="A2313" t="s">
        <v>73</v>
      </c>
      <c r="B2313" t="s">
        <v>40</v>
      </c>
      <c r="C2313" t="str">
        <f t="shared" si="72"/>
        <v>YaleMichigan</v>
      </c>
      <c r="D2313" t="s">
        <v>40</v>
      </c>
      <c r="E2313">
        <v>21.6</v>
      </c>
      <c r="F2313" s="1">
        <v>8.4415094339622598</v>
      </c>
      <c r="G2313" s="2">
        <v>362.49980334848101</v>
      </c>
      <c r="H2313" s="1">
        <v>140.44575800650099</v>
      </c>
      <c r="I2313" s="1">
        <f t="shared" si="73"/>
        <v>162.19989820468777</v>
      </c>
    </row>
    <row r="2314" spans="1:9" x14ac:dyDescent="0.45">
      <c r="A2314" t="s">
        <v>7</v>
      </c>
      <c r="B2314" t="s">
        <v>41</v>
      </c>
      <c r="C2314" t="str">
        <f t="shared" si="72"/>
        <v>AkronMichigan St.</v>
      </c>
      <c r="D2314" t="s">
        <v>41</v>
      </c>
      <c r="E2314">
        <v>1.5</v>
      </c>
      <c r="F2314" s="1">
        <v>27.452830188679201</v>
      </c>
      <c r="G2314" s="2">
        <v>6587.7462731836604</v>
      </c>
      <c r="H2314" s="1">
        <v>137.61550535787299</v>
      </c>
      <c r="I2314" s="1">
        <f t="shared" si="73"/>
        <v>122.4582954617749</v>
      </c>
    </row>
    <row r="2315" spans="1:9" x14ac:dyDescent="0.45">
      <c r="A2315" t="s">
        <v>8</v>
      </c>
      <c r="B2315" t="s">
        <v>41</v>
      </c>
      <c r="C2315" t="str">
        <f t="shared" si="72"/>
        <v>AlabamaMichigan St.</v>
      </c>
      <c r="D2315" t="s">
        <v>8</v>
      </c>
      <c r="E2315">
        <v>53.4</v>
      </c>
      <c r="F2315" s="1">
        <v>-0.88679245283018904</v>
      </c>
      <c r="G2315" s="2">
        <v>-114.496929531928</v>
      </c>
      <c r="H2315" s="1">
        <v>139.42311654546799</v>
      </c>
      <c r="I2315" s="1">
        <f t="shared" si="73"/>
        <v>147.84025765722393</v>
      </c>
    </row>
    <row r="2316" spans="1:9" x14ac:dyDescent="0.45">
      <c r="A2316" t="s">
        <v>9</v>
      </c>
      <c r="B2316" t="s">
        <v>41</v>
      </c>
      <c r="C2316" t="str">
        <f t="shared" si="72"/>
        <v>Alabama St.Michigan St.</v>
      </c>
      <c r="D2316" t="s">
        <v>41</v>
      </c>
      <c r="E2316">
        <v>0.2</v>
      </c>
      <c r="F2316" s="1">
        <v>39.769811320754698</v>
      </c>
      <c r="G2316" s="2">
        <v>43134.680100162397</v>
      </c>
      <c r="H2316" s="1">
        <v>137.802267117295</v>
      </c>
      <c r="I2316" s="1">
        <f t="shared" si="73"/>
        <v>125.08075097086703</v>
      </c>
    </row>
    <row r="2317" spans="1:9" x14ac:dyDescent="0.45">
      <c r="A2317" t="s">
        <v>10</v>
      </c>
      <c r="B2317" t="s">
        <v>41</v>
      </c>
      <c r="C2317" t="str">
        <f t="shared" si="72"/>
        <v>AmericanMichigan St.</v>
      </c>
      <c r="D2317" t="s">
        <v>41</v>
      </c>
      <c r="E2317">
        <v>0.3</v>
      </c>
      <c r="F2317" s="1">
        <v>39.0150943396226</v>
      </c>
      <c r="G2317" s="2">
        <v>38430.878430759098</v>
      </c>
      <c r="H2317" s="1">
        <v>137.56555663705601</v>
      </c>
      <c r="I2317" s="1">
        <f t="shared" si="73"/>
        <v>121.75692972992493</v>
      </c>
    </row>
    <row r="2318" spans="1:9" x14ac:dyDescent="0.45">
      <c r="A2318" t="s">
        <v>11</v>
      </c>
      <c r="B2318" t="s">
        <v>41</v>
      </c>
      <c r="C2318" t="str">
        <f t="shared" si="72"/>
        <v>ArizonaMichigan St.</v>
      </c>
      <c r="D2318" t="s">
        <v>41</v>
      </c>
      <c r="E2318">
        <v>42.9</v>
      </c>
      <c r="F2318" s="1">
        <v>1.8679245283018899</v>
      </c>
      <c r="G2318" s="2">
        <v>132.972043329136</v>
      </c>
      <c r="H2318" s="1">
        <v>139.03359588564501</v>
      </c>
      <c r="I2318" s="1">
        <f t="shared" si="73"/>
        <v>142.37071933514295</v>
      </c>
    </row>
    <row r="2319" spans="1:9" x14ac:dyDescent="0.45">
      <c r="A2319" t="s">
        <v>12</v>
      </c>
      <c r="B2319" t="s">
        <v>41</v>
      </c>
      <c r="C2319" t="str">
        <f t="shared" si="72"/>
        <v>ArkansasMichigan St.</v>
      </c>
      <c r="D2319" t="s">
        <v>41</v>
      </c>
      <c r="E2319">
        <v>4.7</v>
      </c>
      <c r="F2319" s="1">
        <v>19.769811320754702</v>
      </c>
      <c r="G2319" s="2">
        <v>2040.1398852361499</v>
      </c>
      <c r="H2319" s="1">
        <v>137.359519863435</v>
      </c>
      <c r="I2319" s="1">
        <f t="shared" si="73"/>
        <v>118.86381995343663</v>
      </c>
    </row>
    <row r="2320" spans="1:9" x14ac:dyDescent="0.45">
      <c r="A2320" t="s">
        <v>13</v>
      </c>
      <c r="B2320" t="s">
        <v>41</v>
      </c>
      <c r="C2320" t="str">
        <f t="shared" si="72"/>
        <v>AuburnMichigan St.</v>
      </c>
      <c r="D2320" t="s">
        <v>13</v>
      </c>
      <c r="E2320">
        <v>69.3</v>
      </c>
      <c r="F2320" s="1">
        <v>-5.3283018867924499</v>
      </c>
      <c r="G2320" s="2">
        <v>-225.37428579243601</v>
      </c>
      <c r="H2320" s="1">
        <v>140.44533277882101</v>
      </c>
      <c r="I2320" s="1">
        <f t="shared" si="73"/>
        <v>162.19392727854401</v>
      </c>
    </row>
    <row r="2321" spans="1:9" x14ac:dyDescent="0.45">
      <c r="A2321" t="s">
        <v>14</v>
      </c>
      <c r="B2321" t="s">
        <v>41</v>
      </c>
      <c r="C2321" t="str">
        <f t="shared" si="72"/>
        <v>BaylorMichigan St.</v>
      </c>
      <c r="D2321" t="s">
        <v>41</v>
      </c>
      <c r="E2321">
        <v>18.5</v>
      </c>
      <c r="F2321" s="1">
        <v>9.7207547169811299</v>
      </c>
      <c r="G2321" s="2">
        <v>440.61354116789698</v>
      </c>
      <c r="H2321" s="1">
        <v>138.908250140001</v>
      </c>
      <c r="I2321" s="1">
        <f t="shared" si="73"/>
        <v>140.61065002425886</v>
      </c>
    </row>
    <row r="2322" spans="1:9" x14ac:dyDescent="0.45">
      <c r="A2322" t="s">
        <v>15</v>
      </c>
      <c r="B2322" t="s">
        <v>41</v>
      </c>
      <c r="C2322" t="str">
        <f t="shared" si="72"/>
        <v>BryantMichigan St.</v>
      </c>
      <c r="D2322" t="s">
        <v>41</v>
      </c>
      <c r="E2322">
        <v>1.1000000000000001</v>
      </c>
      <c r="F2322" s="1">
        <v>29.792452830188701</v>
      </c>
      <c r="G2322" s="2">
        <v>9413.9015219864305</v>
      </c>
      <c r="H2322" s="1">
        <v>138.50057001564701</v>
      </c>
      <c r="I2322" s="1">
        <f t="shared" si="73"/>
        <v>134.88612166594729</v>
      </c>
    </row>
    <row r="2323" spans="1:9" x14ac:dyDescent="0.45">
      <c r="A2323" t="s">
        <v>16</v>
      </c>
      <c r="B2323" t="s">
        <v>41</v>
      </c>
      <c r="C2323" t="str">
        <f t="shared" si="72"/>
        <v>BYUMichigan St.</v>
      </c>
      <c r="D2323" t="s">
        <v>41</v>
      </c>
      <c r="E2323">
        <v>21.1</v>
      </c>
      <c r="F2323" s="1">
        <v>8.6264150943396203</v>
      </c>
      <c r="G2323" s="2">
        <v>372.86197694573701</v>
      </c>
      <c r="H2323" s="1">
        <v>138.670610690091</v>
      </c>
      <c r="I2323" s="1">
        <f t="shared" si="73"/>
        <v>137.27378445540376</v>
      </c>
    </row>
    <row r="2324" spans="1:9" x14ac:dyDescent="0.45">
      <c r="A2324" t="s">
        <v>17</v>
      </c>
      <c r="B2324" t="s">
        <v>41</v>
      </c>
      <c r="C2324" t="str">
        <f t="shared" si="72"/>
        <v>ClemsonMichigan St.</v>
      </c>
      <c r="D2324" t="s">
        <v>41</v>
      </c>
      <c r="E2324">
        <v>27.3</v>
      </c>
      <c r="F2324" s="1">
        <v>6.4226415094339604</v>
      </c>
      <c r="G2324" s="2">
        <v>266.38326159604998</v>
      </c>
      <c r="H2324" s="1">
        <v>139.020660912533</v>
      </c>
      <c r="I2324" s="1">
        <f t="shared" si="73"/>
        <v>142.18909012152594</v>
      </c>
    </row>
    <row r="2325" spans="1:9" x14ac:dyDescent="0.45">
      <c r="A2325" t="s">
        <v>18</v>
      </c>
      <c r="B2325" t="s">
        <v>41</v>
      </c>
      <c r="C2325" t="str">
        <f t="shared" si="72"/>
        <v>Colorado St.Michigan St.</v>
      </c>
      <c r="D2325" t="s">
        <v>41</v>
      </c>
      <c r="E2325">
        <v>5.9</v>
      </c>
      <c r="F2325" s="1">
        <v>18.203773584905701</v>
      </c>
      <c r="G2325" s="2">
        <v>1607.20335032708</v>
      </c>
      <c r="H2325" s="1">
        <v>138.41027188732701</v>
      </c>
      <c r="I2325" s="1">
        <f t="shared" si="73"/>
        <v>133.61818102967169</v>
      </c>
    </row>
    <row r="2326" spans="1:9" x14ac:dyDescent="0.45">
      <c r="A2326" t="s">
        <v>19</v>
      </c>
      <c r="B2326" t="s">
        <v>41</v>
      </c>
      <c r="C2326" t="str">
        <f t="shared" si="72"/>
        <v>ConnecticutMichigan St.</v>
      </c>
      <c r="D2326" t="s">
        <v>41</v>
      </c>
      <c r="E2326">
        <v>36.9</v>
      </c>
      <c r="F2326" s="1">
        <v>3.52830188679245</v>
      </c>
      <c r="G2326" s="2">
        <v>171.32494606108699</v>
      </c>
      <c r="H2326" s="1">
        <v>138.82091174328099</v>
      </c>
      <c r="I2326" s="1">
        <f t="shared" si="73"/>
        <v>139.38426909733622</v>
      </c>
    </row>
    <row r="2327" spans="1:9" x14ac:dyDescent="0.45">
      <c r="A2327" t="s">
        <v>20</v>
      </c>
      <c r="B2327" t="s">
        <v>41</v>
      </c>
      <c r="C2327" t="str">
        <f t="shared" si="72"/>
        <v>CreightonMichigan St.</v>
      </c>
      <c r="D2327" t="s">
        <v>41</v>
      </c>
      <c r="E2327">
        <v>15.3</v>
      </c>
      <c r="F2327" s="1">
        <v>11.2377358490566</v>
      </c>
      <c r="G2327" s="2">
        <v>555.20486591226904</v>
      </c>
      <c r="H2327" s="1">
        <v>138.37020849612</v>
      </c>
      <c r="I2327" s="1">
        <f t="shared" si="73"/>
        <v>133.05562228472897</v>
      </c>
    </row>
    <row r="2328" spans="1:9" x14ac:dyDescent="0.45">
      <c r="A2328" t="s">
        <v>21</v>
      </c>
      <c r="B2328" t="s">
        <v>41</v>
      </c>
      <c r="C2328" t="str">
        <f t="shared" si="72"/>
        <v>DrakeMichigan St.</v>
      </c>
      <c r="D2328" t="s">
        <v>41</v>
      </c>
      <c r="E2328">
        <v>5.7</v>
      </c>
      <c r="F2328" s="1">
        <v>18.411320754717</v>
      </c>
      <c r="G2328" s="2">
        <v>1658.21544952311</v>
      </c>
      <c r="H2328" s="1">
        <v>138.60488430179399</v>
      </c>
      <c r="I2328" s="1">
        <f t="shared" si="73"/>
        <v>136.35087320410878</v>
      </c>
    </row>
    <row r="2329" spans="1:9" x14ac:dyDescent="0.45">
      <c r="A2329" t="s">
        <v>22</v>
      </c>
      <c r="B2329" t="s">
        <v>41</v>
      </c>
      <c r="C2329" t="str">
        <f t="shared" si="72"/>
        <v>DukeMichigan St.</v>
      </c>
      <c r="D2329" t="s">
        <v>22</v>
      </c>
      <c r="E2329">
        <v>76</v>
      </c>
      <c r="F2329" s="1">
        <v>-7.5396226415094301</v>
      </c>
      <c r="G2329" s="2">
        <v>-315.944986926566</v>
      </c>
      <c r="H2329" s="1">
        <v>140.68522419039701</v>
      </c>
      <c r="I2329" s="1">
        <f t="shared" si="73"/>
        <v>165.56241425263497</v>
      </c>
    </row>
    <row r="2330" spans="1:9" x14ac:dyDescent="0.45">
      <c r="A2330" t="s">
        <v>23</v>
      </c>
      <c r="B2330" t="s">
        <v>41</v>
      </c>
      <c r="C2330" t="str">
        <f t="shared" si="72"/>
        <v>FloridaMichigan St.</v>
      </c>
      <c r="D2330" t="s">
        <v>23</v>
      </c>
      <c r="E2330">
        <v>63.7</v>
      </c>
      <c r="F2330" s="1">
        <v>-3.6830188679245301</v>
      </c>
      <c r="G2330" s="2">
        <v>-175.42008160093499</v>
      </c>
      <c r="H2330" s="1">
        <v>140.41987471795099</v>
      </c>
      <c r="I2330" s="1">
        <f t="shared" si="73"/>
        <v>161.83645242830696</v>
      </c>
    </row>
    <row r="2331" spans="1:9" x14ac:dyDescent="0.45">
      <c r="A2331" t="s">
        <v>24</v>
      </c>
      <c r="B2331" t="s">
        <v>41</v>
      </c>
      <c r="C2331" t="str">
        <f t="shared" si="72"/>
        <v>GeorgiaMichigan St.</v>
      </c>
      <c r="D2331" t="s">
        <v>41</v>
      </c>
      <c r="E2331">
        <v>6.6</v>
      </c>
      <c r="F2331" s="1">
        <v>17.377358490565999</v>
      </c>
      <c r="G2331" s="2">
        <v>1416.5640282004399</v>
      </c>
      <c r="H2331" s="1">
        <v>137.683833014236</v>
      </c>
      <c r="I2331" s="1">
        <f t="shared" si="73"/>
        <v>123.41773297942879</v>
      </c>
    </row>
    <row r="2332" spans="1:9" x14ac:dyDescent="0.45">
      <c r="A2332" t="s">
        <v>25</v>
      </c>
      <c r="B2332" t="s">
        <v>41</v>
      </c>
      <c r="C2332" t="str">
        <f t="shared" si="72"/>
        <v>GonzagaMichigan St.</v>
      </c>
      <c r="D2332" t="s">
        <v>41</v>
      </c>
      <c r="E2332">
        <v>26.3</v>
      </c>
      <c r="F2332" s="1">
        <v>6.7471698113207497</v>
      </c>
      <c r="G2332" s="2">
        <v>279.89643477533002</v>
      </c>
      <c r="H2332" s="1">
        <v>139.66079474474199</v>
      </c>
      <c r="I2332" s="1">
        <f t="shared" si="73"/>
        <v>151.1776673336276</v>
      </c>
    </row>
    <row r="2333" spans="1:9" x14ac:dyDescent="0.45">
      <c r="A2333" t="s">
        <v>26</v>
      </c>
      <c r="B2333" t="s">
        <v>41</v>
      </c>
      <c r="C2333" t="str">
        <f t="shared" si="72"/>
        <v>Grand CanyonMichigan St.</v>
      </c>
      <c r="D2333" t="s">
        <v>41</v>
      </c>
      <c r="E2333">
        <v>3.7</v>
      </c>
      <c r="F2333" s="1">
        <v>21.2981132075472</v>
      </c>
      <c r="G2333" s="2">
        <v>2576.1799839074101</v>
      </c>
      <c r="H2333" s="1">
        <v>138.47876646228099</v>
      </c>
      <c r="I2333" s="1">
        <f t="shared" si="73"/>
        <v>134.57996237070677</v>
      </c>
    </row>
    <row r="2334" spans="1:9" x14ac:dyDescent="0.45">
      <c r="A2334" t="s">
        <v>27</v>
      </c>
      <c r="B2334" t="s">
        <v>41</v>
      </c>
      <c r="C2334" t="str">
        <f t="shared" si="72"/>
        <v>High PointMichigan St.</v>
      </c>
      <c r="D2334" t="s">
        <v>41</v>
      </c>
      <c r="E2334">
        <v>2.4</v>
      </c>
      <c r="F2334" s="1">
        <v>24.388679245283001</v>
      </c>
      <c r="G2334" s="2">
        <v>4127.2261144832</v>
      </c>
      <c r="H2334" s="1">
        <v>138.66997359582999</v>
      </c>
      <c r="I2334" s="1">
        <f t="shared" si="73"/>
        <v>137.26483855898596</v>
      </c>
    </row>
    <row r="2335" spans="1:9" x14ac:dyDescent="0.45">
      <c r="A2335" t="s">
        <v>28</v>
      </c>
      <c r="B2335" t="s">
        <v>41</v>
      </c>
      <c r="C2335" t="str">
        <f t="shared" si="72"/>
        <v>HoustonMichigan St.</v>
      </c>
      <c r="D2335" t="s">
        <v>28</v>
      </c>
      <c r="E2335">
        <v>84.1</v>
      </c>
      <c r="F2335" s="1">
        <v>-10.8943396226415</v>
      </c>
      <c r="G2335" s="2">
        <v>-527.03763590119104</v>
      </c>
      <c r="H2335" s="1">
        <v>140.78343595303301</v>
      </c>
      <c r="I2335" s="1">
        <f t="shared" si="73"/>
        <v>166.94147589126752</v>
      </c>
    </row>
    <row r="2336" spans="1:9" x14ac:dyDescent="0.45">
      <c r="A2336" t="s">
        <v>29</v>
      </c>
      <c r="B2336" t="s">
        <v>41</v>
      </c>
      <c r="C2336" t="str">
        <f t="shared" si="72"/>
        <v>IllinoisMichigan St.</v>
      </c>
      <c r="D2336" t="s">
        <v>41</v>
      </c>
      <c r="E2336">
        <v>34.200000000000003</v>
      </c>
      <c r="F2336" s="1">
        <v>4.2905660377358501</v>
      </c>
      <c r="G2336" s="2">
        <v>192.47394620140199</v>
      </c>
      <c r="H2336" s="1">
        <v>138.84189972799399</v>
      </c>
      <c r="I2336" s="1">
        <f t="shared" si="73"/>
        <v>139.67897640950596</v>
      </c>
    </row>
    <row r="2337" spans="1:9" x14ac:dyDescent="0.45">
      <c r="A2337" t="s">
        <v>30</v>
      </c>
      <c r="B2337" t="s">
        <v>41</v>
      </c>
      <c r="C2337" t="str">
        <f t="shared" si="72"/>
        <v>Iowa St.Michigan St.</v>
      </c>
      <c r="D2337" t="s">
        <v>30</v>
      </c>
      <c r="E2337">
        <v>52.2</v>
      </c>
      <c r="F2337" s="1">
        <v>-0.56981132075471697</v>
      </c>
      <c r="G2337" s="2">
        <v>-109.064674795861</v>
      </c>
      <c r="H2337" s="1">
        <v>139.73844201958099</v>
      </c>
      <c r="I2337" s="1">
        <f t="shared" si="73"/>
        <v>152.26796828333858</v>
      </c>
    </row>
    <row r="2338" spans="1:9" x14ac:dyDescent="0.45">
      <c r="A2338" t="s">
        <v>31</v>
      </c>
      <c r="B2338" t="s">
        <v>41</v>
      </c>
      <c r="C2338" t="str">
        <f t="shared" si="72"/>
        <v>KansasMichigan St.</v>
      </c>
      <c r="D2338" t="s">
        <v>41</v>
      </c>
      <c r="E2338">
        <v>25.2</v>
      </c>
      <c r="F2338" s="1">
        <v>7.1471698113207598</v>
      </c>
      <c r="G2338" s="2">
        <v>297.52045333099301</v>
      </c>
      <c r="H2338" s="1">
        <v>138.789029908434</v>
      </c>
      <c r="I2338" s="1">
        <f t="shared" si="73"/>
        <v>138.9365934398933</v>
      </c>
    </row>
    <row r="2339" spans="1:9" x14ac:dyDescent="0.45">
      <c r="A2339" t="s">
        <v>32</v>
      </c>
      <c r="B2339" t="s">
        <v>41</v>
      </c>
      <c r="C2339" t="str">
        <f t="shared" si="72"/>
        <v>KentuckyMichigan St.</v>
      </c>
      <c r="D2339" t="s">
        <v>41</v>
      </c>
      <c r="E2339">
        <v>36</v>
      </c>
      <c r="F2339" s="1">
        <v>3.7849056603773601</v>
      </c>
      <c r="G2339" s="2">
        <v>178.08645311265701</v>
      </c>
      <c r="H2339" s="1">
        <v>138.72331224056001</v>
      </c>
      <c r="I2339" s="1">
        <f t="shared" si="73"/>
        <v>138.0138046382981</v>
      </c>
    </row>
    <row r="2340" spans="1:9" x14ac:dyDescent="0.45">
      <c r="A2340" t="s">
        <v>33</v>
      </c>
      <c r="B2340" t="s">
        <v>41</v>
      </c>
      <c r="C2340" t="str">
        <f t="shared" si="72"/>
        <v>LibertyMichigan St.</v>
      </c>
      <c r="D2340" t="s">
        <v>41</v>
      </c>
      <c r="E2340">
        <v>1.7</v>
      </c>
      <c r="F2340" s="1">
        <v>26.769811320754702</v>
      </c>
      <c r="G2340" s="2">
        <v>5935.5203628440404</v>
      </c>
      <c r="H2340" s="1">
        <v>138.068313284277</v>
      </c>
      <c r="I2340" s="1">
        <f t="shared" si="73"/>
        <v>128.81649558172305</v>
      </c>
    </row>
    <row r="2341" spans="1:9" x14ac:dyDescent="0.45">
      <c r="A2341" t="s">
        <v>34</v>
      </c>
      <c r="B2341" t="s">
        <v>41</v>
      </c>
      <c r="C2341" t="str">
        <f t="shared" si="72"/>
        <v>LipscombMichigan St.</v>
      </c>
      <c r="D2341" t="s">
        <v>41</v>
      </c>
      <c r="E2341">
        <v>1.3</v>
      </c>
      <c r="F2341" s="1">
        <v>28.633962264150899</v>
      </c>
      <c r="G2341" s="2">
        <v>7889.6384162341701</v>
      </c>
      <c r="H2341" s="1">
        <v>138.47463148186901</v>
      </c>
      <c r="I2341" s="1">
        <f t="shared" si="73"/>
        <v>134.52190015178715</v>
      </c>
    </row>
    <row r="2342" spans="1:9" x14ac:dyDescent="0.45">
      <c r="A2342" t="s">
        <v>35</v>
      </c>
      <c r="B2342" t="s">
        <v>41</v>
      </c>
      <c r="C2342" t="str">
        <f t="shared" si="72"/>
        <v>LouisvilleMichigan St.</v>
      </c>
      <c r="D2342" t="s">
        <v>41</v>
      </c>
      <c r="E2342">
        <v>3.1</v>
      </c>
      <c r="F2342" s="1">
        <v>22.584905660377402</v>
      </c>
      <c r="G2342" s="2">
        <v>3135.5899574374698</v>
      </c>
      <c r="H2342" s="1">
        <v>137.71999348768699</v>
      </c>
      <c r="I2342" s="1">
        <f t="shared" si="73"/>
        <v>123.92548806326613</v>
      </c>
    </row>
    <row r="2343" spans="1:9" x14ac:dyDescent="0.45">
      <c r="A2343" t="s">
        <v>36</v>
      </c>
      <c r="B2343" t="s">
        <v>41</v>
      </c>
      <c r="C2343" t="str">
        <f t="shared" si="72"/>
        <v>MarquetteMichigan St.</v>
      </c>
      <c r="D2343" t="s">
        <v>41</v>
      </c>
      <c r="E2343">
        <v>30.1</v>
      </c>
      <c r="F2343" s="1">
        <v>5.51698113207547</v>
      </c>
      <c r="G2343" s="2">
        <v>232.04700499207701</v>
      </c>
      <c r="H2343" s="1">
        <v>138.982127331149</v>
      </c>
      <c r="I2343" s="1">
        <f t="shared" si="73"/>
        <v>141.64801253102635</v>
      </c>
    </row>
    <row r="2344" spans="1:9" x14ac:dyDescent="0.45">
      <c r="A2344" t="s">
        <v>37</v>
      </c>
      <c r="B2344" t="s">
        <v>41</v>
      </c>
      <c r="C2344" t="str">
        <f t="shared" si="72"/>
        <v>MarylandMichigan St.</v>
      </c>
      <c r="D2344" t="s">
        <v>41</v>
      </c>
      <c r="E2344">
        <v>21</v>
      </c>
      <c r="F2344" s="1">
        <v>8.6867924528301899</v>
      </c>
      <c r="G2344" s="2">
        <v>376.192210811096</v>
      </c>
      <c r="H2344" s="1">
        <v>138.44049692969199</v>
      </c>
      <c r="I2344" s="1">
        <f t="shared" si="73"/>
        <v>134.04259247828878</v>
      </c>
    </row>
    <row r="2345" spans="1:9" x14ac:dyDescent="0.45">
      <c r="A2345" t="s">
        <v>38</v>
      </c>
      <c r="B2345" t="s">
        <v>41</v>
      </c>
      <c r="C2345" t="str">
        <f t="shared" si="72"/>
        <v>McNeese St.Michigan St.</v>
      </c>
      <c r="D2345" t="s">
        <v>41</v>
      </c>
      <c r="E2345">
        <v>5.8</v>
      </c>
      <c r="F2345" s="1">
        <v>18.2264150943396</v>
      </c>
      <c r="G2345" s="2">
        <v>1612.42481290923</v>
      </c>
      <c r="H2345" s="1">
        <v>139.03373234265601</v>
      </c>
      <c r="I2345" s="1">
        <f t="shared" si="73"/>
        <v>142.37263542568175</v>
      </c>
    </row>
    <row r="2346" spans="1:9" x14ac:dyDescent="0.45">
      <c r="A2346" t="s">
        <v>39</v>
      </c>
      <c r="B2346" t="s">
        <v>41</v>
      </c>
      <c r="C2346" t="str">
        <f t="shared" si="72"/>
        <v>MemphisMichigan St.</v>
      </c>
      <c r="D2346" t="s">
        <v>41</v>
      </c>
      <c r="E2346">
        <v>13</v>
      </c>
      <c r="F2346" s="1">
        <v>12.449056603773601</v>
      </c>
      <c r="G2346" s="2">
        <v>668.05184192720401</v>
      </c>
      <c r="H2346" s="1">
        <v>137.56801416918199</v>
      </c>
      <c r="I2346" s="1">
        <f t="shared" si="73"/>
        <v>121.79143769709397</v>
      </c>
    </row>
    <row r="2347" spans="1:9" x14ac:dyDescent="0.45">
      <c r="A2347" t="s">
        <v>40</v>
      </c>
      <c r="B2347" t="s">
        <v>41</v>
      </c>
      <c r="C2347" t="str">
        <f t="shared" si="72"/>
        <v>MichiganMichigan St.</v>
      </c>
      <c r="D2347" t="s">
        <v>41</v>
      </c>
      <c r="E2347">
        <v>6.9</v>
      </c>
      <c r="F2347" s="1">
        <v>17.075471698113201</v>
      </c>
      <c r="G2347" s="2">
        <v>1352.71030949482</v>
      </c>
      <c r="H2347" s="1">
        <v>137.130635466098</v>
      </c>
      <c r="I2347" s="1">
        <f t="shared" si="73"/>
        <v>115.64989034279658</v>
      </c>
    </row>
    <row r="2348" spans="1:9" x14ac:dyDescent="0.45">
      <c r="A2348" t="s">
        <v>41</v>
      </c>
      <c r="B2348" t="s">
        <v>41</v>
      </c>
      <c r="C2348" t="str">
        <f t="shared" si="72"/>
        <v>Michigan St.Michigan St.</v>
      </c>
      <c r="D2348" t="s">
        <v>41</v>
      </c>
      <c r="E2348">
        <v>41.2</v>
      </c>
      <c r="F2348" s="1">
        <v>2.3283018867924499</v>
      </c>
      <c r="G2348" s="2">
        <v>142.64273539779199</v>
      </c>
      <c r="H2348" s="1">
        <v>138.77771517530499</v>
      </c>
      <c r="I2348" s="1">
        <f t="shared" si="73"/>
        <v>138.77771517530684</v>
      </c>
    </row>
    <row r="2349" spans="1:9" x14ac:dyDescent="0.45">
      <c r="A2349" t="s">
        <v>42</v>
      </c>
      <c r="B2349" t="s">
        <v>41</v>
      </c>
      <c r="C2349" t="str">
        <f t="shared" si="72"/>
        <v>MississippiMichigan St.</v>
      </c>
      <c r="D2349" t="s">
        <v>41</v>
      </c>
      <c r="E2349">
        <v>16.100000000000001</v>
      </c>
      <c r="F2349" s="1">
        <v>10.822641509434</v>
      </c>
      <c r="G2349" s="2">
        <v>521.34003126566699</v>
      </c>
      <c r="H2349" s="1">
        <v>138.04540652519501</v>
      </c>
      <c r="I2349" s="1">
        <f t="shared" si="73"/>
        <v>128.49484538558053</v>
      </c>
    </row>
    <row r="2350" spans="1:9" x14ac:dyDescent="0.45">
      <c r="A2350" t="s">
        <v>43</v>
      </c>
      <c r="B2350" t="s">
        <v>41</v>
      </c>
      <c r="C2350" t="str">
        <f t="shared" si="72"/>
        <v>Mississippi St.Michigan St.</v>
      </c>
      <c r="D2350" t="s">
        <v>41</v>
      </c>
      <c r="E2350">
        <v>12.9</v>
      </c>
      <c r="F2350" s="1">
        <v>12.547169811320799</v>
      </c>
      <c r="G2350" s="2">
        <v>678.10725314023705</v>
      </c>
      <c r="H2350" s="1">
        <v>138.185152997872</v>
      </c>
      <c r="I2350" s="1">
        <f t="shared" si="73"/>
        <v>130.45712560976634</v>
      </c>
    </row>
    <row r="2351" spans="1:9" x14ac:dyDescent="0.45">
      <c r="A2351" t="s">
        <v>44</v>
      </c>
      <c r="B2351" t="s">
        <v>41</v>
      </c>
      <c r="C2351" t="str">
        <f t="shared" si="72"/>
        <v>MissouriMichigan St.</v>
      </c>
      <c r="D2351" t="s">
        <v>41</v>
      </c>
      <c r="E2351">
        <v>6.5</v>
      </c>
      <c r="F2351" s="1">
        <v>17.4830188679245</v>
      </c>
      <c r="G2351" s="2">
        <v>1439.38400247811</v>
      </c>
      <c r="H2351" s="1">
        <v>137.602814896517</v>
      </c>
      <c r="I2351" s="1">
        <f t="shared" si="73"/>
        <v>122.28009961269464</v>
      </c>
    </row>
    <row r="2352" spans="1:9" x14ac:dyDescent="0.45">
      <c r="A2352" t="s">
        <v>45</v>
      </c>
      <c r="B2352" t="s">
        <v>41</v>
      </c>
      <c r="C2352" t="str">
        <f t="shared" si="72"/>
        <v>MontanaMichigan St.</v>
      </c>
      <c r="D2352" t="s">
        <v>41</v>
      </c>
      <c r="E2352">
        <v>0.6</v>
      </c>
      <c r="F2352" s="1">
        <v>33.286792452830198</v>
      </c>
      <c r="G2352" s="2">
        <v>16044.360597090499</v>
      </c>
      <c r="H2352" s="1">
        <v>136.73952645992301</v>
      </c>
      <c r="I2352" s="1">
        <f t="shared" si="73"/>
        <v>110.15804891298058</v>
      </c>
    </row>
    <row r="2353" spans="1:9" x14ac:dyDescent="0.45">
      <c r="A2353" t="s">
        <v>46</v>
      </c>
      <c r="B2353" t="s">
        <v>41</v>
      </c>
      <c r="C2353" t="str">
        <f t="shared" si="72"/>
        <v>Mount St. Mary'sMichigan St.</v>
      </c>
      <c r="D2353" t="s">
        <v>41</v>
      </c>
      <c r="E2353">
        <v>0.2</v>
      </c>
      <c r="F2353" s="1">
        <v>39.622641509433997</v>
      </c>
      <c r="G2353" s="2">
        <v>42164.460970543703</v>
      </c>
      <c r="H2353" s="1">
        <v>138.042814414074</v>
      </c>
      <c r="I2353" s="1">
        <f t="shared" si="73"/>
        <v>128.45844769843893</v>
      </c>
    </row>
    <row r="2354" spans="1:9" x14ac:dyDescent="0.45">
      <c r="A2354" t="s">
        <v>47</v>
      </c>
      <c r="B2354" t="s">
        <v>41</v>
      </c>
      <c r="C2354" t="str">
        <f t="shared" si="72"/>
        <v>Nebraska OmahaMichigan St.</v>
      </c>
      <c r="D2354" t="s">
        <v>41</v>
      </c>
      <c r="E2354">
        <v>0.3</v>
      </c>
      <c r="F2354" s="1">
        <v>37.430188679245298</v>
      </c>
      <c r="G2354" s="2">
        <v>30188.67356367</v>
      </c>
      <c r="H2354" s="1">
        <v>137.460590546177</v>
      </c>
      <c r="I2354" s="1">
        <f t="shared" si="73"/>
        <v>120.28302573509535</v>
      </c>
    </row>
    <row r="2355" spans="1:9" x14ac:dyDescent="0.45">
      <c r="A2355" t="s">
        <v>48</v>
      </c>
      <c r="B2355" t="s">
        <v>41</v>
      </c>
      <c r="C2355" t="str">
        <f t="shared" si="72"/>
        <v>New MexicoMichigan St.</v>
      </c>
      <c r="D2355" t="s">
        <v>41</v>
      </c>
      <c r="E2355">
        <v>7.4</v>
      </c>
      <c r="F2355" s="1">
        <v>16.600000000000001</v>
      </c>
      <c r="G2355" s="2">
        <v>1258.2323228753601</v>
      </c>
      <c r="H2355" s="1">
        <v>138.23058047799401</v>
      </c>
      <c r="I2355" s="1">
        <f t="shared" si="73"/>
        <v>131.09500536565875</v>
      </c>
    </row>
    <row r="2356" spans="1:9" x14ac:dyDescent="0.45">
      <c r="A2356" t="s">
        <v>49</v>
      </c>
      <c r="B2356" t="s">
        <v>41</v>
      </c>
      <c r="C2356" t="str">
        <f t="shared" si="72"/>
        <v>Norfolk St.Michigan St.</v>
      </c>
      <c r="D2356" t="s">
        <v>41</v>
      </c>
      <c r="E2356">
        <v>0.5</v>
      </c>
      <c r="F2356" s="1">
        <v>35.166037735849102</v>
      </c>
      <c r="G2356" s="2">
        <v>21369.3442251704</v>
      </c>
      <c r="H2356" s="1">
        <v>137.26670624195799</v>
      </c>
      <c r="I2356" s="1">
        <f t="shared" si="73"/>
        <v>117.5605574776791</v>
      </c>
    </row>
    <row r="2357" spans="1:9" x14ac:dyDescent="0.45">
      <c r="A2357" t="s">
        <v>50</v>
      </c>
      <c r="B2357" t="s">
        <v>41</v>
      </c>
      <c r="C2357" t="str">
        <f t="shared" si="72"/>
        <v>North CarolinaMichigan St.</v>
      </c>
      <c r="D2357" t="s">
        <v>41</v>
      </c>
      <c r="E2357">
        <v>21.3</v>
      </c>
      <c r="F2357" s="1">
        <v>8.5509433962264207</v>
      </c>
      <c r="G2357" s="2">
        <v>368.47144121529499</v>
      </c>
      <c r="H2357" s="1">
        <v>139.34031219642799</v>
      </c>
      <c r="I2357" s="1">
        <f t="shared" si="73"/>
        <v>146.67754253830034</v>
      </c>
    </row>
    <row r="2358" spans="1:9" x14ac:dyDescent="0.45">
      <c r="A2358" t="s">
        <v>51</v>
      </c>
      <c r="B2358" t="s">
        <v>41</v>
      </c>
      <c r="C2358" t="str">
        <f t="shared" si="72"/>
        <v>OklahomaMichigan St.</v>
      </c>
      <c r="D2358" t="s">
        <v>41</v>
      </c>
      <c r="E2358">
        <v>8.6999999999999993</v>
      </c>
      <c r="F2358" s="1">
        <v>15.4339622641509</v>
      </c>
      <c r="G2358" s="2">
        <v>1052.88527736385</v>
      </c>
      <c r="H2358" s="1">
        <v>137.76393532260201</v>
      </c>
      <c r="I2358" s="1">
        <f t="shared" si="73"/>
        <v>124.54250681169265</v>
      </c>
    </row>
    <row r="2359" spans="1:9" x14ac:dyDescent="0.45">
      <c r="A2359" t="s">
        <v>52</v>
      </c>
      <c r="B2359" t="s">
        <v>41</v>
      </c>
      <c r="C2359" t="str">
        <f t="shared" si="72"/>
        <v>OregonMichigan St.</v>
      </c>
      <c r="D2359" t="s">
        <v>41</v>
      </c>
      <c r="E2359">
        <v>21</v>
      </c>
      <c r="F2359" s="1">
        <v>8.6641509433962298</v>
      </c>
      <c r="G2359" s="2">
        <v>375.072140636754</v>
      </c>
      <c r="H2359" s="1">
        <v>138.05465271413101</v>
      </c>
      <c r="I2359" s="1">
        <f t="shared" si="73"/>
        <v>128.62467774092121</v>
      </c>
    </row>
    <row r="2360" spans="1:9" x14ac:dyDescent="0.45">
      <c r="A2360" t="s">
        <v>53</v>
      </c>
      <c r="B2360" t="s">
        <v>41</v>
      </c>
      <c r="C2360" t="str">
        <f t="shared" si="72"/>
        <v>PurdueMichigan St.</v>
      </c>
      <c r="D2360" t="s">
        <v>53</v>
      </c>
      <c r="E2360">
        <v>60.2</v>
      </c>
      <c r="F2360" s="1">
        <v>-2.7056603773584902</v>
      </c>
      <c r="G2360" s="2">
        <v>-151.107079823455</v>
      </c>
      <c r="H2360" s="1">
        <v>139.54273991392901</v>
      </c>
      <c r="I2360" s="1">
        <f t="shared" si="73"/>
        <v>149.5199749751996</v>
      </c>
    </row>
    <row r="2361" spans="1:9" x14ac:dyDescent="0.45">
      <c r="A2361" t="s">
        <v>54</v>
      </c>
      <c r="B2361" t="s">
        <v>41</v>
      </c>
      <c r="C2361" t="str">
        <f t="shared" si="72"/>
        <v>Robert MorrisMichigan St.</v>
      </c>
      <c r="D2361" t="s">
        <v>41</v>
      </c>
      <c r="E2361">
        <v>0.2</v>
      </c>
      <c r="F2361" s="1">
        <v>41.181132075471702</v>
      </c>
      <c r="G2361" s="2">
        <v>53499.544900542904</v>
      </c>
      <c r="H2361" s="1">
        <v>136.62570524261699</v>
      </c>
      <c r="I2361" s="1">
        <f t="shared" si="73"/>
        <v>108.55980375133976</v>
      </c>
    </row>
    <row r="2362" spans="1:9" x14ac:dyDescent="0.45">
      <c r="A2362" t="s">
        <v>55</v>
      </c>
      <c r="B2362" t="s">
        <v>41</v>
      </c>
      <c r="C2362" t="str">
        <f t="shared" si="72"/>
        <v>Saint FrancisMichigan St.</v>
      </c>
      <c r="D2362" t="s">
        <v>41</v>
      </c>
      <c r="E2362">
        <v>0.1</v>
      </c>
      <c r="F2362" s="1">
        <v>44.547169811320799</v>
      </c>
      <c r="G2362" s="2">
        <v>89357.761784611706</v>
      </c>
      <c r="H2362" s="1">
        <v>137.33255312466</v>
      </c>
      <c r="I2362" s="1">
        <f t="shared" si="73"/>
        <v>118.48516067713933</v>
      </c>
    </row>
    <row r="2363" spans="1:9" x14ac:dyDescent="0.45">
      <c r="A2363" t="s">
        <v>56</v>
      </c>
      <c r="B2363" t="s">
        <v>41</v>
      </c>
      <c r="C2363" t="str">
        <f t="shared" si="72"/>
        <v>Saint Mary'sMichigan St.</v>
      </c>
      <c r="D2363" t="s">
        <v>41</v>
      </c>
      <c r="E2363">
        <v>20.7</v>
      </c>
      <c r="F2363" s="1">
        <v>8.8113207547169807</v>
      </c>
      <c r="G2363" s="2">
        <v>383.41412404522902</v>
      </c>
      <c r="H2363" s="1">
        <v>139.06175924060199</v>
      </c>
      <c r="I2363" s="1">
        <f t="shared" si="73"/>
        <v>142.76618115553916</v>
      </c>
    </row>
    <row r="2364" spans="1:9" x14ac:dyDescent="0.45">
      <c r="A2364" t="s">
        <v>57</v>
      </c>
      <c r="B2364" t="s">
        <v>41</v>
      </c>
      <c r="C2364" t="str">
        <f t="shared" si="72"/>
        <v>San Diego St.Michigan St.</v>
      </c>
      <c r="D2364" t="s">
        <v>41</v>
      </c>
      <c r="E2364">
        <v>7.5</v>
      </c>
      <c r="F2364" s="1">
        <v>16.4830188679245</v>
      </c>
      <c r="G2364" s="2">
        <v>1236.1400379598499</v>
      </c>
      <c r="H2364" s="1">
        <v>138.27645840362999</v>
      </c>
      <c r="I2364" s="1">
        <f t="shared" si="73"/>
        <v>131.73921014934751</v>
      </c>
    </row>
    <row r="2365" spans="1:9" x14ac:dyDescent="0.45">
      <c r="A2365" t="s">
        <v>58</v>
      </c>
      <c r="B2365" t="s">
        <v>41</v>
      </c>
      <c r="C2365" t="str">
        <f t="shared" si="72"/>
        <v>SIU EdwardsvilleMichigan St.</v>
      </c>
      <c r="D2365" t="s">
        <v>41</v>
      </c>
      <c r="E2365">
        <v>0.4</v>
      </c>
      <c r="F2365" s="1">
        <v>36.456603773584902</v>
      </c>
      <c r="G2365" s="2">
        <v>26022.436212066099</v>
      </c>
      <c r="H2365" s="1">
        <v>138.33571658381399</v>
      </c>
      <c r="I2365" s="1">
        <f t="shared" si="73"/>
        <v>132.57129666193578</v>
      </c>
    </row>
    <row r="2366" spans="1:9" x14ac:dyDescent="0.45">
      <c r="A2366" t="s">
        <v>59</v>
      </c>
      <c r="B2366" t="s">
        <v>41</v>
      </c>
      <c r="C2366" t="str">
        <f t="shared" si="72"/>
        <v>St. John'sMichigan St.</v>
      </c>
      <c r="D2366" t="s">
        <v>41</v>
      </c>
      <c r="E2366">
        <v>43.1</v>
      </c>
      <c r="F2366" s="1">
        <v>1.82641509433962</v>
      </c>
      <c r="G2366" s="2">
        <v>132.135179152017</v>
      </c>
      <c r="H2366" s="1">
        <v>139.15517303236899</v>
      </c>
      <c r="I2366" s="1">
        <f t="shared" si="73"/>
        <v>144.07787105181509</v>
      </c>
    </row>
    <row r="2367" spans="1:9" x14ac:dyDescent="0.45">
      <c r="A2367" t="s">
        <v>60</v>
      </c>
      <c r="B2367" t="s">
        <v>41</v>
      </c>
      <c r="C2367" t="str">
        <f t="shared" si="72"/>
        <v>TennesseeMichigan St.</v>
      </c>
      <c r="D2367" t="s">
        <v>60</v>
      </c>
      <c r="E2367">
        <v>62.6</v>
      </c>
      <c r="F2367" s="1">
        <v>-3.3886792452830199</v>
      </c>
      <c r="G2367" s="2">
        <v>-167.70230608580201</v>
      </c>
      <c r="H2367" s="1">
        <v>139.94840540650301</v>
      </c>
      <c r="I2367" s="1">
        <f t="shared" si="73"/>
        <v>155.2162144470359</v>
      </c>
    </row>
    <row r="2368" spans="1:9" x14ac:dyDescent="0.45">
      <c r="A2368" t="s">
        <v>61</v>
      </c>
      <c r="B2368" t="s">
        <v>41</v>
      </c>
      <c r="C2368" t="str">
        <f t="shared" si="72"/>
        <v>TexasMichigan St.</v>
      </c>
      <c r="D2368" t="s">
        <v>41</v>
      </c>
      <c r="E2368">
        <v>6.3</v>
      </c>
      <c r="F2368" s="1">
        <v>17.705660377358502</v>
      </c>
      <c r="G2368" s="2">
        <v>1489.7239124948301</v>
      </c>
      <c r="H2368" s="1">
        <v>137.64828723414101</v>
      </c>
      <c r="I2368" s="1">
        <f t="shared" si="73"/>
        <v>122.91860924487213</v>
      </c>
    </row>
    <row r="2369" spans="1:9" x14ac:dyDescent="0.45">
      <c r="A2369" t="s">
        <v>62</v>
      </c>
      <c r="B2369" t="s">
        <v>41</v>
      </c>
      <c r="C2369" t="str">
        <f t="shared" si="72"/>
        <v>Texas A&amp;MMichigan St.</v>
      </c>
      <c r="D2369" t="s">
        <v>41</v>
      </c>
      <c r="E2369">
        <v>27.6</v>
      </c>
      <c r="F2369" s="1">
        <v>6.3056603773584898</v>
      </c>
      <c r="G2369" s="2">
        <v>261.66853912749798</v>
      </c>
      <c r="H2369" s="1">
        <v>138.43526254353901</v>
      </c>
      <c r="I2369" s="1">
        <f t="shared" si="73"/>
        <v>133.96909271663483</v>
      </c>
    </row>
    <row r="2370" spans="1:9" x14ac:dyDescent="0.45">
      <c r="A2370" t="s">
        <v>63</v>
      </c>
      <c r="B2370" t="s">
        <v>41</v>
      </c>
      <c r="C2370" t="str">
        <f t="shared" si="72"/>
        <v>Texas TechMichigan St.</v>
      </c>
      <c r="D2370" t="s">
        <v>41</v>
      </c>
      <c r="E2370">
        <v>42.5</v>
      </c>
      <c r="F2370" s="1">
        <v>1.97358490566038</v>
      </c>
      <c r="G2370" s="2">
        <v>135.09400229600999</v>
      </c>
      <c r="H2370" s="1">
        <v>139.425775148778</v>
      </c>
      <c r="I2370" s="1">
        <f t="shared" si="73"/>
        <v>147.87758900877256</v>
      </c>
    </row>
    <row r="2371" spans="1:9" x14ac:dyDescent="0.45">
      <c r="A2371" t="s">
        <v>64</v>
      </c>
      <c r="B2371" t="s">
        <v>41</v>
      </c>
      <c r="C2371" t="str">
        <f t="shared" ref="C2371:C2434" si="74">A2371&amp;B2371</f>
        <v>TroyMichigan St.</v>
      </c>
      <c r="D2371" t="s">
        <v>41</v>
      </c>
      <c r="E2371">
        <v>1.1000000000000001</v>
      </c>
      <c r="F2371" s="1">
        <v>29.781132075471699</v>
      </c>
      <c r="G2371" s="2">
        <v>9396.7426355102907</v>
      </c>
      <c r="H2371" s="1">
        <v>138.19207974333699</v>
      </c>
      <c r="I2371" s="1">
        <f t="shared" ref="I2371:I2434" si="75">18*(H2371-AVERAGE($H$2:$H$4625))/_xlfn.STDEV.P($H$2:$H$4625)+AVERAGE($H$2:$H$4625)</f>
        <v>130.55438899955755</v>
      </c>
    </row>
    <row r="2372" spans="1:9" x14ac:dyDescent="0.45">
      <c r="A2372" t="s">
        <v>65</v>
      </c>
      <c r="B2372" t="s">
        <v>41</v>
      </c>
      <c r="C2372" t="str">
        <f t="shared" si="74"/>
        <v>UC San DiegoMichigan St.</v>
      </c>
      <c r="D2372" t="s">
        <v>41</v>
      </c>
      <c r="E2372">
        <v>2.7</v>
      </c>
      <c r="F2372" s="1">
        <v>23.6</v>
      </c>
      <c r="G2372" s="2">
        <v>3659.7331488455202</v>
      </c>
      <c r="H2372" s="1">
        <v>138.26219997300001</v>
      </c>
      <c r="I2372" s="1">
        <f t="shared" si="75"/>
        <v>131.5389973216663</v>
      </c>
    </row>
    <row r="2373" spans="1:9" x14ac:dyDescent="0.45">
      <c r="A2373" t="s">
        <v>66</v>
      </c>
      <c r="B2373" t="s">
        <v>41</v>
      </c>
      <c r="C2373" t="str">
        <f t="shared" si="74"/>
        <v>UCLAMichigan St.</v>
      </c>
      <c r="D2373" t="s">
        <v>41</v>
      </c>
      <c r="E2373">
        <v>8.6</v>
      </c>
      <c r="F2373" s="1">
        <v>15.498113207547201</v>
      </c>
      <c r="G2373" s="2">
        <v>1063.55013779724</v>
      </c>
      <c r="H2373" s="1">
        <v>137.483458552212</v>
      </c>
      <c r="I2373" s="1">
        <f t="shared" si="75"/>
        <v>120.6041317719737</v>
      </c>
    </row>
    <row r="2374" spans="1:9" x14ac:dyDescent="0.45">
      <c r="A2374" t="s">
        <v>67</v>
      </c>
      <c r="B2374" t="s">
        <v>41</v>
      </c>
      <c r="C2374" t="str">
        <f t="shared" si="74"/>
        <v>UNC WilmingtonMichigan St.</v>
      </c>
      <c r="D2374" t="s">
        <v>41</v>
      </c>
      <c r="E2374">
        <v>1.6</v>
      </c>
      <c r="F2374" s="1">
        <v>27.192452830188699</v>
      </c>
      <c r="G2374" s="2">
        <v>6330.1268018748497</v>
      </c>
      <c r="H2374" s="1">
        <v>138.79886844366399</v>
      </c>
      <c r="I2374" s="1">
        <f t="shared" si="75"/>
        <v>139.07474335342556</v>
      </c>
    </row>
    <row r="2375" spans="1:9" x14ac:dyDescent="0.45">
      <c r="A2375" t="s">
        <v>68</v>
      </c>
      <c r="B2375" t="s">
        <v>41</v>
      </c>
      <c r="C2375" t="str">
        <f t="shared" si="74"/>
        <v>Utah St.Michigan St.</v>
      </c>
      <c r="D2375" t="s">
        <v>41</v>
      </c>
      <c r="E2375">
        <v>8.1999999999999993</v>
      </c>
      <c r="F2375" s="1">
        <v>15.864150943396201</v>
      </c>
      <c r="G2375" s="2">
        <v>1124.5382220092899</v>
      </c>
      <c r="H2375" s="1">
        <v>138.346054942243</v>
      </c>
      <c r="I2375" s="1">
        <f t="shared" si="75"/>
        <v>132.71646495067449</v>
      </c>
    </row>
    <row r="2376" spans="1:9" x14ac:dyDescent="0.45">
      <c r="A2376" t="s">
        <v>69</v>
      </c>
      <c r="B2376" t="s">
        <v>41</v>
      </c>
      <c r="C2376" t="str">
        <f t="shared" si="74"/>
        <v>VanderbiltMichigan St.</v>
      </c>
      <c r="D2376" t="s">
        <v>41</v>
      </c>
      <c r="E2376">
        <v>1.7</v>
      </c>
      <c r="F2376" s="1">
        <v>26.513207547169799</v>
      </c>
      <c r="G2376" s="2">
        <v>5706.8070601277204</v>
      </c>
      <c r="H2376" s="1">
        <v>136.78009282352599</v>
      </c>
      <c r="I2376" s="1">
        <f t="shared" si="75"/>
        <v>110.7276702532576</v>
      </c>
    </row>
    <row r="2377" spans="1:9" x14ac:dyDescent="0.45">
      <c r="A2377" t="s">
        <v>70</v>
      </c>
      <c r="B2377" t="s">
        <v>41</v>
      </c>
      <c r="C2377" t="str">
        <f t="shared" si="74"/>
        <v>VCUMichigan St.</v>
      </c>
      <c r="D2377" t="s">
        <v>41</v>
      </c>
      <c r="E2377">
        <v>5.3</v>
      </c>
      <c r="F2377" s="1">
        <v>18.864150943396201</v>
      </c>
      <c r="G2377" s="2">
        <v>1777.7530806566499</v>
      </c>
      <c r="H2377" s="1">
        <v>138.705265952719</v>
      </c>
      <c r="I2377" s="1">
        <f t="shared" si="75"/>
        <v>137.76040379696013</v>
      </c>
    </row>
    <row r="2378" spans="1:9" x14ac:dyDescent="0.45">
      <c r="A2378" t="s">
        <v>71</v>
      </c>
      <c r="B2378" t="s">
        <v>41</v>
      </c>
      <c r="C2378" t="str">
        <f t="shared" si="74"/>
        <v>WisconsinMichigan St.</v>
      </c>
      <c r="D2378" t="s">
        <v>41</v>
      </c>
      <c r="E2378">
        <v>39.1</v>
      </c>
      <c r="F2378" s="1">
        <v>2.9132075471698098</v>
      </c>
      <c r="G2378" s="2">
        <v>155.95015153327699</v>
      </c>
      <c r="H2378" s="1">
        <v>139.35852156105099</v>
      </c>
      <c r="I2378" s="1">
        <f t="shared" si="75"/>
        <v>146.93323325743069</v>
      </c>
    </row>
    <row r="2379" spans="1:9" x14ac:dyDescent="0.45">
      <c r="A2379" t="s">
        <v>80</v>
      </c>
      <c r="B2379" t="s">
        <v>41</v>
      </c>
      <c r="C2379" t="str">
        <f t="shared" si="74"/>
        <v>WoffordMichigan St.</v>
      </c>
      <c r="D2379" t="s">
        <v>41</v>
      </c>
      <c r="E2379">
        <v>0.5</v>
      </c>
      <c r="F2379" s="1">
        <v>34.086792452830203</v>
      </c>
      <c r="G2379" s="2">
        <v>18124.7441437036</v>
      </c>
      <c r="H2379" s="1">
        <v>137.456169990278</v>
      </c>
      <c r="I2379" s="1">
        <f t="shared" si="75"/>
        <v>120.22095354640712</v>
      </c>
    </row>
    <row r="2380" spans="1:9" x14ac:dyDescent="0.45">
      <c r="A2380" t="s">
        <v>72</v>
      </c>
      <c r="B2380" t="s">
        <v>41</v>
      </c>
      <c r="C2380" t="str">
        <f t="shared" si="74"/>
        <v>XavierMichigan St.</v>
      </c>
      <c r="D2380" t="s">
        <v>41</v>
      </c>
      <c r="E2380">
        <v>5.3</v>
      </c>
      <c r="F2380" s="1">
        <v>18.939622641509398</v>
      </c>
      <c r="G2380" s="2">
        <v>1797.7008562781</v>
      </c>
      <c r="H2380" s="1">
        <v>138.19897216089899</v>
      </c>
      <c r="I2380" s="1">
        <f t="shared" si="75"/>
        <v>130.65117036669804</v>
      </c>
    </row>
    <row r="2381" spans="1:9" x14ac:dyDescent="0.45">
      <c r="A2381" t="s">
        <v>73</v>
      </c>
      <c r="B2381" t="s">
        <v>41</v>
      </c>
      <c r="C2381" t="str">
        <f t="shared" si="74"/>
        <v>YaleMichigan St.</v>
      </c>
      <c r="D2381" t="s">
        <v>41</v>
      </c>
      <c r="E2381">
        <v>2.8</v>
      </c>
      <c r="F2381" s="1">
        <v>23.188679245283002</v>
      </c>
      <c r="G2381" s="2">
        <v>3437.6599678340699</v>
      </c>
      <c r="H2381" s="1">
        <v>138.79867829729301</v>
      </c>
      <c r="I2381" s="1">
        <f t="shared" si="75"/>
        <v>139.07207337216354</v>
      </c>
    </row>
    <row r="2382" spans="1:9" x14ac:dyDescent="0.45">
      <c r="A2382" t="s">
        <v>7</v>
      </c>
      <c r="B2382" t="s">
        <v>42</v>
      </c>
      <c r="C2382" t="str">
        <f t="shared" si="74"/>
        <v>AkronMississippi</v>
      </c>
      <c r="D2382" t="s">
        <v>42</v>
      </c>
      <c r="E2382">
        <v>5.3</v>
      </c>
      <c r="F2382" s="1">
        <v>18.954716981132101</v>
      </c>
      <c r="G2382" s="2">
        <v>1802.4592246105001</v>
      </c>
      <c r="H2382" s="1">
        <v>138.347814007984</v>
      </c>
      <c r="I2382" s="1">
        <f t="shared" si="75"/>
        <v>132.74116525151558</v>
      </c>
    </row>
    <row r="2383" spans="1:9" x14ac:dyDescent="0.45">
      <c r="A2383" t="s">
        <v>8</v>
      </c>
      <c r="B2383" t="s">
        <v>42</v>
      </c>
      <c r="C2383" t="str">
        <f t="shared" si="74"/>
        <v>AlabamaMississippi</v>
      </c>
      <c r="D2383" t="s">
        <v>8</v>
      </c>
      <c r="E2383">
        <v>80.7</v>
      </c>
      <c r="F2383" s="1">
        <v>-9.3849056603773597</v>
      </c>
      <c r="G2383" s="2">
        <v>-418.47089272043002</v>
      </c>
      <c r="H2383" s="1">
        <v>140.155425195579</v>
      </c>
      <c r="I2383" s="1">
        <f t="shared" si="75"/>
        <v>158.12312744696462</v>
      </c>
    </row>
    <row r="2384" spans="1:9" x14ac:dyDescent="0.45">
      <c r="A2384" t="s">
        <v>9</v>
      </c>
      <c r="B2384" t="s">
        <v>42</v>
      </c>
      <c r="C2384" t="str">
        <f t="shared" si="74"/>
        <v>Alabama St.Mississippi</v>
      </c>
      <c r="D2384" t="s">
        <v>42</v>
      </c>
      <c r="E2384">
        <v>0.8</v>
      </c>
      <c r="F2384" s="1">
        <v>31.275471698113201</v>
      </c>
      <c r="G2384" s="2">
        <v>11801.9879368528</v>
      </c>
      <c r="H2384" s="1">
        <v>138.53457576740499</v>
      </c>
      <c r="I2384" s="1">
        <f t="shared" si="75"/>
        <v>135.36362076059334</v>
      </c>
    </row>
    <row r="2385" spans="1:9" x14ac:dyDescent="0.45">
      <c r="A2385" t="s">
        <v>10</v>
      </c>
      <c r="B2385" t="s">
        <v>42</v>
      </c>
      <c r="C2385" t="str">
        <f t="shared" si="74"/>
        <v>AmericanMississippi</v>
      </c>
      <c r="D2385" t="s">
        <v>42</v>
      </c>
      <c r="E2385">
        <v>0.9</v>
      </c>
      <c r="F2385" s="1">
        <v>30.5169811320755</v>
      </c>
      <c r="G2385" s="2">
        <v>10514.990782110101</v>
      </c>
      <c r="H2385" s="1">
        <v>138.29786528716701</v>
      </c>
      <c r="I2385" s="1">
        <f t="shared" si="75"/>
        <v>132.03979951966562</v>
      </c>
    </row>
    <row r="2386" spans="1:9" x14ac:dyDescent="0.45">
      <c r="A2386" t="s">
        <v>11</v>
      </c>
      <c r="B2386" t="s">
        <v>42</v>
      </c>
      <c r="C2386" t="str">
        <f t="shared" si="74"/>
        <v>ArizonaMississippi</v>
      </c>
      <c r="D2386" t="s">
        <v>11</v>
      </c>
      <c r="E2386">
        <v>73.3</v>
      </c>
      <c r="F2386" s="1">
        <v>-6.6264150943396203</v>
      </c>
      <c r="G2386" s="2">
        <v>-274.85970287710097</v>
      </c>
      <c r="H2386" s="1">
        <v>139.76590453575599</v>
      </c>
      <c r="I2386" s="1">
        <f t="shared" si="75"/>
        <v>152.65358912488321</v>
      </c>
    </row>
    <row r="2387" spans="1:9" x14ac:dyDescent="0.45">
      <c r="A2387" t="s">
        <v>12</v>
      </c>
      <c r="B2387" t="s">
        <v>42</v>
      </c>
      <c r="C2387" t="str">
        <f t="shared" si="74"/>
        <v>ArkansasMississippi</v>
      </c>
      <c r="D2387" t="s">
        <v>42</v>
      </c>
      <c r="E2387">
        <v>15.2</v>
      </c>
      <c r="F2387" s="1">
        <v>11.271698113207499</v>
      </c>
      <c r="G2387" s="2">
        <v>558.198328100239</v>
      </c>
      <c r="H2387" s="1">
        <v>138.09182851354501</v>
      </c>
      <c r="I2387" s="1">
        <f t="shared" si="75"/>
        <v>129.14668974316336</v>
      </c>
    </row>
    <row r="2388" spans="1:9" x14ac:dyDescent="0.45">
      <c r="A2388" t="s">
        <v>13</v>
      </c>
      <c r="B2388" t="s">
        <v>42</v>
      </c>
      <c r="C2388" t="str">
        <f t="shared" si="74"/>
        <v>AuburnMississippi</v>
      </c>
      <c r="D2388" t="s">
        <v>13</v>
      </c>
      <c r="E2388">
        <v>89.2</v>
      </c>
      <c r="F2388" s="1">
        <v>-13.822641509434</v>
      </c>
      <c r="G2388" s="2">
        <v>-823.712731488499</v>
      </c>
      <c r="H2388" s="1">
        <v>141.17764142893199</v>
      </c>
      <c r="I2388" s="1">
        <f t="shared" si="75"/>
        <v>172.47679706828427</v>
      </c>
    </row>
    <row r="2389" spans="1:9" x14ac:dyDescent="0.45">
      <c r="A2389" t="s">
        <v>14</v>
      </c>
      <c r="B2389" t="s">
        <v>42</v>
      </c>
      <c r="C2389" t="str">
        <f t="shared" si="74"/>
        <v>BaylorMississippi</v>
      </c>
      <c r="D2389" t="s">
        <v>42</v>
      </c>
      <c r="E2389">
        <v>45.3</v>
      </c>
      <c r="F2389" s="1">
        <v>1.2264150943396199</v>
      </c>
      <c r="G2389" s="2">
        <v>120.555332405442</v>
      </c>
      <c r="H2389" s="1">
        <v>139.64055879011201</v>
      </c>
      <c r="I2389" s="1">
        <f t="shared" si="75"/>
        <v>150.89351981399955</v>
      </c>
    </row>
    <row r="2390" spans="1:9" x14ac:dyDescent="0.45">
      <c r="A2390" t="s">
        <v>15</v>
      </c>
      <c r="B2390" t="s">
        <v>42</v>
      </c>
      <c r="C2390" t="str">
        <f t="shared" si="74"/>
        <v>BryantMississippi</v>
      </c>
      <c r="D2390" t="s">
        <v>42</v>
      </c>
      <c r="E2390">
        <v>3.7</v>
      </c>
      <c r="F2390" s="1">
        <v>21.2981132075472</v>
      </c>
      <c r="G2390" s="2">
        <v>2575.7175419688701</v>
      </c>
      <c r="H2390" s="1">
        <v>139.23287866575799</v>
      </c>
      <c r="I2390" s="1">
        <f t="shared" si="75"/>
        <v>145.16899145568757</v>
      </c>
    </row>
    <row r="2391" spans="1:9" x14ac:dyDescent="0.45">
      <c r="A2391" t="s">
        <v>16</v>
      </c>
      <c r="B2391" t="s">
        <v>42</v>
      </c>
      <c r="C2391" t="str">
        <f t="shared" si="74"/>
        <v>BYUMississippi</v>
      </c>
      <c r="D2391" t="s">
        <v>42</v>
      </c>
      <c r="E2391">
        <v>49.5</v>
      </c>
      <c r="F2391" s="1">
        <v>0.13207547169811301</v>
      </c>
      <c r="G2391" s="2">
        <v>102.017971242775</v>
      </c>
      <c r="H2391" s="1">
        <v>139.40291934020101</v>
      </c>
      <c r="I2391" s="1">
        <f t="shared" si="75"/>
        <v>147.55665424513046</v>
      </c>
    </row>
    <row r="2392" spans="1:9" x14ac:dyDescent="0.45">
      <c r="A2392" t="s">
        <v>17</v>
      </c>
      <c r="B2392" t="s">
        <v>42</v>
      </c>
      <c r="C2392" t="str">
        <f t="shared" si="74"/>
        <v>ClemsonMississippi</v>
      </c>
      <c r="D2392" t="s">
        <v>17</v>
      </c>
      <c r="E2392">
        <v>57.8</v>
      </c>
      <c r="F2392" s="1">
        <v>-2.07169811320755</v>
      </c>
      <c r="G2392" s="2">
        <v>-137.20327659262</v>
      </c>
      <c r="H2392" s="1">
        <v>139.75296956264299</v>
      </c>
      <c r="I2392" s="1">
        <f t="shared" si="75"/>
        <v>152.47195991125224</v>
      </c>
    </row>
    <row r="2393" spans="1:9" x14ac:dyDescent="0.45">
      <c r="A2393" t="s">
        <v>18</v>
      </c>
      <c r="B2393" t="s">
        <v>42</v>
      </c>
      <c r="C2393" t="str">
        <f t="shared" si="74"/>
        <v>Colorado St.Mississippi</v>
      </c>
      <c r="D2393" t="s">
        <v>42</v>
      </c>
      <c r="E2393">
        <v>18.5</v>
      </c>
      <c r="F2393" s="1">
        <v>9.7094339622641499</v>
      </c>
      <c r="G2393" s="2">
        <v>439.74348502373999</v>
      </c>
      <c r="H2393" s="1">
        <v>139.14258053743799</v>
      </c>
      <c r="I2393" s="1">
        <f t="shared" si="75"/>
        <v>143.90105081941198</v>
      </c>
    </row>
    <row r="2394" spans="1:9" x14ac:dyDescent="0.45">
      <c r="A2394" t="s">
        <v>19</v>
      </c>
      <c r="B2394" t="s">
        <v>42</v>
      </c>
      <c r="C2394" t="str">
        <f t="shared" si="74"/>
        <v>ConnecticutMississippi</v>
      </c>
      <c r="D2394" t="s">
        <v>19</v>
      </c>
      <c r="E2394">
        <v>68.099999999999994</v>
      </c>
      <c r="F2394" s="1">
        <v>-4.9660377358490599</v>
      </c>
      <c r="G2394" s="2">
        <v>-213.329448867157</v>
      </c>
      <c r="H2394" s="1">
        <v>139.553220393392</v>
      </c>
      <c r="I2394" s="1">
        <f t="shared" si="75"/>
        <v>149.6671388870769</v>
      </c>
    </row>
    <row r="2395" spans="1:9" x14ac:dyDescent="0.45">
      <c r="A2395" t="s">
        <v>20</v>
      </c>
      <c r="B2395" t="s">
        <v>42</v>
      </c>
      <c r="C2395" t="str">
        <f t="shared" si="74"/>
        <v>CreightonMississippi</v>
      </c>
      <c r="D2395" t="s">
        <v>42</v>
      </c>
      <c r="E2395">
        <v>39.700000000000003</v>
      </c>
      <c r="F2395" s="1">
        <v>2.7396226415094298</v>
      </c>
      <c r="G2395" s="2">
        <v>151.90842066669001</v>
      </c>
      <c r="H2395" s="1">
        <v>139.10251714623101</v>
      </c>
      <c r="I2395" s="1">
        <f t="shared" si="75"/>
        <v>143.33849207446966</v>
      </c>
    </row>
    <row r="2396" spans="1:9" x14ac:dyDescent="0.45">
      <c r="A2396" t="s">
        <v>21</v>
      </c>
      <c r="B2396" t="s">
        <v>42</v>
      </c>
      <c r="C2396" t="str">
        <f t="shared" si="74"/>
        <v>DrakeMississippi</v>
      </c>
      <c r="D2396" t="s">
        <v>42</v>
      </c>
      <c r="E2396">
        <v>18.100000000000001</v>
      </c>
      <c r="F2396" s="1">
        <v>9.9132075471698098</v>
      </c>
      <c r="G2396" s="2">
        <v>453.70079681896101</v>
      </c>
      <c r="H2396" s="1">
        <v>139.337192951905</v>
      </c>
      <c r="I2396" s="1">
        <f t="shared" si="75"/>
        <v>146.63374299384947</v>
      </c>
    </row>
    <row r="2397" spans="1:9" x14ac:dyDescent="0.45">
      <c r="A2397" t="s">
        <v>22</v>
      </c>
      <c r="B2397" t="s">
        <v>42</v>
      </c>
      <c r="C2397" t="str">
        <f t="shared" si="74"/>
        <v>DukeMississippi</v>
      </c>
      <c r="D2397" t="s">
        <v>22</v>
      </c>
      <c r="E2397">
        <v>92</v>
      </c>
      <c r="F2397" s="1">
        <v>-16.037735849056599</v>
      </c>
      <c r="G2397" s="2">
        <v>-1154.7364743334599</v>
      </c>
      <c r="H2397" s="1">
        <v>141.41753284050799</v>
      </c>
      <c r="I2397" s="1">
        <f t="shared" si="75"/>
        <v>175.84528404237523</v>
      </c>
    </row>
    <row r="2398" spans="1:9" x14ac:dyDescent="0.45">
      <c r="A2398" t="s">
        <v>23</v>
      </c>
      <c r="B2398" t="s">
        <v>42</v>
      </c>
      <c r="C2398" t="str">
        <f t="shared" si="74"/>
        <v>FloridaMississippi</v>
      </c>
      <c r="D2398" t="s">
        <v>23</v>
      </c>
      <c r="E2398">
        <v>86.5</v>
      </c>
      <c r="F2398" s="1">
        <v>-12.1811320754717</v>
      </c>
      <c r="G2398" s="2">
        <v>-641.13682741303705</v>
      </c>
      <c r="H2398" s="1">
        <v>141.152183368062</v>
      </c>
      <c r="I2398" s="1">
        <f t="shared" si="75"/>
        <v>172.11932221804761</v>
      </c>
    </row>
    <row r="2399" spans="1:9" x14ac:dyDescent="0.45">
      <c r="A2399" t="s">
        <v>24</v>
      </c>
      <c r="B2399" t="s">
        <v>42</v>
      </c>
      <c r="C2399" t="str">
        <f t="shared" si="74"/>
        <v>GeorgiaMississippi</v>
      </c>
      <c r="D2399" t="s">
        <v>42</v>
      </c>
      <c r="E2399">
        <v>20.5</v>
      </c>
      <c r="F2399" s="1">
        <v>8.8792452830188697</v>
      </c>
      <c r="G2399" s="2">
        <v>387.58306619592298</v>
      </c>
      <c r="H2399" s="1">
        <v>138.41614166434701</v>
      </c>
      <c r="I2399" s="1">
        <f t="shared" si="75"/>
        <v>133.70060276916948</v>
      </c>
    </row>
    <row r="2400" spans="1:9" x14ac:dyDescent="0.45">
      <c r="A2400" t="s">
        <v>25</v>
      </c>
      <c r="B2400" t="s">
        <v>42</v>
      </c>
      <c r="C2400" t="str">
        <f t="shared" si="74"/>
        <v>GonzagaMississippi</v>
      </c>
      <c r="D2400" t="s">
        <v>25</v>
      </c>
      <c r="E2400">
        <v>56.6</v>
      </c>
      <c r="F2400" s="1">
        <v>-1.7471698113207501</v>
      </c>
      <c r="G2400" s="2">
        <v>-130.57921352140301</v>
      </c>
      <c r="H2400" s="1">
        <v>140.393103394853</v>
      </c>
      <c r="I2400" s="1">
        <f t="shared" si="75"/>
        <v>161.46053712336828</v>
      </c>
    </row>
    <row r="2401" spans="1:9" x14ac:dyDescent="0.45">
      <c r="A2401" t="s">
        <v>26</v>
      </c>
      <c r="B2401" t="s">
        <v>42</v>
      </c>
      <c r="C2401" t="str">
        <f t="shared" si="74"/>
        <v>Grand CanyonMississippi</v>
      </c>
      <c r="D2401" t="s">
        <v>42</v>
      </c>
      <c r="E2401">
        <v>12.4</v>
      </c>
      <c r="F2401" s="1">
        <v>12.8</v>
      </c>
      <c r="G2401" s="2">
        <v>704.86311762683999</v>
      </c>
      <c r="H2401" s="1">
        <v>139.211075112392</v>
      </c>
      <c r="I2401" s="1">
        <f t="shared" si="75"/>
        <v>144.86283216044745</v>
      </c>
    </row>
    <row r="2402" spans="1:9" x14ac:dyDescent="0.45">
      <c r="A2402" t="s">
        <v>27</v>
      </c>
      <c r="B2402" t="s">
        <v>42</v>
      </c>
      <c r="C2402" t="str">
        <f t="shared" si="74"/>
        <v>High PointMississippi</v>
      </c>
      <c r="D2402" t="s">
        <v>42</v>
      </c>
      <c r="E2402">
        <v>8.1</v>
      </c>
      <c r="F2402" s="1">
        <v>15.8905660377358</v>
      </c>
      <c r="G2402" s="2">
        <v>1129.2415453803501</v>
      </c>
      <c r="H2402" s="1">
        <v>139.402282245941</v>
      </c>
      <c r="I2402" s="1">
        <f t="shared" si="75"/>
        <v>147.54770834872664</v>
      </c>
    </row>
    <row r="2403" spans="1:9" x14ac:dyDescent="0.45">
      <c r="A2403" t="s">
        <v>28</v>
      </c>
      <c r="B2403" t="s">
        <v>42</v>
      </c>
      <c r="C2403" t="str">
        <f t="shared" si="74"/>
        <v>HoustonMississippi</v>
      </c>
      <c r="D2403" t="s">
        <v>28</v>
      </c>
      <c r="E2403">
        <v>95.1</v>
      </c>
      <c r="F2403" s="1">
        <v>-19.392452830188699</v>
      </c>
      <c r="G2403" s="2">
        <v>-1926.2517422472499</v>
      </c>
      <c r="H2403" s="1">
        <v>141.51574460314399</v>
      </c>
      <c r="I2403" s="1">
        <f t="shared" si="75"/>
        <v>177.2243456810078</v>
      </c>
    </row>
    <row r="2404" spans="1:9" x14ac:dyDescent="0.45">
      <c r="A2404" t="s">
        <v>29</v>
      </c>
      <c r="B2404" t="s">
        <v>42</v>
      </c>
      <c r="C2404" t="str">
        <f t="shared" si="74"/>
        <v>IllinoisMississippi</v>
      </c>
      <c r="D2404" t="s">
        <v>29</v>
      </c>
      <c r="E2404">
        <v>65.5</v>
      </c>
      <c r="F2404" s="1">
        <v>-4.2037735849056599</v>
      </c>
      <c r="G2404" s="2">
        <v>-189.88885011046199</v>
      </c>
      <c r="H2404" s="1">
        <v>139.574208378105</v>
      </c>
      <c r="I2404" s="1">
        <f t="shared" si="75"/>
        <v>149.96184619924665</v>
      </c>
    </row>
    <row r="2405" spans="1:9" x14ac:dyDescent="0.45">
      <c r="A2405" t="s">
        <v>30</v>
      </c>
      <c r="B2405" t="s">
        <v>42</v>
      </c>
      <c r="C2405" t="str">
        <f t="shared" si="74"/>
        <v>Iowa St.Mississippi</v>
      </c>
      <c r="D2405" t="s">
        <v>30</v>
      </c>
      <c r="E2405">
        <v>79.900000000000006</v>
      </c>
      <c r="F2405" s="1">
        <v>-9.0641509433962302</v>
      </c>
      <c r="G2405" s="2">
        <v>-398.61673158108903</v>
      </c>
      <c r="H2405" s="1">
        <v>140.470750669691</v>
      </c>
      <c r="I2405" s="1">
        <f t="shared" si="75"/>
        <v>162.55083807306528</v>
      </c>
    </row>
    <row r="2406" spans="1:9" x14ac:dyDescent="0.45">
      <c r="A2406" t="s">
        <v>31</v>
      </c>
      <c r="B2406" t="s">
        <v>42</v>
      </c>
      <c r="C2406" t="str">
        <f t="shared" si="74"/>
        <v>KansasMississippi</v>
      </c>
      <c r="D2406" t="s">
        <v>31</v>
      </c>
      <c r="E2406">
        <v>55.1</v>
      </c>
      <c r="F2406" s="1">
        <v>-1.34716981132075</v>
      </c>
      <c r="G2406" s="2">
        <v>-122.844180664603</v>
      </c>
      <c r="H2406" s="1">
        <v>139.52133855854501</v>
      </c>
      <c r="I2406" s="1">
        <f t="shared" si="75"/>
        <v>149.21946322963402</v>
      </c>
    </row>
    <row r="2407" spans="1:9" x14ac:dyDescent="0.45">
      <c r="A2407" t="s">
        <v>32</v>
      </c>
      <c r="B2407" t="s">
        <v>42</v>
      </c>
      <c r="C2407" t="str">
        <f t="shared" si="74"/>
        <v>KentuckyMississippi</v>
      </c>
      <c r="D2407" t="s">
        <v>32</v>
      </c>
      <c r="E2407">
        <v>67.2</v>
      </c>
      <c r="F2407" s="1">
        <v>-4.7132075471698096</v>
      </c>
      <c r="G2407" s="2">
        <v>-205.229851465943</v>
      </c>
      <c r="H2407" s="1">
        <v>139.45562089067101</v>
      </c>
      <c r="I2407" s="1">
        <f t="shared" si="75"/>
        <v>148.29667442803878</v>
      </c>
    </row>
    <row r="2408" spans="1:9" x14ac:dyDescent="0.45">
      <c r="A2408" t="s">
        <v>33</v>
      </c>
      <c r="B2408" t="s">
        <v>42</v>
      </c>
      <c r="C2408" t="str">
        <f t="shared" si="74"/>
        <v>LibertyMississippi</v>
      </c>
      <c r="D2408" t="s">
        <v>42</v>
      </c>
      <c r="E2408">
        <v>5.8</v>
      </c>
      <c r="F2408" s="1">
        <v>18.271698113207499</v>
      </c>
      <c r="G2408" s="2">
        <v>1624.00508265195</v>
      </c>
      <c r="H2408" s="1">
        <v>138.800621934388</v>
      </c>
      <c r="I2408" s="1">
        <f t="shared" si="75"/>
        <v>139.09936537146373</v>
      </c>
    </row>
    <row r="2409" spans="1:9" x14ac:dyDescent="0.45">
      <c r="A2409" t="s">
        <v>34</v>
      </c>
      <c r="B2409" t="s">
        <v>42</v>
      </c>
      <c r="C2409" t="str">
        <f t="shared" si="74"/>
        <v>LipscombMississippi</v>
      </c>
      <c r="D2409" t="s">
        <v>42</v>
      </c>
      <c r="E2409">
        <v>4.4000000000000004</v>
      </c>
      <c r="F2409" s="1">
        <v>20.139622641509401</v>
      </c>
      <c r="G2409" s="2">
        <v>2158.6671605842098</v>
      </c>
      <c r="H2409" s="1">
        <v>139.20694013197999</v>
      </c>
      <c r="I2409" s="1">
        <f t="shared" si="75"/>
        <v>144.80476994152744</v>
      </c>
    </row>
    <row r="2410" spans="1:9" x14ac:dyDescent="0.45">
      <c r="A2410" t="s">
        <v>35</v>
      </c>
      <c r="B2410" t="s">
        <v>42</v>
      </c>
      <c r="C2410" t="str">
        <f t="shared" si="74"/>
        <v>LouisvilleMississippi</v>
      </c>
      <c r="D2410" t="s">
        <v>42</v>
      </c>
      <c r="E2410">
        <v>10.4</v>
      </c>
      <c r="F2410" s="1">
        <v>14.090566037735799</v>
      </c>
      <c r="G2410" s="2">
        <v>857.92208883112596</v>
      </c>
      <c r="H2410" s="1">
        <v>138.452302137798</v>
      </c>
      <c r="I2410" s="1">
        <f t="shared" si="75"/>
        <v>134.20835785300682</v>
      </c>
    </row>
    <row r="2411" spans="1:9" x14ac:dyDescent="0.45">
      <c r="A2411" t="s">
        <v>36</v>
      </c>
      <c r="B2411" t="s">
        <v>42</v>
      </c>
      <c r="C2411" t="str">
        <f t="shared" si="74"/>
        <v>MarquetteMississippi</v>
      </c>
      <c r="D2411" t="s">
        <v>36</v>
      </c>
      <c r="E2411">
        <v>61.2</v>
      </c>
      <c r="F2411" s="1">
        <v>-2.97735849056604</v>
      </c>
      <c r="G2411" s="2">
        <v>-157.50539991522501</v>
      </c>
      <c r="H2411" s="1">
        <v>139.71443598126001</v>
      </c>
      <c r="I2411" s="1">
        <f t="shared" si="75"/>
        <v>151.93088232076704</v>
      </c>
    </row>
    <row r="2412" spans="1:9" x14ac:dyDescent="0.45">
      <c r="A2412" t="s">
        <v>37</v>
      </c>
      <c r="B2412" t="s">
        <v>42</v>
      </c>
      <c r="C2412" t="str">
        <f t="shared" si="74"/>
        <v>MarylandMississippi</v>
      </c>
      <c r="D2412" t="s">
        <v>42</v>
      </c>
      <c r="E2412">
        <v>49.3</v>
      </c>
      <c r="F2412" s="1">
        <v>0.18867924528301899</v>
      </c>
      <c r="G2412" s="2">
        <v>102.92914943662301</v>
      </c>
      <c r="H2412" s="1">
        <v>139.172805579802</v>
      </c>
      <c r="I2412" s="1">
        <f t="shared" si="75"/>
        <v>144.32546226801551</v>
      </c>
    </row>
    <row r="2413" spans="1:9" x14ac:dyDescent="0.45">
      <c r="A2413" t="s">
        <v>38</v>
      </c>
      <c r="B2413" t="s">
        <v>42</v>
      </c>
      <c r="C2413" t="str">
        <f t="shared" si="74"/>
        <v>McNeese St.Mississippi</v>
      </c>
      <c r="D2413" t="s">
        <v>42</v>
      </c>
      <c r="E2413">
        <v>18.5</v>
      </c>
      <c r="F2413" s="1">
        <v>9.7283018867924493</v>
      </c>
      <c r="G2413" s="2">
        <v>441.17211827809803</v>
      </c>
      <c r="H2413" s="1">
        <v>139.76604099276699</v>
      </c>
      <c r="I2413" s="1">
        <f t="shared" si="75"/>
        <v>152.65550521542204</v>
      </c>
    </row>
    <row r="2414" spans="1:9" x14ac:dyDescent="0.45">
      <c r="A2414" t="s">
        <v>39</v>
      </c>
      <c r="B2414" t="s">
        <v>42</v>
      </c>
      <c r="C2414" t="str">
        <f t="shared" si="74"/>
        <v>MemphisMississippi</v>
      </c>
      <c r="D2414" t="s">
        <v>42</v>
      </c>
      <c r="E2414">
        <v>35.4</v>
      </c>
      <c r="F2414" s="1">
        <v>3.9547169811320799</v>
      </c>
      <c r="G2414" s="2">
        <v>182.78424138788199</v>
      </c>
      <c r="H2414" s="1">
        <v>138.300322819293</v>
      </c>
      <c r="I2414" s="1">
        <f t="shared" si="75"/>
        <v>132.07430748683467</v>
      </c>
    </row>
    <row r="2415" spans="1:9" x14ac:dyDescent="0.45">
      <c r="A2415" t="s">
        <v>40</v>
      </c>
      <c r="B2415" t="s">
        <v>42</v>
      </c>
      <c r="C2415" t="str">
        <f t="shared" si="74"/>
        <v>MichiganMississippi</v>
      </c>
      <c r="D2415" t="s">
        <v>42</v>
      </c>
      <c r="E2415">
        <v>21.3</v>
      </c>
      <c r="F2415" s="1">
        <v>8.5773584905660396</v>
      </c>
      <c r="G2415" s="2">
        <v>370.11218624185898</v>
      </c>
      <c r="H2415" s="1">
        <v>137.86294411620901</v>
      </c>
      <c r="I2415" s="1">
        <f t="shared" si="75"/>
        <v>125.93276013253727</v>
      </c>
    </row>
    <row r="2416" spans="1:9" x14ac:dyDescent="0.45">
      <c r="A2416" t="s">
        <v>41</v>
      </c>
      <c r="B2416" t="s">
        <v>42</v>
      </c>
      <c r="C2416" t="str">
        <f t="shared" si="74"/>
        <v>Michigan St.Mississippi</v>
      </c>
      <c r="D2416" t="s">
        <v>41</v>
      </c>
      <c r="E2416">
        <v>71.900000000000006</v>
      </c>
      <c r="F2416" s="1">
        <v>-6.1660377358490601</v>
      </c>
      <c r="G2416" s="2">
        <v>-256.22515032737499</v>
      </c>
      <c r="H2416" s="1">
        <v>139.510023825416</v>
      </c>
      <c r="I2416" s="1">
        <f t="shared" si="75"/>
        <v>149.06058496504752</v>
      </c>
    </row>
    <row r="2417" spans="1:9" x14ac:dyDescent="0.45">
      <c r="A2417" t="s">
        <v>42</v>
      </c>
      <c r="B2417" t="s">
        <v>42</v>
      </c>
      <c r="C2417" t="str">
        <f t="shared" si="74"/>
        <v>MississippiMississippi</v>
      </c>
      <c r="D2417" t="s">
        <v>42</v>
      </c>
      <c r="E2417">
        <v>41.2</v>
      </c>
      <c r="F2417" s="1">
        <v>2.3283018867924499</v>
      </c>
      <c r="G2417" s="2">
        <v>142.64273539779199</v>
      </c>
      <c r="H2417" s="1">
        <v>138.77771517530499</v>
      </c>
      <c r="I2417" s="1">
        <f t="shared" si="75"/>
        <v>138.77771517530684</v>
      </c>
    </row>
    <row r="2418" spans="1:9" x14ac:dyDescent="0.45">
      <c r="A2418" t="s">
        <v>43</v>
      </c>
      <c r="B2418" t="s">
        <v>42</v>
      </c>
      <c r="C2418" t="str">
        <f t="shared" si="74"/>
        <v>Mississippi St.Mississippi</v>
      </c>
      <c r="D2418" t="s">
        <v>42</v>
      </c>
      <c r="E2418">
        <v>35</v>
      </c>
      <c r="F2418" s="1">
        <v>4.0528301886792502</v>
      </c>
      <c r="G2418" s="2">
        <v>185.535481029876</v>
      </c>
      <c r="H2418" s="1">
        <v>138.91746164798201</v>
      </c>
      <c r="I2418" s="1">
        <f t="shared" si="75"/>
        <v>140.73999539949307</v>
      </c>
    </row>
    <row r="2419" spans="1:9" x14ac:dyDescent="0.45">
      <c r="A2419" t="s">
        <v>44</v>
      </c>
      <c r="B2419" t="s">
        <v>42</v>
      </c>
      <c r="C2419" t="str">
        <f t="shared" si="74"/>
        <v>MissouriMississippi</v>
      </c>
      <c r="D2419" t="s">
        <v>42</v>
      </c>
      <c r="E2419">
        <v>20.3</v>
      </c>
      <c r="F2419" s="1">
        <v>8.9849056603773594</v>
      </c>
      <c r="G2419" s="2">
        <v>393.82679074700098</v>
      </c>
      <c r="H2419" s="1">
        <v>138.33512354662801</v>
      </c>
      <c r="I2419" s="1">
        <f t="shared" si="75"/>
        <v>132.56296940243533</v>
      </c>
    </row>
    <row r="2420" spans="1:9" x14ac:dyDescent="0.45">
      <c r="A2420" t="s">
        <v>45</v>
      </c>
      <c r="B2420" t="s">
        <v>42</v>
      </c>
      <c r="C2420" t="str">
        <f t="shared" si="74"/>
        <v>MontanaMississippi</v>
      </c>
      <c r="D2420" t="s">
        <v>42</v>
      </c>
      <c r="E2420">
        <v>2.2000000000000002</v>
      </c>
      <c r="F2420" s="1">
        <v>24.792452830188701</v>
      </c>
      <c r="G2420" s="2">
        <v>4389.8633253261396</v>
      </c>
      <c r="H2420" s="1">
        <v>137.47183511003399</v>
      </c>
      <c r="I2420" s="1">
        <f t="shared" si="75"/>
        <v>120.44091870272086</v>
      </c>
    </row>
    <row r="2421" spans="1:9" x14ac:dyDescent="0.45">
      <c r="A2421" t="s">
        <v>46</v>
      </c>
      <c r="B2421" t="s">
        <v>42</v>
      </c>
      <c r="C2421" t="str">
        <f t="shared" si="74"/>
        <v>Mount St. Mary'sMississippi</v>
      </c>
      <c r="D2421" t="s">
        <v>42</v>
      </c>
      <c r="E2421">
        <v>0.9</v>
      </c>
      <c r="F2421" s="1">
        <v>31.124528301886802</v>
      </c>
      <c r="G2421" s="2">
        <v>11536.528347555401</v>
      </c>
      <c r="H2421" s="1">
        <v>138.77512306418501</v>
      </c>
      <c r="I2421" s="1">
        <f t="shared" si="75"/>
        <v>138.74131748817962</v>
      </c>
    </row>
    <row r="2422" spans="1:9" x14ac:dyDescent="0.45">
      <c r="A2422" t="s">
        <v>47</v>
      </c>
      <c r="B2422" t="s">
        <v>42</v>
      </c>
      <c r="C2422" t="str">
        <f t="shared" si="74"/>
        <v>Nebraska OmahaMississippi</v>
      </c>
      <c r="D2422" t="s">
        <v>42</v>
      </c>
      <c r="E2422">
        <v>1.2</v>
      </c>
      <c r="F2422" s="1">
        <v>28.9358490566038</v>
      </c>
      <c r="G2422" s="2">
        <v>8259.8586659433404</v>
      </c>
      <c r="H2422" s="1">
        <v>138.19289919628801</v>
      </c>
      <c r="I2422" s="1">
        <f t="shared" si="75"/>
        <v>130.56589552483604</v>
      </c>
    </row>
    <row r="2423" spans="1:9" x14ac:dyDescent="0.45">
      <c r="A2423" t="s">
        <v>48</v>
      </c>
      <c r="B2423" t="s">
        <v>42</v>
      </c>
      <c r="C2423" t="str">
        <f t="shared" si="74"/>
        <v>New MexicoMississippi</v>
      </c>
      <c r="D2423" t="s">
        <v>42</v>
      </c>
      <c r="E2423">
        <v>22.5</v>
      </c>
      <c r="F2423" s="1">
        <v>8.1056603773584897</v>
      </c>
      <c r="G2423" s="2">
        <v>344.26226557960098</v>
      </c>
      <c r="H2423" s="1">
        <v>138.96288912810499</v>
      </c>
      <c r="I2423" s="1">
        <f t="shared" si="75"/>
        <v>141.37787515539904</v>
      </c>
    </row>
    <row r="2424" spans="1:9" x14ac:dyDescent="0.45">
      <c r="A2424" t="s">
        <v>49</v>
      </c>
      <c r="B2424" t="s">
        <v>42</v>
      </c>
      <c r="C2424" t="str">
        <f t="shared" si="74"/>
        <v>Norfolk St.Mississippi</v>
      </c>
      <c r="D2424" t="s">
        <v>42</v>
      </c>
      <c r="E2424">
        <v>1.7</v>
      </c>
      <c r="F2424" s="1">
        <v>26.671698113207501</v>
      </c>
      <c r="G2424" s="2">
        <v>5846.8207525425996</v>
      </c>
      <c r="H2424" s="1">
        <v>137.999014892069</v>
      </c>
      <c r="I2424" s="1">
        <f t="shared" si="75"/>
        <v>127.84342726741978</v>
      </c>
    </row>
    <row r="2425" spans="1:9" x14ac:dyDescent="0.45">
      <c r="A2425" t="s">
        <v>50</v>
      </c>
      <c r="B2425" t="s">
        <v>42</v>
      </c>
      <c r="C2425" t="str">
        <f t="shared" si="74"/>
        <v>North CarolinaMississippi</v>
      </c>
      <c r="D2425" t="s">
        <v>42</v>
      </c>
      <c r="E2425">
        <v>49.8</v>
      </c>
      <c r="F2425" s="1">
        <v>5.2830188679245299E-2</v>
      </c>
      <c r="G2425" s="2">
        <v>100.81668611427401</v>
      </c>
      <c r="H2425" s="1">
        <v>140.072620846539</v>
      </c>
      <c r="I2425" s="1">
        <f t="shared" si="75"/>
        <v>156.96041232804103</v>
      </c>
    </row>
    <row r="2426" spans="1:9" x14ac:dyDescent="0.45">
      <c r="A2426" t="s">
        <v>51</v>
      </c>
      <c r="B2426" t="s">
        <v>42</v>
      </c>
      <c r="C2426" t="str">
        <f t="shared" si="74"/>
        <v>OklahomaMississippi</v>
      </c>
      <c r="D2426" t="s">
        <v>42</v>
      </c>
      <c r="E2426">
        <v>25.8</v>
      </c>
      <c r="F2426" s="1">
        <v>6.9358490566037698</v>
      </c>
      <c r="G2426" s="2">
        <v>288.077697886794</v>
      </c>
      <c r="H2426" s="1">
        <v>138.49624397271299</v>
      </c>
      <c r="I2426" s="1">
        <f t="shared" si="75"/>
        <v>134.82537660143294</v>
      </c>
    </row>
    <row r="2427" spans="1:9" x14ac:dyDescent="0.45">
      <c r="A2427" t="s">
        <v>52</v>
      </c>
      <c r="B2427" t="s">
        <v>42</v>
      </c>
      <c r="C2427" t="str">
        <f t="shared" si="74"/>
        <v>OregonMississippi</v>
      </c>
      <c r="D2427" t="s">
        <v>42</v>
      </c>
      <c r="E2427">
        <v>49.4</v>
      </c>
      <c r="F2427" s="1">
        <v>0.169811320754717</v>
      </c>
      <c r="G2427" s="2">
        <v>102.622689422191</v>
      </c>
      <c r="H2427" s="1">
        <v>138.78696136424199</v>
      </c>
      <c r="I2427" s="1">
        <f t="shared" si="75"/>
        <v>138.9075475306615</v>
      </c>
    </row>
    <row r="2428" spans="1:9" x14ac:dyDescent="0.45">
      <c r="A2428" t="s">
        <v>53</v>
      </c>
      <c r="B2428" t="s">
        <v>42</v>
      </c>
      <c r="C2428" t="str">
        <f t="shared" si="74"/>
        <v>PurdueMississippi</v>
      </c>
      <c r="D2428" t="s">
        <v>53</v>
      </c>
      <c r="E2428">
        <v>84.7</v>
      </c>
      <c r="F2428" s="1">
        <v>-11.203773584905701</v>
      </c>
      <c r="G2428" s="2">
        <v>-552.27607280477901</v>
      </c>
      <c r="H2428" s="1">
        <v>140.27504856403999</v>
      </c>
      <c r="I2428" s="1">
        <f t="shared" si="75"/>
        <v>159.80284476493989</v>
      </c>
    </row>
    <row r="2429" spans="1:9" x14ac:dyDescent="0.45">
      <c r="A2429" t="s">
        <v>54</v>
      </c>
      <c r="B2429" t="s">
        <v>42</v>
      </c>
      <c r="C2429" t="str">
        <f t="shared" si="74"/>
        <v>Robert MorrisMississippi</v>
      </c>
      <c r="D2429" t="s">
        <v>42</v>
      </c>
      <c r="E2429">
        <v>0.7</v>
      </c>
      <c r="F2429" s="1">
        <v>32.686792452830197</v>
      </c>
      <c r="G2429" s="2">
        <v>14637.896515684301</v>
      </c>
      <c r="H2429" s="1">
        <v>137.358013892727</v>
      </c>
      <c r="I2429" s="1">
        <f t="shared" si="75"/>
        <v>118.84267354106647</v>
      </c>
    </row>
    <row r="2430" spans="1:9" x14ac:dyDescent="0.45">
      <c r="A2430" t="s">
        <v>55</v>
      </c>
      <c r="B2430" t="s">
        <v>42</v>
      </c>
      <c r="C2430" t="str">
        <f t="shared" si="74"/>
        <v>Saint FrancisMississippi</v>
      </c>
      <c r="D2430" t="s">
        <v>42</v>
      </c>
      <c r="E2430">
        <v>0.4</v>
      </c>
      <c r="F2430" s="1">
        <v>36.0490566037736</v>
      </c>
      <c r="G2430" s="2">
        <v>24448.9868522795</v>
      </c>
      <c r="H2430" s="1">
        <v>138.064861774771</v>
      </c>
      <c r="I2430" s="1">
        <f t="shared" si="75"/>
        <v>128.76803046688002</v>
      </c>
    </row>
    <row r="2431" spans="1:9" x14ac:dyDescent="0.45">
      <c r="A2431" t="s">
        <v>56</v>
      </c>
      <c r="B2431" t="s">
        <v>42</v>
      </c>
      <c r="C2431" t="str">
        <f t="shared" si="74"/>
        <v>Saint Mary'sMississippi</v>
      </c>
      <c r="D2431" t="s">
        <v>42</v>
      </c>
      <c r="E2431">
        <v>48.8</v>
      </c>
      <c r="F2431" s="1">
        <v>0.31320754716981097</v>
      </c>
      <c r="G2431" s="2">
        <v>104.905121732518</v>
      </c>
      <c r="H2431" s="1">
        <v>139.79406789071299</v>
      </c>
      <c r="I2431" s="1">
        <f t="shared" si="75"/>
        <v>153.04905094527984</v>
      </c>
    </row>
    <row r="2432" spans="1:9" x14ac:dyDescent="0.45">
      <c r="A2432" t="s">
        <v>57</v>
      </c>
      <c r="B2432" t="s">
        <v>42</v>
      </c>
      <c r="C2432" t="str">
        <f t="shared" si="74"/>
        <v>San Diego St.Mississippi</v>
      </c>
      <c r="D2432" t="s">
        <v>42</v>
      </c>
      <c r="E2432">
        <v>22.8</v>
      </c>
      <c r="F2432" s="1">
        <v>7.98867924528302</v>
      </c>
      <c r="G2432" s="2">
        <v>338.21764256478099</v>
      </c>
      <c r="H2432" s="1">
        <v>139.008767053741</v>
      </c>
      <c r="I2432" s="1">
        <f t="shared" si="75"/>
        <v>142.0220799390882</v>
      </c>
    </row>
    <row r="2433" spans="1:9" x14ac:dyDescent="0.45">
      <c r="A2433" t="s">
        <v>58</v>
      </c>
      <c r="B2433" t="s">
        <v>42</v>
      </c>
      <c r="C2433" t="str">
        <f t="shared" si="74"/>
        <v>SIU EdwardsvilleMississippi</v>
      </c>
      <c r="D2433" t="s">
        <v>42</v>
      </c>
      <c r="E2433">
        <v>1.4</v>
      </c>
      <c r="F2433" s="1">
        <v>27.962264150943401</v>
      </c>
      <c r="G2433" s="2">
        <v>7119.9433390759996</v>
      </c>
      <c r="H2433" s="1">
        <v>139.068025233925</v>
      </c>
      <c r="I2433" s="1">
        <f t="shared" si="75"/>
        <v>142.85416645167646</v>
      </c>
    </row>
    <row r="2434" spans="1:9" x14ac:dyDescent="0.45">
      <c r="A2434" t="s">
        <v>59</v>
      </c>
      <c r="B2434" t="s">
        <v>42</v>
      </c>
      <c r="C2434" t="str">
        <f t="shared" si="74"/>
        <v>St. John'sMississippi</v>
      </c>
      <c r="D2434" t="s">
        <v>59</v>
      </c>
      <c r="E2434">
        <v>73.400000000000006</v>
      </c>
      <c r="F2434" s="1">
        <v>-6.6679245283018904</v>
      </c>
      <c r="G2434" s="2">
        <v>-276.60049772482699</v>
      </c>
      <c r="H2434" s="1">
        <v>139.88748168247901</v>
      </c>
      <c r="I2434" s="1">
        <f t="shared" si="75"/>
        <v>154.3607408415418</v>
      </c>
    </row>
    <row r="2435" spans="1:9" x14ac:dyDescent="0.45">
      <c r="A2435" t="s">
        <v>60</v>
      </c>
      <c r="B2435" t="s">
        <v>42</v>
      </c>
      <c r="C2435" t="str">
        <f t="shared" ref="C2435:C2498" si="76">A2435&amp;B2435</f>
        <v>TennesseeMississippi</v>
      </c>
      <c r="D2435" t="s">
        <v>60</v>
      </c>
      <c r="E2435">
        <v>86</v>
      </c>
      <c r="F2435" s="1">
        <v>-11.8867924528302</v>
      </c>
      <c r="G2435" s="2">
        <v>-612.92939492697099</v>
      </c>
      <c r="H2435" s="1">
        <v>140.68071405661399</v>
      </c>
      <c r="I2435" s="1">
        <f t="shared" ref="I2435:I2498" si="77">18*(H2435-AVERAGE($H$2:$H$4625))/_xlfn.STDEV.P($H$2:$H$4625)+AVERAGE($H$2:$H$4625)</f>
        <v>165.49908423677618</v>
      </c>
    </row>
    <row r="2436" spans="1:9" x14ac:dyDescent="0.45">
      <c r="A2436" t="s">
        <v>61</v>
      </c>
      <c r="B2436" t="s">
        <v>42</v>
      </c>
      <c r="C2436" t="str">
        <f t="shared" si="76"/>
        <v>TexasMississippi</v>
      </c>
      <c r="D2436" t="s">
        <v>42</v>
      </c>
      <c r="E2436">
        <v>19.7</v>
      </c>
      <c r="F2436" s="1">
        <v>9.2113207547169793</v>
      </c>
      <c r="G2436" s="2">
        <v>407.60018629276698</v>
      </c>
      <c r="H2436" s="1">
        <v>138.38059588425199</v>
      </c>
      <c r="I2436" s="1">
        <f t="shared" si="77"/>
        <v>133.20147903461242</v>
      </c>
    </row>
    <row r="2437" spans="1:9" x14ac:dyDescent="0.45">
      <c r="A2437" t="s">
        <v>62</v>
      </c>
      <c r="B2437" t="s">
        <v>42</v>
      </c>
      <c r="C2437" t="str">
        <f t="shared" si="76"/>
        <v>Texas A&amp;MMississippi</v>
      </c>
      <c r="D2437" t="s">
        <v>62</v>
      </c>
      <c r="E2437">
        <v>58.3</v>
      </c>
      <c r="F2437" s="1">
        <v>-2.1886792452830202</v>
      </c>
      <c r="G2437" s="2">
        <v>-139.675394077845</v>
      </c>
      <c r="H2437" s="1">
        <v>139.16757119364999</v>
      </c>
      <c r="I2437" s="1">
        <f t="shared" si="77"/>
        <v>144.25196250637512</v>
      </c>
    </row>
    <row r="2438" spans="1:9" x14ac:dyDescent="0.45">
      <c r="A2438" t="s">
        <v>63</v>
      </c>
      <c r="B2438" t="s">
        <v>42</v>
      </c>
      <c r="C2438" t="str">
        <f t="shared" si="76"/>
        <v>Texas TechMississippi</v>
      </c>
      <c r="D2438" t="s">
        <v>63</v>
      </c>
      <c r="E2438">
        <v>73</v>
      </c>
      <c r="F2438" s="1">
        <v>-6.5245283018867903</v>
      </c>
      <c r="G2438" s="2">
        <v>-270.542405282537</v>
      </c>
      <c r="H2438" s="1">
        <v>140.15808379888901</v>
      </c>
      <c r="I2438" s="1">
        <f t="shared" si="77"/>
        <v>158.16045879851325</v>
      </c>
    </row>
    <row r="2439" spans="1:9" x14ac:dyDescent="0.45">
      <c r="A2439" t="s">
        <v>64</v>
      </c>
      <c r="B2439" t="s">
        <v>42</v>
      </c>
      <c r="C2439" t="str">
        <f t="shared" si="76"/>
        <v>TroyMississippi</v>
      </c>
      <c r="D2439" t="s">
        <v>42</v>
      </c>
      <c r="E2439">
        <v>3.7</v>
      </c>
      <c r="F2439" s="1">
        <v>21.2830188679245</v>
      </c>
      <c r="G2439" s="2">
        <v>2571.0227355919401</v>
      </c>
      <c r="H2439" s="1">
        <v>138.924388393448</v>
      </c>
      <c r="I2439" s="1">
        <f t="shared" si="77"/>
        <v>140.83725878929823</v>
      </c>
    </row>
    <row r="2440" spans="1:9" x14ac:dyDescent="0.45">
      <c r="A2440" t="s">
        <v>65</v>
      </c>
      <c r="B2440" t="s">
        <v>42</v>
      </c>
      <c r="C2440" t="str">
        <f t="shared" si="76"/>
        <v>UC San DiegoMississippi</v>
      </c>
      <c r="D2440" t="s">
        <v>42</v>
      </c>
      <c r="E2440">
        <v>9.1</v>
      </c>
      <c r="F2440" s="1">
        <v>15.101886792452801</v>
      </c>
      <c r="G2440" s="2">
        <v>1001.33179090419</v>
      </c>
      <c r="H2440" s="1">
        <v>138.99450862311099</v>
      </c>
      <c r="I2440" s="1">
        <f t="shared" si="77"/>
        <v>141.82186711140659</v>
      </c>
    </row>
    <row r="2441" spans="1:9" x14ac:dyDescent="0.45">
      <c r="A2441" t="s">
        <v>66</v>
      </c>
      <c r="B2441" t="s">
        <v>42</v>
      </c>
      <c r="C2441" t="str">
        <f t="shared" si="76"/>
        <v>UCLAMississippi</v>
      </c>
      <c r="D2441" t="s">
        <v>42</v>
      </c>
      <c r="E2441">
        <v>25.6</v>
      </c>
      <c r="F2441" s="1">
        <v>7.0037735849056597</v>
      </c>
      <c r="G2441" s="2">
        <v>290.995687631723</v>
      </c>
      <c r="H2441" s="1">
        <v>138.21576720232301</v>
      </c>
      <c r="I2441" s="1">
        <f t="shared" si="77"/>
        <v>130.88700156171438</v>
      </c>
    </row>
    <row r="2442" spans="1:9" x14ac:dyDescent="0.45">
      <c r="A2442" t="s">
        <v>67</v>
      </c>
      <c r="B2442" t="s">
        <v>42</v>
      </c>
      <c r="C2442" t="str">
        <f t="shared" si="76"/>
        <v>UNC WilmingtonMississippi</v>
      </c>
      <c r="D2442" t="s">
        <v>42</v>
      </c>
      <c r="E2442">
        <v>5.5</v>
      </c>
      <c r="F2442" s="1">
        <v>18.6943396226415</v>
      </c>
      <c r="G2442" s="2">
        <v>1731.97250984584</v>
      </c>
      <c r="H2442" s="1">
        <v>139.531177093775</v>
      </c>
      <c r="I2442" s="1">
        <f t="shared" si="77"/>
        <v>149.35761314316625</v>
      </c>
    </row>
    <row r="2443" spans="1:9" x14ac:dyDescent="0.45">
      <c r="A2443" t="s">
        <v>68</v>
      </c>
      <c r="B2443" t="s">
        <v>42</v>
      </c>
      <c r="C2443" t="str">
        <f t="shared" si="76"/>
        <v>Utah St.Mississippi</v>
      </c>
      <c r="D2443" t="s">
        <v>42</v>
      </c>
      <c r="E2443">
        <v>24.5</v>
      </c>
      <c r="F2443" s="1">
        <v>7.3660377358490603</v>
      </c>
      <c r="G2443" s="2">
        <v>307.682507436366</v>
      </c>
      <c r="H2443" s="1">
        <v>139.07836359235401</v>
      </c>
      <c r="I2443" s="1">
        <f t="shared" si="77"/>
        <v>142.99933474041518</v>
      </c>
    </row>
    <row r="2444" spans="1:9" x14ac:dyDescent="0.45">
      <c r="A2444" t="s">
        <v>69</v>
      </c>
      <c r="B2444" t="s">
        <v>42</v>
      </c>
      <c r="C2444" t="str">
        <f t="shared" si="76"/>
        <v>VanderbiltMississippi</v>
      </c>
      <c r="D2444" t="s">
        <v>42</v>
      </c>
      <c r="E2444">
        <v>6</v>
      </c>
      <c r="F2444" s="1">
        <v>18.0150943396226</v>
      </c>
      <c r="G2444" s="2">
        <v>1561.42732310005</v>
      </c>
      <c r="H2444" s="1">
        <v>137.512401473637</v>
      </c>
      <c r="I2444" s="1">
        <f t="shared" si="77"/>
        <v>121.01054004299829</v>
      </c>
    </row>
    <row r="2445" spans="1:9" x14ac:dyDescent="0.45">
      <c r="A2445" t="s">
        <v>70</v>
      </c>
      <c r="B2445" t="s">
        <v>42</v>
      </c>
      <c r="C2445" t="str">
        <f t="shared" si="76"/>
        <v>VCUMississippi</v>
      </c>
      <c r="D2445" t="s">
        <v>42</v>
      </c>
      <c r="E2445">
        <v>17.100000000000001</v>
      </c>
      <c r="F2445" s="1">
        <v>10.3698113207547</v>
      </c>
      <c r="G2445" s="2">
        <v>486.40723343474298</v>
      </c>
      <c r="H2445" s="1">
        <v>139.43757460283001</v>
      </c>
      <c r="I2445" s="1">
        <f t="shared" si="77"/>
        <v>148.04327358670082</v>
      </c>
    </row>
    <row r="2446" spans="1:9" x14ac:dyDescent="0.45">
      <c r="A2446" t="s">
        <v>71</v>
      </c>
      <c r="B2446" t="s">
        <v>42</v>
      </c>
      <c r="C2446" t="str">
        <f t="shared" si="76"/>
        <v>WisconsinMississippi</v>
      </c>
      <c r="D2446" t="s">
        <v>71</v>
      </c>
      <c r="E2446">
        <v>70.099999999999994</v>
      </c>
      <c r="F2446" s="1">
        <v>-5.5849056603773599</v>
      </c>
      <c r="G2446" s="2">
        <v>-234.36114656553201</v>
      </c>
      <c r="H2446" s="1">
        <v>140.090830211162</v>
      </c>
      <c r="I2446" s="1">
        <f t="shared" si="77"/>
        <v>157.21610304717137</v>
      </c>
    </row>
    <row r="2447" spans="1:9" x14ac:dyDescent="0.45">
      <c r="A2447" t="s">
        <v>80</v>
      </c>
      <c r="B2447" t="s">
        <v>42</v>
      </c>
      <c r="C2447" t="str">
        <f t="shared" si="76"/>
        <v>WoffordMississippi</v>
      </c>
      <c r="D2447" t="s">
        <v>42</v>
      </c>
      <c r="E2447">
        <v>2</v>
      </c>
      <c r="F2447" s="1">
        <v>25.592452830188702</v>
      </c>
      <c r="G2447" s="2">
        <v>4959.0726358888296</v>
      </c>
      <c r="H2447" s="1">
        <v>138.18847864038901</v>
      </c>
      <c r="I2447" s="1">
        <f t="shared" si="77"/>
        <v>130.5038233361478</v>
      </c>
    </row>
    <row r="2448" spans="1:9" x14ac:dyDescent="0.45">
      <c r="A2448" t="s">
        <v>72</v>
      </c>
      <c r="B2448" t="s">
        <v>42</v>
      </c>
      <c r="C2448" t="str">
        <f t="shared" si="76"/>
        <v>XavierMississippi</v>
      </c>
      <c r="D2448" t="s">
        <v>42</v>
      </c>
      <c r="E2448">
        <v>16.899999999999999</v>
      </c>
      <c r="F2448" s="1">
        <v>10.441509433962301</v>
      </c>
      <c r="G2448" s="2">
        <v>491.86510182984301</v>
      </c>
      <c r="H2448" s="1">
        <v>138.93128081101</v>
      </c>
      <c r="I2448" s="1">
        <f t="shared" si="77"/>
        <v>140.93404015643873</v>
      </c>
    </row>
    <row r="2449" spans="1:9" x14ac:dyDescent="0.45">
      <c r="A2449" t="s">
        <v>73</v>
      </c>
      <c r="B2449" t="s">
        <v>42</v>
      </c>
      <c r="C2449" t="str">
        <f t="shared" si="76"/>
        <v>YaleMississippi</v>
      </c>
      <c r="D2449" t="s">
        <v>42</v>
      </c>
      <c r="E2449">
        <v>9.6</v>
      </c>
      <c r="F2449" s="1">
        <v>14.6943396226415</v>
      </c>
      <c r="G2449" s="2">
        <v>940.57082090720496</v>
      </c>
      <c r="H2449" s="1">
        <v>139.53098694740399</v>
      </c>
      <c r="I2449" s="1">
        <f t="shared" si="77"/>
        <v>149.35494316190383</v>
      </c>
    </row>
    <row r="2450" spans="1:9" x14ac:dyDescent="0.45">
      <c r="A2450" t="s">
        <v>7</v>
      </c>
      <c r="B2450" t="s">
        <v>43</v>
      </c>
      <c r="C2450" t="str">
        <f t="shared" si="76"/>
        <v>AkronMississippi St.</v>
      </c>
      <c r="D2450" t="s">
        <v>43</v>
      </c>
      <c r="E2450">
        <v>6.7</v>
      </c>
      <c r="F2450" s="1">
        <v>17.2339622641509</v>
      </c>
      <c r="G2450" s="2">
        <v>1385.7603559936999</v>
      </c>
      <c r="H2450" s="1">
        <v>138.20806753530701</v>
      </c>
      <c r="I2450" s="1">
        <f t="shared" si="77"/>
        <v>130.77888502732978</v>
      </c>
    </row>
    <row r="2451" spans="1:9" x14ac:dyDescent="0.45">
      <c r="A2451" t="s">
        <v>8</v>
      </c>
      <c r="B2451" t="s">
        <v>43</v>
      </c>
      <c r="C2451" t="str">
        <f t="shared" si="76"/>
        <v>AlabamaMississippi St.</v>
      </c>
      <c r="D2451" t="s">
        <v>8</v>
      </c>
      <c r="E2451">
        <v>84.5</v>
      </c>
      <c r="F2451" s="1">
        <v>-11.1056603773585</v>
      </c>
      <c r="G2451" s="2">
        <v>-544.30531047631996</v>
      </c>
      <c r="H2451" s="1">
        <v>140.01567872290201</v>
      </c>
      <c r="I2451" s="1">
        <f t="shared" si="77"/>
        <v>156.16084722277878</v>
      </c>
    </row>
    <row r="2452" spans="1:9" x14ac:dyDescent="0.45">
      <c r="A2452" t="s">
        <v>9</v>
      </c>
      <c r="B2452" t="s">
        <v>43</v>
      </c>
      <c r="C2452" t="str">
        <f t="shared" si="76"/>
        <v>Alabama St.Mississippi St.</v>
      </c>
      <c r="D2452" t="s">
        <v>43</v>
      </c>
      <c r="E2452">
        <v>1.1000000000000001</v>
      </c>
      <c r="F2452" s="1">
        <v>29.550943396226401</v>
      </c>
      <c r="G2452" s="2">
        <v>9073.5628198971808</v>
      </c>
      <c r="H2452" s="1">
        <v>138.394829294728</v>
      </c>
      <c r="I2452" s="1">
        <f t="shared" si="77"/>
        <v>133.40134053640753</v>
      </c>
    </row>
    <row r="2453" spans="1:9" x14ac:dyDescent="0.45">
      <c r="A2453" t="s">
        <v>10</v>
      </c>
      <c r="B2453" t="s">
        <v>43</v>
      </c>
      <c r="C2453" t="str">
        <f t="shared" si="76"/>
        <v>AmericanMississippi St.</v>
      </c>
      <c r="D2453" t="s">
        <v>43</v>
      </c>
      <c r="E2453">
        <v>1.2</v>
      </c>
      <c r="F2453" s="1">
        <v>28.796226415094299</v>
      </c>
      <c r="G2453" s="2">
        <v>8084.0981979140897</v>
      </c>
      <c r="H2453" s="1">
        <v>138.15811881449</v>
      </c>
      <c r="I2453" s="1">
        <f t="shared" si="77"/>
        <v>130.07751929547942</v>
      </c>
    </row>
    <row r="2454" spans="1:9" x14ac:dyDescent="0.45">
      <c r="A2454" t="s">
        <v>11</v>
      </c>
      <c r="B2454" t="s">
        <v>43</v>
      </c>
      <c r="C2454" t="str">
        <f t="shared" si="76"/>
        <v>ArizonaMississippi St.</v>
      </c>
      <c r="D2454" t="s">
        <v>11</v>
      </c>
      <c r="E2454">
        <v>78.099999999999994</v>
      </c>
      <c r="F2454" s="1">
        <v>-8.3509433962264197</v>
      </c>
      <c r="G2454" s="2">
        <v>-357.51016023926502</v>
      </c>
      <c r="H2454" s="1">
        <v>139.626158063079</v>
      </c>
      <c r="I2454" s="1">
        <f t="shared" si="77"/>
        <v>150.69130890069741</v>
      </c>
    </row>
    <row r="2455" spans="1:9" x14ac:dyDescent="0.45">
      <c r="A2455" t="s">
        <v>12</v>
      </c>
      <c r="B2455" t="s">
        <v>43</v>
      </c>
      <c r="C2455" t="str">
        <f t="shared" si="76"/>
        <v>ArkansasMississippi St.</v>
      </c>
      <c r="D2455" t="s">
        <v>43</v>
      </c>
      <c r="E2455">
        <v>18.899999999999999</v>
      </c>
      <c r="F2455" s="1">
        <v>9.5471698113207495</v>
      </c>
      <c r="G2455" s="2">
        <v>429.15207362343199</v>
      </c>
      <c r="H2455" s="1">
        <v>137.95208204086799</v>
      </c>
      <c r="I2455" s="1">
        <f t="shared" si="77"/>
        <v>127.18440951897715</v>
      </c>
    </row>
    <row r="2456" spans="1:9" x14ac:dyDescent="0.45">
      <c r="A2456" t="s">
        <v>13</v>
      </c>
      <c r="B2456" t="s">
        <v>43</v>
      </c>
      <c r="C2456" t="str">
        <f t="shared" si="76"/>
        <v>AuburnMississippi St.</v>
      </c>
      <c r="D2456" t="s">
        <v>13</v>
      </c>
      <c r="E2456">
        <v>91.5</v>
      </c>
      <c r="F2456" s="1">
        <v>-15.547169811320799</v>
      </c>
      <c r="G2456" s="2">
        <v>-1071.4035835120301</v>
      </c>
      <c r="H2456" s="1">
        <v>141.037894956255</v>
      </c>
      <c r="I2456" s="1">
        <f t="shared" si="77"/>
        <v>170.51451684409847</v>
      </c>
    </row>
    <row r="2457" spans="1:9" x14ac:dyDescent="0.45">
      <c r="A2457" t="s">
        <v>14</v>
      </c>
      <c r="B2457" t="s">
        <v>43</v>
      </c>
      <c r="C2457" t="str">
        <f t="shared" si="76"/>
        <v>BaylorMississippi St.</v>
      </c>
      <c r="D2457" t="s">
        <v>14</v>
      </c>
      <c r="E2457">
        <v>51.9</v>
      </c>
      <c r="F2457" s="1">
        <v>-0.49811320754716998</v>
      </c>
      <c r="G2457" s="2">
        <v>-107.892409279875</v>
      </c>
      <c r="H2457" s="1">
        <v>139.50081231743499</v>
      </c>
      <c r="I2457" s="1">
        <f t="shared" si="77"/>
        <v>148.93123958981334</v>
      </c>
    </row>
    <row r="2458" spans="1:9" x14ac:dyDescent="0.45">
      <c r="A2458" t="s">
        <v>15</v>
      </c>
      <c r="B2458" t="s">
        <v>43</v>
      </c>
      <c r="C2458" t="str">
        <f t="shared" si="76"/>
        <v>BryantMississippi St.</v>
      </c>
      <c r="D2458" t="s">
        <v>43</v>
      </c>
      <c r="E2458">
        <v>4.8</v>
      </c>
      <c r="F2458" s="1">
        <v>19.5735849056604</v>
      </c>
      <c r="G2458" s="2">
        <v>1980.2540934979099</v>
      </c>
      <c r="H2458" s="1">
        <v>139.093132193081</v>
      </c>
      <c r="I2458" s="1">
        <f t="shared" si="77"/>
        <v>143.20671123150174</v>
      </c>
    </row>
    <row r="2459" spans="1:9" x14ac:dyDescent="0.45">
      <c r="A2459" t="s">
        <v>16</v>
      </c>
      <c r="B2459" t="s">
        <v>43</v>
      </c>
      <c r="C2459" t="str">
        <f t="shared" si="76"/>
        <v>BYUMississippi St.</v>
      </c>
      <c r="D2459" t="s">
        <v>16</v>
      </c>
      <c r="E2459">
        <v>56</v>
      </c>
      <c r="F2459" s="1">
        <v>-1.59245283018868</v>
      </c>
      <c r="G2459" s="2">
        <v>-127.49719589900801</v>
      </c>
      <c r="H2459" s="1">
        <v>139.26317286752399</v>
      </c>
      <c r="I2459" s="1">
        <f t="shared" si="77"/>
        <v>145.59437402094426</v>
      </c>
    </row>
    <row r="2460" spans="1:9" x14ac:dyDescent="0.45">
      <c r="A2460" t="s">
        <v>17</v>
      </c>
      <c r="B2460" t="s">
        <v>43</v>
      </c>
      <c r="C2460" t="str">
        <f t="shared" si="76"/>
        <v>ClemsonMississippi St.</v>
      </c>
      <c r="D2460" t="s">
        <v>17</v>
      </c>
      <c r="E2460">
        <v>64.099999999999994</v>
      </c>
      <c r="F2460" s="1">
        <v>-3.7962264150943401</v>
      </c>
      <c r="G2460" s="2">
        <v>-178.46037409824501</v>
      </c>
      <c r="H2460" s="1">
        <v>139.613223089966</v>
      </c>
      <c r="I2460" s="1">
        <f t="shared" si="77"/>
        <v>150.50967968706644</v>
      </c>
    </row>
    <row r="2461" spans="1:9" x14ac:dyDescent="0.45">
      <c r="A2461" t="s">
        <v>18</v>
      </c>
      <c r="B2461" t="s">
        <v>43</v>
      </c>
      <c r="C2461" t="str">
        <f t="shared" si="76"/>
        <v>Colorado St.Mississippi St.</v>
      </c>
      <c r="D2461" t="s">
        <v>43</v>
      </c>
      <c r="E2461">
        <v>22.8</v>
      </c>
      <c r="F2461" s="1">
        <v>7.9849056603773603</v>
      </c>
      <c r="G2461" s="2">
        <v>338.08203815766899</v>
      </c>
      <c r="H2461" s="1">
        <v>139.002834064761</v>
      </c>
      <c r="I2461" s="1">
        <f t="shared" si="77"/>
        <v>141.93877059522617</v>
      </c>
    </row>
    <row r="2462" spans="1:9" x14ac:dyDescent="0.45">
      <c r="A2462" t="s">
        <v>19</v>
      </c>
      <c r="B2462" t="s">
        <v>43</v>
      </c>
      <c r="C2462" t="str">
        <f t="shared" si="76"/>
        <v>ConnecticutMississippi St.</v>
      </c>
      <c r="D2462" t="s">
        <v>19</v>
      </c>
      <c r="E2462">
        <v>73.5</v>
      </c>
      <c r="F2462" s="1">
        <v>-6.6905660377358496</v>
      </c>
      <c r="G2462" s="2">
        <v>-277.477726454334</v>
      </c>
      <c r="H2462" s="1">
        <v>139.41347392071501</v>
      </c>
      <c r="I2462" s="1">
        <f t="shared" si="77"/>
        <v>147.70485866289107</v>
      </c>
    </row>
    <row r="2463" spans="1:9" x14ac:dyDescent="0.45">
      <c r="A2463" t="s">
        <v>20</v>
      </c>
      <c r="B2463" t="s">
        <v>43</v>
      </c>
      <c r="C2463" t="str">
        <f t="shared" si="76"/>
        <v>CreightonMississippi St.</v>
      </c>
      <c r="D2463" t="s">
        <v>43</v>
      </c>
      <c r="E2463">
        <v>46.1</v>
      </c>
      <c r="F2463" s="1">
        <v>1.0188679245283001</v>
      </c>
      <c r="G2463" s="2">
        <v>116.789697224359</v>
      </c>
      <c r="H2463" s="1">
        <v>138.96277067355399</v>
      </c>
      <c r="I2463" s="1">
        <f t="shared" si="77"/>
        <v>141.37621185028343</v>
      </c>
    </row>
    <row r="2464" spans="1:9" x14ac:dyDescent="0.45">
      <c r="A2464" t="s">
        <v>21</v>
      </c>
      <c r="B2464" t="s">
        <v>43</v>
      </c>
      <c r="C2464" t="str">
        <f t="shared" si="76"/>
        <v>DrakeMississippi St.</v>
      </c>
      <c r="D2464" t="s">
        <v>43</v>
      </c>
      <c r="E2464">
        <v>22.3</v>
      </c>
      <c r="F2464" s="1">
        <v>8.1886792452830193</v>
      </c>
      <c r="G2464" s="2">
        <v>348.812649479122</v>
      </c>
      <c r="H2464" s="1">
        <v>139.19744647922801</v>
      </c>
      <c r="I2464" s="1">
        <f t="shared" si="77"/>
        <v>144.67146276966366</v>
      </c>
    </row>
    <row r="2465" spans="1:9" x14ac:dyDescent="0.45">
      <c r="A2465" t="s">
        <v>22</v>
      </c>
      <c r="B2465" t="s">
        <v>43</v>
      </c>
      <c r="C2465" t="str">
        <f t="shared" si="76"/>
        <v>DukeMississippi St.</v>
      </c>
      <c r="D2465" t="s">
        <v>22</v>
      </c>
      <c r="E2465">
        <v>93.8</v>
      </c>
      <c r="F2465" s="1">
        <v>-17.762264150943398</v>
      </c>
      <c r="G2465" s="2">
        <v>-1501.9663401065</v>
      </c>
      <c r="H2465" s="1">
        <v>141.277786367831</v>
      </c>
      <c r="I2465" s="1">
        <f t="shared" si="77"/>
        <v>173.88300381818942</v>
      </c>
    </row>
    <row r="2466" spans="1:9" x14ac:dyDescent="0.45">
      <c r="A2466" t="s">
        <v>23</v>
      </c>
      <c r="B2466" t="s">
        <v>43</v>
      </c>
      <c r="C2466" t="str">
        <f t="shared" si="76"/>
        <v>FloridaMississippi St.</v>
      </c>
      <c r="D2466" t="s">
        <v>23</v>
      </c>
      <c r="E2466">
        <v>89.3</v>
      </c>
      <c r="F2466" s="1">
        <v>-13.905660377358499</v>
      </c>
      <c r="G2466" s="2">
        <v>-833.92700895925304</v>
      </c>
      <c r="H2466" s="1">
        <v>141.01243689538501</v>
      </c>
      <c r="I2466" s="1">
        <f t="shared" si="77"/>
        <v>170.15704199386181</v>
      </c>
    </row>
    <row r="2467" spans="1:9" x14ac:dyDescent="0.45">
      <c r="A2467" t="s">
        <v>24</v>
      </c>
      <c r="B2467" t="s">
        <v>43</v>
      </c>
      <c r="C2467" t="str">
        <f t="shared" si="76"/>
        <v>GeorgiaMississippi St.</v>
      </c>
      <c r="D2467" t="s">
        <v>43</v>
      </c>
      <c r="E2467">
        <v>25.1</v>
      </c>
      <c r="F2467" s="1">
        <v>7.1584905660377398</v>
      </c>
      <c r="G2467" s="2">
        <v>297.980248571147</v>
      </c>
      <c r="H2467" s="1">
        <v>138.27639519166999</v>
      </c>
      <c r="I2467" s="1">
        <f t="shared" si="77"/>
        <v>131.73832254498328</v>
      </c>
    </row>
    <row r="2468" spans="1:9" x14ac:dyDescent="0.45">
      <c r="A2468" t="s">
        <v>25</v>
      </c>
      <c r="B2468" t="s">
        <v>43</v>
      </c>
      <c r="C2468" t="str">
        <f t="shared" si="76"/>
        <v>GonzagaMississippi St.</v>
      </c>
      <c r="D2468" t="s">
        <v>25</v>
      </c>
      <c r="E2468">
        <v>62.9</v>
      </c>
      <c r="F2468" s="1">
        <v>-3.47169811320755</v>
      </c>
      <c r="G2468" s="2">
        <v>-169.84445177410299</v>
      </c>
      <c r="H2468" s="1">
        <v>140.25335692217601</v>
      </c>
      <c r="I2468" s="1">
        <f t="shared" si="77"/>
        <v>159.49825689918248</v>
      </c>
    </row>
    <row r="2469" spans="1:9" x14ac:dyDescent="0.45">
      <c r="A2469" t="s">
        <v>26</v>
      </c>
      <c r="B2469" t="s">
        <v>43</v>
      </c>
      <c r="C2469" t="str">
        <f t="shared" si="76"/>
        <v>Grand CanyonMississippi St.</v>
      </c>
      <c r="D2469" t="s">
        <v>43</v>
      </c>
      <c r="E2469">
        <v>15.6</v>
      </c>
      <c r="F2469" s="1">
        <v>11.079245283018899</v>
      </c>
      <c r="G2469" s="2">
        <v>541.91038081345596</v>
      </c>
      <c r="H2469" s="1">
        <v>139.07132863971501</v>
      </c>
      <c r="I2469" s="1">
        <f t="shared" si="77"/>
        <v>142.90055193626165</v>
      </c>
    </row>
    <row r="2470" spans="1:9" x14ac:dyDescent="0.45">
      <c r="A2470" t="s">
        <v>27</v>
      </c>
      <c r="B2470" t="s">
        <v>43</v>
      </c>
      <c r="C2470" t="str">
        <f t="shared" si="76"/>
        <v>High PointMississippi St.</v>
      </c>
      <c r="D2470" t="s">
        <v>43</v>
      </c>
      <c r="E2470">
        <v>10.3</v>
      </c>
      <c r="F2470" s="1">
        <v>14.1660377358491</v>
      </c>
      <c r="G2470" s="2">
        <v>868.17950972916697</v>
      </c>
      <c r="H2470" s="1">
        <v>139.26253577326401</v>
      </c>
      <c r="I2470" s="1">
        <f t="shared" si="77"/>
        <v>145.58542812454084</v>
      </c>
    </row>
    <row r="2471" spans="1:9" x14ac:dyDescent="0.45">
      <c r="A2471" t="s">
        <v>28</v>
      </c>
      <c r="B2471" t="s">
        <v>43</v>
      </c>
      <c r="C2471" t="str">
        <f t="shared" si="76"/>
        <v>HoustonMississippi St.</v>
      </c>
      <c r="D2471" t="s">
        <v>28</v>
      </c>
      <c r="E2471">
        <v>96.2</v>
      </c>
      <c r="F2471" s="1">
        <v>-21.116981132075502</v>
      </c>
      <c r="G2471" s="2">
        <v>-2505.4766552661999</v>
      </c>
      <c r="H2471" s="1">
        <v>141.375998130467</v>
      </c>
      <c r="I2471" s="1">
        <f t="shared" si="77"/>
        <v>175.262065456822</v>
      </c>
    </row>
    <row r="2472" spans="1:9" x14ac:dyDescent="0.45">
      <c r="A2472" t="s">
        <v>29</v>
      </c>
      <c r="B2472" t="s">
        <v>43</v>
      </c>
      <c r="C2472" t="str">
        <f t="shared" si="76"/>
        <v>IllinoisMississippi St.</v>
      </c>
      <c r="D2472" t="s">
        <v>29</v>
      </c>
      <c r="E2472">
        <v>71.2</v>
      </c>
      <c r="F2472" s="1">
        <v>-5.9283018867924504</v>
      </c>
      <c r="G2472" s="2">
        <v>-246.98852731058901</v>
      </c>
      <c r="H2472" s="1">
        <v>139.43446190542801</v>
      </c>
      <c r="I2472" s="1">
        <f t="shared" si="77"/>
        <v>147.99956597506082</v>
      </c>
    </row>
    <row r="2473" spans="1:9" x14ac:dyDescent="0.45">
      <c r="A2473" t="s">
        <v>30</v>
      </c>
      <c r="B2473" t="s">
        <v>43</v>
      </c>
      <c r="C2473" t="str">
        <f t="shared" si="76"/>
        <v>Iowa St.Mississippi St.</v>
      </c>
      <c r="D2473" t="s">
        <v>30</v>
      </c>
      <c r="E2473">
        <v>83.8</v>
      </c>
      <c r="F2473" s="1">
        <v>-10.788679245282999</v>
      </c>
      <c r="G2473" s="2">
        <v>-518.48099262964104</v>
      </c>
      <c r="H2473" s="1">
        <v>140.33100419701401</v>
      </c>
      <c r="I2473" s="1">
        <f t="shared" si="77"/>
        <v>160.58855784887947</v>
      </c>
    </row>
    <row r="2474" spans="1:9" x14ac:dyDescent="0.45">
      <c r="A2474" t="s">
        <v>31</v>
      </c>
      <c r="B2474" t="s">
        <v>43</v>
      </c>
      <c r="C2474" t="str">
        <f t="shared" si="76"/>
        <v>KansasMississippi St.</v>
      </c>
      <c r="D2474" t="s">
        <v>31</v>
      </c>
      <c r="E2474">
        <v>61.5</v>
      </c>
      <c r="F2474" s="1">
        <v>-3.07169811320755</v>
      </c>
      <c r="G2474" s="2">
        <v>-159.78349046495501</v>
      </c>
      <c r="H2474" s="1">
        <v>139.38159208586799</v>
      </c>
      <c r="I2474" s="1">
        <f t="shared" si="77"/>
        <v>147.25718300544779</v>
      </c>
    </row>
    <row r="2475" spans="1:9" x14ac:dyDescent="0.45">
      <c r="A2475" t="s">
        <v>32</v>
      </c>
      <c r="B2475" t="s">
        <v>43</v>
      </c>
      <c r="C2475" t="str">
        <f t="shared" si="76"/>
        <v>KentuckyMississippi St.</v>
      </c>
      <c r="D2475" t="s">
        <v>32</v>
      </c>
      <c r="E2475">
        <v>72.7</v>
      </c>
      <c r="F2475" s="1">
        <v>-6.4377358490566001</v>
      </c>
      <c r="G2475" s="2">
        <v>-266.94257585033102</v>
      </c>
      <c r="H2475" s="1">
        <v>139.315874417994</v>
      </c>
      <c r="I2475" s="1">
        <f t="shared" si="77"/>
        <v>146.33439420385258</v>
      </c>
    </row>
    <row r="2476" spans="1:9" x14ac:dyDescent="0.45">
      <c r="A2476" t="s">
        <v>33</v>
      </c>
      <c r="B2476" t="s">
        <v>43</v>
      </c>
      <c r="C2476" t="str">
        <f t="shared" si="76"/>
        <v>LibertyMississippi St.</v>
      </c>
      <c r="D2476" t="s">
        <v>43</v>
      </c>
      <c r="E2476">
        <v>7.4</v>
      </c>
      <c r="F2476" s="1">
        <v>16.550943396226401</v>
      </c>
      <c r="G2476" s="2">
        <v>1248.5618707727799</v>
      </c>
      <c r="H2476" s="1">
        <v>138.66087546171099</v>
      </c>
      <c r="I2476" s="1">
        <f t="shared" si="77"/>
        <v>137.13708514727753</v>
      </c>
    </row>
    <row r="2477" spans="1:9" x14ac:dyDescent="0.45">
      <c r="A2477" t="s">
        <v>34</v>
      </c>
      <c r="B2477" t="s">
        <v>43</v>
      </c>
      <c r="C2477" t="str">
        <f t="shared" si="76"/>
        <v>LipscombMississippi St.</v>
      </c>
      <c r="D2477" t="s">
        <v>43</v>
      </c>
      <c r="E2477">
        <v>5.7</v>
      </c>
      <c r="F2477" s="1">
        <v>18.415094339622598</v>
      </c>
      <c r="G2477" s="2">
        <v>1659.61888739509</v>
      </c>
      <c r="H2477" s="1">
        <v>139.067193659303</v>
      </c>
      <c r="I2477" s="1">
        <f t="shared" si="77"/>
        <v>142.84248971734161</v>
      </c>
    </row>
    <row r="2478" spans="1:9" x14ac:dyDescent="0.45">
      <c r="A2478" t="s">
        <v>35</v>
      </c>
      <c r="B2478" t="s">
        <v>43</v>
      </c>
      <c r="C2478" t="str">
        <f t="shared" si="76"/>
        <v>LouisvilleMississippi St.</v>
      </c>
      <c r="D2478" t="s">
        <v>43</v>
      </c>
      <c r="E2478">
        <v>13.2</v>
      </c>
      <c r="F2478" s="1">
        <v>12.366037735849099</v>
      </c>
      <c r="G2478" s="2">
        <v>659.584640251927</v>
      </c>
      <c r="H2478" s="1">
        <v>138.31255566512101</v>
      </c>
      <c r="I2478" s="1">
        <f t="shared" si="77"/>
        <v>132.24607762882101</v>
      </c>
    </row>
    <row r="2479" spans="1:9" x14ac:dyDescent="0.45">
      <c r="A2479" t="s">
        <v>36</v>
      </c>
      <c r="B2479" t="s">
        <v>43</v>
      </c>
      <c r="C2479" t="str">
        <f t="shared" si="76"/>
        <v>MarquetteMississippi St.</v>
      </c>
      <c r="D2479" t="s">
        <v>36</v>
      </c>
      <c r="E2479">
        <v>67.2</v>
      </c>
      <c r="F2479" s="1">
        <v>-4.7018867924528296</v>
      </c>
      <c r="G2479" s="2">
        <v>-204.867356592536</v>
      </c>
      <c r="H2479" s="1">
        <v>139.57468950858299</v>
      </c>
      <c r="I2479" s="1">
        <f t="shared" si="77"/>
        <v>149.96860209658081</v>
      </c>
    </row>
    <row r="2480" spans="1:9" x14ac:dyDescent="0.45">
      <c r="A2480" t="s">
        <v>37</v>
      </c>
      <c r="B2480" t="s">
        <v>43</v>
      </c>
      <c r="C2480" t="str">
        <f t="shared" si="76"/>
        <v>MarylandMississippi St.</v>
      </c>
      <c r="D2480" t="s">
        <v>37</v>
      </c>
      <c r="E2480">
        <v>55.8</v>
      </c>
      <c r="F2480" s="1">
        <v>-1.5358490566037699</v>
      </c>
      <c r="G2480" s="2">
        <v>-126.368529575466</v>
      </c>
      <c r="H2480" s="1">
        <v>139.03305910712501</v>
      </c>
      <c r="I2480" s="1">
        <f t="shared" si="77"/>
        <v>142.36318204382968</v>
      </c>
    </row>
    <row r="2481" spans="1:9" x14ac:dyDescent="0.45">
      <c r="A2481" t="s">
        <v>38</v>
      </c>
      <c r="B2481" t="s">
        <v>43</v>
      </c>
      <c r="C2481" t="str">
        <f t="shared" si="76"/>
        <v>McNeese St.Mississippi St.</v>
      </c>
      <c r="D2481" t="s">
        <v>43</v>
      </c>
      <c r="E2481">
        <v>22.8</v>
      </c>
      <c r="F2481" s="1">
        <v>8.0075471698113194</v>
      </c>
      <c r="G2481" s="2">
        <v>339.18039494716697</v>
      </c>
      <c r="H2481" s="1">
        <v>139.62629452009</v>
      </c>
      <c r="I2481" s="1">
        <f t="shared" si="77"/>
        <v>150.69322499123621</v>
      </c>
    </row>
    <row r="2482" spans="1:9" x14ac:dyDescent="0.45">
      <c r="A2482" t="s">
        <v>39</v>
      </c>
      <c r="B2482" t="s">
        <v>43</v>
      </c>
      <c r="C2482" t="str">
        <f t="shared" si="76"/>
        <v>MemphisMississippi St.</v>
      </c>
      <c r="D2482" t="s">
        <v>43</v>
      </c>
      <c r="E2482">
        <v>41.6</v>
      </c>
      <c r="F2482" s="1">
        <v>2.2301886792452801</v>
      </c>
      <c r="G2482" s="2">
        <v>140.52753702122999</v>
      </c>
      <c r="H2482" s="1">
        <v>138.16057634661601</v>
      </c>
      <c r="I2482" s="1">
        <f t="shared" si="77"/>
        <v>130.11202726264884</v>
      </c>
    </row>
    <row r="2483" spans="1:9" x14ac:dyDescent="0.45">
      <c r="A2483" t="s">
        <v>40</v>
      </c>
      <c r="B2483" t="s">
        <v>43</v>
      </c>
      <c r="C2483" t="str">
        <f t="shared" si="76"/>
        <v>MichiganMississippi St.</v>
      </c>
      <c r="D2483" t="s">
        <v>43</v>
      </c>
      <c r="E2483">
        <v>26</v>
      </c>
      <c r="F2483" s="1">
        <v>6.8566037735849097</v>
      </c>
      <c r="G2483" s="2">
        <v>284.54834814638201</v>
      </c>
      <c r="H2483" s="1">
        <v>137.72319764353199</v>
      </c>
      <c r="I2483" s="1">
        <f t="shared" si="77"/>
        <v>123.97047990835105</v>
      </c>
    </row>
    <row r="2484" spans="1:9" x14ac:dyDescent="0.45">
      <c r="A2484" t="s">
        <v>41</v>
      </c>
      <c r="B2484" t="s">
        <v>43</v>
      </c>
      <c r="C2484" t="str">
        <f t="shared" si="76"/>
        <v>Michigan St.Mississippi St.</v>
      </c>
      <c r="D2484" t="s">
        <v>41</v>
      </c>
      <c r="E2484">
        <v>76.900000000000006</v>
      </c>
      <c r="F2484" s="1">
        <v>-7.8905660377358497</v>
      </c>
      <c r="G2484" s="2">
        <v>-333.27218792719401</v>
      </c>
      <c r="H2484" s="1">
        <v>139.37027735273901</v>
      </c>
      <c r="I2484" s="1">
        <f t="shared" si="77"/>
        <v>147.09830474086172</v>
      </c>
    </row>
    <row r="2485" spans="1:9" x14ac:dyDescent="0.45">
      <c r="A2485" t="s">
        <v>42</v>
      </c>
      <c r="B2485" t="s">
        <v>43</v>
      </c>
      <c r="C2485" t="str">
        <f t="shared" si="76"/>
        <v>MississippiMississippi St.</v>
      </c>
      <c r="D2485" t="s">
        <v>43</v>
      </c>
      <c r="E2485">
        <v>47.7</v>
      </c>
      <c r="F2485" s="1">
        <v>0.60377358490566002</v>
      </c>
      <c r="G2485" s="2">
        <v>109.66608569327001</v>
      </c>
      <c r="H2485" s="1">
        <v>138.637968702628</v>
      </c>
      <c r="I2485" s="1">
        <f t="shared" si="77"/>
        <v>136.81543495112103</v>
      </c>
    </row>
    <row r="2486" spans="1:9" x14ac:dyDescent="0.45">
      <c r="A2486" t="s">
        <v>43</v>
      </c>
      <c r="B2486" t="s">
        <v>43</v>
      </c>
      <c r="C2486" t="str">
        <f t="shared" si="76"/>
        <v>Mississippi St.Mississippi St.</v>
      </c>
      <c r="D2486" t="s">
        <v>43</v>
      </c>
      <c r="E2486">
        <v>41.2</v>
      </c>
      <c r="F2486" s="1">
        <v>2.3283018867924499</v>
      </c>
      <c r="G2486" s="2">
        <v>142.64273539779199</v>
      </c>
      <c r="H2486" s="1">
        <v>138.77771517530499</v>
      </c>
      <c r="I2486" s="1">
        <f t="shared" si="77"/>
        <v>138.77771517530684</v>
      </c>
    </row>
    <row r="2487" spans="1:9" x14ac:dyDescent="0.45">
      <c r="A2487" t="s">
        <v>44</v>
      </c>
      <c r="B2487" t="s">
        <v>43</v>
      </c>
      <c r="C2487" t="str">
        <f t="shared" si="76"/>
        <v>MissouriMississippi St.</v>
      </c>
      <c r="D2487" t="s">
        <v>43</v>
      </c>
      <c r="E2487">
        <v>24.8</v>
      </c>
      <c r="F2487" s="1">
        <v>7.2641509433962304</v>
      </c>
      <c r="G2487" s="2">
        <v>302.78052690115999</v>
      </c>
      <c r="H2487" s="1">
        <v>138.19537707395099</v>
      </c>
      <c r="I2487" s="1">
        <f t="shared" si="77"/>
        <v>130.60068917824913</v>
      </c>
    </row>
    <row r="2488" spans="1:9" x14ac:dyDescent="0.45">
      <c r="A2488" t="s">
        <v>45</v>
      </c>
      <c r="B2488" t="s">
        <v>43</v>
      </c>
      <c r="C2488" t="str">
        <f t="shared" si="76"/>
        <v>MontanaMississippi St.</v>
      </c>
      <c r="D2488" t="s">
        <v>43</v>
      </c>
      <c r="E2488">
        <v>2.9</v>
      </c>
      <c r="F2488" s="1">
        <v>23.067924528301901</v>
      </c>
      <c r="G2488" s="2">
        <v>3374.9992684479298</v>
      </c>
      <c r="H2488" s="1">
        <v>137.332088637357</v>
      </c>
      <c r="I2488" s="1">
        <f t="shared" si="77"/>
        <v>118.47863847853505</v>
      </c>
    </row>
    <row r="2489" spans="1:9" x14ac:dyDescent="0.45">
      <c r="A2489" t="s">
        <v>46</v>
      </c>
      <c r="B2489" t="s">
        <v>43</v>
      </c>
      <c r="C2489" t="str">
        <f t="shared" si="76"/>
        <v>Mount St. Mary'sMississippi St.</v>
      </c>
      <c r="D2489" t="s">
        <v>43</v>
      </c>
      <c r="E2489">
        <v>1.1000000000000001</v>
      </c>
      <c r="F2489" s="1">
        <v>29.4037735849057</v>
      </c>
      <c r="G2489" s="2">
        <v>8869.47311293239</v>
      </c>
      <c r="H2489" s="1">
        <v>138.63537659150799</v>
      </c>
      <c r="I2489" s="1">
        <f t="shared" si="77"/>
        <v>136.77903726399342</v>
      </c>
    </row>
    <row r="2490" spans="1:9" x14ac:dyDescent="0.45">
      <c r="A2490" t="s">
        <v>47</v>
      </c>
      <c r="B2490" t="s">
        <v>43</v>
      </c>
      <c r="C2490" t="str">
        <f t="shared" si="76"/>
        <v>Nebraska OmahaMississippi St.</v>
      </c>
      <c r="D2490" t="s">
        <v>43</v>
      </c>
      <c r="E2490">
        <v>1.6</v>
      </c>
      <c r="F2490" s="1">
        <v>27.211320754717001</v>
      </c>
      <c r="G2490" s="2">
        <v>6350.3154629469</v>
      </c>
      <c r="H2490" s="1">
        <v>138.05315272361099</v>
      </c>
      <c r="I2490" s="1">
        <f t="shared" si="77"/>
        <v>128.60361530064984</v>
      </c>
    </row>
    <row r="2491" spans="1:9" x14ac:dyDescent="0.45">
      <c r="A2491" t="s">
        <v>48</v>
      </c>
      <c r="B2491" t="s">
        <v>43</v>
      </c>
      <c r="C2491" t="str">
        <f t="shared" si="76"/>
        <v>New MexicoMississippi St.</v>
      </c>
      <c r="D2491" t="s">
        <v>43</v>
      </c>
      <c r="E2491">
        <v>27.4</v>
      </c>
      <c r="F2491" s="1">
        <v>6.3811320754717</v>
      </c>
      <c r="G2491" s="2">
        <v>264.67450314049597</v>
      </c>
      <c r="H2491" s="1">
        <v>138.823142655428</v>
      </c>
      <c r="I2491" s="1">
        <f t="shared" si="77"/>
        <v>139.41559493121323</v>
      </c>
    </row>
    <row r="2492" spans="1:9" x14ac:dyDescent="0.45">
      <c r="A2492" t="s">
        <v>49</v>
      </c>
      <c r="B2492" t="s">
        <v>43</v>
      </c>
      <c r="C2492" t="str">
        <f t="shared" si="76"/>
        <v>Norfolk St.Mississippi St.</v>
      </c>
      <c r="D2492" t="s">
        <v>43</v>
      </c>
      <c r="E2492">
        <v>2.2000000000000002</v>
      </c>
      <c r="F2492" s="1">
        <v>24.947169811320801</v>
      </c>
      <c r="G2492" s="2">
        <v>4495.1321488150097</v>
      </c>
      <c r="H2492" s="1">
        <v>137.85926841939201</v>
      </c>
      <c r="I2492" s="1">
        <f t="shared" si="77"/>
        <v>125.88114704323397</v>
      </c>
    </row>
    <row r="2493" spans="1:9" x14ac:dyDescent="0.45">
      <c r="A2493" t="s">
        <v>50</v>
      </c>
      <c r="B2493" t="s">
        <v>43</v>
      </c>
      <c r="C2493" t="str">
        <f t="shared" si="76"/>
        <v>North CarolinaMississippi St.</v>
      </c>
      <c r="D2493" t="s">
        <v>50</v>
      </c>
      <c r="E2493">
        <v>56.3</v>
      </c>
      <c r="F2493" s="1">
        <v>-1.6716981132075499</v>
      </c>
      <c r="G2493" s="2">
        <v>-129.01639367531101</v>
      </c>
      <c r="H2493" s="1">
        <v>139.93287437386201</v>
      </c>
      <c r="I2493" s="1">
        <f t="shared" si="77"/>
        <v>154.9981321038552</v>
      </c>
    </row>
    <row r="2494" spans="1:9" x14ac:dyDescent="0.45">
      <c r="A2494" t="s">
        <v>51</v>
      </c>
      <c r="B2494" t="s">
        <v>43</v>
      </c>
      <c r="C2494" t="str">
        <f t="shared" si="76"/>
        <v>OklahomaMississippi St.</v>
      </c>
      <c r="D2494" t="s">
        <v>43</v>
      </c>
      <c r="E2494">
        <v>31.1</v>
      </c>
      <c r="F2494" s="1">
        <v>5.2113207547169802</v>
      </c>
      <c r="G2494" s="2">
        <v>221.47888158952199</v>
      </c>
      <c r="H2494" s="1">
        <v>138.356497500036</v>
      </c>
      <c r="I2494" s="1">
        <f t="shared" si="77"/>
        <v>132.8630963772471</v>
      </c>
    </row>
    <row r="2495" spans="1:9" x14ac:dyDescent="0.45">
      <c r="A2495" t="s">
        <v>52</v>
      </c>
      <c r="B2495" t="s">
        <v>43</v>
      </c>
      <c r="C2495" t="str">
        <f t="shared" si="76"/>
        <v>OregonMississippi St.</v>
      </c>
      <c r="D2495" t="s">
        <v>52</v>
      </c>
      <c r="E2495">
        <v>55.9</v>
      </c>
      <c r="F2495" s="1">
        <v>-1.55471698113208</v>
      </c>
      <c r="G2495" s="2">
        <v>-126.745901301109</v>
      </c>
      <c r="H2495" s="1">
        <v>138.647214891565</v>
      </c>
      <c r="I2495" s="1">
        <f t="shared" si="77"/>
        <v>136.94526730647567</v>
      </c>
    </row>
    <row r="2496" spans="1:9" x14ac:dyDescent="0.45">
      <c r="A2496" t="s">
        <v>53</v>
      </c>
      <c r="B2496" t="s">
        <v>43</v>
      </c>
      <c r="C2496" t="str">
        <f t="shared" si="76"/>
        <v>PurdueMississippi St.</v>
      </c>
      <c r="D2496" t="s">
        <v>53</v>
      </c>
      <c r="E2496">
        <v>87.8</v>
      </c>
      <c r="F2496" s="1">
        <v>-12.9245283018868</v>
      </c>
      <c r="G2496" s="2">
        <v>-718.345778657241</v>
      </c>
      <c r="H2496" s="1">
        <v>140.135302091363</v>
      </c>
      <c r="I2496" s="1">
        <f t="shared" si="77"/>
        <v>157.84056454075406</v>
      </c>
    </row>
    <row r="2497" spans="1:9" x14ac:dyDescent="0.45">
      <c r="A2497" t="s">
        <v>54</v>
      </c>
      <c r="B2497" t="s">
        <v>43</v>
      </c>
      <c r="C2497" t="str">
        <f t="shared" si="76"/>
        <v>Robert MorrisMississippi St.</v>
      </c>
      <c r="D2497" t="s">
        <v>43</v>
      </c>
      <c r="E2497">
        <v>0.9</v>
      </c>
      <c r="F2497" s="1">
        <v>30.962264150943401</v>
      </c>
      <c r="G2497" s="2">
        <v>11253.856070423501</v>
      </c>
      <c r="H2497" s="1">
        <v>137.21826742005001</v>
      </c>
      <c r="I2497" s="1">
        <f t="shared" si="77"/>
        <v>116.88039331688066</v>
      </c>
    </row>
    <row r="2498" spans="1:9" x14ac:dyDescent="0.45">
      <c r="A2498" t="s">
        <v>55</v>
      </c>
      <c r="B2498" t="s">
        <v>43</v>
      </c>
      <c r="C2498" t="str">
        <f t="shared" si="76"/>
        <v>Saint FrancisMississippi St.</v>
      </c>
      <c r="D2498" t="s">
        <v>43</v>
      </c>
      <c r="E2498">
        <v>0.5</v>
      </c>
      <c r="F2498" s="1">
        <v>34.324528301886801</v>
      </c>
      <c r="G2498" s="2">
        <v>18796.784005708399</v>
      </c>
      <c r="H2498" s="1">
        <v>137.92511530209401</v>
      </c>
      <c r="I2498" s="1">
        <f t="shared" si="77"/>
        <v>126.8057502426942</v>
      </c>
    </row>
    <row r="2499" spans="1:9" x14ac:dyDescent="0.45">
      <c r="A2499" t="s">
        <v>56</v>
      </c>
      <c r="B2499" t="s">
        <v>43</v>
      </c>
      <c r="C2499" t="str">
        <f t="shared" ref="C2499:C2562" si="78">A2499&amp;B2499</f>
        <v>Saint Mary'sMississippi St.</v>
      </c>
      <c r="D2499" t="s">
        <v>56</v>
      </c>
      <c r="E2499">
        <v>55.4</v>
      </c>
      <c r="F2499" s="1">
        <v>-1.4113207547169799</v>
      </c>
      <c r="G2499" s="2">
        <v>-123.988276739471</v>
      </c>
      <c r="H2499" s="1">
        <v>139.65432141803601</v>
      </c>
      <c r="I2499" s="1">
        <f t="shared" ref="I2499:I2562" si="79">18*(H2499-AVERAGE($H$2:$H$4625))/_xlfn.STDEV.P($H$2:$H$4625)+AVERAGE($H$2:$H$4625)</f>
        <v>151.08677072109404</v>
      </c>
    </row>
    <row r="2500" spans="1:9" x14ac:dyDescent="0.45">
      <c r="A2500" t="s">
        <v>57</v>
      </c>
      <c r="B2500" t="s">
        <v>43</v>
      </c>
      <c r="C2500" t="str">
        <f t="shared" si="78"/>
        <v>San Diego St.Mississippi St.</v>
      </c>
      <c r="D2500" t="s">
        <v>43</v>
      </c>
      <c r="E2500">
        <v>27.8</v>
      </c>
      <c r="F2500" s="1">
        <v>6.2641509433962304</v>
      </c>
      <c r="G2500" s="2">
        <v>260.027297352706</v>
      </c>
      <c r="H2500" s="1">
        <v>138.86902058106401</v>
      </c>
      <c r="I2500" s="1">
        <f t="shared" si="79"/>
        <v>140.05979971490237</v>
      </c>
    </row>
    <row r="2501" spans="1:9" x14ac:dyDescent="0.45">
      <c r="A2501" t="s">
        <v>58</v>
      </c>
      <c r="B2501" t="s">
        <v>43</v>
      </c>
      <c r="C2501" t="str">
        <f t="shared" si="78"/>
        <v>SIU EdwardsvilleMississippi St.</v>
      </c>
      <c r="D2501" t="s">
        <v>43</v>
      </c>
      <c r="E2501">
        <v>1.8</v>
      </c>
      <c r="F2501" s="1">
        <v>26.237735849056602</v>
      </c>
      <c r="G2501" s="2">
        <v>5473.9297741090704</v>
      </c>
      <c r="H2501" s="1">
        <v>138.92827876124801</v>
      </c>
      <c r="I2501" s="1">
        <f t="shared" si="79"/>
        <v>140.89188622749066</v>
      </c>
    </row>
    <row r="2502" spans="1:9" x14ac:dyDescent="0.45">
      <c r="A2502" t="s">
        <v>59</v>
      </c>
      <c r="B2502" t="s">
        <v>43</v>
      </c>
      <c r="C2502" t="str">
        <f t="shared" si="78"/>
        <v>St. John'sMississippi St.</v>
      </c>
      <c r="D2502" t="s">
        <v>59</v>
      </c>
      <c r="E2502">
        <v>78.3</v>
      </c>
      <c r="F2502" s="1">
        <v>-8.3924528301886792</v>
      </c>
      <c r="G2502" s="2">
        <v>-359.77441301418997</v>
      </c>
      <c r="H2502" s="1">
        <v>139.74773520980199</v>
      </c>
      <c r="I2502" s="1">
        <f t="shared" si="79"/>
        <v>152.3984606173556</v>
      </c>
    </row>
    <row r="2503" spans="1:9" x14ac:dyDescent="0.45">
      <c r="A2503" t="s">
        <v>60</v>
      </c>
      <c r="B2503" t="s">
        <v>43</v>
      </c>
      <c r="C2503" t="str">
        <f t="shared" si="78"/>
        <v>TennesseeMississippi St.</v>
      </c>
      <c r="D2503" t="s">
        <v>60</v>
      </c>
      <c r="E2503">
        <v>88.9</v>
      </c>
      <c r="F2503" s="1">
        <v>-13.6075471698113</v>
      </c>
      <c r="G2503" s="2">
        <v>-797.23758667409095</v>
      </c>
      <c r="H2503" s="1">
        <v>140.540967583937</v>
      </c>
      <c r="I2503" s="1">
        <f t="shared" si="79"/>
        <v>163.53680401259035</v>
      </c>
    </row>
    <row r="2504" spans="1:9" x14ac:dyDescent="0.45">
      <c r="A2504" t="s">
        <v>61</v>
      </c>
      <c r="B2504" t="s">
        <v>43</v>
      </c>
      <c r="C2504" t="str">
        <f t="shared" si="78"/>
        <v>TexasMississippi St.</v>
      </c>
      <c r="D2504" t="s">
        <v>43</v>
      </c>
      <c r="E2504">
        <v>24.2</v>
      </c>
      <c r="F2504" s="1">
        <v>7.4867924528301897</v>
      </c>
      <c r="G2504" s="2">
        <v>313.36974037913302</v>
      </c>
      <c r="H2504" s="1">
        <v>138.240849411575</v>
      </c>
      <c r="I2504" s="1">
        <f t="shared" si="79"/>
        <v>131.23919881042661</v>
      </c>
    </row>
    <row r="2505" spans="1:9" x14ac:dyDescent="0.45">
      <c r="A2505" t="s">
        <v>62</v>
      </c>
      <c r="B2505" t="s">
        <v>43</v>
      </c>
      <c r="C2505" t="str">
        <f t="shared" si="78"/>
        <v>Texas A&amp;MMississippi St.</v>
      </c>
      <c r="D2505" t="s">
        <v>62</v>
      </c>
      <c r="E2505">
        <v>64.5</v>
      </c>
      <c r="F2505" s="1">
        <v>-3.9132075471698098</v>
      </c>
      <c r="G2505" s="2">
        <v>-181.67585861278701</v>
      </c>
      <c r="H2505" s="1">
        <v>139.027824720973</v>
      </c>
      <c r="I2505" s="1">
        <f t="shared" si="79"/>
        <v>142.28968228218929</v>
      </c>
    </row>
    <row r="2506" spans="1:9" x14ac:dyDescent="0.45">
      <c r="A2506" t="s">
        <v>63</v>
      </c>
      <c r="B2506" t="s">
        <v>43</v>
      </c>
      <c r="C2506" t="str">
        <f t="shared" si="78"/>
        <v>Texas TechMississippi St.</v>
      </c>
      <c r="D2506" t="s">
        <v>63</v>
      </c>
      <c r="E2506">
        <v>77.900000000000006</v>
      </c>
      <c r="F2506" s="1">
        <v>-8.2490566037735906</v>
      </c>
      <c r="G2506" s="2">
        <v>-351.89464898506299</v>
      </c>
      <c r="H2506" s="1">
        <v>140.01833732621199</v>
      </c>
      <c r="I2506" s="1">
        <f t="shared" si="79"/>
        <v>156.19817857432704</v>
      </c>
    </row>
    <row r="2507" spans="1:9" x14ac:dyDescent="0.45">
      <c r="A2507" t="s">
        <v>64</v>
      </c>
      <c r="B2507" t="s">
        <v>43</v>
      </c>
      <c r="C2507" t="str">
        <f t="shared" si="78"/>
        <v>TroyMississippi St.</v>
      </c>
      <c r="D2507" t="s">
        <v>43</v>
      </c>
      <c r="E2507">
        <v>4.8</v>
      </c>
      <c r="F2507" s="1">
        <v>19.562264150943399</v>
      </c>
      <c r="G2507" s="2">
        <v>1976.644648986</v>
      </c>
      <c r="H2507" s="1">
        <v>138.78464192077101</v>
      </c>
      <c r="I2507" s="1">
        <f t="shared" si="79"/>
        <v>138.8749785651124</v>
      </c>
    </row>
    <row r="2508" spans="1:9" x14ac:dyDescent="0.45">
      <c r="A2508" t="s">
        <v>65</v>
      </c>
      <c r="B2508" t="s">
        <v>43</v>
      </c>
      <c r="C2508" t="str">
        <f t="shared" si="78"/>
        <v>UC San DiegoMississippi St.</v>
      </c>
      <c r="D2508" t="s">
        <v>43</v>
      </c>
      <c r="E2508">
        <v>11.5</v>
      </c>
      <c r="F2508" s="1">
        <v>13.381132075471699</v>
      </c>
      <c r="G2508" s="2">
        <v>769.84038256458405</v>
      </c>
      <c r="H2508" s="1">
        <v>138.854762150434</v>
      </c>
      <c r="I2508" s="1">
        <f t="shared" si="79"/>
        <v>139.85958688722079</v>
      </c>
    </row>
    <row r="2509" spans="1:9" x14ac:dyDescent="0.45">
      <c r="A2509" t="s">
        <v>66</v>
      </c>
      <c r="B2509" t="s">
        <v>43</v>
      </c>
      <c r="C2509" t="str">
        <f t="shared" si="78"/>
        <v>UCLAMississippi St.</v>
      </c>
      <c r="D2509" t="s">
        <v>43</v>
      </c>
      <c r="E2509">
        <v>30.9</v>
      </c>
      <c r="F2509" s="1">
        <v>5.2792452830188701</v>
      </c>
      <c r="G2509" s="2">
        <v>223.72228019322301</v>
      </c>
      <c r="H2509" s="1">
        <v>138.07602072964599</v>
      </c>
      <c r="I2509" s="1">
        <f t="shared" si="79"/>
        <v>128.92472133752818</v>
      </c>
    </row>
    <row r="2510" spans="1:9" x14ac:dyDescent="0.45">
      <c r="A2510" t="s">
        <v>67</v>
      </c>
      <c r="B2510" t="s">
        <v>43</v>
      </c>
      <c r="C2510" t="str">
        <f t="shared" si="78"/>
        <v>UNC WilmingtonMississippi St.</v>
      </c>
      <c r="D2510" t="s">
        <v>43</v>
      </c>
      <c r="E2510">
        <v>7</v>
      </c>
      <c r="F2510" s="1">
        <v>16.969811320754701</v>
      </c>
      <c r="G2510" s="2">
        <v>1331.5690080777999</v>
      </c>
      <c r="H2510" s="1">
        <v>139.39143062109801</v>
      </c>
      <c r="I2510" s="1">
        <f t="shared" si="79"/>
        <v>147.39533291898044</v>
      </c>
    </row>
    <row r="2511" spans="1:9" x14ac:dyDescent="0.45">
      <c r="A2511" t="s">
        <v>68</v>
      </c>
      <c r="B2511" t="s">
        <v>43</v>
      </c>
      <c r="C2511" t="str">
        <f t="shared" si="78"/>
        <v>Utah St.Mississippi St.</v>
      </c>
      <c r="D2511" t="s">
        <v>43</v>
      </c>
      <c r="E2511">
        <v>29.7</v>
      </c>
      <c r="F2511" s="1">
        <v>5.6452830188679197</v>
      </c>
      <c r="G2511" s="2">
        <v>236.55138225398201</v>
      </c>
      <c r="H2511" s="1">
        <v>138.93861711967699</v>
      </c>
      <c r="I2511" s="1">
        <f t="shared" si="79"/>
        <v>141.03705451622898</v>
      </c>
    </row>
    <row r="2512" spans="1:9" x14ac:dyDescent="0.45">
      <c r="A2512" t="s">
        <v>69</v>
      </c>
      <c r="B2512" t="s">
        <v>43</v>
      </c>
      <c r="C2512" t="str">
        <f t="shared" si="78"/>
        <v>VanderbiltMississippi St.</v>
      </c>
      <c r="D2512" t="s">
        <v>43</v>
      </c>
      <c r="E2512">
        <v>7.7</v>
      </c>
      <c r="F2512" s="1">
        <v>16.2905660377359</v>
      </c>
      <c r="G2512" s="2">
        <v>1200.4510579622099</v>
      </c>
      <c r="H2512" s="1">
        <v>137.37265500096001</v>
      </c>
      <c r="I2512" s="1">
        <f t="shared" si="79"/>
        <v>119.04825981881247</v>
      </c>
    </row>
    <row r="2513" spans="1:9" x14ac:dyDescent="0.45">
      <c r="A2513" t="s">
        <v>70</v>
      </c>
      <c r="B2513" t="s">
        <v>43</v>
      </c>
      <c r="C2513" t="str">
        <f t="shared" si="78"/>
        <v>VCUMississippi St.</v>
      </c>
      <c r="D2513" t="s">
        <v>43</v>
      </c>
      <c r="E2513">
        <v>21.1</v>
      </c>
      <c r="F2513" s="1">
        <v>8.6452830188679304</v>
      </c>
      <c r="G2513" s="2">
        <v>373.95789694388202</v>
      </c>
      <c r="H2513" s="1">
        <v>139.29782813015299</v>
      </c>
      <c r="I2513" s="1">
        <f t="shared" si="79"/>
        <v>146.08099336251462</v>
      </c>
    </row>
    <row r="2514" spans="1:9" x14ac:dyDescent="0.45">
      <c r="A2514" t="s">
        <v>71</v>
      </c>
      <c r="B2514" t="s">
        <v>43</v>
      </c>
      <c r="C2514" t="str">
        <f t="shared" si="78"/>
        <v>WisconsinMississippi St.</v>
      </c>
      <c r="D2514" t="s">
        <v>71</v>
      </c>
      <c r="E2514">
        <v>75.3</v>
      </c>
      <c r="F2514" s="1">
        <v>-7.3056603773584898</v>
      </c>
      <c r="G2514" s="2">
        <v>-304.83366672329299</v>
      </c>
      <c r="H2514" s="1">
        <v>139.95108373848501</v>
      </c>
      <c r="I2514" s="1">
        <f t="shared" si="79"/>
        <v>155.25382282298557</v>
      </c>
    </row>
    <row r="2515" spans="1:9" x14ac:dyDescent="0.45">
      <c r="A2515" t="s">
        <v>80</v>
      </c>
      <c r="B2515" t="s">
        <v>43</v>
      </c>
      <c r="C2515" t="str">
        <f t="shared" si="78"/>
        <v>WoffordMississippi St.</v>
      </c>
      <c r="D2515" t="s">
        <v>43</v>
      </c>
      <c r="E2515">
        <v>2.6</v>
      </c>
      <c r="F2515" s="1">
        <v>23.867924528301899</v>
      </c>
      <c r="G2515" s="2">
        <v>3812.6167668469502</v>
      </c>
      <c r="H2515" s="1">
        <v>138.04873216771199</v>
      </c>
      <c r="I2515" s="1">
        <f t="shared" si="79"/>
        <v>128.5415431119616</v>
      </c>
    </row>
    <row r="2516" spans="1:9" x14ac:dyDescent="0.45">
      <c r="A2516" t="s">
        <v>72</v>
      </c>
      <c r="B2516" t="s">
        <v>43</v>
      </c>
      <c r="C2516" t="str">
        <f t="shared" si="78"/>
        <v>XavierMississippi St.</v>
      </c>
      <c r="D2516" t="s">
        <v>43</v>
      </c>
      <c r="E2516">
        <v>20.9</v>
      </c>
      <c r="F2516" s="1">
        <v>8.7207547169811299</v>
      </c>
      <c r="G2516" s="2">
        <v>378.15399611045001</v>
      </c>
      <c r="H2516" s="1">
        <v>138.79153433833301</v>
      </c>
      <c r="I2516" s="1">
        <f t="shared" si="79"/>
        <v>138.97175993225292</v>
      </c>
    </row>
    <row r="2517" spans="1:9" x14ac:dyDescent="0.45">
      <c r="A2517" t="s">
        <v>73</v>
      </c>
      <c r="B2517" t="s">
        <v>43</v>
      </c>
      <c r="C2517" t="str">
        <f t="shared" si="78"/>
        <v>YaleMississippi St.</v>
      </c>
      <c r="D2517" t="s">
        <v>43</v>
      </c>
      <c r="E2517">
        <v>12.1</v>
      </c>
      <c r="F2517" s="1">
        <v>12.969811320754699</v>
      </c>
      <c r="G2517" s="2">
        <v>723.12634750409802</v>
      </c>
      <c r="H2517" s="1">
        <v>139.391240474727</v>
      </c>
      <c r="I2517" s="1">
        <f t="shared" si="79"/>
        <v>147.39266293771803</v>
      </c>
    </row>
    <row r="2518" spans="1:9" x14ac:dyDescent="0.45">
      <c r="A2518" t="s">
        <v>7</v>
      </c>
      <c r="B2518" t="s">
        <v>44</v>
      </c>
      <c r="C2518" t="str">
        <f t="shared" si="78"/>
        <v>AkronMissouri</v>
      </c>
      <c r="D2518" t="s">
        <v>44</v>
      </c>
      <c r="E2518">
        <v>13.3</v>
      </c>
      <c r="F2518" s="1">
        <v>12.2981132075472</v>
      </c>
      <c r="G2518" s="2">
        <v>652.84465222324798</v>
      </c>
      <c r="H2518" s="1">
        <v>138.79040563666101</v>
      </c>
      <c r="I2518" s="1">
        <f t="shared" si="79"/>
        <v>138.95591102438752</v>
      </c>
    </row>
    <row r="2519" spans="1:9" x14ac:dyDescent="0.45">
      <c r="A2519" t="s">
        <v>8</v>
      </c>
      <c r="B2519" t="s">
        <v>44</v>
      </c>
      <c r="C2519" t="str">
        <f t="shared" si="78"/>
        <v>AlabamaMissouri</v>
      </c>
      <c r="D2519" t="s">
        <v>8</v>
      </c>
      <c r="E2519">
        <v>92</v>
      </c>
      <c r="F2519" s="1">
        <v>-16.0415094339623</v>
      </c>
      <c r="G2519" s="2">
        <v>-1155.3693796008799</v>
      </c>
      <c r="H2519" s="1">
        <v>140.59801682425601</v>
      </c>
      <c r="I2519" s="1">
        <f t="shared" si="79"/>
        <v>164.33787321983652</v>
      </c>
    </row>
    <row r="2520" spans="1:9" x14ac:dyDescent="0.45">
      <c r="A2520" t="s">
        <v>9</v>
      </c>
      <c r="B2520" t="s">
        <v>44</v>
      </c>
      <c r="C2520" t="str">
        <f t="shared" si="78"/>
        <v>Alabama St.Missouri</v>
      </c>
      <c r="D2520" t="s">
        <v>44</v>
      </c>
      <c r="E2520">
        <v>2.2999999999999998</v>
      </c>
      <c r="F2520" s="1">
        <v>24.618867924528299</v>
      </c>
      <c r="G2520" s="2">
        <v>4274.6402276271301</v>
      </c>
      <c r="H2520" s="1">
        <v>138.97716739608299</v>
      </c>
      <c r="I2520" s="1">
        <f t="shared" si="79"/>
        <v>141.57836653347923</v>
      </c>
    </row>
    <row r="2521" spans="1:9" x14ac:dyDescent="0.45">
      <c r="A2521" t="s">
        <v>10</v>
      </c>
      <c r="B2521" t="s">
        <v>44</v>
      </c>
      <c r="C2521" t="str">
        <f t="shared" si="78"/>
        <v>AmericanMissouri</v>
      </c>
      <c r="D2521" t="s">
        <v>44</v>
      </c>
      <c r="E2521">
        <v>2.6</v>
      </c>
      <c r="F2521" s="1">
        <v>23.860377358490599</v>
      </c>
      <c r="G2521" s="2">
        <v>3808.494198675</v>
      </c>
      <c r="H2521" s="1">
        <v>138.74045691584499</v>
      </c>
      <c r="I2521" s="1">
        <f t="shared" si="79"/>
        <v>138.25454529255111</v>
      </c>
    </row>
    <row r="2522" spans="1:9" x14ac:dyDescent="0.45">
      <c r="A2522" t="s">
        <v>11</v>
      </c>
      <c r="B2522" t="s">
        <v>44</v>
      </c>
      <c r="C2522" t="str">
        <f t="shared" si="78"/>
        <v>ArizonaMissouri</v>
      </c>
      <c r="D2522" t="s">
        <v>11</v>
      </c>
      <c r="E2522">
        <v>88.4</v>
      </c>
      <c r="F2522" s="1">
        <v>-13.2867924528302</v>
      </c>
      <c r="G2522" s="2">
        <v>-758.86875267703601</v>
      </c>
      <c r="H2522" s="1">
        <v>140.208496164434</v>
      </c>
      <c r="I2522" s="1">
        <f t="shared" si="79"/>
        <v>158.8683348977691</v>
      </c>
    </row>
    <row r="2523" spans="1:9" x14ac:dyDescent="0.45">
      <c r="A2523" t="s">
        <v>12</v>
      </c>
      <c r="B2523" t="s">
        <v>44</v>
      </c>
      <c r="C2523" t="str">
        <f t="shared" si="78"/>
        <v>ArkansasMissouri</v>
      </c>
      <c r="D2523" t="s">
        <v>44</v>
      </c>
      <c r="E2523">
        <v>33.1</v>
      </c>
      <c r="F2523" s="1">
        <v>4.6150943396226403</v>
      </c>
      <c r="G2523" s="2">
        <v>202.17755187163701</v>
      </c>
      <c r="H2523" s="1">
        <v>138.53442014222301</v>
      </c>
      <c r="I2523" s="1">
        <f t="shared" si="79"/>
        <v>135.36143551604923</v>
      </c>
    </row>
    <row r="2524" spans="1:9" x14ac:dyDescent="0.45">
      <c r="A2524" t="s">
        <v>13</v>
      </c>
      <c r="B2524" t="s">
        <v>44</v>
      </c>
      <c r="C2524" t="str">
        <f t="shared" si="78"/>
        <v>AuburnMissouri</v>
      </c>
      <c r="D2524" t="s">
        <v>13</v>
      </c>
      <c r="E2524">
        <v>95.8</v>
      </c>
      <c r="F2524" s="1">
        <v>-20.479245283018901</v>
      </c>
      <c r="G2524" s="2">
        <v>-2274.2142502728798</v>
      </c>
      <c r="H2524" s="1">
        <v>141.620233057609</v>
      </c>
      <c r="I2524" s="1">
        <f t="shared" si="79"/>
        <v>178.69154284115621</v>
      </c>
    </row>
    <row r="2525" spans="1:9" x14ac:dyDescent="0.45">
      <c r="A2525" t="s">
        <v>14</v>
      </c>
      <c r="B2525" t="s">
        <v>44</v>
      </c>
      <c r="C2525" t="str">
        <f t="shared" si="78"/>
        <v>BaylorMissouri</v>
      </c>
      <c r="D2525" t="s">
        <v>14</v>
      </c>
      <c r="E2525">
        <v>69.599999999999994</v>
      </c>
      <c r="F2525" s="1">
        <v>-5.4301886792452798</v>
      </c>
      <c r="G2525" s="2">
        <v>-229.01776553355401</v>
      </c>
      <c r="H2525" s="1">
        <v>140.08315041879001</v>
      </c>
      <c r="I2525" s="1">
        <f t="shared" si="79"/>
        <v>157.10826558688544</v>
      </c>
    </row>
    <row r="2526" spans="1:9" x14ac:dyDescent="0.45">
      <c r="A2526" t="s">
        <v>15</v>
      </c>
      <c r="B2526" t="s">
        <v>44</v>
      </c>
      <c r="C2526" t="str">
        <f t="shared" si="78"/>
        <v>BryantMissouri</v>
      </c>
      <c r="D2526" t="s">
        <v>44</v>
      </c>
      <c r="E2526">
        <v>9.6999999999999993</v>
      </c>
      <c r="F2526" s="1">
        <v>14.6377358490566</v>
      </c>
      <c r="G2526" s="2">
        <v>932.91620689802801</v>
      </c>
      <c r="H2526" s="1">
        <v>139.675470294435</v>
      </c>
      <c r="I2526" s="1">
        <f t="shared" si="79"/>
        <v>151.38373722855948</v>
      </c>
    </row>
    <row r="2527" spans="1:9" x14ac:dyDescent="0.45">
      <c r="A2527" t="s">
        <v>16</v>
      </c>
      <c r="B2527" t="s">
        <v>44</v>
      </c>
      <c r="C2527" t="str">
        <f t="shared" si="78"/>
        <v>BYUMissouri</v>
      </c>
      <c r="D2527" t="s">
        <v>16</v>
      </c>
      <c r="E2527">
        <v>73</v>
      </c>
      <c r="F2527" s="1">
        <v>-6.52830188679245</v>
      </c>
      <c r="G2527" s="2">
        <v>-270.63185548893699</v>
      </c>
      <c r="H2527" s="1">
        <v>139.84551096887901</v>
      </c>
      <c r="I2527" s="1">
        <f t="shared" si="79"/>
        <v>153.77140001801635</v>
      </c>
    </row>
    <row r="2528" spans="1:9" x14ac:dyDescent="0.45">
      <c r="A2528" t="s">
        <v>17</v>
      </c>
      <c r="B2528" t="s">
        <v>44</v>
      </c>
      <c r="C2528" t="str">
        <f t="shared" si="78"/>
        <v>ClemsonMissouri</v>
      </c>
      <c r="D2528" t="s">
        <v>17</v>
      </c>
      <c r="E2528">
        <v>79.099999999999994</v>
      </c>
      <c r="F2528" s="1">
        <v>-8.7320754716981099</v>
      </c>
      <c r="G2528" s="2">
        <v>-378.80881875798099</v>
      </c>
      <c r="H2528" s="1">
        <v>140.19556119132099</v>
      </c>
      <c r="I2528" s="1">
        <f t="shared" si="79"/>
        <v>158.68670568413813</v>
      </c>
    </row>
    <row r="2529" spans="1:9" x14ac:dyDescent="0.45">
      <c r="A2529" t="s">
        <v>18</v>
      </c>
      <c r="B2529" t="s">
        <v>44</v>
      </c>
      <c r="C2529" t="str">
        <f t="shared" si="78"/>
        <v>Colorado St.Missouri</v>
      </c>
      <c r="D2529" t="s">
        <v>44</v>
      </c>
      <c r="E2529">
        <v>38.6</v>
      </c>
      <c r="F2529" s="1">
        <v>3.0528301886792502</v>
      </c>
      <c r="G2529" s="2">
        <v>159.27360720728601</v>
      </c>
      <c r="H2529" s="1">
        <v>139.585172166115</v>
      </c>
      <c r="I2529" s="1">
        <f t="shared" si="79"/>
        <v>150.11579659228391</v>
      </c>
    </row>
    <row r="2530" spans="1:9" x14ac:dyDescent="0.45">
      <c r="A2530" t="s">
        <v>19</v>
      </c>
      <c r="B2530" t="s">
        <v>44</v>
      </c>
      <c r="C2530" t="str">
        <f t="shared" si="78"/>
        <v>ConnecticutMissouri</v>
      </c>
      <c r="D2530" t="s">
        <v>19</v>
      </c>
      <c r="E2530">
        <v>85.5</v>
      </c>
      <c r="F2530" s="1">
        <v>-11.622641509434001</v>
      </c>
      <c r="G2530" s="2">
        <v>-588.98794940299297</v>
      </c>
      <c r="H2530" s="1">
        <v>139.995812022069</v>
      </c>
      <c r="I2530" s="1">
        <f t="shared" si="79"/>
        <v>155.88188465994881</v>
      </c>
    </row>
    <row r="2531" spans="1:9" x14ac:dyDescent="0.45">
      <c r="A2531" t="s">
        <v>20</v>
      </c>
      <c r="B2531" t="s">
        <v>44</v>
      </c>
      <c r="C2531" t="str">
        <f t="shared" si="78"/>
        <v>CreightonMissouri</v>
      </c>
      <c r="D2531" t="s">
        <v>20</v>
      </c>
      <c r="E2531">
        <v>64.5</v>
      </c>
      <c r="F2531" s="1">
        <v>-3.9169811320754699</v>
      </c>
      <c r="G2531" s="2">
        <v>-181.74971953153499</v>
      </c>
      <c r="H2531" s="1">
        <v>139.54510877490799</v>
      </c>
      <c r="I2531" s="1">
        <f t="shared" si="79"/>
        <v>149.55323784734117</v>
      </c>
    </row>
    <row r="2532" spans="1:9" x14ac:dyDescent="0.45">
      <c r="A2532" t="s">
        <v>21</v>
      </c>
      <c r="B2532" t="s">
        <v>44</v>
      </c>
      <c r="C2532" t="str">
        <f t="shared" si="78"/>
        <v>DrakeMissouri</v>
      </c>
      <c r="D2532" t="s">
        <v>44</v>
      </c>
      <c r="E2532">
        <v>37.799999999999997</v>
      </c>
      <c r="F2532" s="1">
        <v>3.25660377358491</v>
      </c>
      <c r="G2532" s="2">
        <v>164.328898467421</v>
      </c>
      <c r="H2532" s="1">
        <v>139.779784580582</v>
      </c>
      <c r="I2532" s="1">
        <f t="shared" si="79"/>
        <v>152.84848876672137</v>
      </c>
    </row>
    <row r="2533" spans="1:9" x14ac:dyDescent="0.45">
      <c r="A2533" t="s">
        <v>22</v>
      </c>
      <c r="B2533" t="s">
        <v>44</v>
      </c>
      <c r="C2533" t="str">
        <f t="shared" si="78"/>
        <v>DukeMissouri</v>
      </c>
      <c r="D2533" t="s">
        <v>22</v>
      </c>
      <c r="E2533">
        <v>97</v>
      </c>
      <c r="F2533" s="1">
        <v>-22.6943396226415</v>
      </c>
      <c r="G2533" s="2">
        <v>-3188.1480579928102</v>
      </c>
      <c r="H2533" s="1">
        <v>141.860124469185</v>
      </c>
      <c r="I2533" s="1">
        <f t="shared" si="79"/>
        <v>182.06002981524716</v>
      </c>
    </row>
    <row r="2534" spans="1:9" x14ac:dyDescent="0.45">
      <c r="A2534" t="s">
        <v>23</v>
      </c>
      <c r="B2534" t="s">
        <v>44</v>
      </c>
      <c r="C2534" t="str">
        <f t="shared" si="78"/>
        <v>FloridaMissouri</v>
      </c>
      <c r="D2534" t="s">
        <v>23</v>
      </c>
      <c r="E2534">
        <v>94.7</v>
      </c>
      <c r="F2534" s="1">
        <v>-18.8377358490566</v>
      </c>
      <c r="G2534" s="2">
        <v>-1770.13472481193</v>
      </c>
      <c r="H2534" s="1">
        <v>141.59477499673901</v>
      </c>
      <c r="I2534" s="1">
        <f t="shared" si="79"/>
        <v>178.33406799091955</v>
      </c>
    </row>
    <row r="2535" spans="1:9" x14ac:dyDescent="0.45">
      <c r="A2535" t="s">
        <v>24</v>
      </c>
      <c r="B2535" t="s">
        <v>44</v>
      </c>
      <c r="C2535" t="str">
        <f t="shared" si="78"/>
        <v>GeorgiaMissouri</v>
      </c>
      <c r="D2535" t="s">
        <v>44</v>
      </c>
      <c r="E2535">
        <v>41.6</v>
      </c>
      <c r="F2535" s="1">
        <v>2.2226415094339602</v>
      </c>
      <c r="G2535" s="2">
        <v>140.381279422826</v>
      </c>
      <c r="H2535" s="1">
        <v>138.85873329302399</v>
      </c>
      <c r="I2535" s="1">
        <f t="shared" si="79"/>
        <v>139.91534854204102</v>
      </c>
    </row>
    <row r="2536" spans="1:9" x14ac:dyDescent="0.45">
      <c r="A2536" t="s">
        <v>25</v>
      </c>
      <c r="B2536" t="s">
        <v>44</v>
      </c>
      <c r="C2536" t="str">
        <f t="shared" si="78"/>
        <v>GonzagaMissouri</v>
      </c>
      <c r="D2536" t="s">
        <v>25</v>
      </c>
      <c r="E2536">
        <v>78.3</v>
      </c>
      <c r="F2536" s="1">
        <v>-8.4075471698113198</v>
      </c>
      <c r="G2536" s="2">
        <v>-360.52023579041401</v>
      </c>
      <c r="H2536" s="1">
        <v>140.83569502353001</v>
      </c>
      <c r="I2536" s="1">
        <f t="shared" si="79"/>
        <v>167.67528289624019</v>
      </c>
    </row>
    <row r="2537" spans="1:9" x14ac:dyDescent="0.45">
      <c r="A2537" t="s">
        <v>26</v>
      </c>
      <c r="B2537" t="s">
        <v>44</v>
      </c>
      <c r="C2537" t="str">
        <f t="shared" si="78"/>
        <v>Grand CanyonMissouri</v>
      </c>
      <c r="D2537" t="s">
        <v>44</v>
      </c>
      <c r="E2537">
        <v>28.1</v>
      </c>
      <c r="F2537" s="1">
        <v>6.1433962264150903</v>
      </c>
      <c r="G2537" s="2">
        <v>255.29904400002701</v>
      </c>
      <c r="H2537" s="1">
        <v>139.65366674107</v>
      </c>
      <c r="I2537" s="1">
        <f t="shared" si="79"/>
        <v>151.07757793333334</v>
      </c>
    </row>
    <row r="2538" spans="1:9" x14ac:dyDescent="0.45">
      <c r="A2538" t="s">
        <v>27</v>
      </c>
      <c r="B2538" t="s">
        <v>44</v>
      </c>
      <c r="C2538" t="str">
        <f t="shared" si="78"/>
        <v>High PointMissouri</v>
      </c>
      <c r="D2538" t="s">
        <v>44</v>
      </c>
      <c r="E2538">
        <v>19.600000000000001</v>
      </c>
      <c r="F2538" s="1">
        <v>9.2339622641509393</v>
      </c>
      <c r="G2538" s="2">
        <v>409.00747928385903</v>
      </c>
      <c r="H2538" s="1">
        <v>139.844873874618</v>
      </c>
      <c r="I2538" s="1">
        <f t="shared" si="79"/>
        <v>153.76245412159855</v>
      </c>
    </row>
    <row r="2539" spans="1:9" x14ac:dyDescent="0.45">
      <c r="A2539" t="s">
        <v>28</v>
      </c>
      <c r="B2539" t="s">
        <v>44</v>
      </c>
      <c r="C2539" t="str">
        <f t="shared" si="78"/>
        <v>HoustonMissouri</v>
      </c>
      <c r="D2539" t="s">
        <v>28</v>
      </c>
      <c r="E2539">
        <v>98.2</v>
      </c>
      <c r="F2539" s="1">
        <v>-26.0490566037736</v>
      </c>
      <c r="G2539" s="2">
        <v>-5318.24869808126</v>
      </c>
      <c r="H2539" s="1">
        <v>141.95833623182099</v>
      </c>
      <c r="I2539" s="1">
        <f t="shared" si="79"/>
        <v>183.43909145387971</v>
      </c>
    </row>
    <row r="2540" spans="1:9" x14ac:dyDescent="0.45">
      <c r="A2540" t="s">
        <v>29</v>
      </c>
      <c r="B2540" t="s">
        <v>44</v>
      </c>
      <c r="C2540" t="str">
        <f t="shared" si="78"/>
        <v>IllinoisMissouri</v>
      </c>
      <c r="D2540" t="s">
        <v>29</v>
      </c>
      <c r="E2540">
        <v>84</v>
      </c>
      <c r="F2540" s="1">
        <v>-10.8603773584906</v>
      </c>
      <c r="G2540" s="2">
        <v>-524.27006695497903</v>
      </c>
      <c r="H2540" s="1">
        <v>140.016800006783</v>
      </c>
      <c r="I2540" s="1">
        <f t="shared" si="79"/>
        <v>156.17659197213254</v>
      </c>
    </row>
    <row r="2541" spans="1:9" x14ac:dyDescent="0.45">
      <c r="A2541" t="s">
        <v>30</v>
      </c>
      <c r="B2541" t="s">
        <v>44</v>
      </c>
      <c r="C2541" t="str">
        <f t="shared" si="78"/>
        <v>Iowa St.Missouri</v>
      </c>
      <c r="D2541" t="s">
        <v>30</v>
      </c>
      <c r="E2541">
        <v>91.7</v>
      </c>
      <c r="F2541" s="1">
        <v>-15.7207547169811</v>
      </c>
      <c r="G2541" s="2">
        <v>-1100.55340497256</v>
      </c>
      <c r="H2541" s="1">
        <v>140.913342298369</v>
      </c>
      <c r="I2541" s="1">
        <f t="shared" si="79"/>
        <v>168.76558384595117</v>
      </c>
    </row>
    <row r="2542" spans="1:9" x14ac:dyDescent="0.45">
      <c r="A2542" t="s">
        <v>31</v>
      </c>
      <c r="B2542" t="s">
        <v>44</v>
      </c>
      <c r="C2542" t="str">
        <f t="shared" si="78"/>
        <v>KansasMissouri</v>
      </c>
      <c r="D2542" t="s">
        <v>31</v>
      </c>
      <c r="E2542">
        <v>77.2</v>
      </c>
      <c r="F2542" s="1">
        <v>-8.0075471698113194</v>
      </c>
      <c r="G2542" s="2">
        <v>-339.16434158507099</v>
      </c>
      <c r="H2542" s="1">
        <v>139.96393018722301</v>
      </c>
      <c r="I2542" s="1">
        <f t="shared" si="79"/>
        <v>155.43420900251988</v>
      </c>
    </row>
    <row r="2543" spans="1:9" x14ac:dyDescent="0.45">
      <c r="A2543" t="s">
        <v>32</v>
      </c>
      <c r="B2543" t="s">
        <v>44</v>
      </c>
      <c r="C2543" t="str">
        <f t="shared" si="78"/>
        <v>KentuckyMissouri</v>
      </c>
      <c r="D2543" t="s">
        <v>32</v>
      </c>
      <c r="E2543">
        <v>85</v>
      </c>
      <c r="F2543" s="1">
        <v>-11.3698113207547</v>
      </c>
      <c r="G2543" s="2">
        <v>-566.62551754155004</v>
      </c>
      <c r="H2543" s="1">
        <v>139.89821251934799</v>
      </c>
      <c r="I2543" s="1">
        <f t="shared" si="79"/>
        <v>154.51142020091032</v>
      </c>
    </row>
    <row r="2544" spans="1:9" x14ac:dyDescent="0.45">
      <c r="A2544" t="s">
        <v>33</v>
      </c>
      <c r="B2544" t="s">
        <v>44</v>
      </c>
      <c r="C2544" t="str">
        <f t="shared" si="78"/>
        <v>LibertyMissouri</v>
      </c>
      <c r="D2544" t="s">
        <v>44</v>
      </c>
      <c r="E2544">
        <v>14.5</v>
      </c>
      <c r="F2544" s="1">
        <v>11.615094339622599</v>
      </c>
      <c r="G2544" s="2">
        <v>588.20916385601299</v>
      </c>
      <c r="H2544" s="1">
        <v>139.24321356306601</v>
      </c>
      <c r="I2544" s="1">
        <f t="shared" si="79"/>
        <v>145.31411114434962</v>
      </c>
    </row>
    <row r="2545" spans="1:9" x14ac:dyDescent="0.45">
      <c r="A2545" t="s">
        <v>34</v>
      </c>
      <c r="B2545" t="s">
        <v>44</v>
      </c>
      <c r="C2545" t="str">
        <f t="shared" si="78"/>
        <v>LipscombMissouri</v>
      </c>
      <c r="D2545" t="s">
        <v>44</v>
      </c>
      <c r="E2545">
        <v>11.3</v>
      </c>
      <c r="F2545" s="1">
        <v>13.4830188679245</v>
      </c>
      <c r="G2545" s="2">
        <v>781.86196529460301</v>
      </c>
      <c r="H2545" s="1">
        <v>139.649531760657</v>
      </c>
      <c r="I2545" s="1">
        <f t="shared" si="79"/>
        <v>151.01951571439935</v>
      </c>
    </row>
    <row r="2546" spans="1:9" x14ac:dyDescent="0.45">
      <c r="A2546" t="s">
        <v>35</v>
      </c>
      <c r="B2546" t="s">
        <v>44</v>
      </c>
      <c r="C2546" t="str">
        <f t="shared" si="78"/>
        <v>LouisvilleMissouri</v>
      </c>
      <c r="D2546" t="s">
        <v>44</v>
      </c>
      <c r="E2546">
        <v>24.3</v>
      </c>
      <c r="F2546" s="1">
        <v>7.4339622641509404</v>
      </c>
      <c r="G2546" s="2">
        <v>310.73648716720999</v>
      </c>
      <c r="H2546" s="1">
        <v>138.89489376647501</v>
      </c>
      <c r="I2546" s="1">
        <f t="shared" si="79"/>
        <v>140.42310362587872</v>
      </c>
    </row>
    <row r="2547" spans="1:9" x14ac:dyDescent="0.45">
      <c r="A2547" t="s">
        <v>36</v>
      </c>
      <c r="B2547" t="s">
        <v>44</v>
      </c>
      <c r="C2547" t="str">
        <f t="shared" si="78"/>
        <v>MarquetteMissouri</v>
      </c>
      <c r="D2547" t="s">
        <v>36</v>
      </c>
      <c r="E2547">
        <v>81.3</v>
      </c>
      <c r="F2547" s="1">
        <v>-9.6339622641509397</v>
      </c>
      <c r="G2547" s="2">
        <v>-434.86158619260698</v>
      </c>
      <c r="H2547" s="1">
        <v>140.15702760993699</v>
      </c>
      <c r="I2547" s="1">
        <f t="shared" si="79"/>
        <v>158.14562809363855</v>
      </c>
    </row>
    <row r="2548" spans="1:9" x14ac:dyDescent="0.45">
      <c r="A2548" t="s">
        <v>37</v>
      </c>
      <c r="B2548" t="s">
        <v>44</v>
      </c>
      <c r="C2548" t="str">
        <f t="shared" si="78"/>
        <v>MarylandMissouri</v>
      </c>
      <c r="D2548" t="s">
        <v>37</v>
      </c>
      <c r="E2548">
        <v>72.8</v>
      </c>
      <c r="F2548" s="1">
        <v>-6.4679245283018902</v>
      </c>
      <c r="G2548" s="2">
        <v>-268.236092513806</v>
      </c>
      <c r="H2548" s="1">
        <v>139.61539720848</v>
      </c>
      <c r="I2548" s="1">
        <f t="shared" si="79"/>
        <v>150.54020804090138</v>
      </c>
    </row>
    <row r="2549" spans="1:9" x14ac:dyDescent="0.45">
      <c r="A2549" t="s">
        <v>38</v>
      </c>
      <c r="B2549" t="s">
        <v>44</v>
      </c>
      <c r="C2549" t="str">
        <f t="shared" si="78"/>
        <v>McNeese St.Missouri</v>
      </c>
      <c r="D2549" t="s">
        <v>44</v>
      </c>
      <c r="E2549">
        <v>38.5</v>
      </c>
      <c r="F2549" s="1">
        <v>3.07169811320755</v>
      </c>
      <c r="G2549" s="2">
        <v>159.79105335384099</v>
      </c>
      <c r="H2549" s="1">
        <v>140.208632621444</v>
      </c>
      <c r="I2549" s="1">
        <f t="shared" si="79"/>
        <v>158.87025098829395</v>
      </c>
    </row>
    <row r="2550" spans="1:9" x14ac:dyDescent="0.45">
      <c r="A2550" t="s">
        <v>39</v>
      </c>
      <c r="B2550" t="s">
        <v>44</v>
      </c>
      <c r="C2550" t="str">
        <f t="shared" si="78"/>
        <v>MemphisMissouri</v>
      </c>
      <c r="D2550" t="s">
        <v>39</v>
      </c>
      <c r="E2550">
        <v>60.2</v>
      </c>
      <c r="F2550" s="1">
        <v>-2.70188679245283</v>
      </c>
      <c r="G2550" s="2">
        <v>-151.04864971406499</v>
      </c>
      <c r="H2550" s="1">
        <v>138.74291444797001</v>
      </c>
      <c r="I2550" s="1">
        <f t="shared" si="79"/>
        <v>138.28905325970658</v>
      </c>
    </row>
    <row r="2551" spans="1:9" x14ac:dyDescent="0.45">
      <c r="A2551" t="s">
        <v>40</v>
      </c>
      <c r="B2551" t="s">
        <v>44</v>
      </c>
      <c r="C2551" t="str">
        <f t="shared" si="78"/>
        <v>MichiganMissouri</v>
      </c>
      <c r="D2551" t="s">
        <v>44</v>
      </c>
      <c r="E2551">
        <v>42.7</v>
      </c>
      <c r="F2551" s="1">
        <v>1.9207547169811301</v>
      </c>
      <c r="G2551" s="2">
        <v>134.05338562533501</v>
      </c>
      <c r="H2551" s="1">
        <v>138.30553574488701</v>
      </c>
      <c r="I2551" s="1">
        <f t="shared" si="79"/>
        <v>132.14750590542315</v>
      </c>
    </row>
    <row r="2552" spans="1:9" x14ac:dyDescent="0.45">
      <c r="A2552" t="s">
        <v>41</v>
      </c>
      <c r="B2552" t="s">
        <v>44</v>
      </c>
      <c r="C2552" t="str">
        <f t="shared" si="78"/>
        <v>Michigan St.Missouri</v>
      </c>
      <c r="D2552" t="s">
        <v>41</v>
      </c>
      <c r="E2552">
        <v>87.6</v>
      </c>
      <c r="F2552" s="1">
        <v>-12.8264150943396</v>
      </c>
      <c r="G2552" s="2">
        <v>-707.42003355931297</v>
      </c>
      <c r="H2552" s="1">
        <v>139.952615454094</v>
      </c>
      <c r="I2552" s="1">
        <f t="shared" si="79"/>
        <v>155.27533073793342</v>
      </c>
    </row>
    <row r="2553" spans="1:9" x14ac:dyDescent="0.45">
      <c r="A2553" t="s">
        <v>42</v>
      </c>
      <c r="B2553" t="s">
        <v>44</v>
      </c>
      <c r="C2553" t="str">
        <f t="shared" si="78"/>
        <v>MississippiMissouri</v>
      </c>
      <c r="D2553" t="s">
        <v>42</v>
      </c>
      <c r="E2553">
        <v>65.900000000000006</v>
      </c>
      <c r="F2553" s="1">
        <v>-4.3283018867924499</v>
      </c>
      <c r="G2553" s="2">
        <v>-193.55568843835201</v>
      </c>
      <c r="H2553" s="1">
        <v>139.22030680398299</v>
      </c>
      <c r="I2553" s="1">
        <f t="shared" si="79"/>
        <v>144.99246094819273</v>
      </c>
    </row>
    <row r="2554" spans="1:9" x14ac:dyDescent="0.45">
      <c r="A2554" t="s">
        <v>43</v>
      </c>
      <c r="B2554" t="s">
        <v>44</v>
      </c>
      <c r="C2554" t="str">
        <f t="shared" si="78"/>
        <v>Mississippi St.Missouri</v>
      </c>
      <c r="D2554" t="s">
        <v>43</v>
      </c>
      <c r="E2554">
        <v>59.8</v>
      </c>
      <c r="F2554" s="1">
        <v>-2.60754716981132</v>
      </c>
      <c r="G2554" s="2">
        <v>-148.8088030246</v>
      </c>
      <c r="H2554" s="1">
        <v>139.36005327666001</v>
      </c>
      <c r="I2554" s="1">
        <f t="shared" si="79"/>
        <v>146.95474117237893</v>
      </c>
    </row>
    <row r="2555" spans="1:9" x14ac:dyDescent="0.45">
      <c r="A2555" t="s">
        <v>44</v>
      </c>
      <c r="B2555" t="s">
        <v>44</v>
      </c>
      <c r="C2555" t="str">
        <f t="shared" si="78"/>
        <v>MissouriMissouri</v>
      </c>
      <c r="D2555" t="s">
        <v>44</v>
      </c>
      <c r="E2555">
        <v>41.2</v>
      </c>
      <c r="F2555" s="1">
        <v>2.3283018867924499</v>
      </c>
      <c r="G2555" s="2">
        <v>142.64273539779199</v>
      </c>
      <c r="H2555" s="1">
        <v>138.77771517530499</v>
      </c>
      <c r="I2555" s="1">
        <f t="shared" si="79"/>
        <v>138.77771517530684</v>
      </c>
    </row>
    <row r="2556" spans="1:9" x14ac:dyDescent="0.45">
      <c r="A2556" t="s">
        <v>45</v>
      </c>
      <c r="B2556" t="s">
        <v>44</v>
      </c>
      <c r="C2556" t="str">
        <f t="shared" si="78"/>
        <v>MontanaMissouri</v>
      </c>
      <c r="D2556" t="s">
        <v>44</v>
      </c>
      <c r="E2556">
        <v>5.9</v>
      </c>
      <c r="F2556" s="1">
        <v>18.135849056603799</v>
      </c>
      <c r="G2556" s="2">
        <v>1589.9936912855501</v>
      </c>
      <c r="H2556" s="1">
        <v>137.914426738712</v>
      </c>
      <c r="I2556" s="1">
        <f t="shared" si="79"/>
        <v>126.65566447560676</v>
      </c>
    </row>
    <row r="2557" spans="1:9" x14ac:dyDescent="0.45">
      <c r="A2557" t="s">
        <v>46</v>
      </c>
      <c r="B2557" t="s">
        <v>44</v>
      </c>
      <c r="C2557" t="str">
        <f t="shared" si="78"/>
        <v>Mount St. Mary'sMissouri</v>
      </c>
      <c r="D2557" t="s">
        <v>44</v>
      </c>
      <c r="E2557">
        <v>2.2999999999999998</v>
      </c>
      <c r="F2557" s="1">
        <v>24.4679245283019</v>
      </c>
      <c r="G2557" s="2">
        <v>4178.4916596662397</v>
      </c>
      <c r="H2557" s="1">
        <v>139.21771469286301</v>
      </c>
      <c r="I2557" s="1">
        <f t="shared" si="79"/>
        <v>144.95606326106551</v>
      </c>
    </row>
    <row r="2558" spans="1:9" x14ac:dyDescent="0.45">
      <c r="A2558" t="s">
        <v>47</v>
      </c>
      <c r="B2558" t="s">
        <v>44</v>
      </c>
      <c r="C2558" t="str">
        <f t="shared" si="78"/>
        <v>Nebraska OmahaMissouri</v>
      </c>
      <c r="D2558" t="s">
        <v>44</v>
      </c>
      <c r="E2558">
        <v>3.2</v>
      </c>
      <c r="F2558" s="1">
        <v>22.279245283018899</v>
      </c>
      <c r="G2558" s="2">
        <v>2991.6929518038</v>
      </c>
      <c r="H2558" s="1">
        <v>138.63549082496601</v>
      </c>
      <c r="I2558" s="1">
        <f t="shared" si="79"/>
        <v>136.78064129772193</v>
      </c>
    </row>
    <row r="2559" spans="1:9" x14ac:dyDescent="0.45">
      <c r="A2559" t="s">
        <v>48</v>
      </c>
      <c r="B2559" t="s">
        <v>44</v>
      </c>
      <c r="C2559" t="str">
        <f t="shared" si="78"/>
        <v>New MexicoMissouri</v>
      </c>
      <c r="D2559" t="s">
        <v>44</v>
      </c>
      <c r="E2559">
        <v>44.5</v>
      </c>
      <c r="F2559" s="1">
        <v>1.44528301886792</v>
      </c>
      <c r="G2559" s="2">
        <v>124.690631542286</v>
      </c>
      <c r="H2559" s="1">
        <v>139.40548075678299</v>
      </c>
      <c r="I2559" s="1">
        <f t="shared" si="79"/>
        <v>147.59262092828493</v>
      </c>
    </row>
    <row r="2560" spans="1:9" x14ac:dyDescent="0.45">
      <c r="A2560" t="s">
        <v>49</v>
      </c>
      <c r="B2560" t="s">
        <v>44</v>
      </c>
      <c r="C2560" t="str">
        <f t="shared" si="78"/>
        <v>Norfolk St.Missouri</v>
      </c>
      <c r="D2560" t="s">
        <v>44</v>
      </c>
      <c r="E2560">
        <v>4.5</v>
      </c>
      <c r="F2560" s="1">
        <v>20.011320754717001</v>
      </c>
      <c r="G2560" s="2">
        <v>2117.6987577237401</v>
      </c>
      <c r="H2560" s="1">
        <v>138.441606520747</v>
      </c>
      <c r="I2560" s="1">
        <f t="shared" si="79"/>
        <v>134.05817304030566</v>
      </c>
    </row>
    <row r="2561" spans="1:9" x14ac:dyDescent="0.45">
      <c r="A2561" t="s">
        <v>50</v>
      </c>
      <c r="B2561" t="s">
        <v>44</v>
      </c>
      <c r="C2561" t="str">
        <f t="shared" si="78"/>
        <v>North CarolinaMissouri</v>
      </c>
      <c r="D2561" t="s">
        <v>50</v>
      </c>
      <c r="E2561">
        <v>73.3</v>
      </c>
      <c r="F2561" s="1">
        <v>-6.6037735849056602</v>
      </c>
      <c r="G2561" s="2">
        <v>-273.85657984586601</v>
      </c>
      <c r="H2561" s="1">
        <v>140.515212475216</v>
      </c>
      <c r="I2561" s="1">
        <f t="shared" si="79"/>
        <v>163.17515810091294</v>
      </c>
    </row>
    <row r="2562" spans="1:9" x14ac:dyDescent="0.45">
      <c r="A2562" t="s">
        <v>51</v>
      </c>
      <c r="B2562" t="s">
        <v>44</v>
      </c>
      <c r="C2562" t="str">
        <f t="shared" si="78"/>
        <v>OklahomaMissouri</v>
      </c>
      <c r="D2562" t="s">
        <v>44</v>
      </c>
      <c r="E2562">
        <v>48.9</v>
      </c>
      <c r="F2562" s="1">
        <v>0.27924528301886797</v>
      </c>
      <c r="G2562" s="2">
        <v>104.340770610674</v>
      </c>
      <c r="H2562" s="1">
        <v>138.93883560139099</v>
      </c>
      <c r="I2562" s="1">
        <f t="shared" si="79"/>
        <v>141.04012237431883</v>
      </c>
    </row>
    <row r="2563" spans="1:9" x14ac:dyDescent="0.45">
      <c r="A2563" t="s">
        <v>52</v>
      </c>
      <c r="B2563" t="s">
        <v>44</v>
      </c>
      <c r="C2563" t="str">
        <f t="shared" ref="C2563:C2626" si="80">A2563&amp;B2563</f>
        <v>OregonMissouri</v>
      </c>
      <c r="D2563" t="s">
        <v>52</v>
      </c>
      <c r="E2563">
        <v>72.900000000000006</v>
      </c>
      <c r="F2563" s="1">
        <v>-6.4867924528301897</v>
      </c>
      <c r="G2563" s="2">
        <v>-269.03712040778998</v>
      </c>
      <c r="H2563" s="1">
        <v>139.22955299291999</v>
      </c>
      <c r="I2563" s="1">
        <f t="shared" ref="I2563:I2626" si="81">18*(H2563-AVERAGE($H$2:$H$4625))/_xlfn.STDEV.P($H$2:$H$4625)+AVERAGE($H$2:$H$4625)</f>
        <v>145.12229330354739</v>
      </c>
    </row>
    <row r="2564" spans="1:9" x14ac:dyDescent="0.45">
      <c r="A2564" t="s">
        <v>53</v>
      </c>
      <c r="B2564" t="s">
        <v>44</v>
      </c>
      <c r="C2564" t="str">
        <f t="shared" si="80"/>
        <v>PurdueMissouri</v>
      </c>
      <c r="D2564" t="s">
        <v>53</v>
      </c>
      <c r="E2564">
        <v>93.8</v>
      </c>
      <c r="F2564" s="1">
        <v>-17.860377358490599</v>
      </c>
      <c r="G2564" s="2">
        <v>-1524.79628739951</v>
      </c>
      <c r="H2564" s="1">
        <v>140.71764019271799</v>
      </c>
      <c r="I2564" s="1">
        <f t="shared" si="81"/>
        <v>166.01759053782575</v>
      </c>
    </row>
    <row r="2565" spans="1:9" x14ac:dyDescent="0.45">
      <c r="A2565" t="s">
        <v>54</v>
      </c>
      <c r="B2565" t="s">
        <v>44</v>
      </c>
      <c r="C2565" t="str">
        <f t="shared" si="80"/>
        <v>Robert MorrisMissouri</v>
      </c>
      <c r="D2565" t="s">
        <v>44</v>
      </c>
      <c r="E2565">
        <v>1.9</v>
      </c>
      <c r="F2565" s="1">
        <v>26.030188679245299</v>
      </c>
      <c r="G2565" s="2">
        <v>5301.7967505627503</v>
      </c>
      <c r="H2565" s="1">
        <v>137.800605521405</v>
      </c>
      <c r="I2565" s="1">
        <f t="shared" si="81"/>
        <v>125.05741931395237</v>
      </c>
    </row>
    <row r="2566" spans="1:9" x14ac:dyDescent="0.45">
      <c r="A2566" t="s">
        <v>55</v>
      </c>
      <c r="B2566" t="s">
        <v>44</v>
      </c>
      <c r="C2566" t="str">
        <f t="shared" si="80"/>
        <v>Saint FrancisMissouri</v>
      </c>
      <c r="D2566" t="s">
        <v>44</v>
      </c>
      <c r="E2566">
        <v>1.1000000000000001</v>
      </c>
      <c r="F2566" s="1">
        <v>29.392452830188699</v>
      </c>
      <c r="G2566" s="2">
        <v>8855.3405818299907</v>
      </c>
      <c r="H2566" s="1">
        <v>138.50745340344801</v>
      </c>
      <c r="I2566" s="1">
        <f t="shared" si="81"/>
        <v>134.98277623975193</v>
      </c>
    </row>
    <row r="2567" spans="1:9" x14ac:dyDescent="0.45">
      <c r="A2567" t="s">
        <v>56</v>
      </c>
      <c r="B2567" t="s">
        <v>44</v>
      </c>
      <c r="C2567" t="str">
        <f t="shared" si="80"/>
        <v>Saint Mary'sMissouri</v>
      </c>
      <c r="D2567" t="s">
        <v>56</v>
      </c>
      <c r="E2567">
        <v>72.5</v>
      </c>
      <c r="F2567" s="1">
        <v>-6.3433962264150896</v>
      </c>
      <c r="G2567" s="2">
        <v>-263.18365008951702</v>
      </c>
      <c r="H2567" s="1">
        <v>140.23665951939</v>
      </c>
      <c r="I2567" s="1">
        <f t="shared" si="81"/>
        <v>159.26379671815178</v>
      </c>
    </row>
    <row r="2568" spans="1:9" x14ac:dyDescent="0.45">
      <c r="A2568" t="s">
        <v>57</v>
      </c>
      <c r="B2568" t="s">
        <v>44</v>
      </c>
      <c r="C2568" t="str">
        <f t="shared" si="80"/>
        <v>San Diego St.Missouri</v>
      </c>
      <c r="D2568" t="s">
        <v>44</v>
      </c>
      <c r="E2568">
        <v>44.9</v>
      </c>
      <c r="F2568" s="1">
        <v>1.33207547169811</v>
      </c>
      <c r="G2568" s="2">
        <v>122.50128947226899</v>
      </c>
      <c r="H2568" s="1">
        <v>139.451358682418</v>
      </c>
      <c r="I2568" s="1">
        <f t="shared" si="81"/>
        <v>148.23682571196011</v>
      </c>
    </row>
    <row r="2569" spans="1:9" x14ac:dyDescent="0.45">
      <c r="A2569" t="s">
        <v>58</v>
      </c>
      <c r="B2569" t="s">
        <v>44</v>
      </c>
      <c r="C2569" t="str">
        <f t="shared" si="80"/>
        <v>SIU EdwardsvilleMissouri</v>
      </c>
      <c r="D2569" t="s">
        <v>44</v>
      </c>
      <c r="E2569">
        <v>3.7</v>
      </c>
      <c r="F2569" s="1">
        <v>21.3056603773585</v>
      </c>
      <c r="G2569" s="2">
        <v>2578.8194648634899</v>
      </c>
      <c r="H2569" s="1">
        <v>139.51061686260201</v>
      </c>
      <c r="I2569" s="1">
        <f t="shared" si="81"/>
        <v>149.06891222454837</v>
      </c>
    </row>
    <row r="2570" spans="1:9" x14ac:dyDescent="0.45">
      <c r="A2570" t="s">
        <v>59</v>
      </c>
      <c r="B2570" t="s">
        <v>44</v>
      </c>
      <c r="C2570" t="str">
        <f t="shared" si="80"/>
        <v>St. John'sMissouri</v>
      </c>
      <c r="D2570" t="s">
        <v>59</v>
      </c>
      <c r="E2570">
        <v>88.4</v>
      </c>
      <c r="F2570" s="1">
        <v>-13.3283018867925</v>
      </c>
      <c r="G2570" s="2">
        <v>-763.67496763300505</v>
      </c>
      <c r="H2570" s="1">
        <v>140.33007331115701</v>
      </c>
      <c r="I2570" s="1">
        <f t="shared" si="81"/>
        <v>160.57548661442769</v>
      </c>
    </row>
    <row r="2571" spans="1:9" x14ac:dyDescent="0.45">
      <c r="A2571" t="s">
        <v>60</v>
      </c>
      <c r="B2571" t="s">
        <v>44</v>
      </c>
      <c r="C2571" t="str">
        <f t="shared" si="80"/>
        <v>TennesseeMissouri</v>
      </c>
      <c r="D2571" t="s">
        <v>60</v>
      </c>
      <c r="E2571">
        <v>94.4</v>
      </c>
      <c r="F2571" s="1">
        <v>-18.543396226415101</v>
      </c>
      <c r="G2571" s="2">
        <v>-1692.25594198979</v>
      </c>
      <c r="H2571" s="1">
        <v>141.123305685291</v>
      </c>
      <c r="I2571" s="1">
        <f t="shared" si="81"/>
        <v>171.71383000964809</v>
      </c>
    </row>
    <row r="2572" spans="1:9" x14ac:dyDescent="0.45">
      <c r="A2572" t="s">
        <v>61</v>
      </c>
      <c r="B2572" t="s">
        <v>44</v>
      </c>
      <c r="C2572" t="str">
        <f t="shared" si="80"/>
        <v>TexasMissouri</v>
      </c>
      <c r="D2572" t="s">
        <v>44</v>
      </c>
      <c r="E2572">
        <v>40.4</v>
      </c>
      <c r="F2572" s="1">
        <v>2.55471698113208</v>
      </c>
      <c r="G2572" s="2">
        <v>147.63141281264501</v>
      </c>
      <c r="H2572" s="1">
        <v>138.823187512929</v>
      </c>
      <c r="I2572" s="1">
        <f t="shared" si="81"/>
        <v>139.41622480748433</v>
      </c>
    </row>
    <row r="2573" spans="1:9" x14ac:dyDescent="0.45">
      <c r="A2573" t="s">
        <v>62</v>
      </c>
      <c r="B2573" t="s">
        <v>44</v>
      </c>
      <c r="C2573" t="str">
        <f t="shared" si="80"/>
        <v>Texas A&amp;MMissouri</v>
      </c>
      <c r="D2573" t="s">
        <v>62</v>
      </c>
      <c r="E2573">
        <v>79.400000000000006</v>
      </c>
      <c r="F2573" s="1">
        <v>-8.8490566037735796</v>
      </c>
      <c r="G2573" s="2">
        <v>-385.63416526329399</v>
      </c>
      <c r="H2573" s="1">
        <v>139.610162822327</v>
      </c>
      <c r="I2573" s="1">
        <f t="shared" si="81"/>
        <v>150.46670827924703</v>
      </c>
    </row>
    <row r="2574" spans="1:9" x14ac:dyDescent="0.45">
      <c r="A2574" t="s">
        <v>63</v>
      </c>
      <c r="B2574" t="s">
        <v>44</v>
      </c>
      <c r="C2574" t="str">
        <f t="shared" si="80"/>
        <v>Texas TechMissouri</v>
      </c>
      <c r="D2574" t="s">
        <v>63</v>
      </c>
      <c r="E2574">
        <v>88.2</v>
      </c>
      <c r="F2574" s="1">
        <v>-13.1811320754717</v>
      </c>
      <c r="G2574" s="2">
        <v>-746.94899068127199</v>
      </c>
      <c r="H2574" s="1">
        <v>140.60067542756599</v>
      </c>
      <c r="I2574" s="1">
        <f t="shared" si="81"/>
        <v>164.37520457138478</v>
      </c>
    </row>
    <row r="2575" spans="1:9" x14ac:dyDescent="0.45">
      <c r="A2575" t="s">
        <v>64</v>
      </c>
      <c r="B2575" t="s">
        <v>44</v>
      </c>
      <c r="C2575" t="str">
        <f t="shared" si="80"/>
        <v>TroyMissouri</v>
      </c>
      <c r="D2575" t="s">
        <v>44</v>
      </c>
      <c r="E2575">
        <v>9.6999999999999993</v>
      </c>
      <c r="F2575" s="1">
        <v>14.626415094339601</v>
      </c>
      <c r="G2575" s="2">
        <v>931.21576386189497</v>
      </c>
      <c r="H2575" s="1">
        <v>139.36698002212501</v>
      </c>
      <c r="I2575" s="1">
        <f t="shared" si="81"/>
        <v>147.05200456217014</v>
      </c>
    </row>
    <row r="2576" spans="1:9" x14ac:dyDescent="0.45">
      <c r="A2576" t="s">
        <v>65</v>
      </c>
      <c r="B2576" t="s">
        <v>44</v>
      </c>
      <c r="C2576" t="str">
        <f t="shared" si="80"/>
        <v>UC San DiegoMissouri</v>
      </c>
      <c r="D2576" t="s">
        <v>44</v>
      </c>
      <c r="E2576">
        <v>21.6</v>
      </c>
      <c r="F2576" s="1">
        <v>8.4452830188679293</v>
      </c>
      <c r="G2576" s="2">
        <v>362.67899759796001</v>
      </c>
      <c r="H2576" s="1">
        <v>139.437100251788</v>
      </c>
      <c r="I2576" s="1">
        <f t="shared" si="81"/>
        <v>148.0366128842785</v>
      </c>
    </row>
    <row r="2577" spans="1:9" x14ac:dyDescent="0.45">
      <c r="A2577" t="s">
        <v>66</v>
      </c>
      <c r="B2577" t="s">
        <v>44</v>
      </c>
      <c r="C2577" t="str">
        <f t="shared" si="80"/>
        <v>UCLAMissouri</v>
      </c>
      <c r="D2577" t="s">
        <v>44</v>
      </c>
      <c r="E2577">
        <v>48.7</v>
      </c>
      <c r="F2577" s="1">
        <v>0.34339622641509399</v>
      </c>
      <c r="G2577" s="2">
        <v>105.39765665514599</v>
      </c>
      <c r="H2577" s="1">
        <v>138.65835883099999</v>
      </c>
      <c r="I2577" s="1">
        <f t="shared" si="81"/>
        <v>137.10174733458589</v>
      </c>
    </row>
    <row r="2578" spans="1:9" x14ac:dyDescent="0.45">
      <c r="A2578" t="s">
        <v>67</v>
      </c>
      <c r="B2578" t="s">
        <v>44</v>
      </c>
      <c r="C2578" t="str">
        <f t="shared" si="80"/>
        <v>UNC WilmingtonMissouri</v>
      </c>
      <c r="D2578" t="s">
        <v>44</v>
      </c>
      <c r="E2578">
        <v>13.7</v>
      </c>
      <c r="F2578" s="1">
        <v>12.037735849056601</v>
      </c>
      <c r="G2578" s="2">
        <v>627.31460185728804</v>
      </c>
      <c r="H2578" s="1">
        <v>139.973768722453</v>
      </c>
      <c r="I2578" s="1">
        <f t="shared" si="81"/>
        <v>155.57235891605214</v>
      </c>
    </row>
    <row r="2579" spans="1:9" x14ac:dyDescent="0.45">
      <c r="A2579" t="s">
        <v>68</v>
      </c>
      <c r="B2579" t="s">
        <v>44</v>
      </c>
      <c r="C2579" t="str">
        <f t="shared" si="80"/>
        <v>Utah St.Missouri</v>
      </c>
      <c r="D2579" t="s">
        <v>44</v>
      </c>
      <c r="E2579">
        <v>47.3</v>
      </c>
      <c r="F2579" s="1">
        <v>0.70943396226415101</v>
      </c>
      <c r="G2579" s="2">
        <v>111.44156651082</v>
      </c>
      <c r="H2579" s="1">
        <v>139.52095522103201</v>
      </c>
      <c r="I2579" s="1">
        <f t="shared" si="81"/>
        <v>149.21408051330107</v>
      </c>
    </row>
    <row r="2580" spans="1:9" x14ac:dyDescent="0.45">
      <c r="A2580" t="s">
        <v>69</v>
      </c>
      <c r="B2580" t="s">
        <v>44</v>
      </c>
      <c r="C2580" t="str">
        <f t="shared" si="80"/>
        <v>VanderbiltMissouri</v>
      </c>
      <c r="D2580" t="s">
        <v>44</v>
      </c>
      <c r="E2580">
        <v>15</v>
      </c>
      <c r="F2580" s="1">
        <v>11.3584905660377</v>
      </c>
      <c r="G2580" s="2">
        <v>565.54371039456498</v>
      </c>
      <c r="H2580" s="1">
        <v>137.95499310231401</v>
      </c>
      <c r="I2580" s="1">
        <f t="shared" si="81"/>
        <v>127.22528581587021</v>
      </c>
    </row>
    <row r="2581" spans="1:9" x14ac:dyDescent="0.45">
      <c r="A2581" t="s">
        <v>70</v>
      </c>
      <c r="B2581" t="s">
        <v>44</v>
      </c>
      <c r="C2581" t="str">
        <f t="shared" si="80"/>
        <v>VCUMissouri</v>
      </c>
      <c r="D2581" t="s">
        <v>44</v>
      </c>
      <c r="E2581">
        <v>36.200000000000003</v>
      </c>
      <c r="F2581" s="1">
        <v>3.7132075471698101</v>
      </c>
      <c r="G2581" s="2">
        <v>176.17505950471499</v>
      </c>
      <c r="H2581" s="1">
        <v>139.88016623150801</v>
      </c>
      <c r="I2581" s="1">
        <f t="shared" si="81"/>
        <v>154.25801935958671</v>
      </c>
    </row>
    <row r="2582" spans="1:9" x14ac:dyDescent="0.45">
      <c r="A2582" t="s">
        <v>71</v>
      </c>
      <c r="B2582" t="s">
        <v>44</v>
      </c>
      <c r="C2582" t="str">
        <f t="shared" si="80"/>
        <v>WisconsinMissouri</v>
      </c>
      <c r="D2582" t="s">
        <v>71</v>
      </c>
      <c r="E2582">
        <v>86.6</v>
      </c>
      <c r="F2582" s="1">
        <v>-12.2415094339623</v>
      </c>
      <c r="G2582" s="2">
        <v>-647.055021556464</v>
      </c>
      <c r="H2582" s="1">
        <v>140.53342183983901</v>
      </c>
      <c r="I2582" s="1">
        <f t="shared" si="81"/>
        <v>163.43084882004331</v>
      </c>
    </row>
    <row r="2583" spans="1:9" x14ac:dyDescent="0.45">
      <c r="A2583" t="s">
        <v>80</v>
      </c>
      <c r="B2583" t="s">
        <v>44</v>
      </c>
      <c r="C2583" t="str">
        <f t="shared" si="80"/>
        <v>WoffordMissouri</v>
      </c>
      <c r="D2583" t="s">
        <v>44</v>
      </c>
      <c r="E2583">
        <v>5.3</v>
      </c>
      <c r="F2583" s="1">
        <v>18.932075471698099</v>
      </c>
      <c r="G2583" s="2">
        <v>1796.1593838697099</v>
      </c>
      <c r="H2583" s="1">
        <v>138.63107026906599</v>
      </c>
      <c r="I2583" s="1">
        <f t="shared" si="81"/>
        <v>136.71856910901931</v>
      </c>
    </row>
    <row r="2584" spans="1:9" x14ac:dyDescent="0.45">
      <c r="A2584" t="s">
        <v>72</v>
      </c>
      <c r="B2584" t="s">
        <v>44</v>
      </c>
      <c r="C2584" t="str">
        <f t="shared" si="80"/>
        <v>XavierMissouri</v>
      </c>
      <c r="D2584" t="s">
        <v>44</v>
      </c>
      <c r="E2584">
        <v>36</v>
      </c>
      <c r="F2584" s="1">
        <v>3.7849056603773601</v>
      </c>
      <c r="G2584" s="2">
        <v>178.15188103034399</v>
      </c>
      <c r="H2584" s="1">
        <v>139.373872439688</v>
      </c>
      <c r="I2584" s="1">
        <f t="shared" si="81"/>
        <v>147.14878592932462</v>
      </c>
    </row>
    <row r="2585" spans="1:9" x14ac:dyDescent="0.45">
      <c r="A2585" t="s">
        <v>73</v>
      </c>
      <c r="B2585" t="s">
        <v>44</v>
      </c>
      <c r="C2585" t="str">
        <f t="shared" si="80"/>
        <v>YaleMissouri</v>
      </c>
      <c r="D2585" t="s">
        <v>44</v>
      </c>
      <c r="E2585">
        <v>22.7</v>
      </c>
      <c r="F2585" s="1">
        <v>8.0339622641509401</v>
      </c>
      <c r="G2585" s="2">
        <v>340.671579186038</v>
      </c>
      <c r="H2585" s="1">
        <v>139.97357857608199</v>
      </c>
      <c r="I2585" s="1">
        <f t="shared" si="81"/>
        <v>155.56968893478972</v>
      </c>
    </row>
    <row r="2586" spans="1:9" x14ac:dyDescent="0.45">
      <c r="A2586" t="s">
        <v>7</v>
      </c>
      <c r="B2586" t="s">
        <v>45</v>
      </c>
      <c r="C2586" t="str">
        <f t="shared" si="80"/>
        <v>AkronMontana</v>
      </c>
      <c r="D2586" t="s">
        <v>7</v>
      </c>
      <c r="E2586">
        <v>63.1</v>
      </c>
      <c r="F2586" s="1">
        <v>-3.50566037735849</v>
      </c>
      <c r="G2586" s="2">
        <v>-170.74024162511401</v>
      </c>
      <c r="H2586" s="1">
        <v>139.653694073255</v>
      </c>
      <c r="I2586" s="1">
        <f t="shared" si="81"/>
        <v>151.07796172410156</v>
      </c>
    </row>
    <row r="2587" spans="1:9" x14ac:dyDescent="0.45">
      <c r="A2587" t="s">
        <v>8</v>
      </c>
      <c r="B2587" t="s">
        <v>45</v>
      </c>
      <c r="C2587" t="str">
        <f t="shared" si="80"/>
        <v>AlabamaMontana</v>
      </c>
      <c r="D2587" t="s">
        <v>8</v>
      </c>
      <c r="E2587">
        <v>99.2</v>
      </c>
      <c r="F2587" s="1">
        <v>-31.845283018867899</v>
      </c>
      <c r="G2587" s="2">
        <v>-12878.5389564138</v>
      </c>
      <c r="H2587" s="1">
        <v>141.46130526085</v>
      </c>
      <c r="I2587" s="1">
        <f t="shared" si="81"/>
        <v>176.45992391955059</v>
      </c>
    </row>
    <row r="2588" spans="1:9" x14ac:dyDescent="0.45">
      <c r="A2588" t="s">
        <v>9</v>
      </c>
      <c r="B2588" t="s">
        <v>45</v>
      </c>
      <c r="C2588" t="str">
        <f t="shared" si="80"/>
        <v>Alabama St.Montana</v>
      </c>
      <c r="D2588" t="s">
        <v>45</v>
      </c>
      <c r="E2588">
        <v>20.7</v>
      </c>
      <c r="F2588" s="1">
        <v>8.8113207547169807</v>
      </c>
      <c r="G2588" s="2">
        <v>383.48980769676899</v>
      </c>
      <c r="H2588" s="1">
        <v>139.84045583267701</v>
      </c>
      <c r="I2588" s="1">
        <f t="shared" si="81"/>
        <v>153.70041723319369</v>
      </c>
    </row>
    <row r="2589" spans="1:9" x14ac:dyDescent="0.45">
      <c r="A2589" t="s">
        <v>10</v>
      </c>
      <c r="B2589" t="s">
        <v>45</v>
      </c>
      <c r="C2589" t="str">
        <f t="shared" si="80"/>
        <v>AmericanMontana</v>
      </c>
      <c r="D2589" t="s">
        <v>45</v>
      </c>
      <c r="E2589">
        <v>22.6</v>
      </c>
      <c r="F2589" s="1">
        <v>8.0528301886792395</v>
      </c>
      <c r="G2589" s="2">
        <v>341.67055707396401</v>
      </c>
      <c r="H2589" s="1">
        <v>139.60374535243801</v>
      </c>
      <c r="I2589" s="1">
        <f t="shared" si="81"/>
        <v>150.37659599225159</v>
      </c>
    </row>
    <row r="2590" spans="1:9" x14ac:dyDescent="0.45">
      <c r="A2590" t="s">
        <v>11</v>
      </c>
      <c r="B2590" t="s">
        <v>45</v>
      </c>
      <c r="C2590" t="str">
        <f t="shared" si="80"/>
        <v>ArizonaMontana</v>
      </c>
      <c r="D2590" t="s">
        <v>11</v>
      </c>
      <c r="E2590">
        <v>98.8</v>
      </c>
      <c r="F2590" s="1">
        <v>-29.090566037735801</v>
      </c>
      <c r="G2590" s="2">
        <v>-8458.8712205031406</v>
      </c>
      <c r="H2590" s="1">
        <v>141.07178460102699</v>
      </c>
      <c r="I2590" s="1">
        <f t="shared" si="81"/>
        <v>170.99038559746921</v>
      </c>
    </row>
    <row r="2591" spans="1:9" x14ac:dyDescent="0.45">
      <c r="A2591" t="s">
        <v>12</v>
      </c>
      <c r="B2591" t="s">
        <v>45</v>
      </c>
      <c r="C2591" t="str">
        <f t="shared" si="80"/>
        <v>ArkansasMontana</v>
      </c>
      <c r="D2591" t="s">
        <v>12</v>
      </c>
      <c r="E2591">
        <v>84.6</v>
      </c>
      <c r="F2591" s="1">
        <v>-11.192452830188699</v>
      </c>
      <c r="G2591" s="2">
        <v>-551.33150358369801</v>
      </c>
      <c r="H2591" s="1">
        <v>139.39770857881601</v>
      </c>
      <c r="I2591" s="1">
        <f t="shared" si="81"/>
        <v>147.48348621574934</v>
      </c>
    </row>
    <row r="2592" spans="1:9" x14ac:dyDescent="0.45">
      <c r="A2592" t="s">
        <v>13</v>
      </c>
      <c r="B2592" t="s">
        <v>45</v>
      </c>
      <c r="C2592" t="str">
        <f t="shared" si="80"/>
        <v>AuburnMontana</v>
      </c>
      <c r="D2592" t="s">
        <v>13</v>
      </c>
      <c r="E2592">
        <v>99.6</v>
      </c>
      <c r="F2592" s="1">
        <v>-36.286792452830198</v>
      </c>
      <c r="G2592" s="2">
        <v>-25349.9507036344</v>
      </c>
      <c r="H2592" s="1">
        <v>142.48352149420299</v>
      </c>
      <c r="I2592" s="1">
        <f t="shared" si="81"/>
        <v>190.81359354087027</v>
      </c>
    </row>
    <row r="2593" spans="1:9" x14ac:dyDescent="0.45">
      <c r="A2593" t="s">
        <v>14</v>
      </c>
      <c r="B2593" t="s">
        <v>45</v>
      </c>
      <c r="C2593" t="str">
        <f t="shared" si="80"/>
        <v>BaylorMontana</v>
      </c>
      <c r="D2593" t="s">
        <v>14</v>
      </c>
      <c r="E2593">
        <v>96.2</v>
      </c>
      <c r="F2593" s="1">
        <v>-21.237735849056602</v>
      </c>
      <c r="G2593" s="2">
        <v>-2552.7889757244502</v>
      </c>
      <c r="H2593" s="1">
        <v>140.94643885538301</v>
      </c>
      <c r="I2593" s="1">
        <f t="shared" si="81"/>
        <v>169.23031628658552</v>
      </c>
    </row>
    <row r="2594" spans="1:9" x14ac:dyDescent="0.45">
      <c r="A2594" t="s">
        <v>15</v>
      </c>
      <c r="B2594" t="s">
        <v>45</v>
      </c>
      <c r="C2594" t="str">
        <f t="shared" si="80"/>
        <v>BryantMontana</v>
      </c>
      <c r="D2594" t="s">
        <v>15</v>
      </c>
      <c r="E2594">
        <v>54.4</v>
      </c>
      <c r="F2594" s="1">
        <v>-1.1660377358490599</v>
      </c>
      <c r="G2594" s="2">
        <v>-119.482170896024</v>
      </c>
      <c r="H2594" s="1">
        <v>140.53875873102899</v>
      </c>
      <c r="I2594" s="1">
        <f t="shared" si="81"/>
        <v>163.50578792827355</v>
      </c>
    </row>
    <row r="2595" spans="1:9" x14ac:dyDescent="0.45">
      <c r="A2595" t="s">
        <v>16</v>
      </c>
      <c r="B2595" t="s">
        <v>45</v>
      </c>
      <c r="C2595" t="str">
        <f t="shared" si="80"/>
        <v>BYUMontana</v>
      </c>
      <c r="D2595" t="s">
        <v>16</v>
      </c>
      <c r="E2595">
        <v>96.8</v>
      </c>
      <c r="F2595" s="1">
        <v>-22.332075471698101</v>
      </c>
      <c r="G2595" s="2">
        <v>-3016.6481432672699</v>
      </c>
      <c r="H2595" s="1">
        <v>140.70879940547201</v>
      </c>
      <c r="I2595" s="1">
        <f t="shared" si="81"/>
        <v>165.89345071771643</v>
      </c>
    </row>
    <row r="2596" spans="1:9" x14ac:dyDescent="0.45">
      <c r="A2596" t="s">
        <v>17</v>
      </c>
      <c r="B2596" t="s">
        <v>45</v>
      </c>
      <c r="C2596" t="str">
        <f t="shared" si="80"/>
        <v>ClemsonMontana</v>
      </c>
      <c r="D2596" t="s">
        <v>17</v>
      </c>
      <c r="E2596">
        <v>97.7</v>
      </c>
      <c r="F2596" s="1">
        <v>-24.535849056603801</v>
      </c>
      <c r="G2596" s="2">
        <v>-4222.46271672273</v>
      </c>
      <c r="H2596" s="1">
        <v>141.05884962791501</v>
      </c>
      <c r="I2596" s="1">
        <f t="shared" si="81"/>
        <v>170.8087563838526</v>
      </c>
    </row>
    <row r="2597" spans="1:9" x14ac:dyDescent="0.45">
      <c r="A2597" t="s">
        <v>18</v>
      </c>
      <c r="B2597" t="s">
        <v>45</v>
      </c>
      <c r="C2597" t="str">
        <f t="shared" si="80"/>
        <v>Colorado St.Montana</v>
      </c>
      <c r="D2597" t="s">
        <v>18</v>
      </c>
      <c r="E2597">
        <v>87.5</v>
      </c>
      <c r="F2597" s="1">
        <v>-12.7547169811321</v>
      </c>
      <c r="G2597" s="2">
        <v>-699.84510063360403</v>
      </c>
      <c r="H2597" s="1">
        <v>140.44846060270899</v>
      </c>
      <c r="I2597" s="1">
        <f t="shared" si="81"/>
        <v>162.23784729199798</v>
      </c>
    </row>
    <row r="2598" spans="1:9" x14ac:dyDescent="0.45">
      <c r="A2598" t="s">
        <v>19</v>
      </c>
      <c r="B2598" t="s">
        <v>45</v>
      </c>
      <c r="C2598" t="str">
        <f t="shared" si="80"/>
        <v>ConnecticutMontana</v>
      </c>
      <c r="D2598" t="s">
        <v>19</v>
      </c>
      <c r="E2598">
        <v>98.5</v>
      </c>
      <c r="F2598" s="1">
        <v>-27.430188679245301</v>
      </c>
      <c r="G2598" s="2">
        <v>-6565.2633566116201</v>
      </c>
      <c r="H2598" s="1">
        <v>140.85910045866299</v>
      </c>
      <c r="I2598" s="1">
        <f t="shared" si="81"/>
        <v>168.00393535966288</v>
      </c>
    </row>
    <row r="2599" spans="1:9" x14ac:dyDescent="0.45">
      <c r="A2599" t="s">
        <v>20</v>
      </c>
      <c r="B2599" t="s">
        <v>45</v>
      </c>
      <c r="C2599" t="str">
        <f t="shared" si="80"/>
        <v>CreightonMontana</v>
      </c>
      <c r="D2599" t="s">
        <v>20</v>
      </c>
      <c r="E2599">
        <v>95.3</v>
      </c>
      <c r="F2599" s="1">
        <v>-19.720754716981101</v>
      </c>
      <c r="G2599" s="2">
        <v>-2025.9069390541899</v>
      </c>
      <c r="H2599" s="1">
        <v>140.40839721150201</v>
      </c>
      <c r="I2599" s="1">
        <f t="shared" si="81"/>
        <v>161.67528854705563</v>
      </c>
    </row>
    <row r="2600" spans="1:9" x14ac:dyDescent="0.45">
      <c r="A2600" t="s">
        <v>21</v>
      </c>
      <c r="B2600" t="s">
        <v>45</v>
      </c>
      <c r="C2600" t="str">
        <f t="shared" si="80"/>
        <v>DrakeMontana</v>
      </c>
      <c r="D2600" t="s">
        <v>21</v>
      </c>
      <c r="E2600">
        <v>87.2</v>
      </c>
      <c r="F2600" s="1">
        <v>-12.550943396226399</v>
      </c>
      <c r="G2600" s="2">
        <v>-678.315589673104</v>
      </c>
      <c r="H2600" s="1">
        <v>140.64307301717599</v>
      </c>
      <c r="I2600" s="1">
        <f t="shared" si="81"/>
        <v>164.97053946643544</v>
      </c>
    </row>
    <row r="2601" spans="1:9" x14ac:dyDescent="0.45">
      <c r="A2601" t="s">
        <v>22</v>
      </c>
      <c r="B2601" t="s">
        <v>45</v>
      </c>
      <c r="C2601" t="str">
        <f t="shared" si="80"/>
        <v>DukeMontana</v>
      </c>
      <c r="D2601" t="s">
        <v>22</v>
      </c>
      <c r="E2601">
        <v>99.7</v>
      </c>
      <c r="F2601" s="1">
        <v>-38.501886792452801</v>
      </c>
      <c r="G2601" s="2">
        <v>-35537.283304026503</v>
      </c>
      <c r="H2601" s="1">
        <v>142.72341290577901</v>
      </c>
      <c r="I2601" s="1">
        <f t="shared" si="81"/>
        <v>194.18208051496163</v>
      </c>
    </row>
    <row r="2602" spans="1:9" x14ac:dyDescent="0.45">
      <c r="A2602" t="s">
        <v>23</v>
      </c>
      <c r="B2602" t="s">
        <v>45</v>
      </c>
      <c r="C2602" t="str">
        <f t="shared" si="80"/>
        <v>FloridaMontana</v>
      </c>
      <c r="D2602" t="s">
        <v>23</v>
      </c>
      <c r="E2602">
        <v>99.5</v>
      </c>
      <c r="F2602" s="1">
        <v>-34.6452830188679</v>
      </c>
      <c r="G2602" s="2">
        <v>-19731.134833663698</v>
      </c>
      <c r="H2602" s="1">
        <v>142.458063433333</v>
      </c>
      <c r="I2602" s="1">
        <f t="shared" si="81"/>
        <v>190.45611869063362</v>
      </c>
    </row>
    <row r="2603" spans="1:9" x14ac:dyDescent="0.45">
      <c r="A2603" t="s">
        <v>24</v>
      </c>
      <c r="B2603" t="s">
        <v>45</v>
      </c>
      <c r="C2603" t="str">
        <f t="shared" si="80"/>
        <v>GeorgiaMontana</v>
      </c>
      <c r="D2603" t="s">
        <v>24</v>
      </c>
      <c r="E2603">
        <v>88.8</v>
      </c>
      <c r="F2603" s="1">
        <v>-13.5811320754717</v>
      </c>
      <c r="G2603" s="2">
        <v>-794.02933298908101</v>
      </c>
      <c r="H2603" s="1">
        <v>139.72202172961801</v>
      </c>
      <c r="I2603" s="1">
        <f t="shared" si="81"/>
        <v>152.03739924175545</v>
      </c>
    </row>
    <row r="2604" spans="1:9" x14ac:dyDescent="0.45">
      <c r="A2604" t="s">
        <v>25</v>
      </c>
      <c r="B2604" t="s">
        <v>45</v>
      </c>
      <c r="C2604" t="str">
        <f t="shared" si="80"/>
        <v>GonzagaMontana</v>
      </c>
      <c r="D2604" t="s">
        <v>25</v>
      </c>
      <c r="E2604">
        <v>97.6</v>
      </c>
      <c r="F2604" s="1">
        <v>-24.211320754717001</v>
      </c>
      <c r="G2604" s="2">
        <v>-4018.6056365854802</v>
      </c>
      <c r="H2604" s="1">
        <v>141.698983460124</v>
      </c>
      <c r="I2604" s="1">
        <f t="shared" si="81"/>
        <v>179.79733359595426</v>
      </c>
    </row>
    <row r="2605" spans="1:9" x14ac:dyDescent="0.45">
      <c r="A2605" t="s">
        <v>26</v>
      </c>
      <c r="B2605" t="s">
        <v>45</v>
      </c>
      <c r="C2605" t="str">
        <f t="shared" si="80"/>
        <v>Grand CanyonMontana</v>
      </c>
      <c r="D2605" t="s">
        <v>26</v>
      </c>
      <c r="E2605">
        <v>81.400000000000006</v>
      </c>
      <c r="F2605" s="1">
        <v>-9.6603773584905692</v>
      </c>
      <c r="G2605" s="2">
        <v>-436.61289097600002</v>
      </c>
      <c r="H2605" s="1">
        <v>140.51695517766299</v>
      </c>
      <c r="I2605" s="1">
        <f t="shared" si="81"/>
        <v>163.19962863303343</v>
      </c>
    </row>
    <row r="2606" spans="1:9" x14ac:dyDescent="0.45">
      <c r="A2606" t="s">
        <v>27</v>
      </c>
      <c r="B2606" t="s">
        <v>45</v>
      </c>
      <c r="C2606" t="str">
        <f t="shared" si="80"/>
        <v>High PointMontana</v>
      </c>
      <c r="D2606" t="s">
        <v>27</v>
      </c>
      <c r="E2606">
        <v>73.2</v>
      </c>
      <c r="F2606" s="1">
        <v>-6.5735849056603799</v>
      </c>
      <c r="G2606" s="2">
        <v>-272.53011084156799</v>
      </c>
      <c r="H2606" s="1">
        <v>140.70816231121199</v>
      </c>
      <c r="I2606" s="1">
        <f t="shared" si="81"/>
        <v>165.88450482131262</v>
      </c>
    </row>
    <row r="2607" spans="1:9" x14ac:dyDescent="0.45">
      <c r="A2607" t="s">
        <v>28</v>
      </c>
      <c r="B2607" t="s">
        <v>45</v>
      </c>
      <c r="C2607" t="str">
        <f t="shared" si="80"/>
        <v>HoustonMontana</v>
      </c>
      <c r="D2607" t="s">
        <v>28</v>
      </c>
      <c r="E2607">
        <v>99.8</v>
      </c>
      <c r="F2607" s="1">
        <v>-41.856603773584901</v>
      </c>
      <c r="G2607" s="2">
        <v>-59280.844937914801</v>
      </c>
      <c r="H2607" s="1">
        <v>142.82162466841501</v>
      </c>
      <c r="I2607" s="1">
        <f t="shared" si="81"/>
        <v>195.56114215359418</v>
      </c>
    </row>
    <row r="2608" spans="1:9" x14ac:dyDescent="0.45">
      <c r="A2608" t="s">
        <v>29</v>
      </c>
      <c r="B2608" t="s">
        <v>45</v>
      </c>
      <c r="C2608" t="str">
        <f t="shared" si="80"/>
        <v>IllinoisMontana</v>
      </c>
      <c r="D2608" t="s">
        <v>29</v>
      </c>
      <c r="E2608">
        <v>98.3</v>
      </c>
      <c r="F2608" s="1">
        <v>-26.667924528301899</v>
      </c>
      <c r="G2608" s="2">
        <v>-5843.87348338223</v>
      </c>
      <c r="H2608" s="1">
        <v>140.880088443376</v>
      </c>
      <c r="I2608" s="1">
        <f t="shared" si="81"/>
        <v>168.29864267183262</v>
      </c>
    </row>
    <row r="2609" spans="1:9" x14ac:dyDescent="0.45">
      <c r="A2609" t="s">
        <v>30</v>
      </c>
      <c r="B2609" t="s">
        <v>45</v>
      </c>
      <c r="C2609" t="str">
        <f t="shared" si="80"/>
        <v>Iowa St.Montana</v>
      </c>
      <c r="D2609" t="s">
        <v>30</v>
      </c>
      <c r="E2609">
        <v>99.2</v>
      </c>
      <c r="F2609" s="1">
        <v>-31.528301886792502</v>
      </c>
      <c r="G2609" s="2">
        <v>-12267.522534177901</v>
      </c>
      <c r="H2609" s="1">
        <v>141.77663073496299</v>
      </c>
      <c r="I2609" s="1">
        <f t="shared" si="81"/>
        <v>180.88763454566524</v>
      </c>
    </row>
    <row r="2610" spans="1:9" x14ac:dyDescent="0.45">
      <c r="A2610" t="s">
        <v>31</v>
      </c>
      <c r="B2610" t="s">
        <v>45</v>
      </c>
      <c r="C2610" t="str">
        <f t="shared" si="80"/>
        <v>KansasMontana</v>
      </c>
      <c r="D2610" t="s">
        <v>31</v>
      </c>
      <c r="E2610">
        <v>97.4</v>
      </c>
      <c r="F2610" s="1">
        <v>-23.811320754716998</v>
      </c>
      <c r="G2610" s="2">
        <v>-3780.5582031598501</v>
      </c>
      <c r="H2610" s="1">
        <v>140.82721862381601</v>
      </c>
      <c r="I2610" s="1">
        <f t="shared" si="81"/>
        <v>167.55625970221999</v>
      </c>
    </row>
    <row r="2611" spans="1:9" x14ac:dyDescent="0.45">
      <c r="A2611" t="s">
        <v>32</v>
      </c>
      <c r="B2611" t="s">
        <v>45</v>
      </c>
      <c r="C2611" t="str">
        <f t="shared" si="80"/>
        <v>KentuckyMontana</v>
      </c>
      <c r="D2611" t="s">
        <v>32</v>
      </c>
      <c r="E2611">
        <v>98.4</v>
      </c>
      <c r="F2611" s="1">
        <v>-27.177358490566</v>
      </c>
      <c r="G2611" s="2">
        <v>-6315.9963646240603</v>
      </c>
      <c r="H2611" s="1">
        <v>140.76150095594201</v>
      </c>
      <c r="I2611" s="1">
        <f t="shared" si="81"/>
        <v>166.63347090062479</v>
      </c>
    </row>
    <row r="2612" spans="1:9" x14ac:dyDescent="0.45">
      <c r="A2612" t="s">
        <v>33</v>
      </c>
      <c r="B2612" t="s">
        <v>45</v>
      </c>
      <c r="C2612" t="str">
        <f t="shared" si="80"/>
        <v>LibertyMontana</v>
      </c>
      <c r="D2612" t="s">
        <v>33</v>
      </c>
      <c r="E2612">
        <v>65.5</v>
      </c>
      <c r="F2612" s="1">
        <v>-4.1886792452830202</v>
      </c>
      <c r="G2612" s="2">
        <v>-189.50206918494499</v>
      </c>
      <c r="H2612" s="1">
        <v>140.106501999659</v>
      </c>
      <c r="I2612" s="1">
        <f t="shared" si="81"/>
        <v>157.43616184404971</v>
      </c>
    </row>
    <row r="2613" spans="1:9" x14ac:dyDescent="0.45">
      <c r="A2613" t="s">
        <v>34</v>
      </c>
      <c r="B2613" t="s">
        <v>45</v>
      </c>
      <c r="C2613" t="str">
        <f t="shared" si="80"/>
        <v>LipscombMontana</v>
      </c>
      <c r="D2613" t="s">
        <v>34</v>
      </c>
      <c r="E2613">
        <v>58.8</v>
      </c>
      <c r="F2613" s="1">
        <v>-2.3245283018867902</v>
      </c>
      <c r="G2613" s="2">
        <v>-142.565898601117</v>
      </c>
      <c r="H2613" s="1">
        <v>140.51282019725099</v>
      </c>
      <c r="I2613" s="1">
        <f t="shared" si="81"/>
        <v>163.14156641411341</v>
      </c>
    </row>
    <row r="2614" spans="1:9" x14ac:dyDescent="0.45">
      <c r="A2614" t="s">
        <v>35</v>
      </c>
      <c r="B2614" t="s">
        <v>45</v>
      </c>
      <c r="C2614" t="str">
        <f t="shared" si="80"/>
        <v>LouisvilleMontana</v>
      </c>
      <c r="D2614" t="s">
        <v>35</v>
      </c>
      <c r="E2614">
        <v>78.2</v>
      </c>
      <c r="F2614" s="1">
        <v>-8.3735849056603797</v>
      </c>
      <c r="G2614" s="2">
        <v>-358.71826537151799</v>
      </c>
      <c r="H2614" s="1">
        <v>139.758182203069</v>
      </c>
      <c r="I2614" s="1">
        <f t="shared" si="81"/>
        <v>152.54515432559279</v>
      </c>
    </row>
    <row r="2615" spans="1:9" x14ac:dyDescent="0.45">
      <c r="A2615" t="s">
        <v>36</v>
      </c>
      <c r="B2615" t="s">
        <v>45</v>
      </c>
      <c r="C2615" t="str">
        <f t="shared" si="80"/>
        <v>MarquetteMontana</v>
      </c>
      <c r="D2615" t="s">
        <v>36</v>
      </c>
      <c r="E2615">
        <v>98</v>
      </c>
      <c r="F2615" s="1">
        <v>-25.441509433962299</v>
      </c>
      <c r="G2615" s="2">
        <v>-4847.2652792339904</v>
      </c>
      <c r="H2615" s="1">
        <v>141.02031604653101</v>
      </c>
      <c r="I2615" s="1">
        <f t="shared" si="81"/>
        <v>170.26767879335301</v>
      </c>
    </row>
    <row r="2616" spans="1:9" x14ac:dyDescent="0.45">
      <c r="A2616" t="s">
        <v>37</v>
      </c>
      <c r="B2616" t="s">
        <v>45</v>
      </c>
      <c r="C2616" t="str">
        <f t="shared" si="80"/>
        <v>MarylandMontana</v>
      </c>
      <c r="D2616" t="s">
        <v>37</v>
      </c>
      <c r="E2616">
        <v>96.8</v>
      </c>
      <c r="F2616" s="1">
        <v>-22.275471698113201</v>
      </c>
      <c r="G2616" s="2">
        <v>-2989.9433271709399</v>
      </c>
      <c r="H2616" s="1">
        <v>140.47868564507399</v>
      </c>
      <c r="I2616" s="1">
        <f t="shared" si="81"/>
        <v>162.66225874061544</v>
      </c>
    </row>
    <row r="2617" spans="1:9" x14ac:dyDescent="0.45">
      <c r="A2617" t="s">
        <v>38</v>
      </c>
      <c r="B2617" t="s">
        <v>45</v>
      </c>
      <c r="C2617" t="str">
        <f t="shared" si="80"/>
        <v>McNeese St.Montana</v>
      </c>
      <c r="D2617" t="s">
        <v>38</v>
      </c>
      <c r="E2617">
        <v>87.5</v>
      </c>
      <c r="F2617" s="1">
        <v>-12.732075471698099</v>
      </c>
      <c r="G2617" s="2">
        <v>-697.57881511318806</v>
      </c>
      <c r="H2617" s="1">
        <v>141.07192105803799</v>
      </c>
      <c r="I2617" s="1">
        <f t="shared" si="81"/>
        <v>170.99230168800801</v>
      </c>
    </row>
    <row r="2618" spans="1:9" x14ac:dyDescent="0.45">
      <c r="A2618" t="s">
        <v>39</v>
      </c>
      <c r="B2618" t="s">
        <v>45</v>
      </c>
      <c r="C2618" t="str">
        <f t="shared" si="80"/>
        <v>MemphisMontana</v>
      </c>
      <c r="D2618" t="s">
        <v>39</v>
      </c>
      <c r="E2618">
        <v>94.4</v>
      </c>
      <c r="F2618" s="1">
        <v>-18.5094339622642</v>
      </c>
      <c r="G2618" s="2">
        <v>-1683.6917733861901</v>
      </c>
      <c r="H2618" s="1">
        <v>139.606202884564</v>
      </c>
      <c r="I2618" s="1">
        <f t="shared" si="81"/>
        <v>150.41110395942064</v>
      </c>
    </row>
    <row r="2619" spans="1:9" x14ac:dyDescent="0.45">
      <c r="A2619" t="s">
        <v>40</v>
      </c>
      <c r="B2619" t="s">
        <v>45</v>
      </c>
      <c r="C2619" t="str">
        <f t="shared" si="80"/>
        <v>MichiganMontana</v>
      </c>
      <c r="D2619" t="s">
        <v>40</v>
      </c>
      <c r="E2619">
        <v>89.3</v>
      </c>
      <c r="F2619" s="1">
        <v>-13.8830188679245</v>
      </c>
      <c r="G2619" s="2">
        <v>-831.51091741762502</v>
      </c>
      <c r="H2619" s="1">
        <v>139.16882418148001</v>
      </c>
      <c r="I2619" s="1">
        <f t="shared" si="81"/>
        <v>144.26955660512326</v>
      </c>
    </row>
    <row r="2620" spans="1:9" x14ac:dyDescent="0.45">
      <c r="A2620" t="s">
        <v>41</v>
      </c>
      <c r="B2620" t="s">
        <v>45</v>
      </c>
      <c r="C2620" t="str">
        <f t="shared" si="80"/>
        <v>Michigan St.Montana</v>
      </c>
      <c r="D2620" t="s">
        <v>41</v>
      </c>
      <c r="E2620">
        <v>98.7</v>
      </c>
      <c r="F2620" s="1">
        <v>-28.6301886792453</v>
      </c>
      <c r="G2620" s="2">
        <v>-7885.3885359922497</v>
      </c>
      <c r="H2620" s="1">
        <v>140.815903890687</v>
      </c>
      <c r="I2620" s="1">
        <f t="shared" si="81"/>
        <v>167.3973814376335</v>
      </c>
    </row>
    <row r="2621" spans="1:9" x14ac:dyDescent="0.45">
      <c r="A2621" t="s">
        <v>42</v>
      </c>
      <c r="B2621" t="s">
        <v>45</v>
      </c>
      <c r="C2621" t="str">
        <f t="shared" si="80"/>
        <v>MississippiMontana</v>
      </c>
      <c r="D2621" t="s">
        <v>42</v>
      </c>
      <c r="E2621">
        <v>95.6</v>
      </c>
      <c r="F2621" s="1">
        <v>-20.135849056603799</v>
      </c>
      <c r="G2621" s="2">
        <v>-2157.5043599043001</v>
      </c>
      <c r="H2621" s="1">
        <v>140.08359524057599</v>
      </c>
      <c r="I2621" s="1">
        <f t="shared" si="81"/>
        <v>157.11451164789281</v>
      </c>
    </row>
    <row r="2622" spans="1:9" x14ac:dyDescent="0.45">
      <c r="A2622" t="s">
        <v>43</v>
      </c>
      <c r="B2622" t="s">
        <v>45</v>
      </c>
      <c r="C2622" t="str">
        <f t="shared" si="80"/>
        <v>Mississippi St.Montana</v>
      </c>
      <c r="D2622" t="s">
        <v>43</v>
      </c>
      <c r="E2622">
        <v>94.3</v>
      </c>
      <c r="F2622" s="1">
        <v>-18.411320754717</v>
      </c>
      <c r="G2622" s="2">
        <v>-1658.7249070696901</v>
      </c>
      <c r="H2622" s="1">
        <v>140.22334171325301</v>
      </c>
      <c r="I2622" s="1">
        <f t="shared" si="81"/>
        <v>159.07679187207904</v>
      </c>
    </row>
    <row r="2623" spans="1:9" x14ac:dyDescent="0.45">
      <c r="A2623" t="s">
        <v>44</v>
      </c>
      <c r="B2623" t="s">
        <v>45</v>
      </c>
      <c r="C2623" t="str">
        <f t="shared" si="80"/>
        <v>MissouriMontana</v>
      </c>
      <c r="D2623" t="s">
        <v>44</v>
      </c>
      <c r="E2623">
        <v>88.7</v>
      </c>
      <c r="F2623" s="1">
        <v>-13.4792452830189</v>
      </c>
      <c r="G2623" s="2">
        <v>-781.44080280997298</v>
      </c>
      <c r="H2623" s="1">
        <v>139.64100361189901</v>
      </c>
      <c r="I2623" s="1">
        <f t="shared" si="81"/>
        <v>150.8997658750213</v>
      </c>
    </row>
    <row r="2624" spans="1:9" x14ac:dyDescent="0.45">
      <c r="A2624" t="s">
        <v>45</v>
      </c>
      <c r="B2624" t="s">
        <v>45</v>
      </c>
      <c r="C2624" t="str">
        <f t="shared" si="80"/>
        <v>MontanaMontana</v>
      </c>
      <c r="D2624" t="s">
        <v>45</v>
      </c>
      <c r="E2624">
        <v>41.2</v>
      </c>
      <c r="F2624" s="1">
        <v>2.3283018867924499</v>
      </c>
      <c r="G2624" s="2">
        <v>142.64273539779199</v>
      </c>
      <c r="H2624" s="1">
        <v>138.77771517530499</v>
      </c>
      <c r="I2624" s="1">
        <f t="shared" si="81"/>
        <v>138.77771517530684</v>
      </c>
    </row>
    <row r="2625" spans="1:9" x14ac:dyDescent="0.45">
      <c r="A2625" t="s">
        <v>46</v>
      </c>
      <c r="B2625" t="s">
        <v>45</v>
      </c>
      <c r="C2625" t="str">
        <f t="shared" si="80"/>
        <v>Mount St. Mary'sMontana</v>
      </c>
      <c r="D2625" t="s">
        <v>45</v>
      </c>
      <c r="E2625">
        <v>21.1</v>
      </c>
      <c r="F2625" s="1">
        <v>8.6603773584905692</v>
      </c>
      <c r="G2625" s="2">
        <v>374.86405351064201</v>
      </c>
      <c r="H2625" s="1">
        <v>140.08100312945601</v>
      </c>
      <c r="I2625" s="1">
        <f t="shared" si="81"/>
        <v>157.07811396076559</v>
      </c>
    </row>
    <row r="2626" spans="1:9" x14ac:dyDescent="0.45">
      <c r="A2626" t="s">
        <v>47</v>
      </c>
      <c r="B2626" t="s">
        <v>45</v>
      </c>
      <c r="C2626" t="str">
        <f t="shared" si="80"/>
        <v>Nebraska OmahaMontana</v>
      </c>
      <c r="D2626" t="s">
        <v>45</v>
      </c>
      <c r="E2626">
        <v>27.1</v>
      </c>
      <c r="F2626" s="1">
        <v>6.47169811320755</v>
      </c>
      <c r="G2626" s="2">
        <v>268.39305618285499</v>
      </c>
      <c r="H2626" s="1">
        <v>139.49877926155901</v>
      </c>
      <c r="I2626" s="1">
        <f t="shared" si="81"/>
        <v>148.90269199742201</v>
      </c>
    </row>
    <row r="2627" spans="1:9" x14ac:dyDescent="0.45">
      <c r="A2627" t="s">
        <v>48</v>
      </c>
      <c r="B2627" t="s">
        <v>45</v>
      </c>
      <c r="C2627" t="str">
        <f t="shared" ref="C2627:C2690" si="82">A2627&amp;B2627</f>
        <v>New MexicoMontana</v>
      </c>
      <c r="D2627" t="s">
        <v>48</v>
      </c>
      <c r="E2627">
        <v>89.9</v>
      </c>
      <c r="F2627" s="1">
        <v>-14.3584905660377</v>
      </c>
      <c r="G2627" s="2">
        <v>-893.94730209910904</v>
      </c>
      <c r="H2627" s="1">
        <v>140.26876919337599</v>
      </c>
      <c r="I2627" s="1">
        <f t="shared" ref="I2627:I2690" si="83">18*(H2627-AVERAGE($H$2:$H$4625))/_xlfn.STDEV.P($H$2:$H$4625)+AVERAGE($H$2:$H$4625)</f>
        <v>159.71467162798501</v>
      </c>
    </row>
    <row r="2628" spans="1:9" x14ac:dyDescent="0.45">
      <c r="A2628" t="s">
        <v>49</v>
      </c>
      <c r="B2628" t="s">
        <v>45</v>
      </c>
      <c r="C2628" t="str">
        <f t="shared" si="82"/>
        <v>Norfolk St.Montana</v>
      </c>
      <c r="D2628" t="s">
        <v>45</v>
      </c>
      <c r="E2628">
        <v>34.5</v>
      </c>
      <c r="F2628" s="1">
        <v>4.2075471698113196</v>
      </c>
      <c r="G2628" s="2">
        <v>189.98461767856799</v>
      </c>
      <c r="H2628" s="1">
        <v>139.30489495734</v>
      </c>
      <c r="I2628" s="1">
        <f t="shared" si="83"/>
        <v>146.18022374000577</v>
      </c>
    </row>
    <row r="2629" spans="1:9" x14ac:dyDescent="0.45">
      <c r="A2629" t="s">
        <v>50</v>
      </c>
      <c r="B2629" t="s">
        <v>45</v>
      </c>
      <c r="C2629" t="str">
        <f t="shared" si="82"/>
        <v>North CarolinaMontana</v>
      </c>
      <c r="D2629" t="s">
        <v>50</v>
      </c>
      <c r="E2629">
        <v>96.8</v>
      </c>
      <c r="F2629" s="1">
        <v>-22.411320754717</v>
      </c>
      <c r="G2629" s="2">
        <v>-3052.59313106742</v>
      </c>
      <c r="H2629" s="1">
        <v>141.37850091180999</v>
      </c>
      <c r="I2629" s="1">
        <f t="shared" si="83"/>
        <v>175.297208800627</v>
      </c>
    </row>
    <row r="2630" spans="1:9" x14ac:dyDescent="0.45">
      <c r="A2630" t="s">
        <v>51</v>
      </c>
      <c r="B2630" t="s">
        <v>45</v>
      </c>
      <c r="C2630" t="str">
        <f t="shared" si="82"/>
        <v>OklahomaMontana</v>
      </c>
      <c r="D2630" t="s">
        <v>51</v>
      </c>
      <c r="E2630">
        <v>91.4</v>
      </c>
      <c r="F2630" s="1">
        <v>-15.5283018867925</v>
      </c>
      <c r="G2630" s="2">
        <v>-1068.2962471129899</v>
      </c>
      <c r="H2630" s="1">
        <v>139.80212403798399</v>
      </c>
      <c r="I2630" s="1">
        <f t="shared" si="83"/>
        <v>153.16217307401891</v>
      </c>
    </row>
    <row r="2631" spans="1:9" x14ac:dyDescent="0.45">
      <c r="A2631" t="s">
        <v>52</v>
      </c>
      <c r="B2631" t="s">
        <v>45</v>
      </c>
      <c r="C2631" t="str">
        <f t="shared" si="82"/>
        <v>OregonMontana</v>
      </c>
      <c r="D2631" t="s">
        <v>52</v>
      </c>
      <c r="E2631">
        <v>96.8</v>
      </c>
      <c r="F2631" s="1">
        <v>-22.294339622641498</v>
      </c>
      <c r="G2631" s="2">
        <v>-2998.8721330749199</v>
      </c>
      <c r="H2631" s="1">
        <v>140.09284142951299</v>
      </c>
      <c r="I2631" s="1">
        <f t="shared" si="83"/>
        <v>157.24434400324748</v>
      </c>
    </row>
    <row r="2632" spans="1:9" x14ac:dyDescent="0.45">
      <c r="A2632" t="s">
        <v>53</v>
      </c>
      <c r="B2632" t="s">
        <v>45</v>
      </c>
      <c r="C2632" t="str">
        <f t="shared" si="82"/>
        <v>PurdueMontana</v>
      </c>
      <c r="D2632" t="s">
        <v>53</v>
      </c>
      <c r="E2632">
        <v>99.4</v>
      </c>
      <c r="F2632" s="1">
        <v>-33.664150943396201</v>
      </c>
      <c r="G2632" s="2">
        <v>-16996.424463536801</v>
      </c>
      <c r="H2632" s="1">
        <v>141.58092862931099</v>
      </c>
      <c r="I2632" s="1">
        <f t="shared" si="83"/>
        <v>178.13964123752586</v>
      </c>
    </row>
    <row r="2633" spans="1:9" x14ac:dyDescent="0.45">
      <c r="A2633" t="s">
        <v>54</v>
      </c>
      <c r="B2633" t="s">
        <v>45</v>
      </c>
      <c r="C2633" t="str">
        <f t="shared" si="82"/>
        <v>Robert MorrisMontana</v>
      </c>
      <c r="D2633" t="s">
        <v>45</v>
      </c>
      <c r="E2633">
        <v>17.399999999999999</v>
      </c>
      <c r="F2633" s="1">
        <v>10.222641509434</v>
      </c>
      <c r="G2633" s="2">
        <v>475.63886270010101</v>
      </c>
      <c r="H2633" s="1">
        <v>138.663893957998</v>
      </c>
      <c r="I2633" s="1">
        <f t="shared" si="83"/>
        <v>137.17947001365246</v>
      </c>
    </row>
    <row r="2634" spans="1:9" x14ac:dyDescent="0.45">
      <c r="A2634" t="s">
        <v>55</v>
      </c>
      <c r="B2634" t="s">
        <v>45</v>
      </c>
      <c r="C2634" t="str">
        <f t="shared" si="82"/>
        <v>Saint FrancisMontana</v>
      </c>
      <c r="D2634" t="s">
        <v>45</v>
      </c>
      <c r="E2634">
        <v>11.2</v>
      </c>
      <c r="F2634" s="1">
        <v>13.5849056603774</v>
      </c>
      <c r="G2634" s="2">
        <v>794.43711657120798</v>
      </c>
      <c r="H2634" s="1">
        <v>139.370741840042</v>
      </c>
      <c r="I2634" s="1">
        <f t="shared" si="83"/>
        <v>147.10482693946599</v>
      </c>
    </row>
    <row r="2635" spans="1:9" x14ac:dyDescent="0.45">
      <c r="A2635" t="s">
        <v>56</v>
      </c>
      <c r="B2635" t="s">
        <v>45</v>
      </c>
      <c r="C2635" t="str">
        <f t="shared" si="82"/>
        <v>Saint Mary'sMontana</v>
      </c>
      <c r="D2635" t="s">
        <v>56</v>
      </c>
      <c r="E2635">
        <v>96.7</v>
      </c>
      <c r="F2635" s="1">
        <v>-22.150943396226399</v>
      </c>
      <c r="G2635" s="2">
        <v>-2933.6253411354201</v>
      </c>
      <c r="H2635" s="1">
        <v>141.09994795598399</v>
      </c>
      <c r="I2635" s="1">
        <f t="shared" si="83"/>
        <v>171.38584741786582</v>
      </c>
    </row>
    <row r="2636" spans="1:9" x14ac:dyDescent="0.45">
      <c r="A2636" t="s">
        <v>57</v>
      </c>
      <c r="B2636" t="s">
        <v>45</v>
      </c>
      <c r="C2636" t="str">
        <f t="shared" si="82"/>
        <v>San Diego St.Montana</v>
      </c>
      <c r="D2636" t="s">
        <v>57</v>
      </c>
      <c r="E2636">
        <v>90.1</v>
      </c>
      <c r="F2636" s="1">
        <v>-14.4754716981132</v>
      </c>
      <c r="G2636" s="2">
        <v>-909.92392116406302</v>
      </c>
      <c r="H2636" s="1">
        <v>140.31464711901199</v>
      </c>
      <c r="I2636" s="1">
        <f t="shared" si="83"/>
        <v>160.35887641167417</v>
      </c>
    </row>
    <row r="2637" spans="1:9" x14ac:dyDescent="0.45">
      <c r="A2637" t="s">
        <v>58</v>
      </c>
      <c r="B2637" t="s">
        <v>45</v>
      </c>
      <c r="C2637" t="str">
        <f t="shared" si="82"/>
        <v>SIU EdwardsvilleMontana</v>
      </c>
      <c r="D2637" t="s">
        <v>45</v>
      </c>
      <c r="E2637">
        <v>30.2</v>
      </c>
      <c r="F2637" s="1">
        <v>5.4981132075471697</v>
      </c>
      <c r="G2637" s="2">
        <v>231.353032770704</v>
      </c>
      <c r="H2637" s="1">
        <v>140.373905299196</v>
      </c>
      <c r="I2637" s="1">
        <f t="shared" si="83"/>
        <v>161.19096292426244</v>
      </c>
    </row>
    <row r="2638" spans="1:9" x14ac:dyDescent="0.45">
      <c r="A2638" t="s">
        <v>59</v>
      </c>
      <c r="B2638" t="s">
        <v>45</v>
      </c>
      <c r="C2638" t="str">
        <f t="shared" si="82"/>
        <v>St. John'sMontana</v>
      </c>
      <c r="D2638" t="s">
        <v>59</v>
      </c>
      <c r="E2638">
        <v>98.8</v>
      </c>
      <c r="F2638" s="1">
        <v>-29.132075471698101</v>
      </c>
      <c r="G2638" s="2">
        <v>-8512.4445864207391</v>
      </c>
      <c r="H2638" s="1">
        <v>141.193361747751</v>
      </c>
      <c r="I2638" s="1">
        <f t="shared" si="83"/>
        <v>172.69753731414175</v>
      </c>
    </row>
    <row r="2639" spans="1:9" x14ac:dyDescent="0.45">
      <c r="A2639" t="s">
        <v>60</v>
      </c>
      <c r="B2639" t="s">
        <v>45</v>
      </c>
      <c r="C2639" t="str">
        <f t="shared" si="82"/>
        <v>TennesseeMontana</v>
      </c>
      <c r="D2639" t="s">
        <v>60</v>
      </c>
      <c r="E2639">
        <v>99.5</v>
      </c>
      <c r="F2639" s="1">
        <v>-34.347169811320803</v>
      </c>
      <c r="G2639" s="2">
        <v>-18863.044544825301</v>
      </c>
      <c r="H2639" s="1">
        <v>141.98659412188499</v>
      </c>
      <c r="I2639" s="1">
        <f t="shared" si="83"/>
        <v>183.83588070936216</v>
      </c>
    </row>
    <row r="2640" spans="1:9" x14ac:dyDescent="0.45">
      <c r="A2640" t="s">
        <v>61</v>
      </c>
      <c r="B2640" t="s">
        <v>45</v>
      </c>
      <c r="C2640" t="str">
        <f t="shared" si="82"/>
        <v>TexasMontana</v>
      </c>
      <c r="D2640" t="s">
        <v>61</v>
      </c>
      <c r="E2640">
        <v>88.3</v>
      </c>
      <c r="F2640" s="1">
        <v>-13.2528301886792</v>
      </c>
      <c r="G2640" s="2">
        <v>-755.03479605468704</v>
      </c>
      <c r="H2640" s="1">
        <v>139.68647594952299</v>
      </c>
      <c r="I2640" s="1">
        <f t="shared" si="83"/>
        <v>151.53827550719839</v>
      </c>
    </row>
    <row r="2641" spans="1:9" x14ac:dyDescent="0.45">
      <c r="A2641" t="s">
        <v>62</v>
      </c>
      <c r="B2641" t="s">
        <v>45</v>
      </c>
      <c r="C2641" t="str">
        <f t="shared" si="82"/>
        <v>Texas A&amp;MMontana</v>
      </c>
      <c r="D2641" t="s">
        <v>62</v>
      </c>
      <c r="E2641">
        <v>97.7</v>
      </c>
      <c r="F2641" s="1">
        <v>-24.6528301886792</v>
      </c>
      <c r="G2641" s="2">
        <v>-4298.5427067342898</v>
      </c>
      <c r="H2641" s="1">
        <v>140.47345125892099</v>
      </c>
      <c r="I2641" s="1">
        <f t="shared" si="83"/>
        <v>162.5887589789611</v>
      </c>
    </row>
    <row r="2642" spans="1:9" x14ac:dyDescent="0.45">
      <c r="A2642" t="s">
        <v>63</v>
      </c>
      <c r="B2642" t="s">
        <v>45</v>
      </c>
      <c r="C2642" t="str">
        <f t="shared" si="82"/>
        <v>Texas TechMontana</v>
      </c>
      <c r="D2642" t="s">
        <v>63</v>
      </c>
      <c r="E2642">
        <v>98.8</v>
      </c>
      <c r="F2642" s="1">
        <v>-28.988679245282999</v>
      </c>
      <c r="G2642" s="2">
        <v>-8326.0053838937092</v>
      </c>
      <c r="H2642" s="1">
        <v>141.46396386416001</v>
      </c>
      <c r="I2642" s="1">
        <f t="shared" si="83"/>
        <v>176.49725527109922</v>
      </c>
    </row>
    <row r="2643" spans="1:9" x14ac:dyDescent="0.45">
      <c r="A2643" t="s">
        <v>64</v>
      </c>
      <c r="B2643" t="s">
        <v>45</v>
      </c>
      <c r="C2643" t="str">
        <f t="shared" si="82"/>
        <v>TroyMontana</v>
      </c>
      <c r="D2643" t="s">
        <v>64</v>
      </c>
      <c r="E2643">
        <v>54.5</v>
      </c>
      <c r="F2643" s="1">
        <v>-1.1773584905660399</v>
      </c>
      <c r="G2643" s="2">
        <v>-119.700350863897</v>
      </c>
      <c r="H2643" s="1">
        <v>140.230268458719</v>
      </c>
      <c r="I2643" s="1">
        <f t="shared" si="83"/>
        <v>159.17405526188421</v>
      </c>
    </row>
    <row r="2644" spans="1:9" x14ac:dyDescent="0.45">
      <c r="A2644" t="s">
        <v>65</v>
      </c>
      <c r="B2644" t="s">
        <v>45</v>
      </c>
      <c r="C2644" t="str">
        <f t="shared" si="82"/>
        <v>UC San DiegoMontana</v>
      </c>
      <c r="D2644" t="s">
        <v>65</v>
      </c>
      <c r="E2644">
        <v>75.5</v>
      </c>
      <c r="F2644" s="1">
        <v>-7.35849056603774</v>
      </c>
      <c r="G2644" s="2">
        <v>-307.343006908343</v>
      </c>
      <c r="H2644" s="1">
        <v>140.30038868838199</v>
      </c>
      <c r="I2644" s="1">
        <f t="shared" si="83"/>
        <v>160.15866358399256</v>
      </c>
    </row>
    <row r="2645" spans="1:9" x14ac:dyDescent="0.45">
      <c r="A2645" t="s">
        <v>66</v>
      </c>
      <c r="B2645" t="s">
        <v>45</v>
      </c>
      <c r="C2645" t="str">
        <f t="shared" si="82"/>
        <v>UCLAMontana</v>
      </c>
      <c r="D2645" t="s">
        <v>66</v>
      </c>
      <c r="E2645">
        <v>91.4</v>
      </c>
      <c r="F2645" s="1">
        <v>-15.4603773584906</v>
      </c>
      <c r="G2645" s="2">
        <v>-1057.5837945711901</v>
      </c>
      <c r="H2645" s="1">
        <v>139.52164726759401</v>
      </c>
      <c r="I2645" s="1">
        <f t="shared" si="83"/>
        <v>149.22379803430036</v>
      </c>
    </row>
    <row r="2646" spans="1:9" x14ac:dyDescent="0.45">
      <c r="A2646" t="s">
        <v>67</v>
      </c>
      <c r="B2646" t="s">
        <v>45</v>
      </c>
      <c r="C2646" t="str">
        <f t="shared" si="82"/>
        <v>UNC WilmingtonMontana</v>
      </c>
      <c r="D2646" t="s">
        <v>67</v>
      </c>
      <c r="E2646">
        <v>64</v>
      </c>
      <c r="F2646" s="1">
        <v>-3.7698113207547199</v>
      </c>
      <c r="G2646" s="2">
        <v>-177.68891929861201</v>
      </c>
      <c r="H2646" s="1">
        <v>140.837057159046</v>
      </c>
      <c r="I2646" s="1">
        <f t="shared" si="83"/>
        <v>167.69440961575222</v>
      </c>
    </row>
    <row r="2647" spans="1:9" x14ac:dyDescent="0.45">
      <c r="A2647" t="s">
        <v>68</v>
      </c>
      <c r="B2647" t="s">
        <v>45</v>
      </c>
      <c r="C2647" t="str">
        <f t="shared" si="82"/>
        <v>Utah St.Montana</v>
      </c>
      <c r="D2647" t="s">
        <v>68</v>
      </c>
      <c r="E2647">
        <v>90.9</v>
      </c>
      <c r="F2647" s="1">
        <v>-15.094339622641501</v>
      </c>
      <c r="G2647" s="2">
        <v>-1000.22690952965</v>
      </c>
      <c r="H2647" s="1">
        <v>140.38424365762501</v>
      </c>
      <c r="I2647" s="1">
        <f t="shared" si="83"/>
        <v>161.33613121300115</v>
      </c>
    </row>
    <row r="2648" spans="1:9" x14ac:dyDescent="0.45">
      <c r="A2648" t="s">
        <v>69</v>
      </c>
      <c r="B2648" t="s">
        <v>45</v>
      </c>
      <c r="C2648" t="str">
        <f t="shared" si="82"/>
        <v>VanderbiltMontana</v>
      </c>
      <c r="D2648" t="s">
        <v>69</v>
      </c>
      <c r="E2648">
        <v>66.3</v>
      </c>
      <c r="F2648" s="1">
        <v>-4.4490566037735899</v>
      </c>
      <c r="G2648" s="2">
        <v>-197.09679661452401</v>
      </c>
      <c r="H2648" s="1">
        <v>138.818281538908</v>
      </c>
      <c r="I2648" s="1">
        <f t="shared" si="83"/>
        <v>139.34733651558426</v>
      </c>
    </row>
    <row r="2649" spans="1:9" x14ac:dyDescent="0.45">
      <c r="A2649" t="s">
        <v>70</v>
      </c>
      <c r="B2649" t="s">
        <v>45</v>
      </c>
      <c r="C2649" t="str">
        <f t="shared" si="82"/>
        <v>VCUMontana</v>
      </c>
      <c r="D2649" t="s">
        <v>70</v>
      </c>
      <c r="E2649">
        <v>86.4</v>
      </c>
      <c r="F2649" s="1">
        <v>-12.094339622641501</v>
      </c>
      <c r="G2649" s="2">
        <v>-632.70507174868999</v>
      </c>
      <c r="H2649" s="1">
        <v>140.74345466810101</v>
      </c>
      <c r="I2649" s="1">
        <f t="shared" si="83"/>
        <v>166.38007005928679</v>
      </c>
    </row>
    <row r="2650" spans="1:9" x14ac:dyDescent="0.45">
      <c r="A2650" t="s">
        <v>71</v>
      </c>
      <c r="B2650" t="s">
        <v>45</v>
      </c>
      <c r="C2650" t="str">
        <f t="shared" si="82"/>
        <v>WisconsinMontana</v>
      </c>
      <c r="D2650" t="s">
        <v>71</v>
      </c>
      <c r="E2650">
        <v>98.6</v>
      </c>
      <c r="F2650" s="1">
        <v>-28.045283018867899</v>
      </c>
      <c r="G2650" s="2">
        <v>-7212.5187400559198</v>
      </c>
      <c r="H2650" s="1">
        <v>141.396710276433</v>
      </c>
      <c r="I2650" s="1">
        <f t="shared" si="83"/>
        <v>175.55289951975735</v>
      </c>
    </row>
    <row r="2651" spans="1:9" x14ac:dyDescent="0.45">
      <c r="A2651" t="s">
        <v>80</v>
      </c>
      <c r="B2651" t="s">
        <v>45</v>
      </c>
      <c r="C2651" t="str">
        <f t="shared" si="82"/>
        <v>WoffordMontana</v>
      </c>
      <c r="D2651" t="s">
        <v>45</v>
      </c>
      <c r="E2651">
        <v>38.299999999999997</v>
      </c>
      <c r="F2651" s="1">
        <v>3.1283018867924501</v>
      </c>
      <c r="G2651" s="2">
        <v>161.13843037857399</v>
      </c>
      <c r="H2651" s="1">
        <v>139.49435870566001</v>
      </c>
      <c r="I2651" s="1">
        <f t="shared" si="83"/>
        <v>148.84061980873378</v>
      </c>
    </row>
    <row r="2652" spans="1:9" x14ac:dyDescent="0.45">
      <c r="A2652" t="s">
        <v>72</v>
      </c>
      <c r="B2652" t="s">
        <v>45</v>
      </c>
      <c r="C2652" t="str">
        <f t="shared" si="82"/>
        <v>XavierMontana</v>
      </c>
      <c r="D2652" t="s">
        <v>72</v>
      </c>
      <c r="E2652">
        <v>86.2</v>
      </c>
      <c r="F2652" s="1">
        <v>-12.018867924528299</v>
      </c>
      <c r="G2652" s="2">
        <v>-625.68440489985403</v>
      </c>
      <c r="H2652" s="1">
        <v>140.237160876281</v>
      </c>
      <c r="I2652" s="1">
        <f t="shared" si="83"/>
        <v>159.27083662902473</v>
      </c>
    </row>
    <row r="2653" spans="1:9" x14ac:dyDescent="0.45">
      <c r="A2653" t="s">
        <v>73</v>
      </c>
      <c r="B2653" t="s">
        <v>45</v>
      </c>
      <c r="C2653" t="str">
        <f t="shared" si="82"/>
        <v>YaleMontana</v>
      </c>
      <c r="D2653" t="s">
        <v>73</v>
      </c>
      <c r="E2653">
        <v>76.599999999999994</v>
      </c>
      <c r="F2653" s="1">
        <v>-7.7698113207547204</v>
      </c>
      <c r="G2653" s="2">
        <v>-327.19739618604802</v>
      </c>
      <c r="H2653" s="1">
        <v>140.83686701267499</v>
      </c>
      <c r="I2653" s="1">
        <f t="shared" si="83"/>
        <v>167.69173963448981</v>
      </c>
    </row>
    <row r="2654" spans="1:9" x14ac:dyDescent="0.45">
      <c r="A2654" t="s">
        <v>7</v>
      </c>
      <c r="B2654" t="s">
        <v>46</v>
      </c>
      <c r="C2654" t="str">
        <f t="shared" si="82"/>
        <v>AkronMount St. Mary's</v>
      </c>
      <c r="D2654" t="s">
        <v>7</v>
      </c>
      <c r="E2654">
        <v>81.8</v>
      </c>
      <c r="F2654" s="1">
        <v>-9.8415094339622602</v>
      </c>
      <c r="G2654" s="2">
        <v>-448.70409204146199</v>
      </c>
      <c r="H2654" s="1">
        <v>138.35040611910401</v>
      </c>
      <c r="I2654" s="1">
        <f t="shared" si="83"/>
        <v>132.7775629386432</v>
      </c>
    </row>
    <row r="2655" spans="1:9" x14ac:dyDescent="0.45">
      <c r="A2655" t="s">
        <v>8</v>
      </c>
      <c r="B2655" t="s">
        <v>46</v>
      </c>
      <c r="C2655" t="str">
        <f t="shared" si="82"/>
        <v>AlabamaMount St. Mary's</v>
      </c>
      <c r="D2655" t="s">
        <v>8</v>
      </c>
      <c r="E2655">
        <v>99.7</v>
      </c>
      <c r="F2655" s="1">
        <v>-38.181132075471702</v>
      </c>
      <c r="G2655" s="2">
        <v>-33844.705116126999</v>
      </c>
      <c r="H2655" s="1">
        <v>140.15801730669901</v>
      </c>
      <c r="I2655" s="1">
        <f t="shared" si="83"/>
        <v>158.15952513409223</v>
      </c>
    </row>
    <row r="2656" spans="1:9" x14ac:dyDescent="0.45">
      <c r="A2656" t="s">
        <v>9</v>
      </c>
      <c r="B2656" t="s">
        <v>46</v>
      </c>
      <c r="C2656" t="str">
        <f t="shared" si="82"/>
        <v>Alabama St.Mount St. Mary's</v>
      </c>
      <c r="D2656" t="s">
        <v>46</v>
      </c>
      <c r="E2656">
        <v>40.700000000000003</v>
      </c>
      <c r="F2656" s="1">
        <v>2.4792452830188698</v>
      </c>
      <c r="G2656" s="2">
        <v>145.92499508755199</v>
      </c>
      <c r="H2656" s="1">
        <v>138.53716787852599</v>
      </c>
      <c r="I2656" s="1">
        <f t="shared" si="83"/>
        <v>135.40001844773494</v>
      </c>
    </row>
    <row r="2657" spans="1:9" x14ac:dyDescent="0.45">
      <c r="A2657" t="s">
        <v>10</v>
      </c>
      <c r="B2657" t="s">
        <v>46</v>
      </c>
      <c r="C2657" t="str">
        <f t="shared" si="82"/>
        <v>AmericanMount St. Mary's</v>
      </c>
      <c r="D2657" t="s">
        <v>46</v>
      </c>
      <c r="E2657">
        <v>43.5</v>
      </c>
      <c r="F2657" s="1">
        <v>1.7207547169811299</v>
      </c>
      <c r="G2657" s="2">
        <v>130.01199344</v>
      </c>
      <c r="H2657" s="1">
        <v>138.30045739828699</v>
      </c>
      <c r="I2657" s="1">
        <f t="shared" si="83"/>
        <v>132.07619720679284</v>
      </c>
    </row>
    <row r="2658" spans="1:9" x14ac:dyDescent="0.45">
      <c r="A2658" t="s">
        <v>11</v>
      </c>
      <c r="B2658" t="s">
        <v>46</v>
      </c>
      <c r="C2658" t="str">
        <f t="shared" si="82"/>
        <v>ArizonaMount St. Mary's</v>
      </c>
      <c r="D2658" t="s">
        <v>11</v>
      </c>
      <c r="E2658">
        <v>99.6</v>
      </c>
      <c r="F2658" s="1">
        <v>-35.426415094339603</v>
      </c>
      <c r="G2658" s="2">
        <v>-22229.8509980157</v>
      </c>
      <c r="H2658" s="1">
        <v>139.768496646877</v>
      </c>
      <c r="I2658" s="1">
        <f t="shared" si="83"/>
        <v>152.68998681202481</v>
      </c>
    </row>
    <row r="2659" spans="1:9" x14ac:dyDescent="0.45">
      <c r="A2659" t="s">
        <v>12</v>
      </c>
      <c r="B2659" t="s">
        <v>46</v>
      </c>
      <c r="C2659" t="str">
        <f t="shared" si="82"/>
        <v>ArkansasMount St. Mary's</v>
      </c>
      <c r="D2659" t="s">
        <v>12</v>
      </c>
      <c r="E2659">
        <v>93.5</v>
      </c>
      <c r="F2659" s="1">
        <v>-17.5245283018868</v>
      </c>
      <c r="G2659" s="2">
        <v>-1448.89511327123</v>
      </c>
      <c r="H2659" s="1">
        <v>138.09442062466599</v>
      </c>
      <c r="I2659" s="1">
        <f t="shared" si="83"/>
        <v>129.18308743030454</v>
      </c>
    </row>
    <row r="2660" spans="1:9" x14ac:dyDescent="0.45">
      <c r="A2660" t="s">
        <v>13</v>
      </c>
      <c r="B2660" t="s">
        <v>46</v>
      </c>
      <c r="C2660" t="str">
        <f t="shared" si="82"/>
        <v>AuburnMount St. Mary's</v>
      </c>
      <c r="D2660" t="s">
        <v>13</v>
      </c>
      <c r="E2660">
        <v>99.9</v>
      </c>
      <c r="F2660" s="1">
        <v>-42.618867924528303</v>
      </c>
      <c r="G2660" s="2">
        <v>-66619.482937976005</v>
      </c>
      <c r="H2660" s="1">
        <v>141.180233540052</v>
      </c>
      <c r="I2660" s="1">
        <f t="shared" si="83"/>
        <v>172.51319475541192</v>
      </c>
    </row>
    <row r="2661" spans="1:9" x14ac:dyDescent="0.45">
      <c r="A2661" t="s">
        <v>14</v>
      </c>
      <c r="B2661" t="s">
        <v>46</v>
      </c>
      <c r="C2661" t="str">
        <f t="shared" si="82"/>
        <v>BaylorMount St. Mary's</v>
      </c>
      <c r="D2661" t="s">
        <v>14</v>
      </c>
      <c r="E2661">
        <v>98.5</v>
      </c>
      <c r="F2661" s="1">
        <v>-27.5735849056604</v>
      </c>
      <c r="G2661" s="2">
        <v>-6708.7105454664897</v>
      </c>
      <c r="H2661" s="1">
        <v>139.64315090123301</v>
      </c>
      <c r="I2661" s="1">
        <f t="shared" si="83"/>
        <v>150.92991750114115</v>
      </c>
    </row>
    <row r="2662" spans="1:9" x14ac:dyDescent="0.45">
      <c r="A2662" t="s">
        <v>15</v>
      </c>
      <c r="B2662" t="s">
        <v>46</v>
      </c>
      <c r="C2662" t="str">
        <f t="shared" si="82"/>
        <v>BryantMount St. Mary's</v>
      </c>
      <c r="D2662" t="s">
        <v>15</v>
      </c>
      <c r="E2662">
        <v>75.8</v>
      </c>
      <c r="F2662" s="1">
        <v>-7.5018867924528303</v>
      </c>
      <c r="G2662" s="2">
        <v>-313.99826131649098</v>
      </c>
      <c r="H2662" s="1">
        <v>139.235470776878</v>
      </c>
      <c r="I2662" s="1">
        <f t="shared" si="83"/>
        <v>145.20538914281519</v>
      </c>
    </row>
    <row r="2663" spans="1:9" x14ac:dyDescent="0.45">
      <c r="A2663" t="s">
        <v>16</v>
      </c>
      <c r="B2663" t="s">
        <v>46</v>
      </c>
      <c r="C2663" t="str">
        <f t="shared" si="82"/>
        <v>BYUMount St. Mary's</v>
      </c>
      <c r="D2663" t="s">
        <v>16</v>
      </c>
      <c r="E2663">
        <v>98.8</v>
      </c>
      <c r="F2663" s="1">
        <v>-28.667924528301899</v>
      </c>
      <c r="G2663" s="2">
        <v>-7927.7290066469004</v>
      </c>
      <c r="H2663" s="1">
        <v>139.40551145132201</v>
      </c>
      <c r="I2663" s="1">
        <f t="shared" si="83"/>
        <v>147.59305193227206</v>
      </c>
    </row>
    <row r="2664" spans="1:9" x14ac:dyDescent="0.45">
      <c r="A2664" t="s">
        <v>17</v>
      </c>
      <c r="B2664" t="s">
        <v>46</v>
      </c>
      <c r="C2664" t="str">
        <f t="shared" si="82"/>
        <v>ClemsonMount St. Mary's</v>
      </c>
      <c r="D2664" t="s">
        <v>17</v>
      </c>
      <c r="E2664">
        <v>99.1</v>
      </c>
      <c r="F2664" s="1">
        <v>-30.871698113207501</v>
      </c>
      <c r="G2664" s="2">
        <v>-11096.6007863919</v>
      </c>
      <c r="H2664" s="1">
        <v>139.75556167376399</v>
      </c>
      <c r="I2664" s="1">
        <f t="shared" si="83"/>
        <v>152.50835759839384</v>
      </c>
    </row>
    <row r="2665" spans="1:9" x14ac:dyDescent="0.45">
      <c r="A2665" t="s">
        <v>18</v>
      </c>
      <c r="B2665" t="s">
        <v>46</v>
      </c>
      <c r="C2665" t="str">
        <f t="shared" si="82"/>
        <v>Colorado St.Mount St. Mary's</v>
      </c>
      <c r="D2665" t="s">
        <v>18</v>
      </c>
      <c r="E2665">
        <v>94.8</v>
      </c>
      <c r="F2665" s="1">
        <v>-19.090566037735801</v>
      </c>
      <c r="G2665" s="2">
        <v>-1839.1877477774301</v>
      </c>
      <c r="H2665" s="1">
        <v>139.145172648558</v>
      </c>
      <c r="I2665" s="1">
        <f t="shared" si="83"/>
        <v>143.9374485065396</v>
      </c>
    </row>
    <row r="2666" spans="1:9" x14ac:dyDescent="0.45">
      <c r="A2666" t="s">
        <v>19</v>
      </c>
      <c r="B2666" t="s">
        <v>46</v>
      </c>
      <c r="C2666" t="str">
        <f t="shared" si="82"/>
        <v>ConnecticutMount St. Mary's</v>
      </c>
      <c r="D2666" t="s">
        <v>19</v>
      </c>
      <c r="E2666">
        <v>99.4</v>
      </c>
      <c r="F2666" s="1">
        <v>-33.766037735849103</v>
      </c>
      <c r="G2666" s="2">
        <v>-17253.463538546901</v>
      </c>
      <c r="H2666" s="1">
        <v>139.55581250451201</v>
      </c>
      <c r="I2666" s="1">
        <f t="shared" si="83"/>
        <v>149.70353657420452</v>
      </c>
    </row>
    <row r="2667" spans="1:9" x14ac:dyDescent="0.45">
      <c r="A2667" t="s">
        <v>20</v>
      </c>
      <c r="B2667" t="s">
        <v>46</v>
      </c>
      <c r="C2667" t="str">
        <f t="shared" si="82"/>
        <v>CreightonMount St. Mary's</v>
      </c>
      <c r="D2667" t="s">
        <v>20</v>
      </c>
      <c r="E2667">
        <v>98.2</v>
      </c>
      <c r="F2667" s="1">
        <v>-26.0566037735849</v>
      </c>
      <c r="G2667" s="2">
        <v>-5324.0684503933799</v>
      </c>
      <c r="H2667" s="1">
        <v>139.10510925735099</v>
      </c>
      <c r="I2667" s="1">
        <f t="shared" si="83"/>
        <v>143.37488976159688</v>
      </c>
    </row>
    <row r="2668" spans="1:9" x14ac:dyDescent="0.45">
      <c r="A2668" t="s">
        <v>21</v>
      </c>
      <c r="B2668" t="s">
        <v>46</v>
      </c>
      <c r="C2668" t="str">
        <f t="shared" si="82"/>
        <v>DrakeMount St. Mary's</v>
      </c>
      <c r="D2668" t="s">
        <v>21</v>
      </c>
      <c r="E2668">
        <v>94.7</v>
      </c>
      <c r="F2668" s="1">
        <v>-18.883018867924498</v>
      </c>
      <c r="G2668" s="2">
        <v>-1782.6083522249801</v>
      </c>
      <c r="H2668" s="1">
        <v>139.339785063025</v>
      </c>
      <c r="I2668" s="1">
        <f t="shared" si="83"/>
        <v>146.67014068097708</v>
      </c>
    </row>
    <row r="2669" spans="1:9" x14ac:dyDescent="0.45">
      <c r="A2669" t="s">
        <v>22</v>
      </c>
      <c r="B2669" t="s">
        <v>46</v>
      </c>
      <c r="C2669" t="str">
        <f t="shared" si="82"/>
        <v>DukeMount St. Mary's</v>
      </c>
      <c r="D2669" t="s">
        <v>22</v>
      </c>
      <c r="E2669">
        <v>99.9</v>
      </c>
      <c r="F2669" s="1">
        <v>-44.833962264150898</v>
      </c>
      <c r="G2669" s="2">
        <v>-93391.717657081506</v>
      </c>
      <c r="H2669" s="1">
        <v>141.420124951628</v>
      </c>
      <c r="I2669" s="1">
        <f t="shared" si="83"/>
        <v>175.88168172950287</v>
      </c>
    </row>
    <row r="2670" spans="1:9" x14ac:dyDescent="0.45">
      <c r="A2670" t="s">
        <v>23</v>
      </c>
      <c r="B2670" t="s">
        <v>46</v>
      </c>
      <c r="C2670" t="str">
        <f t="shared" si="82"/>
        <v>FloridaMount St. Mary's</v>
      </c>
      <c r="D2670" t="s">
        <v>23</v>
      </c>
      <c r="E2670">
        <v>99.8</v>
      </c>
      <c r="F2670" s="1">
        <v>-40.977358490565997</v>
      </c>
      <c r="G2670" s="2">
        <v>-51853.276393539098</v>
      </c>
      <c r="H2670" s="1">
        <v>141.15477547918201</v>
      </c>
      <c r="I2670" s="1">
        <f t="shared" si="83"/>
        <v>172.15571990517526</v>
      </c>
    </row>
    <row r="2671" spans="1:9" x14ac:dyDescent="0.45">
      <c r="A2671" t="s">
        <v>24</v>
      </c>
      <c r="B2671" t="s">
        <v>46</v>
      </c>
      <c r="C2671" t="str">
        <f t="shared" si="82"/>
        <v>GeorgiaMount St. Mary's</v>
      </c>
      <c r="D2671" t="s">
        <v>24</v>
      </c>
      <c r="E2671">
        <v>95.4</v>
      </c>
      <c r="F2671" s="1">
        <v>-19.916981132075499</v>
      </c>
      <c r="G2671" s="2">
        <v>-2086.7032137358101</v>
      </c>
      <c r="H2671" s="1">
        <v>138.41873377546699</v>
      </c>
      <c r="I2671" s="1">
        <f t="shared" si="83"/>
        <v>133.7370004562967</v>
      </c>
    </row>
    <row r="2672" spans="1:9" x14ac:dyDescent="0.45">
      <c r="A2672" t="s">
        <v>25</v>
      </c>
      <c r="B2672" t="s">
        <v>46</v>
      </c>
      <c r="C2672" t="str">
        <f t="shared" si="82"/>
        <v>GonzagaMount St. Mary's</v>
      </c>
      <c r="D2672" t="s">
        <v>25</v>
      </c>
      <c r="E2672">
        <v>99.1</v>
      </c>
      <c r="F2672" s="1">
        <v>-30.547169811320799</v>
      </c>
      <c r="G2672" s="2">
        <v>-10560.865887702699</v>
      </c>
      <c r="H2672" s="1">
        <v>140.39569550597301</v>
      </c>
      <c r="I2672" s="1">
        <f t="shared" si="83"/>
        <v>161.4969348104959</v>
      </c>
    </row>
    <row r="2673" spans="1:9" x14ac:dyDescent="0.45">
      <c r="A2673" t="s">
        <v>26</v>
      </c>
      <c r="B2673" t="s">
        <v>46</v>
      </c>
      <c r="C2673" t="str">
        <f t="shared" si="82"/>
        <v>Grand CanyonMount St. Mary's</v>
      </c>
      <c r="D2673" t="s">
        <v>26</v>
      </c>
      <c r="E2673">
        <v>92</v>
      </c>
      <c r="F2673" s="1">
        <v>-15.9962264150943</v>
      </c>
      <c r="G2673" s="2">
        <v>-1147.4154479008801</v>
      </c>
      <c r="H2673" s="1">
        <v>139.213667223513</v>
      </c>
      <c r="I2673" s="1">
        <f t="shared" si="83"/>
        <v>144.89922984758903</v>
      </c>
    </row>
    <row r="2674" spans="1:9" x14ac:dyDescent="0.45">
      <c r="A2674" t="s">
        <v>27</v>
      </c>
      <c r="B2674" t="s">
        <v>46</v>
      </c>
      <c r="C2674" t="str">
        <f t="shared" si="82"/>
        <v>High PointMount St. Mary's</v>
      </c>
      <c r="D2674" t="s">
        <v>27</v>
      </c>
      <c r="E2674">
        <v>87.7</v>
      </c>
      <c r="F2674" s="1">
        <v>-12.905660377358499</v>
      </c>
      <c r="G2674" s="2">
        <v>-716.20711541231606</v>
      </c>
      <c r="H2674" s="1">
        <v>139.404874357061</v>
      </c>
      <c r="I2674" s="1">
        <f t="shared" si="83"/>
        <v>147.58410603585426</v>
      </c>
    </row>
    <row r="2675" spans="1:9" x14ac:dyDescent="0.45">
      <c r="A2675" t="s">
        <v>28</v>
      </c>
      <c r="B2675" t="s">
        <v>46</v>
      </c>
      <c r="C2675" t="str">
        <f t="shared" si="82"/>
        <v>HoustonMount St. Mary's</v>
      </c>
      <c r="D2675" t="s">
        <v>28</v>
      </c>
      <c r="E2675">
        <v>99.9</v>
      </c>
      <c r="F2675" s="1">
        <v>-48.188679245282998</v>
      </c>
      <c r="G2675" s="2">
        <v>-155789.62200207001</v>
      </c>
      <c r="H2675" s="1">
        <v>141.518336714264</v>
      </c>
      <c r="I2675" s="1">
        <f t="shared" si="83"/>
        <v>177.26074336813542</v>
      </c>
    </row>
    <row r="2676" spans="1:9" x14ac:dyDescent="0.45">
      <c r="A2676" t="s">
        <v>29</v>
      </c>
      <c r="B2676" t="s">
        <v>46</v>
      </c>
      <c r="C2676" t="str">
        <f t="shared" si="82"/>
        <v>IllinoisMount St. Mary's</v>
      </c>
      <c r="D2676" t="s">
        <v>29</v>
      </c>
      <c r="E2676">
        <v>99.4</v>
      </c>
      <c r="F2676" s="1">
        <v>-33</v>
      </c>
      <c r="G2676" s="2">
        <v>-15357.656287751701</v>
      </c>
      <c r="H2676" s="1">
        <v>139.576800489226</v>
      </c>
      <c r="I2676" s="1">
        <f t="shared" si="83"/>
        <v>149.99824388638822</v>
      </c>
    </row>
    <row r="2677" spans="1:9" x14ac:dyDescent="0.45">
      <c r="A2677" t="s">
        <v>30</v>
      </c>
      <c r="B2677" t="s">
        <v>46</v>
      </c>
      <c r="C2677" t="str">
        <f t="shared" si="82"/>
        <v>Iowa St.Mount St. Mary's</v>
      </c>
      <c r="D2677" t="s">
        <v>30</v>
      </c>
      <c r="E2677">
        <v>99.7</v>
      </c>
      <c r="F2677" s="1">
        <v>-37.864150943396197</v>
      </c>
      <c r="G2677" s="2">
        <v>-32238.958478121302</v>
      </c>
      <c r="H2677" s="1">
        <v>140.473342780812</v>
      </c>
      <c r="I2677" s="1">
        <f t="shared" si="83"/>
        <v>162.58723576020688</v>
      </c>
    </row>
    <row r="2678" spans="1:9" x14ac:dyDescent="0.45">
      <c r="A2678" t="s">
        <v>31</v>
      </c>
      <c r="B2678" t="s">
        <v>46</v>
      </c>
      <c r="C2678" t="str">
        <f t="shared" si="82"/>
        <v>KansasMount St. Mary's</v>
      </c>
      <c r="D2678" t="s">
        <v>31</v>
      </c>
      <c r="E2678">
        <v>99</v>
      </c>
      <c r="F2678" s="1">
        <v>-30.147169811320801</v>
      </c>
      <c r="G2678" s="2">
        <v>-9935.2789934744196</v>
      </c>
      <c r="H2678" s="1">
        <v>139.52393066966599</v>
      </c>
      <c r="I2678" s="1">
        <f t="shared" si="83"/>
        <v>149.25586091677519</v>
      </c>
    </row>
    <row r="2679" spans="1:9" x14ac:dyDescent="0.45">
      <c r="A2679" t="s">
        <v>32</v>
      </c>
      <c r="B2679" t="s">
        <v>46</v>
      </c>
      <c r="C2679" t="str">
        <f t="shared" si="82"/>
        <v>KentuckyMount St. Mary's</v>
      </c>
      <c r="D2679" t="s">
        <v>32</v>
      </c>
      <c r="E2679">
        <v>99.4</v>
      </c>
      <c r="F2679" s="1">
        <v>-33.509433962264197</v>
      </c>
      <c r="G2679" s="2">
        <v>-16598.391727407001</v>
      </c>
      <c r="H2679" s="1">
        <v>139.45821300179099</v>
      </c>
      <c r="I2679" s="1">
        <f t="shared" si="83"/>
        <v>148.33307211516603</v>
      </c>
    </row>
    <row r="2680" spans="1:9" x14ac:dyDescent="0.45">
      <c r="A2680" t="s">
        <v>33</v>
      </c>
      <c r="B2680" t="s">
        <v>46</v>
      </c>
      <c r="C2680" t="str">
        <f t="shared" si="82"/>
        <v>LibertyMount St. Mary's</v>
      </c>
      <c r="D2680" t="s">
        <v>33</v>
      </c>
      <c r="E2680">
        <v>83.3</v>
      </c>
      <c r="F2680" s="1">
        <v>-10.5245283018868</v>
      </c>
      <c r="G2680" s="2">
        <v>-498.01003608924299</v>
      </c>
      <c r="H2680" s="1">
        <v>138.80321404550901</v>
      </c>
      <c r="I2680" s="1">
        <f t="shared" si="83"/>
        <v>139.13576305860533</v>
      </c>
    </row>
    <row r="2681" spans="1:9" x14ac:dyDescent="0.45">
      <c r="A2681" t="s">
        <v>34</v>
      </c>
      <c r="B2681" t="s">
        <v>46</v>
      </c>
      <c r="C2681" t="str">
        <f t="shared" si="82"/>
        <v>LipscombMount St. Mary's</v>
      </c>
      <c r="D2681" t="s">
        <v>34</v>
      </c>
      <c r="E2681">
        <v>78.900000000000006</v>
      </c>
      <c r="F2681" s="1">
        <v>-8.6603773584905692</v>
      </c>
      <c r="G2681" s="2">
        <v>-374.66212697733698</v>
      </c>
      <c r="H2681" s="1">
        <v>139.2095322431</v>
      </c>
      <c r="I2681" s="1">
        <f t="shared" si="83"/>
        <v>144.84116762865506</v>
      </c>
    </row>
    <row r="2682" spans="1:9" x14ac:dyDescent="0.45">
      <c r="A2682" t="s">
        <v>35</v>
      </c>
      <c r="B2682" t="s">
        <v>46</v>
      </c>
      <c r="C2682" t="str">
        <f t="shared" si="82"/>
        <v>LouisvilleMount St. Mary's</v>
      </c>
      <c r="D2682" t="s">
        <v>35</v>
      </c>
      <c r="E2682">
        <v>90.4</v>
      </c>
      <c r="F2682" s="1">
        <v>-14.7094339622642</v>
      </c>
      <c r="G2682" s="2">
        <v>-942.70894799144003</v>
      </c>
      <c r="H2682" s="1">
        <v>138.45489424891801</v>
      </c>
      <c r="I2682" s="1">
        <f t="shared" si="83"/>
        <v>134.24475554013443</v>
      </c>
    </row>
    <row r="2683" spans="1:9" x14ac:dyDescent="0.45">
      <c r="A2683" t="s">
        <v>36</v>
      </c>
      <c r="B2683" t="s">
        <v>46</v>
      </c>
      <c r="C2683" t="str">
        <f t="shared" si="82"/>
        <v>MarquetteMount St. Mary's</v>
      </c>
      <c r="D2683" t="s">
        <v>36</v>
      </c>
      <c r="E2683">
        <v>99.2</v>
      </c>
      <c r="F2683" s="1">
        <v>-31.7735849056604</v>
      </c>
      <c r="G2683" s="2">
        <v>-12738.577299066101</v>
      </c>
      <c r="H2683" s="1">
        <v>139.71702809237999</v>
      </c>
      <c r="I2683" s="1">
        <f t="shared" si="83"/>
        <v>151.96728000789426</v>
      </c>
    </row>
    <row r="2684" spans="1:9" x14ac:dyDescent="0.45">
      <c r="A2684" t="s">
        <v>37</v>
      </c>
      <c r="B2684" t="s">
        <v>46</v>
      </c>
      <c r="C2684" t="str">
        <f t="shared" si="82"/>
        <v>MarylandMount St. Mary's</v>
      </c>
      <c r="D2684" t="s">
        <v>37</v>
      </c>
      <c r="E2684">
        <v>98.7</v>
      </c>
      <c r="F2684" s="1">
        <v>-28.607547169811301</v>
      </c>
      <c r="G2684" s="2">
        <v>-7857.54894747865</v>
      </c>
      <c r="H2684" s="1">
        <v>139.17539769092301</v>
      </c>
      <c r="I2684" s="1">
        <f t="shared" si="83"/>
        <v>144.36185995515709</v>
      </c>
    </row>
    <row r="2685" spans="1:9" x14ac:dyDescent="0.45">
      <c r="A2685" t="s">
        <v>38</v>
      </c>
      <c r="B2685" t="s">
        <v>46</v>
      </c>
      <c r="C2685" t="str">
        <f t="shared" si="82"/>
        <v>McNeese St.Mount St. Mary's</v>
      </c>
      <c r="D2685" t="s">
        <v>38</v>
      </c>
      <c r="E2685">
        <v>94.8</v>
      </c>
      <c r="F2685" s="1">
        <v>-19.067924528301901</v>
      </c>
      <c r="G2685" s="2">
        <v>-1833.23196619328</v>
      </c>
      <c r="H2685" s="1">
        <v>139.768633103887</v>
      </c>
      <c r="I2685" s="1">
        <f t="shared" si="83"/>
        <v>152.69190290254966</v>
      </c>
    </row>
    <row r="2686" spans="1:9" x14ac:dyDescent="0.45">
      <c r="A2686" t="s">
        <v>39</v>
      </c>
      <c r="B2686" t="s">
        <v>46</v>
      </c>
      <c r="C2686" t="str">
        <f t="shared" si="82"/>
        <v>MemphisMount St. Mary's</v>
      </c>
      <c r="D2686" t="s">
        <v>39</v>
      </c>
      <c r="E2686">
        <v>97.8</v>
      </c>
      <c r="F2686" s="1">
        <v>-24.845283018867899</v>
      </c>
      <c r="G2686" s="2">
        <v>-4424.7295263509004</v>
      </c>
      <c r="H2686" s="1">
        <v>138.30291493041301</v>
      </c>
      <c r="I2686" s="1">
        <f t="shared" si="83"/>
        <v>132.11070517396229</v>
      </c>
    </row>
    <row r="2687" spans="1:9" x14ac:dyDescent="0.45">
      <c r="A2687" t="s">
        <v>40</v>
      </c>
      <c r="B2687" t="s">
        <v>46</v>
      </c>
      <c r="C2687" t="str">
        <f t="shared" si="82"/>
        <v>MichiganMount St. Mary's</v>
      </c>
      <c r="D2687" t="s">
        <v>40</v>
      </c>
      <c r="E2687">
        <v>95.6</v>
      </c>
      <c r="F2687" s="1">
        <v>-20.218867924528301</v>
      </c>
      <c r="G2687" s="2">
        <v>-2185.2045403663101</v>
      </c>
      <c r="H2687" s="1">
        <v>137.86553622733001</v>
      </c>
      <c r="I2687" s="1">
        <f t="shared" si="83"/>
        <v>125.96915781967886</v>
      </c>
    </row>
    <row r="2688" spans="1:9" x14ac:dyDescent="0.45">
      <c r="A2688" t="s">
        <v>41</v>
      </c>
      <c r="B2688" t="s">
        <v>46</v>
      </c>
      <c r="C2688" t="str">
        <f t="shared" si="82"/>
        <v>Michigan St.Mount St. Mary's</v>
      </c>
      <c r="D2688" t="s">
        <v>41</v>
      </c>
      <c r="E2688">
        <v>99.5</v>
      </c>
      <c r="F2688" s="1">
        <v>-34.966037735849099</v>
      </c>
      <c r="G2688" s="2">
        <v>-20722.742745118201</v>
      </c>
      <c r="H2688" s="1">
        <v>139.512615936537</v>
      </c>
      <c r="I2688" s="1">
        <f t="shared" si="83"/>
        <v>149.09698265218913</v>
      </c>
    </row>
    <row r="2689" spans="1:9" x14ac:dyDescent="0.45">
      <c r="A2689" t="s">
        <v>42</v>
      </c>
      <c r="B2689" t="s">
        <v>46</v>
      </c>
      <c r="C2689" t="str">
        <f t="shared" si="82"/>
        <v>MississippiMount St. Mary's</v>
      </c>
      <c r="D2689" t="s">
        <v>42</v>
      </c>
      <c r="E2689">
        <v>98.3</v>
      </c>
      <c r="F2689" s="1">
        <v>-26.4679245283019</v>
      </c>
      <c r="G2689" s="2">
        <v>-5669.9054989738397</v>
      </c>
      <c r="H2689" s="1">
        <v>138.78030728642599</v>
      </c>
      <c r="I2689" s="1">
        <f t="shared" si="83"/>
        <v>138.81411286244844</v>
      </c>
    </row>
    <row r="2690" spans="1:9" x14ac:dyDescent="0.45">
      <c r="A2690" t="s">
        <v>43</v>
      </c>
      <c r="B2690" t="s">
        <v>46</v>
      </c>
      <c r="C2690" t="str">
        <f t="shared" si="82"/>
        <v>Mississippi St.Mount St. Mary's</v>
      </c>
      <c r="D2690" t="s">
        <v>43</v>
      </c>
      <c r="E2690">
        <v>97.8</v>
      </c>
      <c r="F2690" s="1">
        <v>-24.747169811320799</v>
      </c>
      <c r="G2690" s="2">
        <v>-4359.1167863486899</v>
      </c>
      <c r="H2690" s="1">
        <v>138.92005375910301</v>
      </c>
      <c r="I2690" s="1">
        <f t="shared" si="83"/>
        <v>140.77639308663464</v>
      </c>
    </row>
    <row r="2691" spans="1:9" x14ac:dyDescent="0.45">
      <c r="A2691" t="s">
        <v>44</v>
      </c>
      <c r="B2691" t="s">
        <v>46</v>
      </c>
      <c r="C2691" t="str">
        <f t="shared" ref="C2691:C2754" si="84">A2691&amp;B2691</f>
        <v>MissouriMount St. Mary's</v>
      </c>
      <c r="D2691" t="s">
        <v>44</v>
      </c>
      <c r="E2691">
        <v>95.4</v>
      </c>
      <c r="F2691" s="1">
        <v>-19.811320754716998</v>
      </c>
      <c r="G2691" s="2">
        <v>-2053.6206495412598</v>
      </c>
      <c r="H2691" s="1">
        <v>138.33771565774799</v>
      </c>
      <c r="I2691" s="1">
        <f t="shared" ref="I2691:I2754" si="85">18*(H2691-AVERAGE($H$2:$H$4625))/_xlfn.STDEV.P($H$2:$H$4625)+AVERAGE($H$2:$H$4625)</f>
        <v>132.59936708956255</v>
      </c>
    </row>
    <row r="2692" spans="1:9" x14ac:dyDescent="0.45">
      <c r="A2692" t="s">
        <v>45</v>
      </c>
      <c r="B2692" t="s">
        <v>46</v>
      </c>
      <c r="C2692" t="str">
        <f t="shared" si="84"/>
        <v>MontanaMount St. Mary's</v>
      </c>
      <c r="D2692" t="s">
        <v>45</v>
      </c>
      <c r="E2692">
        <v>64.8</v>
      </c>
      <c r="F2692" s="1">
        <v>-4.0037735849056597</v>
      </c>
      <c r="G2692" s="2">
        <v>-184.23599321523801</v>
      </c>
      <c r="H2692" s="1">
        <v>137.474427221155</v>
      </c>
      <c r="I2692" s="1">
        <f t="shared" si="85"/>
        <v>120.47731638986245</v>
      </c>
    </row>
    <row r="2693" spans="1:9" x14ac:dyDescent="0.45">
      <c r="A2693" t="s">
        <v>46</v>
      </c>
      <c r="B2693" t="s">
        <v>46</v>
      </c>
      <c r="C2693" t="str">
        <f t="shared" si="84"/>
        <v>Mount St. Mary'sMount St. Mary's</v>
      </c>
      <c r="D2693" t="s">
        <v>46</v>
      </c>
      <c r="E2693">
        <v>41.2</v>
      </c>
      <c r="F2693" s="1">
        <v>2.3283018867924499</v>
      </c>
      <c r="G2693" s="2">
        <v>142.64273539779199</v>
      </c>
      <c r="H2693" s="1">
        <v>138.77771517530499</v>
      </c>
      <c r="I2693" s="1">
        <f t="shared" si="85"/>
        <v>138.77771517530684</v>
      </c>
    </row>
    <row r="2694" spans="1:9" x14ac:dyDescent="0.45">
      <c r="A2694" t="s">
        <v>47</v>
      </c>
      <c r="B2694" t="s">
        <v>46</v>
      </c>
      <c r="C2694" t="str">
        <f t="shared" si="84"/>
        <v>Nebraska OmahaMount St. Mary's</v>
      </c>
      <c r="D2694" t="s">
        <v>46</v>
      </c>
      <c r="E2694">
        <v>49.5</v>
      </c>
      <c r="F2694" s="1">
        <v>0.13962264150943399</v>
      </c>
      <c r="G2694" s="2">
        <v>102.12854323363101</v>
      </c>
      <c r="H2694" s="1">
        <v>138.19549130740899</v>
      </c>
      <c r="I2694" s="1">
        <f t="shared" si="85"/>
        <v>130.60229321197724</v>
      </c>
    </row>
    <row r="2695" spans="1:9" x14ac:dyDescent="0.45">
      <c r="A2695" t="s">
        <v>48</v>
      </c>
      <c r="B2695" t="s">
        <v>46</v>
      </c>
      <c r="C2695" t="str">
        <f t="shared" si="84"/>
        <v>New MexicoMount St. Mary's</v>
      </c>
      <c r="D2695" t="s">
        <v>48</v>
      </c>
      <c r="E2695">
        <v>95.9</v>
      </c>
      <c r="F2695" s="1">
        <v>-20.6943396226415</v>
      </c>
      <c r="G2695" s="2">
        <v>-2349.2868974732401</v>
      </c>
      <c r="H2695" s="1">
        <v>138.96548123922599</v>
      </c>
      <c r="I2695" s="1">
        <f t="shared" si="85"/>
        <v>141.41427284254064</v>
      </c>
    </row>
    <row r="2696" spans="1:9" x14ac:dyDescent="0.45">
      <c r="A2696" t="s">
        <v>49</v>
      </c>
      <c r="B2696" t="s">
        <v>46</v>
      </c>
      <c r="C2696" t="str">
        <f t="shared" si="84"/>
        <v>Norfolk St.Mount St. Mary's</v>
      </c>
      <c r="D2696" t="s">
        <v>49</v>
      </c>
      <c r="E2696">
        <v>58</v>
      </c>
      <c r="F2696" s="1">
        <v>-2.1283018867924501</v>
      </c>
      <c r="G2696" s="2">
        <v>-138.326599027155</v>
      </c>
      <c r="H2696" s="1">
        <v>138.00160700319</v>
      </c>
      <c r="I2696" s="1">
        <f t="shared" si="85"/>
        <v>127.87982495456137</v>
      </c>
    </row>
    <row r="2697" spans="1:9" x14ac:dyDescent="0.45">
      <c r="A2697" t="s">
        <v>50</v>
      </c>
      <c r="B2697" t="s">
        <v>46</v>
      </c>
      <c r="C2697" t="str">
        <f t="shared" si="84"/>
        <v>North CarolinaMount St. Mary's</v>
      </c>
      <c r="D2697" t="s">
        <v>50</v>
      </c>
      <c r="E2697">
        <v>98.8</v>
      </c>
      <c r="F2697" s="1">
        <v>-28.743396226415101</v>
      </c>
      <c r="G2697" s="2">
        <v>-8022.1921687039203</v>
      </c>
      <c r="H2697" s="1">
        <v>140.07521295765901</v>
      </c>
      <c r="I2697" s="1">
        <f t="shared" si="85"/>
        <v>156.99681001516865</v>
      </c>
    </row>
    <row r="2698" spans="1:9" x14ac:dyDescent="0.45">
      <c r="A2698" t="s">
        <v>51</v>
      </c>
      <c r="B2698" t="s">
        <v>46</v>
      </c>
      <c r="C2698" t="str">
        <f t="shared" si="84"/>
        <v>OklahomaMount St. Mary's</v>
      </c>
      <c r="D2698" t="s">
        <v>51</v>
      </c>
      <c r="E2698">
        <v>96.6</v>
      </c>
      <c r="F2698" s="1">
        <v>-21.860377358490599</v>
      </c>
      <c r="G2698" s="2">
        <v>-2807.4746353271498</v>
      </c>
      <c r="H2698" s="1">
        <v>138.49883608383399</v>
      </c>
      <c r="I2698" s="1">
        <f t="shared" si="85"/>
        <v>134.86177428857451</v>
      </c>
    </row>
    <row r="2699" spans="1:9" x14ac:dyDescent="0.45">
      <c r="A2699" t="s">
        <v>52</v>
      </c>
      <c r="B2699" t="s">
        <v>46</v>
      </c>
      <c r="C2699" t="str">
        <f t="shared" si="84"/>
        <v>OregonMount St. Mary's</v>
      </c>
      <c r="D2699" t="s">
        <v>52</v>
      </c>
      <c r="E2699">
        <v>98.7</v>
      </c>
      <c r="F2699" s="1">
        <v>-28.626415094339599</v>
      </c>
      <c r="G2699" s="2">
        <v>-7881.0137833487997</v>
      </c>
      <c r="H2699" s="1">
        <v>138.789553475362</v>
      </c>
      <c r="I2699" s="1">
        <f t="shared" si="85"/>
        <v>138.94394521778912</v>
      </c>
    </row>
    <row r="2700" spans="1:9" x14ac:dyDescent="0.45">
      <c r="A2700" t="s">
        <v>53</v>
      </c>
      <c r="B2700" t="s">
        <v>46</v>
      </c>
      <c r="C2700" t="str">
        <f t="shared" si="84"/>
        <v>PurdueMount St. Mary's</v>
      </c>
      <c r="D2700" t="s">
        <v>53</v>
      </c>
      <c r="E2700">
        <v>99.8</v>
      </c>
      <c r="F2700" s="1">
        <v>-40</v>
      </c>
      <c r="G2700" s="2">
        <v>-44666.477769238198</v>
      </c>
      <c r="H2700" s="1">
        <v>140.277640675161</v>
      </c>
      <c r="I2700" s="1">
        <f t="shared" si="85"/>
        <v>159.83924245208146</v>
      </c>
    </row>
    <row r="2701" spans="1:9" x14ac:dyDescent="0.45">
      <c r="A2701" t="s">
        <v>54</v>
      </c>
      <c r="B2701" t="s">
        <v>46</v>
      </c>
      <c r="C2701" t="str">
        <f t="shared" si="84"/>
        <v>Robert MorrisMount St. Mary's</v>
      </c>
      <c r="D2701" t="s">
        <v>46</v>
      </c>
      <c r="E2701">
        <v>35.6</v>
      </c>
      <c r="F2701" s="1">
        <v>3.8905660377358502</v>
      </c>
      <c r="G2701" s="2">
        <v>180.98942216957801</v>
      </c>
      <c r="H2701" s="1">
        <v>137.36060600384801</v>
      </c>
      <c r="I2701" s="1">
        <f t="shared" si="85"/>
        <v>118.87907122820806</v>
      </c>
    </row>
    <row r="2702" spans="1:9" x14ac:dyDescent="0.45">
      <c r="A2702" t="s">
        <v>55</v>
      </c>
      <c r="B2702" t="s">
        <v>46</v>
      </c>
      <c r="C2702" t="str">
        <f t="shared" si="84"/>
        <v>Saint FrancisMount St. Mary's</v>
      </c>
      <c r="D2702" t="s">
        <v>46</v>
      </c>
      <c r="E2702">
        <v>24.9</v>
      </c>
      <c r="F2702" s="1">
        <v>7.2528301886792503</v>
      </c>
      <c r="G2702" s="2">
        <v>302.29807939169098</v>
      </c>
      <c r="H2702" s="1">
        <v>138.06745388589101</v>
      </c>
      <c r="I2702" s="1">
        <f t="shared" si="85"/>
        <v>128.80442815400764</v>
      </c>
    </row>
    <row r="2703" spans="1:9" x14ac:dyDescent="0.45">
      <c r="A2703" t="s">
        <v>56</v>
      </c>
      <c r="B2703" t="s">
        <v>46</v>
      </c>
      <c r="C2703" t="str">
        <f t="shared" si="84"/>
        <v>Saint Mary'sMount St. Mary's</v>
      </c>
      <c r="D2703" t="s">
        <v>56</v>
      </c>
      <c r="E2703">
        <v>98.7</v>
      </c>
      <c r="F2703" s="1">
        <v>-28.4830188679245</v>
      </c>
      <c r="G2703" s="2">
        <v>-7709.5456967561004</v>
      </c>
      <c r="H2703" s="1">
        <v>139.796660001833</v>
      </c>
      <c r="I2703" s="1">
        <f t="shared" si="85"/>
        <v>153.08544863240746</v>
      </c>
    </row>
    <row r="2704" spans="1:9" x14ac:dyDescent="0.45">
      <c r="A2704" t="s">
        <v>57</v>
      </c>
      <c r="B2704" t="s">
        <v>46</v>
      </c>
      <c r="C2704" t="str">
        <f t="shared" si="84"/>
        <v>San Diego St.Mount St. Mary's</v>
      </c>
      <c r="D2704" t="s">
        <v>57</v>
      </c>
      <c r="E2704">
        <v>96</v>
      </c>
      <c r="F2704" s="1">
        <v>-20.811320754716998</v>
      </c>
      <c r="G2704" s="2">
        <v>-2391.2733341983999</v>
      </c>
      <c r="H2704" s="1">
        <v>139.01135916486101</v>
      </c>
      <c r="I2704" s="1">
        <f t="shared" si="85"/>
        <v>142.05847762621582</v>
      </c>
    </row>
    <row r="2705" spans="1:9" x14ac:dyDescent="0.45">
      <c r="A2705" t="s">
        <v>58</v>
      </c>
      <c r="B2705" t="s">
        <v>46</v>
      </c>
      <c r="C2705" t="str">
        <f t="shared" si="84"/>
        <v>SIU EdwardsvilleMount St. Mary's</v>
      </c>
      <c r="D2705" t="s">
        <v>58</v>
      </c>
      <c r="E2705">
        <v>53.2</v>
      </c>
      <c r="F2705" s="1">
        <v>-0.83396226415094299</v>
      </c>
      <c r="G2705" s="2">
        <v>-113.59231264972</v>
      </c>
      <c r="H2705" s="1">
        <v>139.07061734504501</v>
      </c>
      <c r="I2705" s="1">
        <f t="shared" si="85"/>
        <v>142.89056413880408</v>
      </c>
    </row>
    <row r="2706" spans="1:9" x14ac:dyDescent="0.45">
      <c r="A2706" t="s">
        <v>59</v>
      </c>
      <c r="B2706" t="s">
        <v>46</v>
      </c>
      <c r="C2706" t="str">
        <f t="shared" si="84"/>
        <v>St. John'sMount St. Mary's</v>
      </c>
      <c r="D2706" t="s">
        <v>59</v>
      </c>
      <c r="E2706">
        <v>99.6</v>
      </c>
      <c r="F2706" s="1">
        <v>-35.4679245283019</v>
      </c>
      <c r="G2706" s="2">
        <v>-22370.641407370302</v>
      </c>
      <c r="H2706" s="1">
        <v>139.89007379360001</v>
      </c>
      <c r="I2706" s="1">
        <f t="shared" si="85"/>
        <v>154.3971385286834</v>
      </c>
    </row>
    <row r="2707" spans="1:9" x14ac:dyDescent="0.45">
      <c r="A2707" t="s">
        <v>60</v>
      </c>
      <c r="B2707" t="s">
        <v>46</v>
      </c>
      <c r="C2707" t="str">
        <f t="shared" si="84"/>
        <v>TennesseeMount St. Mary's</v>
      </c>
      <c r="D2707" t="s">
        <v>60</v>
      </c>
      <c r="E2707">
        <v>99.8</v>
      </c>
      <c r="F2707" s="1">
        <v>-40.683018867924503</v>
      </c>
      <c r="G2707" s="2">
        <v>-49571.941535650702</v>
      </c>
      <c r="H2707" s="1">
        <v>140.683306167734</v>
      </c>
      <c r="I2707" s="1">
        <f t="shared" si="85"/>
        <v>165.5354819239038</v>
      </c>
    </row>
    <row r="2708" spans="1:9" x14ac:dyDescent="0.45">
      <c r="A2708" t="s">
        <v>61</v>
      </c>
      <c r="B2708" t="s">
        <v>46</v>
      </c>
      <c r="C2708" t="str">
        <f t="shared" si="84"/>
        <v>TexasMount St. Mary's</v>
      </c>
      <c r="D2708" t="s">
        <v>61</v>
      </c>
      <c r="E2708">
        <v>95.2</v>
      </c>
      <c r="F2708" s="1">
        <v>-19.584905660377402</v>
      </c>
      <c r="G2708" s="2">
        <v>-1984.2258591110999</v>
      </c>
      <c r="H2708" s="1">
        <v>138.383187995372</v>
      </c>
      <c r="I2708" s="1">
        <f t="shared" si="85"/>
        <v>133.23787672174004</v>
      </c>
    </row>
    <row r="2709" spans="1:9" x14ac:dyDescent="0.45">
      <c r="A2709" t="s">
        <v>62</v>
      </c>
      <c r="B2709" t="s">
        <v>46</v>
      </c>
      <c r="C2709" t="str">
        <f t="shared" si="84"/>
        <v>Texas A&amp;MMount St. Mary's</v>
      </c>
      <c r="D2709" t="s">
        <v>62</v>
      </c>
      <c r="E2709">
        <v>99.1</v>
      </c>
      <c r="F2709" s="1">
        <v>-30.988679245282999</v>
      </c>
      <c r="G2709" s="2">
        <v>-11296.538437386</v>
      </c>
      <c r="H2709" s="1">
        <v>139.17016330477</v>
      </c>
      <c r="I2709" s="1">
        <f t="shared" si="85"/>
        <v>144.28836019350274</v>
      </c>
    </row>
    <row r="2710" spans="1:9" x14ac:dyDescent="0.45">
      <c r="A2710" t="s">
        <v>63</v>
      </c>
      <c r="B2710" t="s">
        <v>46</v>
      </c>
      <c r="C2710" t="str">
        <f t="shared" si="84"/>
        <v>Texas TechMount St. Mary's</v>
      </c>
      <c r="D2710" t="s">
        <v>63</v>
      </c>
      <c r="E2710">
        <v>99.5</v>
      </c>
      <c r="F2710" s="1">
        <v>-35.320754716981099</v>
      </c>
      <c r="G2710" s="2">
        <v>-21880.680562202098</v>
      </c>
      <c r="H2710" s="1">
        <v>140.16067591000899</v>
      </c>
      <c r="I2710" s="1">
        <f t="shared" si="85"/>
        <v>158.19685648564047</v>
      </c>
    </row>
    <row r="2711" spans="1:9" x14ac:dyDescent="0.45">
      <c r="A2711" t="s">
        <v>64</v>
      </c>
      <c r="B2711" t="s">
        <v>46</v>
      </c>
      <c r="C2711" t="str">
        <f t="shared" si="84"/>
        <v>TroyMount St. Mary's</v>
      </c>
      <c r="D2711" t="s">
        <v>64</v>
      </c>
      <c r="E2711">
        <v>75.900000000000006</v>
      </c>
      <c r="F2711" s="1">
        <v>-7.5132075471698103</v>
      </c>
      <c r="G2711" s="2">
        <v>-314.571636658204</v>
      </c>
      <c r="H2711" s="1">
        <v>138.92698050456801</v>
      </c>
      <c r="I2711" s="1">
        <f t="shared" si="85"/>
        <v>140.87365647642585</v>
      </c>
    </row>
    <row r="2712" spans="1:9" x14ac:dyDescent="0.45">
      <c r="A2712" t="s">
        <v>65</v>
      </c>
      <c r="B2712" t="s">
        <v>46</v>
      </c>
      <c r="C2712" t="str">
        <f t="shared" si="84"/>
        <v>UC San DiegoMount St. Mary's</v>
      </c>
      <c r="D2712" t="s">
        <v>65</v>
      </c>
      <c r="E2712">
        <v>89</v>
      </c>
      <c r="F2712" s="1">
        <v>-13.6943396226415</v>
      </c>
      <c r="G2712" s="2">
        <v>-807.695148768119</v>
      </c>
      <c r="H2712" s="1">
        <v>138.997100734231</v>
      </c>
      <c r="I2712" s="1">
        <f t="shared" si="85"/>
        <v>141.85826479853421</v>
      </c>
    </row>
    <row r="2713" spans="1:9" x14ac:dyDescent="0.45">
      <c r="A2713" t="s">
        <v>66</v>
      </c>
      <c r="B2713" t="s">
        <v>46</v>
      </c>
      <c r="C2713" t="str">
        <f t="shared" si="84"/>
        <v>UCLAMount St. Mary's</v>
      </c>
      <c r="D2713" t="s">
        <v>66</v>
      </c>
      <c r="E2713">
        <v>96.5</v>
      </c>
      <c r="F2713" s="1">
        <v>-21.796226415094299</v>
      </c>
      <c r="G2713" s="2">
        <v>-2779.3223892862902</v>
      </c>
      <c r="H2713" s="1">
        <v>138.21835931344299</v>
      </c>
      <c r="I2713" s="1">
        <f t="shared" si="85"/>
        <v>130.9233992488416</v>
      </c>
    </row>
    <row r="2714" spans="1:9" x14ac:dyDescent="0.45">
      <c r="A2714" t="s">
        <v>67</v>
      </c>
      <c r="B2714" t="s">
        <v>46</v>
      </c>
      <c r="C2714" t="str">
        <f t="shared" si="84"/>
        <v>UNC WilmingtonMount St. Mary's</v>
      </c>
      <c r="D2714" t="s">
        <v>67</v>
      </c>
      <c r="E2714">
        <v>82.4</v>
      </c>
      <c r="F2714" s="1">
        <v>-10.101886792452801</v>
      </c>
      <c r="G2714" s="2">
        <v>-466.96516556870699</v>
      </c>
      <c r="H2714" s="1">
        <v>139.533769204896</v>
      </c>
      <c r="I2714" s="1">
        <f t="shared" si="85"/>
        <v>149.39401083030782</v>
      </c>
    </row>
    <row r="2715" spans="1:9" x14ac:dyDescent="0.45">
      <c r="A2715" t="s">
        <v>68</v>
      </c>
      <c r="B2715" t="s">
        <v>46</v>
      </c>
      <c r="C2715" t="str">
        <f t="shared" si="84"/>
        <v>Utah St.Mount St. Mary's</v>
      </c>
      <c r="D2715" t="s">
        <v>68</v>
      </c>
      <c r="E2715">
        <v>96.3</v>
      </c>
      <c r="F2715" s="1">
        <v>-21.430188679245301</v>
      </c>
      <c r="G2715" s="2">
        <v>-2628.5889196605599</v>
      </c>
      <c r="H2715" s="1">
        <v>139.08095570347501</v>
      </c>
      <c r="I2715" s="1">
        <f t="shared" si="85"/>
        <v>143.03573242755678</v>
      </c>
    </row>
    <row r="2716" spans="1:9" x14ac:dyDescent="0.45">
      <c r="A2716" t="s">
        <v>69</v>
      </c>
      <c r="B2716" t="s">
        <v>46</v>
      </c>
      <c r="C2716" t="str">
        <f t="shared" si="84"/>
        <v>VanderbiltMount St. Mary's</v>
      </c>
      <c r="D2716" t="s">
        <v>69</v>
      </c>
      <c r="E2716">
        <v>83.8</v>
      </c>
      <c r="F2716" s="1">
        <v>-10.781132075471699</v>
      </c>
      <c r="G2716" s="2">
        <v>-517.96892359669903</v>
      </c>
      <c r="H2716" s="1">
        <v>137.51499358475701</v>
      </c>
      <c r="I2716" s="1">
        <f t="shared" si="85"/>
        <v>121.0469377301259</v>
      </c>
    </row>
    <row r="2717" spans="1:9" x14ac:dyDescent="0.45">
      <c r="A2717" t="s">
        <v>70</v>
      </c>
      <c r="B2717" t="s">
        <v>46</v>
      </c>
      <c r="C2717" t="str">
        <f t="shared" si="84"/>
        <v>VCUMount St. Mary's</v>
      </c>
      <c r="D2717" t="s">
        <v>70</v>
      </c>
      <c r="E2717">
        <v>94.3</v>
      </c>
      <c r="F2717" s="1">
        <v>-18.4264150943396</v>
      </c>
      <c r="G2717" s="2">
        <v>-1662.7442484962901</v>
      </c>
      <c r="H2717" s="1">
        <v>139.44016671395099</v>
      </c>
      <c r="I2717" s="1">
        <f t="shared" si="85"/>
        <v>148.079671273842</v>
      </c>
    </row>
    <row r="2718" spans="1:9" x14ac:dyDescent="0.45">
      <c r="A2718" t="s">
        <v>71</v>
      </c>
      <c r="B2718" t="s">
        <v>46</v>
      </c>
      <c r="C2718" t="str">
        <f t="shared" si="84"/>
        <v>WisconsinMount St. Mary's</v>
      </c>
      <c r="D2718" t="s">
        <v>71</v>
      </c>
      <c r="E2718">
        <v>99.5</v>
      </c>
      <c r="F2718" s="1">
        <v>-34.381132075471697</v>
      </c>
      <c r="G2718" s="2">
        <v>-18954.445898551501</v>
      </c>
      <c r="H2718" s="1">
        <v>140.09342232228201</v>
      </c>
      <c r="I2718" s="1">
        <f t="shared" si="85"/>
        <v>157.25250073429899</v>
      </c>
    </row>
    <row r="2719" spans="1:9" x14ac:dyDescent="0.45">
      <c r="A2719" t="s">
        <v>80</v>
      </c>
      <c r="B2719" t="s">
        <v>46</v>
      </c>
      <c r="C2719" t="str">
        <f t="shared" si="84"/>
        <v>WoffordMount St. Mary's</v>
      </c>
      <c r="D2719" t="s">
        <v>80</v>
      </c>
      <c r="E2719">
        <v>62</v>
      </c>
      <c r="F2719" s="1">
        <v>-3.20754716981132</v>
      </c>
      <c r="G2719" s="2">
        <v>-163.08912758557599</v>
      </c>
      <c r="H2719" s="1">
        <v>138.19107075150899</v>
      </c>
      <c r="I2719" s="1">
        <f t="shared" si="85"/>
        <v>130.54022102327502</v>
      </c>
    </row>
    <row r="2720" spans="1:9" x14ac:dyDescent="0.45">
      <c r="A2720" t="s">
        <v>72</v>
      </c>
      <c r="B2720" t="s">
        <v>46</v>
      </c>
      <c r="C2720" t="str">
        <f t="shared" si="84"/>
        <v>XavierMount St. Mary's</v>
      </c>
      <c r="D2720" t="s">
        <v>72</v>
      </c>
      <c r="E2720">
        <v>94.3</v>
      </c>
      <c r="F2720" s="1">
        <v>-18.3547169811321</v>
      </c>
      <c r="G2720" s="2">
        <v>-1644.2939879487401</v>
      </c>
      <c r="H2720" s="1">
        <v>138.933872922131</v>
      </c>
      <c r="I2720" s="1">
        <f t="shared" si="85"/>
        <v>140.97043784358033</v>
      </c>
    </row>
    <row r="2721" spans="1:9" x14ac:dyDescent="0.45">
      <c r="A2721" t="s">
        <v>73</v>
      </c>
      <c r="B2721" t="s">
        <v>46</v>
      </c>
      <c r="C2721" t="str">
        <f t="shared" si="84"/>
        <v>YaleMount St. Mary's</v>
      </c>
      <c r="D2721" t="s">
        <v>73</v>
      </c>
      <c r="E2721">
        <v>89.6</v>
      </c>
      <c r="F2721" s="1">
        <v>-14.1056603773585</v>
      </c>
      <c r="G2721" s="2">
        <v>-859.87233692889697</v>
      </c>
      <c r="H2721" s="1">
        <v>139.53357905852499</v>
      </c>
      <c r="I2721" s="1">
        <f t="shared" si="85"/>
        <v>149.39134084904543</v>
      </c>
    </row>
    <row r="2722" spans="1:9" x14ac:dyDescent="0.45">
      <c r="A2722" t="s">
        <v>7</v>
      </c>
      <c r="B2722" t="s">
        <v>47</v>
      </c>
      <c r="C2722" t="str">
        <f t="shared" si="84"/>
        <v>AkronNebraska Omaha</v>
      </c>
      <c r="D2722" t="s">
        <v>7</v>
      </c>
      <c r="E2722">
        <v>76.3</v>
      </c>
      <c r="F2722" s="1">
        <v>-7.6490566037735803</v>
      </c>
      <c r="G2722" s="2">
        <v>-321.260631572779</v>
      </c>
      <c r="H2722" s="1">
        <v>138.93262998700101</v>
      </c>
      <c r="I2722" s="1">
        <f t="shared" si="85"/>
        <v>140.95298490198681</v>
      </c>
    </row>
    <row r="2723" spans="1:9" x14ac:dyDescent="0.45">
      <c r="A2723" t="s">
        <v>8</v>
      </c>
      <c r="B2723" t="s">
        <v>47</v>
      </c>
      <c r="C2723" t="str">
        <f t="shared" si="84"/>
        <v>AlabamaNebraska Omaha</v>
      </c>
      <c r="D2723" t="s">
        <v>8</v>
      </c>
      <c r="E2723">
        <v>99.6</v>
      </c>
      <c r="F2723" s="1">
        <v>-35.992452830188697</v>
      </c>
      <c r="G2723" s="2">
        <v>-24231.9415709651</v>
      </c>
      <c r="H2723" s="1">
        <v>140.74024117459601</v>
      </c>
      <c r="I2723" s="1">
        <f t="shared" si="85"/>
        <v>166.33494709743582</v>
      </c>
    </row>
    <row r="2724" spans="1:9" x14ac:dyDescent="0.45">
      <c r="A2724" t="s">
        <v>9</v>
      </c>
      <c r="B2724" t="s">
        <v>47</v>
      </c>
      <c r="C2724" t="str">
        <f t="shared" si="84"/>
        <v>Alabama St.Nebraska Omaha</v>
      </c>
      <c r="D2724" t="s">
        <v>47</v>
      </c>
      <c r="E2724">
        <v>32.9</v>
      </c>
      <c r="F2724" s="1">
        <v>4.6679245283018904</v>
      </c>
      <c r="G2724" s="2">
        <v>203.813153533198</v>
      </c>
      <c r="H2724" s="1">
        <v>139.11939174642299</v>
      </c>
      <c r="I2724" s="1">
        <f t="shared" si="85"/>
        <v>143.57544041107852</v>
      </c>
    </row>
    <row r="2725" spans="1:9" x14ac:dyDescent="0.45">
      <c r="A2725" t="s">
        <v>10</v>
      </c>
      <c r="B2725" t="s">
        <v>47</v>
      </c>
      <c r="C2725" t="str">
        <f t="shared" si="84"/>
        <v>AmericanNebraska Omaha</v>
      </c>
      <c r="D2725" t="s">
        <v>47</v>
      </c>
      <c r="E2725">
        <v>35.5</v>
      </c>
      <c r="F2725" s="1">
        <v>3.9094339622641501</v>
      </c>
      <c r="G2725" s="2">
        <v>181.58749544069201</v>
      </c>
      <c r="H2725" s="1">
        <v>138.88268126618399</v>
      </c>
      <c r="I2725" s="1">
        <f t="shared" si="85"/>
        <v>140.25161917013642</v>
      </c>
    </row>
    <row r="2726" spans="1:9" x14ac:dyDescent="0.45">
      <c r="A2726" t="s">
        <v>11</v>
      </c>
      <c r="B2726" t="s">
        <v>47</v>
      </c>
      <c r="C2726" t="str">
        <f t="shared" si="84"/>
        <v>ArizonaNebraska Omaha</v>
      </c>
      <c r="D2726" t="s">
        <v>11</v>
      </c>
      <c r="E2726">
        <v>99.4</v>
      </c>
      <c r="F2726" s="1">
        <v>-33.233962264150897</v>
      </c>
      <c r="G2726" s="2">
        <v>-15916.003660451301</v>
      </c>
      <c r="H2726" s="1">
        <v>140.350720514773</v>
      </c>
      <c r="I2726" s="1">
        <f t="shared" si="85"/>
        <v>160.86540877535444</v>
      </c>
    </row>
    <row r="2727" spans="1:9" x14ac:dyDescent="0.45">
      <c r="A2727" t="s">
        <v>12</v>
      </c>
      <c r="B2727" t="s">
        <v>47</v>
      </c>
      <c r="C2727" t="str">
        <f t="shared" si="84"/>
        <v>ArkansasNebraska Omaha</v>
      </c>
      <c r="D2727" t="s">
        <v>12</v>
      </c>
      <c r="E2727">
        <v>91.2</v>
      </c>
      <c r="F2727" s="1">
        <v>-15.3358490566038</v>
      </c>
      <c r="G2727" s="2">
        <v>-1037.37177223964</v>
      </c>
      <c r="H2727" s="1">
        <v>138.67664449256301</v>
      </c>
      <c r="I2727" s="1">
        <f t="shared" si="85"/>
        <v>137.35850939364852</v>
      </c>
    </row>
    <row r="2728" spans="1:9" x14ac:dyDescent="0.45">
      <c r="A2728" t="s">
        <v>13</v>
      </c>
      <c r="B2728" t="s">
        <v>47</v>
      </c>
      <c r="C2728" t="str">
        <f t="shared" si="84"/>
        <v>AuburnNebraska Omaha</v>
      </c>
      <c r="D2728" t="s">
        <v>13</v>
      </c>
      <c r="E2728">
        <v>99.8</v>
      </c>
      <c r="F2728" s="1">
        <v>-40.430188679245298</v>
      </c>
      <c r="G2728" s="2">
        <v>-47697.842616796697</v>
      </c>
      <c r="H2728" s="1">
        <v>141.762457407949</v>
      </c>
      <c r="I2728" s="1">
        <f t="shared" si="85"/>
        <v>180.6886167187555</v>
      </c>
    </row>
    <row r="2729" spans="1:9" x14ac:dyDescent="0.45">
      <c r="A2729" t="s">
        <v>14</v>
      </c>
      <c r="B2729" t="s">
        <v>47</v>
      </c>
      <c r="C2729" t="str">
        <f t="shared" si="84"/>
        <v>BaylorNebraska Omaha</v>
      </c>
      <c r="D2729" t="s">
        <v>14</v>
      </c>
      <c r="E2729">
        <v>98</v>
      </c>
      <c r="F2729" s="1">
        <v>-25.381132075471701</v>
      </c>
      <c r="G2729" s="2">
        <v>-4803.2648355619904</v>
      </c>
      <c r="H2729" s="1">
        <v>140.22537476912899</v>
      </c>
      <c r="I2729" s="1">
        <f t="shared" si="85"/>
        <v>159.10533946447035</v>
      </c>
    </row>
    <row r="2730" spans="1:9" x14ac:dyDescent="0.45">
      <c r="A2730" t="s">
        <v>15</v>
      </c>
      <c r="B2730" t="s">
        <v>47</v>
      </c>
      <c r="C2730" t="str">
        <f t="shared" si="84"/>
        <v>BryantNebraska Omaha</v>
      </c>
      <c r="D2730" t="s">
        <v>15</v>
      </c>
      <c r="E2730">
        <v>69.2</v>
      </c>
      <c r="F2730" s="1">
        <v>-5.3094339622641504</v>
      </c>
      <c r="G2730" s="2">
        <v>-224.81470869663701</v>
      </c>
      <c r="H2730" s="1">
        <v>139.817694644775</v>
      </c>
      <c r="I2730" s="1">
        <f t="shared" si="85"/>
        <v>153.38081110615877</v>
      </c>
    </row>
    <row r="2731" spans="1:9" x14ac:dyDescent="0.45">
      <c r="A2731" t="s">
        <v>16</v>
      </c>
      <c r="B2731" t="s">
        <v>47</v>
      </c>
      <c r="C2731" t="str">
        <f t="shared" si="84"/>
        <v>BYUNebraska Omaha</v>
      </c>
      <c r="D2731" t="s">
        <v>16</v>
      </c>
      <c r="E2731">
        <v>98.3</v>
      </c>
      <c r="F2731" s="1">
        <v>-26.4754716981132</v>
      </c>
      <c r="G2731" s="2">
        <v>-5676.0508156405704</v>
      </c>
      <c r="H2731" s="1">
        <v>139.98773531921901</v>
      </c>
      <c r="I2731" s="1">
        <f t="shared" si="85"/>
        <v>155.76847389561564</v>
      </c>
    </row>
    <row r="2732" spans="1:9" x14ac:dyDescent="0.45">
      <c r="A2732" t="s">
        <v>17</v>
      </c>
      <c r="B2732" t="s">
        <v>47</v>
      </c>
      <c r="C2732" t="str">
        <f t="shared" si="84"/>
        <v>ClemsonNebraska Omaha</v>
      </c>
      <c r="D2732" t="s">
        <v>17</v>
      </c>
      <c r="E2732">
        <v>98.8</v>
      </c>
      <c r="F2732" s="1">
        <v>-28.679245283018901</v>
      </c>
      <c r="G2732" s="2">
        <v>-7944.8818055750799</v>
      </c>
      <c r="H2732" s="1">
        <v>140.33778554166099</v>
      </c>
      <c r="I2732" s="1">
        <f t="shared" si="85"/>
        <v>160.68377956173742</v>
      </c>
    </row>
    <row r="2733" spans="1:9" x14ac:dyDescent="0.45">
      <c r="A2733" t="s">
        <v>18</v>
      </c>
      <c r="B2733" t="s">
        <v>47</v>
      </c>
      <c r="C2733" t="str">
        <f t="shared" si="84"/>
        <v>Colorado St.Nebraska Omaha</v>
      </c>
      <c r="D2733" t="s">
        <v>18</v>
      </c>
      <c r="E2733">
        <v>92.9</v>
      </c>
      <c r="F2733" s="1">
        <v>-16.898113207547201</v>
      </c>
      <c r="G2733" s="2">
        <v>-1316.8112970480699</v>
      </c>
      <c r="H2733" s="1">
        <v>139.727396516455</v>
      </c>
      <c r="I2733" s="1">
        <f t="shared" si="85"/>
        <v>152.11287046988321</v>
      </c>
    </row>
    <row r="2734" spans="1:9" x14ac:dyDescent="0.45">
      <c r="A2734" t="s">
        <v>19</v>
      </c>
      <c r="B2734" t="s">
        <v>47</v>
      </c>
      <c r="C2734" t="str">
        <f t="shared" si="84"/>
        <v>ConnecticutNebraska Omaha</v>
      </c>
      <c r="D2734" t="s">
        <v>19</v>
      </c>
      <c r="E2734">
        <v>99.2</v>
      </c>
      <c r="F2734" s="1">
        <v>-31.5735849056604</v>
      </c>
      <c r="G2734" s="2">
        <v>-12353.0377625778</v>
      </c>
      <c r="H2734" s="1">
        <v>140.138036372409</v>
      </c>
      <c r="I2734" s="1">
        <f t="shared" si="85"/>
        <v>157.8789585375481</v>
      </c>
    </row>
    <row r="2735" spans="1:9" x14ac:dyDescent="0.45">
      <c r="A2735" t="s">
        <v>20</v>
      </c>
      <c r="B2735" t="s">
        <v>47</v>
      </c>
      <c r="C2735" t="str">
        <f t="shared" si="84"/>
        <v>CreightonNebraska Omaha</v>
      </c>
      <c r="D2735" t="s">
        <v>20</v>
      </c>
      <c r="E2735">
        <v>97.4</v>
      </c>
      <c r="F2735" s="1">
        <v>-23.867924528301899</v>
      </c>
      <c r="G2735" s="2">
        <v>-3811.8965778275801</v>
      </c>
      <c r="H2735" s="1">
        <v>139.68733312524799</v>
      </c>
      <c r="I2735" s="1">
        <f t="shared" si="85"/>
        <v>151.55031172494046</v>
      </c>
    </row>
    <row r="2736" spans="1:9" x14ac:dyDescent="0.45">
      <c r="A2736" t="s">
        <v>21</v>
      </c>
      <c r="B2736" t="s">
        <v>47</v>
      </c>
      <c r="C2736" t="str">
        <f t="shared" si="84"/>
        <v>DrakeNebraska Omaha</v>
      </c>
      <c r="D2736" t="s">
        <v>21</v>
      </c>
      <c r="E2736">
        <v>92.7</v>
      </c>
      <c r="F2736" s="1">
        <v>-16.6943396226415</v>
      </c>
      <c r="G2736" s="2">
        <v>-1276.3018997156601</v>
      </c>
      <c r="H2736" s="1">
        <v>139.922008930922</v>
      </c>
      <c r="I2736" s="1">
        <f t="shared" si="85"/>
        <v>154.84556264432067</v>
      </c>
    </row>
    <row r="2737" spans="1:9" x14ac:dyDescent="0.45">
      <c r="A2737" t="s">
        <v>22</v>
      </c>
      <c r="B2737" t="s">
        <v>47</v>
      </c>
      <c r="C2737" t="str">
        <f t="shared" si="84"/>
        <v>DukeNebraska Omaha</v>
      </c>
      <c r="D2737" t="s">
        <v>22</v>
      </c>
      <c r="E2737">
        <v>99.9</v>
      </c>
      <c r="F2737" s="1">
        <v>-42.6452830188679</v>
      </c>
      <c r="G2737" s="2">
        <v>-66866.076620064894</v>
      </c>
      <c r="H2737" s="1">
        <v>142.002348819525</v>
      </c>
      <c r="I2737" s="1">
        <f t="shared" si="85"/>
        <v>184.05710369284645</v>
      </c>
    </row>
    <row r="2738" spans="1:9" x14ac:dyDescent="0.45">
      <c r="A2738" t="s">
        <v>23</v>
      </c>
      <c r="B2738" t="s">
        <v>47</v>
      </c>
      <c r="C2738" t="str">
        <f t="shared" si="84"/>
        <v>FloridaNebraska Omaha</v>
      </c>
      <c r="D2738" t="s">
        <v>23</v>
      </c>
      <c r="E2738">
        <v>99.7</v>
      </c>
      <c r="F2738" s="1">
        <v>-38.788679245282999</v>
      </c>
      <c r="G2738" s="2">
        <v>-37125.617124451703</v>
      </c>
      <c r="H2738" s="1">
        <v>141.73699934707901</v>
      </c>
      <c r="I2738" s="1">
        <f t="shared" si="85"/>
        <v>180.33114186851884</v>
      </c>
    </row>
    <row r="2739" spans="1:9" x14ac:dyDescent="0.45">
      <c r="A2739" t="s">
        <v>24</v>
      </c>
      <c r="B2739" t="s">
        <v>47</v>
      </c>
      <c r="C2739" t="str">
        <f t="shared" si="84"/>
        <v>GeorgiaNebraska Omaha</v>
      </c>
      <c r="D2739" t="s">
        <v>24</v>
      </c>
      <c r="E2739">
        <v>93.7</v>
      </c>
      <c r="F2739" s="1">
        <v>-17.724528301886799</v>
      </c>
      <c r="G2739" s="2">
        <v>-1494.02602793238</v>
      </c>
      <c r="H2739" s="1">
        <v>139.00095764336399</v>
      </c>
      <c r="I2739" s="1">
        <f t="shared" si="85"/>
        <v>141.91242241964028</v>
      </c>
    </row>
    <row r="2740" spans="1:9" x14ac:dyDescent="0.45">
      <c r="A2740" t="s">
        <v>25</v>
      </c>
      <c r="B2740" t="s">
        <v>47</v>
      </c>
      <c r="C2740" t="str">
        <f t="shared" si="84"/>
        <v>GonzagaNebraska Omaha</v>
      </c>
      <c r="D2740" t="s">
        <v>25</v>
      </c>
      <c r="E2740">
        <v>98.7</v>
      </c>
      <c r="F2740" s="1">
        <v>-28.3547169811321</v>
      </c>
      <c r="G2740" s="2">
        <v>-7561.3093466624796</v>
      </c>
      <c r="H2740" s="1">
        <v>140.97791937387001</v>
      </c>
      <c r="I2740" s="1">
        <f t="shared" si="85"/>
        <v>169.67235677383948</v>
      </c>
    </row>
    <row r="2741" spans="1:9" x14ac:dyDescent="0.45">
      <c r="A2741" t="s">
        <v>26</v>
      </c>
      <c r="B2741" t="s">
        <v>47</v>
      </c>
      <c r="C2741" t="str">
        <f t="shared" si="84"/>
        <v>Grand CanyonNebraska Omaha</v>
      </c>
      <c r="D2741" t="s">
        <v>26</v>
      </c>
      <c r="E2741">
        <v>89.1</v>
      </c>
      <c r="F2741" s="1">
        <v>-13.8037735849057</v>
      </c>
      <c r="G2741" s="2">
        <v>-821.52005744341898</v>
      </c>
      <c r="H2741" s="1">
        <v>139.795891091409</v>
      </c>
      <c r="I2741" s="1">
        <f t="shared" si="85"/>
        <v>153.07465181091865</v>
      </c>
    </row>
    <row r="2742" spans="1:9" x14ac:dyDescent="0.45">
      <c r="A2742" t="s">
        <v>27</v>
      </c>
      <c r="B2742" t="s">
        <v>47</v>
      </c>
      <c r="C2742" t="str">
        <f t="shared" si="84"/>
        <v>High PointNebraska Omaha</v>
      </c>
      <c r="D2742" t="s">
        <v>27</v>
      </c>
      <c r="E2742">
        <v>83.7</v>
      </c>
      <c r="F2742" s="1">
        <v>-10.7169811320755</v>
      </c>
      <c r="G2742" s="2">
        <v>-512.78594137050595</v>
      </c>
      <c r="H2742" s="1">
        <v>139.987098224958</v>
      </c>
      <c r="I2742" s="1">
        <f t="shared" si="85"/>
        <v>155.75952799919784</v>
      </c>
    </row>
    <row r="2743" spans="1:9" x14ac:dyDescent="0.45">
      <c r="A2743" t="s">
        <v>28</v>
      </c>
      <c r="B2743" t="s">
        <v>47</v>
      </c>
      <c r="C2743" t="str">
        <f t="shared" si="84"/>
        <v>HoustonNebraska Omaha</v>
      </c>
      <c r="D2743" t="s">
        <v>28</v>
      </c>
      <c r="E2743">
        <v>99.9</v>
      </c>
      <c r="F2743" s="1">
        <v>-46</v>
      </c>
      <c r="G2743" s="2">
        <v>-111541.377144923</v>
      </c>
      <c r="H2743" s="1">
        <v>142.10056058216099</v>
      </c>
      <c r="I2743" s="1">
        <f t="shared" si="85"/>
        <v>185.436165331479</v>
      </c>
    </row>
    <row r="2744" spans="1:9" x14ac:dyDescent="0.45">
      <c r="A2744" t="s">
        <v>29</v>
      </c>
      <c r="B2744" t="s">
        <v>47</v>
      </c>
      <c r="C2744" t="str">
        <f t="shared" si="84"/>
        <v>IllinoisNebraska Omaha</v>
      </c>
      <c r="D2744" t="s">
        <v>29</v>
      </c>
      <c r="E2744">
        <v>99.1</v>
      </c>
      <c r="F2744" s="1">
        <v>-30.811320754716998</v>
      </c>
      <c r="G2744" s="2">
        <v>-10995.6883522803</v>
      </c>
      <c r="H2744" s="1">
        <v>140.159024357123</v>
      </c>
      <c r="I2744" s="1">
        <f t="shared" si="85"/>
        <v>158.1736658497318</v>
      </c>
    </row>
    <row r="2745" spans="1:9" x14ac:dyDescent="0.45">
      <c r="A2745" t="s">
        <v>30</v>
      </c>
      <c r="B2745" t="s">
        <v>47</v>
      </c>
      <c r="C2745" t="str">
        <f t="shared" si="84"/>
        <v>Iowa St.Nebraska Omaha</v>
      </c>
      <c r="D2745" t="s">
        <v>30</v>
      </c>
      <c r="E2745">
        <v>99.6</v>
      </c>
      <c r="F2745" s="1">
        <v>-35.671698113207498</v>
      </c>
      <c r="G2745" s="2">
        <v>-23082.2681264356</v>
      </c>
      <c r="H2745" s="1">
        <v>141.055566648709</v>
      </c>
      <c r="I2745" s="1">
        <f t="shared" si="85"/>
        <v>170.76265772355046</v>
      </c>
    </row>
    <row r="2746" spans="1:9" x14ac:dyDescent="0.45">
      <c r="A2746" t="s">
        <v>31</v>
      </c>
      <c r="B2746" t="s">
        <v>47</v>
      </c>
      <c r="C2746" t="str">
        <f t="shared" si="84"/>
        <v>KansasNebraska Omaha</v>
      </c>
      <c r="D2746" t="s">
        <v>31</v>
      </c>
      <c r="E2746">
        <v>98.6</v>
      </c>
      <c r="F2746" s="1">
        <v>-27.954716981132101</v>
      </c>
      <c r="G2746" s="2">
        <v>-7113.4051614586597</v>
      </c>
      <c r="H2746" s="1">
        <v>140.10615453756199</v>
      </c>
      <c r="I2746" s="1">
        <f t="shared" si="85"/>
        <v>157.43128288010482</v>
      </c>
    </row>
    <row r="2747" spans="1:9" x14ac:dyDescent="0.45">
      <c r="A2747" t="s">
        <v>32</v>
      </c>
      <c r="B2747" t="s">
        <v>47</v>
      </c>
      <c r="C2747" t="str">
        <f t="shared" si="84"/>
        <v>KentuckyNebraska Omaha</v>
      </c>
      <c r="D2747" t="s">
        <v>32</v>
      </c>
      <c r="E2747">
        <v>99.2</v>
      </c>
      <c r="F2747" s="1">
        <v>-31.320754716981099</v>
      </c>
      <c r="G2747" s="2">
        <v>-11884.023132435501</v>
      </c>
      <c r="H2747" s="1">
        <v>140.04043686968799</v>
      </c>
      <c r="I2747" s="1">
        <f t="shared" si="85"/>
        <v>156.50849407850961</v>
      </c>
    </row>
    <row r="2748" spans="1:9" x14ac:dyDescent="0.45">
      <c r="A2748" t="s">
        <v>33</v>
      </c>
      <c r="B2748" t="s">
        <v>47</v>
      </c>
      <c r="C2748" t="str">
        <f t="shared" si="84"/>
        <v>LibertyNebraska Omaha</v>
      </c>
      <c r="D2748" t="s">
        <v>33</v>
      </c>
      <c r="E2748">
        <v>78.099999999999994</v>
      </c>
      <c r="F2748" s="1">
        <v>-8.3358490566037702</v>
      </c>
      <c r="G2748" s="2">
        <v>-356.56242401468597</v>
      </c>
      <c r="H2748" s="1">
        <v>139.38543791340501</v>
      </c>
      <c r="I2748" s="1">
        <f t="shared" si="85"/>
        <v>147.31118502193493</v>
      </c>
    </row>
    <row r="2749" spans="1:9" x14ac:dyDescent="0.45">
      <c r="A2749" t="s">
        <v>34</v>
      </c>
      <c r="B2749" t="s">
        <v>47</v>
      </c>
      <c r="C2749" t="str">
        <f t="shared" si="84"/>
        <v>LipscombNebraska Omaha</v>
      </c>
      <c r="D2749" t="s">
        <v>34</v>
      </c>
      <c r="E2749">
        <v>72.8</v>
      </c>
      <c r="F2749" s="1">
        <v>-6.4679245283018902</v>
      </c>
      <c r="G2749" s="2">
        <v>-268.24848195950398</v>
      </c>
      <c r="H2749" s="1">
        <v>139.791756110997</v>
      </c>
      <c r="I2749" s="1">
        <f t="shared" si="85"/>
        <v>153.01658959199864</v>
      </c>
    </row>
    <row r="2750" spans="1:9" x14ac:dyDescent="0.45">
      <c r="A2750" t="s">
        <v>35</v>
      </c>
      <c r="B2750" t="s">
        <v>47</v>
      </c>
      <c r="C2750" t="str">
        <f t="shared" si="84"/>
        <v>LouisvilleNebraska Omaha</v>
      </c>
      <c r="D2750" t="s">
        <v>35</v>
      </c>
      <c r="E2750">
        <v>87.1</v>
      </c>
      <c r="F2750" s="1">
        <v>-12.5169811320755</v>
      </c>
      <c r="G2750" s="2">
        <v>-674.95544924305102</v>
      </c>
      <c r="H2750" s="1">
        <v>139.03711811681501</v>
      </c>
      <c r="I2750" s="1">
        <f t="shared" si="85"/>
        <v>142.42017750347802</v>
      </c>
    </row>
    <row r="2751" spans="1:9" x14ac:dyDescent="0.45">
      <c r="A2751" t="s">
        <v>36</v>
      </c>
      <c r="B2751" t="s">
        <v>47</v>
      </c>
      <c r="C2751" t="str">
        <f t="shared" si="84"/>
        <v>MarquetteNebraska Omaha</v>
      </c>
      <c r="D2751" t="s">
        <v>36</v>
      </c>
      <c r="E2751">
        <v>98.9</v>
      </c>
      <c r="F2751" s="1">
        <v>-29.584905660377402</v>
      </c>
      <c r="G2751" s="2">
        <v>-9120.4949119531793</v>
      </c>
      <c r="H2751" s="1">
        <v>140.29925196027699</v>
      </c>
      <c r="I2751" s="1">
        <f t="shared" si="85"/>
        <v>160.14270197123784</v>
      </c>
    </row>
    <row r="2752" spans="1:9" x14ac:dyDescent="0.45">
      <c r="A2752" t="s">
        <v>37</v>
      </c>
      <c r="B2752" t="s">
        <v>47</v>
      </c>
      <c r="C2752" t="str">
        <f t="shared" si="84"/>
        <v>MarylandNebraska Omaha</v>
      </c>
      <c r="D2752" t="s">
        <v>37</v>
      </c>
      <c r="E2752">
        <v>98.3</v>
      </c>
      <c r="F2752" s="1">
        <v>-26.4188679245283</v>
      </c>
      <c r="G2752" s="2">
        <v>-5625.8036916849796</v>
      </c>
      <c r="H2752" s="1">
        <v>139.75762155882001</v>
      </c>
      <c r="I2752" s="1">
        <f t="shared" si="85"/>
        <v>152.53728191850067</v>
      </c>
    </row>
    <row r="2753" spans="1:9" x14ac:dyDescent="0.45">
      <c r="A2753" t="s">
        <v>38</v>
      </c>
      <c r="B2753" t="s">
        <v>47</v>
      </c>
      <c r="C2753" t="str">
        <f t="shared" si="84"/>
        <v>McNeese St.Nebraska Omaha</v>
      </c>
      <c r="D2753" t="s">
        <v>38</v>
      </c>
      <c r="E2753">
        <v>92.9</v>
      </c>
      <c r="F2753" s="1">
        <v>-16.875471698113198</v>
      </c>
      <c r="G2753" s="2">
        <v>-1312.5471100545201</v>
      </c>
      <c r="H2753" s="1">
        <v>140.350856971784</v>
      </c>
      <c r="I2753" s="1">
        <f t="shared" si="85"/>
        <v>160.86732486589324</v>
      </c>
    </row>
    <row r="2754" spans="1:9" x14ac:dyDescent="0.45">
      <c r="A2754" t="s">
        <v>39</v>
      </c>
      <c r="B2754" t="s">
        <v>47</v>
      </c>
      <c r="C2754" t="str">
        <f t="shared" si="84"/>
        <v>MemphisNebraska Omaha</v>
      </c>
      <c r="D2754" t="s">
        <v>39</v>
      </c>
      <c r="E2754">
        <v>96.9</v>
      </c>
      <c r="F2754" s="1">
        <v>-22.6528301886792</v>
      </c>
      <c r="G2754" s="2">
        <v>-3167.99295434743</v>
      </c>
      <c r="H2754" s="1">
        <v>138.88513879831001</v>
      </c>
      <c r="I2754" s="1">
        <f t="shared" si="85"/>
        <v>140.28612713730587</v>
      </c>
    </row>
    <row r="2755" spans="1:9" x14ac:dyDescent="0.45">
      <c r="A2755" t="s">
        <v>40</v>
      </c>
      <c r="B2755" t="s">
        <v>47</v>
      </c>
      <c r="C2755" t="str">
        <f t="shared" ref="C2755:C2818" si="86">A2755&amp;B2755</f>
        <v>MichiganNebraska Omaha</v>
      </c>
      <c r="D2755" t="s">
        <v>40</v>
      </c>
      <c r="E2755">
        <v>94</v>
      </c>
      <c r="F2755" s="1">
        <v>-18.030188679245299</v>
      </c>
      <c r="G2755" s="2">
        <v>-1564.5504536404201</v>
      </c>
      <c r="H2755" s="1">
        <v>138.44776009522599</v>
      </c>
      <c r="I2755" s="1">
        <f t="shared" ref="I2755:I2818" si="87">18*(H2755-AVERAGE($H$2:$H$4625))/_xlfn.STDEV.P($H$2:$H$4625)+AVERAGE($H$2:$H$4625)</f>
        <v>134.14457978300808</v>
      </c>
    </row>
    <row r="2756" spans="1:9" x14ac:dyDescent="0.45">
      <c r="A2756" t="s">
        <v>41</v>
      </c>
      <c r="B2756" t="s">
        <v>47</v>
      </c>
      <c r="C2756" t="str">
        <f t="shared" si="86"/>
        <v>Michigan St.Nebraska Omaha</v>
      </c>
      <c r="D2756" t="s">
        <v>41</v>
      </c>
      <c r="E2756">
        <v>99.3</v>
      </c>
      <c r="F2756" s="1">
        <v>-32.7735849056604</v>
      </c>
      <c r="G2756" s="2">
        <v>-14836.952771987901</v>
      </c>
      <c r="H2756" s="1">
        <v>140.09483980443301</v>
      </c>
      <c r="I2756" s="1">
        <f t="shared" si="87"/>
        <v>157.27240461551872</v>
      </c>
    </row>
    <row r="2757" spans="1:9" x14ac:dyDescent="0.45">
      <c r="A2757" t="s">
        <v>42</v>
      </c>
      <c r="B2757" t="s">
        <v>47</v>
      </c>
      <c r="C2757" t="str">
        <f t="shared" si="86"/>
        <v>MississippiNebraska Omaha</v>
      </c>
      <c r="D2757" t="s">
        <v>42</v>
      </c>
      <c r="E2757">
        <v>97.6</v>
      </c>
      <c r="F2757" s="1">
        <v>-24.279245283018899</v>
      </c>
      <c r="G2757" s="2">
        <v>-4059.50704231594</v>
      </c>
      <c r="H2757" s="1">
        <v>139.36253115432299</v>
      </c>
      <c r="I2757" s="1">
        <f t="shared" si="87"/>
        <v>146.98953482579202</v>
      </c>
    </row>
    <row r="2758" spans="1:9" x14ac:dyDescent="0.45">
      <c r="A2758" t="s">
        <v>43</v>
      </c>
      <c r="B2758" t="s">
        <v>47</v>
      </c>
      <c r="C2758" t="str">
        <f t="shared" si="86"/>
        <v>Mississippi St.Nebraska Omaha</v>
      </c>
      <c r="D2758" t="s">
        <v>43</v>
      </c>
      <c r="E2758">
        <v>96.9</v>
      </c>
      <c r="F2758" s="1">
        <v>-22.554716981132099</v>
      </c>
      <c r="G2758" s="2">
        <v>-3121.0159138742001</v>
      </c>
      <c r="H2758" s="1">
        <v>139.50227762700001</v>
      </c>
      <c r="I2758" s="1">
        <f t="shared" si="87"/>
        <v>148.95181504997822</v>
      </c>
    </row>
    <row r="2759" spans="1:9" x14ac:dyDescent="0.45">
      <c r="A2759" t="s">
        <v>44</v>
      </c>
      <c r="B2759" t="s">
        <v>47</v>
      </c>
      <c r="C2759" t="str">
        <f t="shared" si="86"/>
        <v>MissouriNebraska Omaha</v>
      </c>
      <c r="D2759" t="s">
        <v>44</v>
      </c>
      <c r="E2759">
        <v>93.6</v>
      </c>
      <c r="F2759" s="1">
        <v>-17.622641509434001</v>
      </c>
      <c r="G2759" s="2">
        <v>-1470.3397597309299</v>
      </c>
      <c r="H2759" s="1">
        <v>138.91993952564499</v>
      </c>
      <c r="I2759" s="1">
        <f t="shared" si="87"/>
        <v>140.77478905290613</v>
      </c>
    </row>
    <row r="2760" spans="1:9" x14ac:dyDescent="0.45">
      <c r="A2760" t="s">
        <v>45</v>
      </c>
      <c r="B2760" t="s">
        <v>47</v>
      </c>
      <c r="C2760" t="str">
        <f t="shared" si="86"/>
        <v>MontanaNebraska Omaha</v>
      </c>
      <c r="D2760" t="s">
        <v>45</v>
      </c>
      <c r="E2760">
        <v>56.9</v>
      </c>
      <c r="F2760" s="1">
        <v>-1.81509433962264</v>
      </c>
      <c r="G2760" s="2">
        <v>-131.90824997712801</v>
      </c>
      <c r="H2760" s="1">
        <v>138.056651089052</v>
      </c>
      <c r="I2760" s="1">
        <f t="shared" si="87"/>
        <v>128.65273835320605</v>
      </c>
    </row>
    <row r="2761" spans="1:9" x14ac:dyDescent="0.45">
      <c r="A2761" t="s">
        <v>46</v>
      </c>
      <c r="B2761" t="s">
        <v>47</v>
      </c>
      <c r="C2761" t="str">
        <f t="shared" si="86"/>
        <v>Mount St. Mary'sNebraska Omaha</v>
      </c>
      <c r="D2761" t="s">
        <v>47</v>
      </c>
      <c r="E2761">
        <v>33.4</v>
      </c>
      <c r="F2761" s="1">
        <v>4.51698113207547</v>
      </c>
      <c r="G2761" s="2">
        <v>199.22882788231399</v>
      </c>
      <c r="H2761" s="1">
        <v>139.35993904320199</v>
      </c>
      <c r="I2761" s="1">
        <f t="shared" si="87"/>
        <v>146.95313713865042</v>
      </c>
    </row>
    <row r="2762" spans="1:9" x14ac:dyDescent="0.45">
      <c r="A2762" t="s">
        <v>47</v>
      </c>
      <c r="B2762" t="s">
        <v>47</v>
      </c>
      <c r="C2762" t="str">
        <f t="shared" si="86"/>
        <v>Nebraska OmahaNebraska Omaha</v>
      </c>
      <c r="D2762" t="s">
        <v>47</v>
      </c>
      <c r="E2762">
        <v>41.2</v>
      </c>
      <c r="F2762" s="1">
        <v>2.3283018867924499</v>
      </c>
      <c r="G2762" s="2">
        <v>142.64273539779199</v>
      </c>
      <c r="H2762" s="1">
        <v>138.77771517530499</v>
      </c>
      <c r="I2762" s="1">
        <f t="shared" si="87"/>
        <v>138.77771517530684</v>
      </c>
    </row>
    <row r="2763" spans="1:9" x14ac:dyDescent="0.45">
      <c r="A2763" t="s">
        <v>48</v>
      </c>
      <c r="B2763" t="s">
        <v>47</v>
      </c>
      <c r="C2763" t="str">
        <f t="shared" si="86"/>
        <v>New MexicoNebraska Omaha</v>
      </c>
      <c r="D2763" t="s">
        <v>48</v>
      </c>
      <c r="E2763">
        <v>94.4</v>
      </c>
      <c r="F2763" s="1">
        <v>-18.501886792452801</v>
      </c>
      <c r="G2763" s="2">
        <v>-1682.0292166138099</v>
      </c>
      <c r="H2763" s="1">
        <v>139.54770510712299</v>
      </c>
      <c r="I2763" s="1">
        <f t="shared" si="87"/>
        <v>149.58969480588422</v>
      </c>
    </row>
    <row r="2764" spans="1:9" x14ac:dyDescent="0.45">
      <c r="A2764" t="s">
        <v>49</v>
      </c>
      <c r="B2764" t="s">
        <v>47</v>
      </c>
      <c r="C2764" t="str">
        <f t="shared" si="86"/>
        <v>Norfolk St.Nebraska Omaha</v>
      </c>
      <c r="D2764" t="s">
        <v>47</v>
      </c>
      <c r="E2764">
        <v>49.8</v>
      </c>
      <c r="F2764" s="1">
        <v>6.4150943396226401E-2</v>
      </c>
      <c r="G2764" s="2">
        <v>100.97103827720299</v>
      </c>
      <c r="H2764" s="1">
        <v>138.58383087108601</v>
      </c>
      <c r="I2764" s="1">
        <f t="shared" si="87"/>
        <v>136.055246917891</v>
      </c>
    </row>
    <row r="2765" spans="1:9" x14ac:dyDescent="0.45">
      <c r="A2765" t="s">
        <v>50</v>
      </c>
      <c r="B2765" t="s">
        <v>47</v>
      </c>
      <c r="C2765" t="str">
        <f t="shared" si="86"/>
        <v>North CarolinaNebraska Omaha</v>
      </c>
      <c r="D2765" t="s">
        <v>50</v>
      </c>
      <c r="E2765">
        <v>98.3</v>
      </c>
      <c r="F2765" s="1">
        <v>-26.554716981132099</v>
      </c>
      <c r="G2765" s="2">
        <v>-5743.6840189946197</v>
      </c>
      <c r="H2765" s="1">
        <v>140.657436825556</v>
      </c>
      <c r="I2765" s="1">
        <f t="shared" si="87"/>
        <v>165.17223197851223</v>
      </c>
    </row>
    <row r="2766" spans="1:9" x14ac:dyDescent="0.45">
      <c r="A2766" t="s">
        <v>51</v>
      </c>
      <c r="B2766" t="s">
        <v>47</v>
      </c>
      <c r="C2766" t="str">
        <f t="shared" si="86"/>
        <v>OklahomaNebraska Omaha</v>
      </c>
      <c r="D2766" t="s">
        <v>51</v>
      </c>
      <c r="E2766">
        <v>95.3</v>
      </c>
      <c r="F2766" s="1">
        <v>-19.671698113207501</v>
      </c>
      <c r="G2766" s="2">
        <v>-2010.0798955638099</v>
      </c>
      <c r="H2766" s="1">
        <v>139.08105995173</v>
      </c>
      <c r="I2766" s="1">
        <f t="shared" si="87"/>
        <v>143.03719625190413</v>
      </c>
    </row>
    <row r="2767" spans="1:9" x14ac:dyDescent="0.45">
      <c r="A2767" t="s">
        <v>52</v>
      </c>
      <c r="B2767" t="s">
        <v>47</v>
      </c>
      <c r="C2767" t="str">
        <f t="shared" si="86"/>
        <v>OregonNebraska Omaha</v>
      </c>
      <c r="D2767" t="s">
        <v>52</v>
      </c>
      <c r="E2767">
        <v>98.3</v>
      </c>
      <c r="F2767" s="1">
        <v>-26.437735849056601</v>
      </c>
      <c r="G2767" s="2">
        <v>-5642.6039128665898</v>
      </c>
      <c r="H2767" s="1">
        <v>139.371777343259</v>
      </c>
      <c r="I2767" s="1">
        <f t="shared" si="87"/>
        <v>147.1193671811327</v>
      </c>
    </row>
    <row r="2768" spans="1:9" x14ac:dyDescent="0.45">
      <c r="A2768" t="s">
        <v>53</v>
      </c>
      <c r="B2768" t="s">
        <v>47</v>
      </c>
      <c r="C2768" t="str">
        <f t="shared" si="86"/>
        <v>PurdueNebraska Omaha</v>
      </c>
      <c r="D2768" t="s">
        <v>53</v>
      </c>
      <c r="E2768">
        <v>99.7</v>
      </c>
      <c r="F2768" s="1">
        <v>-37.811320754717002</v>
      </c>
      <c r="G2768" s="2">
        <v>-31980.0534757571</v>
      </c>
      <c r="H2768" s="1">
        <v>140.85986454305799</v>
      </c>
      <c r="I2768" s="1">
        <f t="shared" si="87"/>
        <v>168.01466441542505</v>
      </c>
    </row>
    <row r="2769" spans="1:9" x14ac:dyDescent="0.45">
      <c r="A2769" t="s">
        <v>54</v>
      </c>
      <c r="B2769" t="s">
        <v>47</v>
      </c>
      <c r="C2769" t="str">
        <f t="shared" si="86"/>
        <v>Robert MorrisNebraska Omaha</v>
      </c>
      <c r="D2769" t="s">
        <v>47</v>
      </c>
      <c r="E2769">
        <v>28.3</v>
      </c>
      <c r="F2769" s="1">
        <v>6.0792452830188699</v>
      </c>
      <c r="G2769" s="2">
        <v>252.78756984984599</v>
      </c>
      <c r="H2769" s="1">
        <v>137.942829871745</v>
      </c>
      <c r="I2769" s="1">
        <f t="shared" si="87"/>
        <v>127.05449319155166</v>
      </c>
    </row>
    <row r="2770" spans="1:9" x14ac:dyDescent="0.45">
      <c r="A2770" t="s">
        <v>55</v>
      </c>
      <c r="B2770" t="s">
        <v>47</v>
      </c>
      <c r="C2770" t="str">
        <f t="shared" si="86"/>
        <v>Saint FrancisNebraska Omaha</v>
      </c>
      <c r="D2770" t="s">
        <v>47</v>
      </c>
      <c r="E2770">
        <v>19.100000000000001</v>
      </c>
      <c r="F2770" s="1">
        <v>9.4415094339622598</v>
      </c>
      <c r="G2770" s="2">
        <v>422.21913271871898</v>
      </c>
      <c r="H2770" s="1">
        <v>138.64967775378801</v>
      </c>
      <c r="I2770" s="1">
        <f t="shared" si="87"/>
        <v>136.97985011735122</v>
      </c>
    </row>
    <row r="2771" spans="1:9" x14ac:dyDescent="0.45">
      <c r="A2771" t="s">
        <v>56</v>
      </c>
      <c r="B2771" t="s">
        <v>47</v>
      </c>
      <c r="C2771" t="str">
        <f t="shared" si="86"/>
        <v>Saint Mary'sNebraska Omaha</v>
      </c>
      <c r="D2771" t="s">
        <v>56</v>
      </c>
      <c r="E2771">
        <v>98.2</v>
      </c>
      <c r="F2771" s="1">
        <v>-26.294339622641498</v>
      </c>
      <c r="G2771" s="2">
        <v>-5519.8371568454604</v>
      </c>
      <c r="H2771" s="1">
        <v>140.37888386973</v>
      </c>
      <c r="I2771" s="1">
        <f t="shared" si="87"/>
        <v>161.26087059575107</v>
      </c>
    </row>
    <row r="2772" spans="1:9" x14ac:dyDescent="0.45">
      <c r="A2772" t="s">
        <v>57</v>
      </c>
      <c r="B2772" t="s">
        <v>47</v>
      </c>
      <c r="C2772" t="str">
        <f t="shared" si="86"/>
        <v>San Diego St.Nebraska Omaha</v>
      </c>
      <c r="D2772" t="s">
        <v>57</v>
      </c>
      <c r="E2772">
        <v>94.5</v>
      </c>
      <c r="F2772" s="1">
        <v>-18.618867924528299</v>
      </c>
      <c r="G2772" s="2">
        <v>-1712.0904293797701</v>
      </c>
      <c r="H2772" s="1">
        <v>139.593583032758</v>
      </c>
      <c r="I2772" s="1">
        <f t="shared" si="87"/>
        <v>150.2338995895594</v>
      </c>
    </row>
    <row r="2773" spans="1:9" x14ac:dyDescent="0.45">
      <c r="A2773" t="s">
        <v>58</v>
      </c>
      <c r="B2773" t="s">
        <v>47</v>
      </c>
      <c r="C2773" t="str">
        <f t="shared" si="86"/>
        <v>SIU EdwardsvilleNebraska Omaha</v>
      </c>
      <c r="D2773" t="s">
        <v>47</v>
      </c>
      <c r="E2773">
        <v>44.9</v>
      </c>
      <c r="F2773" s="1">
        <v>1.3547169811320801</v>
      </c>
      <c r="G2773" s="2">
        <v>122.957091015443</v>
      </c>
      <c r="H2773" s="1">
        <v>139.65284121294201</v>
      </c>
      <c r="I2773" s="1">
        <f t="shared" si="87"/>
        <v>151.06598610214766</v>
      </c>
    </row>
    <row r="2774" spans="1:9" x14ac:dyDescent="0.45">
      <c r="A2774" t="s">
        <v>59</v>
      </c>
      <c r="B2774" t="s">
        <v>47</v>
      </c>
      <c r="C2774" t="str">
        <f t="shared" si="86"/>
        <v>St. John'sNebraska Omaha</v>
      </c>
      <c r="D2774" t="s">
        <v>59</v>
      </c>
      <c r="E2774">
        <v>99.4</v>
      </c>
      <c r="F2774" s="1">
        <v>-33.275471698113201</v>
      </c>
      <c r="G2774" s="2">
        <v>-16016.805985705099</v>
      </c>
      <c r="H2774" s="1">
        <v>140.47229766149701</v>
      </c>
      <c r="I2774" s="1">
        <f t="shared" si="87"/>
        <v>162.57256049202698</v>
      </c>
    </row>
    <row r="2775" spans="1:9" x14ac:dyDescent="0.45">
      <c r="A2775" t="s">
        <v>60</v>
      </c>
      <c r="B2775" t="s">
        <v>47</v>
      </c>
      <c r="C2775" t="str">
        <f t="shared" si="86"/>
        <v>TennesseeNebraska Omaha</v>
      </c>
      <c r="D2775" t="s">
        <v>60</v>
      </c>
      <c r="E2775">
        <v>99.7</v>
      </c>
      <c r="F2775" s="1">
        <v>-38.494339622641498</v>
      </c>
      <c r="G2775" s="2">
        <v>-35492.239826868899</v>
      </c>
      <c r="H2775" s="1">
        <v>141.265530035631</v>
      </c>
      <c r="I2775" s="1">
        <f t="shared" si="87"/>
        <v>173.71090388724738</v>
      </c>
    </row>
    <row r="2776" spans="1:9" x14ac:dyDescent="0.45">
      <c r="A2776" t="s">
        <v>61</v>
      </c>
      <c r="B2776" t="s">
        <v>47</v>
      </c>
      <c r="C2776" t="str">
        <f t="shared" si="86"/>
        <v>TexasNebraska Omaha</v>
      </c>
      <c r="D2776" t="s">
        <v>61</v>
      </c>
      <c r="E2776">
        <v>93.4</v>
      </c>
      <c r="F2776" s="1">
        <v>-17.396226415094301</v>
      </c>
      <c r="G2776" s="2">
        <v>-1420.6548680687499</v>
      </c>
      <c r="H2776" s="1">
        <v>138.965411863269</v>
      </c>
      <c r="I2776" s="1">
        <f t="shared" si="87"/>
        <v>141.41329868508362</v>
      </c>
    </row>
    <row r="2777" spans="1:9" x14ac:dyDescent="0.45">
      <c r="A2777" t="s">
        <v>62</v>
      </c>
      <c r="B2777" t="s">
        <v>47</v>
      </c>
      <c r="C2777" t="str">
        <f t="shared" si="86"/>
        <v>Texas A&amp;MNebraska Omaha</v>
      </c>
      <c r="D2777" t="s">
        <v>62</v>
      </c>
      <c r="E2777">
        <v>98.8</v>
      </c>
      <c r="F2777" s="1">
        <v>-28.796226415094299</v>
      </c>
      <c r="G2777" s="2">
        <v>-8088.0320401567296</v>
      </c>
      <c r="H2777" s="1">
        <v>139.752387172667</v>
      </c>
      <c r="I2777" s="1">
        <f t="shared" si="87"/>
        <v>152.46378215684632</v>
      </c>
    </row>
    <row r="2778" spans="1:9" x14ac:dyDescent="0.45">
      <c r="A2778" t="s">
        <v>63</v>
      </c>
      <c r="B2778" t="s">
        <v>47</v>
      </c>
      <c r="C2778" t="str">
        <f t="shared" si="86"/>
        <v>Texas TechNebraska Omaha</v>
      </c>
      <c r="D2778" t="s">
        <v>63</v>
      </c>
      <c r="E2778">
        <v>99.4</v>
      </c>
      <c r="F2778" s="1">
        <v>-33.132075471698101</v>
      </c>
      <c r="G2778" s="2">
        <v>-15666.0065761241</v>
      </c>
      <c r="H2778" s="1">
        <v>140.74289977790599</v>
      </c>
      <c r="I2778" s="1">
        <f t="shared" si="87"/>
        <v>166.37227844898408</v>
      </c>
    </row>
    <row r="2779" spans="1:9" x14ac:dyDescent="0.45">
      <c r="A2779" t="s">
        <v>64</v>
      </c>
      <c r="B2779" t="s">
        <v>47</v>
      </c>
      <c r="C2779" t="str">
        <f t="shared" si="86"/>
        <v>TroyNebraska Omaha</v>
      </c>
      <c r="D2779" t="s">
        <v>64</v>
      </c>
      <c r="E2779">
        <v>69.3</v>
      </c>
      <c r="F2779" s="1">
        <v>-5.3207547169811296</v>
      </c>
      <c r="G2779" s="2">
        <v>-225.225230748195</v>
      </c>
      <c r="H2779" s="1">
        <v>139.50920437246501</v>
      </c>
      <c r="I2779" s="1">
        <f t="shared" si="87"/>
        <v>149.04907843976943</v>
      </c>
    </row>
    <row r="2780" spans="1:9" x14ac:dyDescent="0.45">
      <c r="A2780" t="s">
        <v>65</v>
      </c>
      <c r="B2780" t="s">
        <v>47</v>
      </c>
      <c r="C2780" t="str">
        <f t="shared" si="86"/>
        <v>UC San DiegoNebraska Omaha</v>
      </c>
      <c r="D2780" t="s">
        <v>65</v>
      </c>
      <c r="E2780">
        <v>85.3</v>
      </c>
      <c r="F2780" s="1">
        <v>-11.505660377358501</v>
      </c>
      <c r="G2780" s="2">
        <v>-578.28902881397903</v>
      </c>
      <c r="H2780" s="1">
        <v>139.579324602128</v>
      </c>
      <c r="I2780" s="1">
        <f t="shared" si="87"/>
        <v>150.03368676187779</v>
      </c>
    </row>
    <row r="2781" spans="1:9" x14ac:dyDescent="0.45">
      <c r="A2781" t="s">
        <v>66</v>
      </c>
      <c r="B2781" t="s">
        <v>47</v>
      </c>
      <c r="C2781" t="str">
        <f t="shared" si="86"/>
        <v>UCLANebraska Omaha</v>
      </c>
      <c r="D2781" t="s">
        <v>66</v>
      </c>
      <c r="E2781">
        <v>95.2</v>
      </c>
      <c r="F2781" s="1">
        <v>-19.603773584905699</v>
      </c>
      <c r="G2781" s="2">
        <v>-1989.92360881784</v>
      </c>
      <c r="H2781" s="1">
        <v>138.80058318133999</v>
      </c>
      <c r="I2781" s="1">
        <f t="shared" si="87"/>
        <v>139.09882121218519</v>
      </c>
    </row>
    <row r="2782" spans="1:9" x14ac:dyDescent="0.45">
      <c r="A2782" t="s">
        <v>67</v>
      </c>
      <c r="B2782" t="s">
        <v>47</v>
      </c>
      <c r="C2782" t="str">
        <f t="shared" si="86"/>
        <v>UNC WilmingtonNebraska Omaha</v>
      </c>
      <c r="D2782" t="s">
        <v>67</v>
      </c>
      <c r="E2782">
        <v>77</v>
      </c>
      <c r="F2782" s="1">
        <v>-7.9132075471698098</v>
      </c>
      <c r="G2782" s="2">
        <v>-334.33509226661602</v>
      </c>
      <c r="H2782" s="1">
        <v>140.11599307279201</v>
      </c>
      <c r="I2782" s="1">
        <f t="shared" si="87"/>
        <v>157.56943279363745</v>
      </c>
    </row>
    <row r="2783" spans="1:9" x14ac:dyDescent="0.45">
      <c r="A2783" t="s">
        <v>68</v>
      </c>
      <c r="B2783" t="s">
        <v>47</v>
      </c>
      <c r="C2783" t="str">
        <f t="shared" si="86"/>
        <v>Utah St.Nebraska Omaha</v>
      </c>
      <c r="D2783" t="s">
        <v>68</v>
      </c>
      <c r="E2783">
        <v>95</v>
      </c>
      <c r="F2783" s="1">
        <v>-19.237735849056602</v>
      </c>
      <c r="G2783" s="2">
        <v>-1882.0023072072399</v>
      </c>
      <c r="H2783" s="1">
        <v>139.66317957137099</v>
      </c>
      <c r="I2783" s="1">
        <f t="shared" si="87"/>
        <v>151.21115439088598</v>
      </c>
    </row>
    <row r="2784" spans="1:9" x14ac:dyDescent="0.45">
      <c r="A2784" t="s">
        <v>69</v>
      </c>
      <c r="B2784" t="s">
        <v>47</v>
      </c>
      <c r="C2784" t="str">
        <f t="shared" si="86"/>
        <v>VanderbiltNebraska Omaha</v>
      </c>
      <c r="D2784" t="s">
        <v>69</v>
      </c>
      <c r="E2784">
        <v>78.8</v>
      </c>
      <c r="F2784" s="1">
        <v>-8.5924528301886802</v>
      </c>
      <c r="G2784" s="2">
        <v>-370.85247601078697</v>
      </c>
      <c r="H2784" s="1">
        <v>138.09721745265401</v>
      </c>
      <c r="I2784" s="1">
        <f t="shared" si="87"/>
        <v>129.22235969346949</v>
      </c>
    </row>
    <row r="2785" spans="1:9" x14ac:dyDescent="0.45">
      <c r="A2785" t="s">
        <v>70</v>
      </c>
      <c r="B2785" t="s">
        <v>47</v>
      </c>
      <c r="C2785" t="str">
        <f t="shared" si="86"/>
        <v>VCUNebraska Omaha</v>
      </c>
      <c r="D2785" t="s">
        <v>70</v>
      </c>
      <c r="E2785">
        <v>92.3</v>
      </c>
      <c r="F2785" s="1">
        <v>-16.237735849056602</v>
      </c>
      <c r="G2785" s="2">
        <v>-1190.4822730401199</v>
      </c>
      <c r="H2785" s="1">
        <v>140.02239058184699</v>
      </c>
      <c r="I2785" s="1">
        <f t="shared" si="87"/>
        <v>156.25509323717162</v>
      </c>
    </row>
    <row r="2786" spans="1:9" x14ac:dyDescent="0.45">
      <c r="A2786" t="s">
        <v>71</v>
      </c>
      <c r="B2786" t="s">
        <v>47</v>
      </c>
      <c r="C2786" t="str">
        <f t="shared" si="86"/>
        <v>WisconsinNebraska Omaha</v>
      </c>
      <c r="D2786" t="s">
        <v>71</v>
      </c>
      <c r="E2786">
        <v>99.3</v>
      </c>
      <c r="F2786" s="1">
        <v>-32.188679245282998</v>
      </c>
      <c r="G2786" s="2">
        <v>-13570.897543582099</v>
      </c>
      <c r="H2786" s="1">
        <v>140.67564619017901</v>
      </c>
      <c r="I2786" s="1">
        <f t="shared" si="87"/>
        <v>165.42792269764257</v>
      </c>
    </row>
    <row r="2787" spans="1:9" x14ac:dyDescent="0.45">
      <c r="A2787" t="s">
        <v>80</v>
      </c>
      <c r="B2787" t="s">
        <v>47</v>
      </c>
      <c r="C2787" t="str">
        <f t="shared" si="86"/>
        <v>WoffordNebraska Omaha</v>
      </c>
      <c r="D2787" t="s">
        <v>80</v>
      </c>
      <c r="E2787">
        <v>53.9</v>
      </c>
      <c r="F2787" s="1">
        <v>-1.01509433962264</v>
      </c>
      <c r="G2787" s="2">
        <v>-116.767636088226</v>
      </c>
      <c r="H2787" s="1">
        <v>138.77329461940599</v>
      </c>
      <c r="I2787" s="1">
        <f t="shared" si="87"/>
        <v>138.7156429866186</v>
      </c>
    </row>
    <row r="2788" spans="1:9" x14ac:dyDescent="0.45">
      <c r="A2788" t="s">
        <v>72</v>
      </c>
      <c r="B2788" t="s">
        <v>47</v>
      </c>
      <c r="C2788" t="str">
        <f t="shared" si="86"/>
        <v>XavierNebraska Omaha</v>
      </c>
      <c r="D2788" t="s">
        <v>72</v>
      </c>
      <c r="E2788">
        <v>92.2</v>
      </c>
      <c r="F2788" s="1">
        <v>-16.166037735849098</v>
      </c>
      <c r="G2788" s="2">
        <v>-1177.2723592877901</v>
      </c>
      <c r="H2788" s="1">
        <v>139.51609679002701</v>
      </c>
      <c r="I2788" s="1">
        <f t="shared" si="87"/>
        <v>149.14585980690995</v>
      </c>
    </row>
    <row r="2789" spans="1:9" x14ac:dyDescent="0.45">
      <c r="A2789" t="s">
        <v>73</v>
      </c>
      <c r="B2789" t="s">
        <v>47</v>
      </c>
      <c r="C2789" t="str">
        <f t="shared" si="86"/>
        <v>YaleNebraska Omaha</v>
      </c>
      <c r="D2789" t="s">
        <v>73</v>
      </c>
      <c r="E2789">
        <v>86</v>
      </c>
      <c r="F2789" s="1">
        <v>-11.913207547169799</v>
      </c>
      <c r="G2789" s="2">
        <v>-615.64655846332903</v>
      </c>
      <c r="H2789" s="1">
        <v>140.115802926421</v>
      </c>
      <c r="I2789" s="1">
        <f t="shared" si="87"/>
        <v>157.56676281237503</v>
      </c>
    </row>
    <row r="2790" spans="1:9" x14ac:dyDescent="0.45">
      <c r="A2790" t="s">
        <v>7</v>
      </c>
      <c r="B2790" t="s">
        <v>48</v>
      </c>
      <c r="C2790" t="str">
        <f t="shared" si="86"/>
        <v>AkronNew Mexico</v>
      </c>
      <c r="D2790" t="s">
        <v>48</v>
      </c>
      <c r="E2790">
        <v>11.8</v>
      </c>
      <c r="F2790" s="1">
        <v>13.1811320754717</v>
      </c>
      <c r="G2790" s="2">
        <v>746.83675775082895</v>
      </c>
      <c r="H2790" s="1">
        <v>138.162640055184</v>
      </c>
      <c r="I2790" s="1">
        <f t="shared" si="87"/>
        <v>130.14100527142338</v>
      </c>
    </row>
    <row r="2791" spans="1:9" x14ac:dyDescent="0.45">
      <c r="A2791" t="s">
        <v>8</v>
      </c>
      <c r="B2791" t="s">
        <v>48</v>
      </c>
      <c r="C2791" t="str">
        <f t="shared" si="86"/>
        <v>AlabamaNew Mexico</v>
      </c>
      <c r="D2791" t="s">
        <v>8</v>
      </c>
      <c r="E2791">
        <v>91</v>
      </c>
      <c r="F2791" s="1">
        <v>-15.158490566037701</v>
      </c>
      <c r="G2791" s="2">
        <v>-1009.96196690493</v>
      </c>
      <c r="H2791" s="1">
        <v>139.970251242779</v>
      </c>
      <c r="I2791" s="1">
        <f t="shared" si="87"/>
        <v>155.52296746687242</v>
      </c>
    </row>
    <row r="2792" spans="1:9" x14ac:dyDescent="0.45">
      <c r="A2792" t="s">
        <v>9</v>
      </c>
      <c r="B2792" t="s">
        <v>48</v>
      </c>
      <c r="C2792" t="str">
        <f t="shared" si="86"/>
        <v>Alabama St.New Mexico</v>
      </c>
      <c r="D2792" t="s">
        <v>48</v>
      </c>
      <c r="E2792">
        <v>2</v>
      </c>
      <c r="F2792" s="1">
        <v>25.498113207547199</v>
      </c>
      <c r="G2792" s="2">
        <v>4890.0736756906299</v>
      </c>
      <c r="H2792" s="1">
        <v>138.34940181460499</v>
      </c>
      <c r="I2792" s="1">
        <f t="shared" si="87"/>
        <v>132.76346078050113</v>
      </c>
    </row>
    <row r="2793" spans="1:9" x14ac:dyDescent="0.45">
      <c r="A2793" t="s">
        <v>10</v>
      </c>
      <c r="B2793" t="s">
        <v>48</v>
      </c>
      <c r="C2793" t="str">
        <f t="shared" si="86"/>
        <v>AmericanNew Mexico</v>
      </c>
      <c r="D2793" t="s">
        <v>48</v>
      </c>
      <c r="E2793">
        <v>2.2000000000000002</v>
      </c>
      <c r="F2793" s="1">
        <v>24.743396226415101</v>
      </c>
      <c r="G2793" s="2">
        <v>4356.8151313869203</v>
      </c>
      <c r="H2793" s="1">
        <v>138.11269133436701</v>
      </c>
      <c r="I2793" s="1">
        <f t="shared" si="87"/>
        <v>129.43963953957342</v>
      </c>
    </row>
    <row r="2794" spans="1:9" x14ac:dyDescent="0.45">
      <c r="A2794" t="s">
        <v>11</v>
      </c>
      <c r="B2794" t="s">
        <v>48</v>
      </c>
      <c r="C2794" t="str">
        <f t="shared" si="86"/>
        <v>ArizonaNew Mexico</v>
      </c>
      <c r="D2794" t="s">
        <v>11</v>
      </c>
      <c r="E2794">
        <v>86.9</v>
      </c>
      <c r="F2794" s="1">
        <v>-12.4037735849057</v>
      </c>
      <c r="G2794" s="2">
        <v>-663.36237709636305</v>
      </c>
      <c r="H2794" s="1">
        <v>139.58073058295599</v>
      </c>
      <c r="I2794" s="1">
        <f t="shared" si="87"/>
        <v>150.05342914479104</v>
      </c>
    </row>
    <row r="2795" spans="1:9" x14ac:dyDescent="0.45">
      <c r="A2795" t="s">
        <v>12</v>
      </c>
      <c r="B2795" t="s">
        <v>48</v>
      </c>
      <c r="C2795" t="str">
        <f t="shared" si="86"/>
        <v>ArkansasNew Mexico</v>
      </c>
      <c r="D2795" t="s">
        <v>48</v>
      </c>
      <c r="E2795">
        <v>30.2</v>
      </c>
      <c r="F2795" s="1">
        <v>5.4981132075471697</v>
      </c>
      <c r="G2795" s="2">
        <v>231.285692263248</v>
      </c>
      <c r="H2795" s="1">
        <v>137.90665456074501</v>
      </c>
      <c r="I2795" s="1">
        <f t="shared" si="87"/>
        <v>126.54652976307116</v>
      </c>
    </row>
    <row r="2796" spans="1:9" x14ac:dyDescent="0.45">
      <c r="A2796" t="s">
        <v>13</v>
      </c>
      <c r="B2796" t="s">
        <v>48</v>
      </c>
      <c r="C2796" t="str">
        <f t="shared" si="86"/>
        <v>AuburnNew Mexico</v>
      </c>
      <c r="D2796" t="s">
        <v>13</v>
      </c>
      <c r="E2796">
        <v>95.2</v>
      </c>
      <c r="F2796" s="1">
        <v>-19.600000000000001</v>
      </c>
      <c r="G2796" s="2">
        <v>-1987.99616635354</v>
      </c>
      <c r="H2796" s="1">
        <v>140.99246747613199</v>
      </c>
      <c r="I2796" s="1">
        <f t="shared" si="87"/>
        <v>169.8766370881921</v>
      </c>
    </row>
    <row r="2797" spans="1:9" x14ac:dyDescent="0.45">
      <c r="A2797" t="s">
        <v>14</v>
      </c>
      <c r="B2797" t="s">
        <v>48</v>
      </c>
      <c r="C2797" t="str">
        <f t="shared" si="86"/>
        <v>BaylorNew Mexico</v>
      </c>
      <c r="D2797" t="s">
        <v>14</v>
      </c>
      <c r="E2797">
        <v>66.7</v>
      </c>
      <c r="F2797" s="1">
        <v>-4.5509433962264101</v>
      </c>
      <c r="G2797" s="2">
        <v>-200.19505191867</v>
      </c>
      <c r="H2797" s="1">
        <v>139.45538483731201</v>
      </c>
      <c r="I2797" s="1">
        <f t="shared" si="87"/>
        <v>148.29335983390735</v>
      </c>
    </row>
    <row r="2798" spans="1:9" x14ac:dyDescent="0.45">
      <c r="A2798" t="s">
        <v>15</v>
      </c>
      <c r="B2798" t="s">
        <v>48</v>
      </c>
      <c r="C2798" t="str">
        <f t="shared" si="86"/>
        <v>BryantNew Mexico</v>
      </c>
      <c r="D2798" t="s">
        <v>48</v>
      </c>
      <c r="E2798">
        <v>8.6</v>
      </c>
      <c r="F2798" s="1">
        <v>15.5207547169811</v>
      </c>
      <c r="G2798" s="2">
        <v>1067.23109830219</v>
      </c>
      <c r="H2798" s="1">
        <v>139.04770471295799</v>
      </c>
      <c r="I2798" s="1">
        <f t="shared" si="87"/>
        <v>142.56883147559537</v>
      </c>
    </row>
    <row r="2799" spans="1:9" x14ac:dyDescent="0.45">
      <c r="A2799" t="s">
        <v>16</v>
      </c>
      <c r="B2799" t="s">
        <v>48</v>
      </c>
      <c r="C2799" t="str">
        <f t="shared" si="86"/>
        <v>BYUNew Mexico</v>
      </c>
      <c r="D2799" t="s">
        <v>16</v>
      </c>
      <c r="E2799">
        <v>70.3</v>
      </c>
      <c r="F2799" s="1">
        <v>-5.6452830188679197</v>
      </c>
      <c r="G2799" s="2">
        <v>-236.57185823217699</v>
      </c>
      <c r="H2799" s="1">
        <v>139.21774538740101</v>
      </c>
      <c r="I2799" s="1">
        <f t="shared" si="87"/>
        <v>144.95649426503826</v>
      </c>
    </row>
    <row r="2800" spans="1:9" x14ac:dyDescent="0.45">
      <c r="A2800" t="s">
        <v>17</v>
      </c>
      <c r="B2800" t="s">
        <v>48</v>
      </c>
      <c r="C2800" t="str">
        <f t="shared" si="86"/>
        <v>ClemsonNew Mexico</v>
      </c>
      <c r="D2800" t="s">
        <v>17</v>
      </c>
      <c r="E2800">
        <v>76.8</v>
      </c>
      <c r="F2800" s="1">
        <v>-7.8490566037735796</v>
      </c>
      <c r="G2800" s="2">
        <v>-331.134359650335</v>
      </c>
      <c r="H2800" s="1">
        <v>139.56779560984401</v>
      </c>
      <c r="I2800" s="1">
        <f t="shared" si="87"/>
        <v>149.87179993117442</v>
      </c>
    </row>
    <row r="2801" spans="1:9" x14ac:dyDescent="0.45">
      <c r="A2801" t="s">
        <v>18</v>
      </c>
      <c r="B2801" t="s">
        <v>48</v>
      </c>
      <c r="C2801" t="str">
        <f t="shared" si="86"/>
        <v>Colorado St.New Mexico</v>
      </c>
      <c r="D2801" t="s">
        <v>48</v>
      </c>
      <c r="E2801">
        <v>35.4</v>
      </c>
      <c r="F2801" s="1">
        <v>3.9320754716981101</v>
      </c>
      <c r="G2801" s="2">
        <v>182.20473124330999</v>
      </c>
      <c r="H2801" s="1">
        <v>138.95740658463799</v>
      </c>
      <c r="I2801" s="1">
        <f t="shared" si="87"/>
        <v>141.30089083931978</v>
      </c>
    </row>
    <row r="2802" spans="1:9" x14ac:dyDescent="0.45">
      <c r="A2802" t="s">
        <v>19</v>
      </c>
      <c r="B2802" t="s">
        <v>48</v>
      </c>
      <c r="C2802" t="str">
        <f t="shared" si="86"/>
        <v>ConnecticutNew Mexico</v>
      </c>
      <c r="D2802" t="s">
        <v>19</v>
      </c>
      <c r="E2802">
        <v>83.7</v>
      </c>
      <c r="F2802" s="1">
        <v>-10.743396226415101</v>
      </c>
      <c r="G2802" s="2">
        <v>-514.86168697653898</v>
      </c>
      <c r="H2802" s="1">
        <v>139.368046440592</v>
      </c>
      <c r="I2802" s="1">
        <f t="shared" si="87"/>
        <v>147.0669789069847</v>
      </c>
    </row>
    <row r="2803" spans="1:9" x14ac:dyDescent="0.45">
      <c r="A2803" t="s">
        <v>20</v>
      </c>
      <c r="B2803" t="s">
        <v>48</v>
      </c>
      <c r="C2803" t="str">
        <f t="shared" si="86"/>
        <v>CreightonNew Mexico</v>
      </c>
      <c r="D2803" t="s">
        <v>20</v>
      </c>
      <c r="E2803">
        <v>61.4</v>
      </c>
      <c r="F2803" s="1">
        <v>-3.0339622641509401</v>
      </c>
      <c r="G2803" s="2">
        <v>-158.875860364153</v>
      </c>
      <c r="H2803" s="1">
        <v>138.91734319343101</v>
      </c>
      <c r="I2803" s="1">
        <f t="shared" si="87"/>
        <v>140.73833209437745</v>
      </c>
    </row>
    <row r="2804" spans="1:9" x14ac:dyDescent="0.45">
      <c r="A2804" t="s">
        <v>21</v>
      </c>
      <c r="B2804" t="s">
        <v>48</v>
      </c>
      <c r="C2804" t="str">
        <f t="shared" si="86"/>
        <v>DrakeNew Mexico</v>
      </c>
      <c r="D2804" t="s">
        <v>48</v>
      </c>
      <c r="E2804">
        <v>34.700000000000003</v>
      </c>
      <c r="F2804" s="1">
        <v>4.1396226415094297</v>
      </c>
      <c r="G2804" s="2">
        <v>187.98784874507399</v>
      </c>
      <c r="H2804" s="1">
        <v>139.152018999105</v>
      </c>
      <c r="I2804" s="1">
        <f t="shared" si="87"/>
        <v>144.03358301375727</v>
      </c>
    </row>
    <row r="2805" spans="1:9" x14ac:dyDescent="0.45">
      <c r="A2805" t="s">
        <v>22</v>
      </c>
      <c r="B2805" t="s">
        <v>48</v>
      </c>
      <c r="C2805" t="str">
        <f t="shared" si="86"/>
        <v>DukeNew Mexico</v>
      </c>
      <c r="D2805" t="s">
        <v>22</v>
      </c>
      <c r="E2805">
        <v>96.5</v>
      </c>
      <c r="F2805" s="1">
        <v>-21.811320754716998</v>
      </c>
      <c r="G2805" s="2">
        <v>-2786.90810080744</v>
      </c>
      <c r="H2805" s="1">
        <v>141.23235888770799</v>
      </c>
      <c r="I2805" s="1">
        <f t="shared" si="87"/>
        <v>173.24512406228305</v>
      </c>
    </row>
    <row r="2806" spans="1:9" x14ac:dyDescent="0.45">
      <c r="A2806" t="s">
        <v>23</v>
      </c>
      <c r="B2806" t="s">
        <v>48</v>
      </c>
      <c r="C2806" t="str">
        <f t="shared" si="86"/>
        <v>FloridaNew Mexico</v>
      </c>
      <c r="D2806" t="s">
        <v>23</v>
      </c>
      <c r="E2806">
        <v>93.9</v>
      </c>
      <c r="F2806" s="1">
        <v>-17.954716981132101</v>
      </c>
      <c r="G2806" s="2">
        <v>-1547.35687125043</v>
      </c>
      <c r="H2806" s="1">
        <v>140.967009415262</v>
      </c>
      <c r="I2806" s="1">
        <f t="shared" si="87"/>
        <v>169.51916223795544</v>
      </c>
    </row>
    <row r="2807" spans="1:9" x14ac:dyDescent="0.45">
      <c r="A2807" t="s">
        <v>24</v>
      </c>
      <c r="B2807" t="s">
        <v>48</v>
      </c>
      <c r="C2807" t="str">
        <f t="shared" si="86"/>
        <v>GeorgiaNew Mexico</v>
      </c>
      <c r="D2807" t="s">
        <v>48</v>
      </c>
      <c r="E2807">
        <v>38.4</v>
      </c>
      <c r="F2807" s="1">
        <v>3.1056603773584901</v>
      </c>
      <c r="G2807" s="2">
        <v>160.59241538705999</v>
      </c>
      <c r="H2807" s="1">
        <v>138.23096771154701</v>
      </c>
      <c r="I2807" s="1">
        <f t="shared" si="87"/>
        <v>131.10044278907728</v>
      </c>
    </row>
    <row r="2808" spans="1:9" x14ac:dyDescent="0.45">
      <c r="A2808" t="s">
        <v>25</v>
      </c>
      <c r="B2808" t="s">
        <v>48</v>
      </c>
      <c r="C2808" t="str">
        <f t="shared" si="86"/>
        <v>GonzagaNew Mexico</v>
      </c>
      <c r="D2808" t="s">
        <v>25</v>
      </c>
      <c r="E2808">
        <v>75.900000000000006</v>
      </c>
      <c r="F2808" s="1">
        <v>-7.5245283018867903</v>
      </c>
      <c r="G2808" s="2">
        <v>-315.14746095633598</v>
      </c>
      <c r="H2808" s="1">
        <v>140.207929442053</v>
      </c>
      <c r="I2808" s="1">
        <f t="shared" si="87"/>
        <v>158.86037714327608</v>
      </c>
    </row>
    <row r="2809" spans="1:9" x14ac:dyDescent="0.45">
      <c r="A2809" t="s">
        <v>26</v>
      </c>
      <c r="B2809" t="s">
        <v>48</v>
      </c>
      <c r="C2809" t="str">
        <f t="shared" si="86"/>
        <v>Grand CanyonNew Mexico</v>
      </c>
      <c r="D2809" t="s">
        <v>48</v>
      </c>
      <c r="E2809">
        <v>25.5</v>
      </c>
      <c r="F2809" s="1">
        <v>7.0264150943396197</v>
      </c>
      <c r="G2809" s="2">
        <v>292.05525331111301</v>
      </c>
      <c r="H2809" s="1">
        <v>139.025901159592</v>
      </c>
      <c r="I2809" s="1">
        <f t="shared" si="87"/>
        <v>142.26267218035525</v>
      </c>
    </row>
    <row r="2810" spans="1:9" x14ac:dyDescent="0.45">
      <c r="A2810" t="s">
        <v>27</v>
      </c>
      <c r="B2810" t="s">
        <v>48</v>
      </c>
      <c r="C2810" t="str">
        <f t="shared" si="86"/>
        <v>High PointNew Mexico</v>
      </c>
      <c r="D2810" t="s">
        <v>48</v>
      </c>
      <c r="E2810">
        <v>17.600000000000001</v>
      </c>
      <c r="F2810" s="1">
        <v>10.1169811320755</v>
      </c>
      <c r="G2810" s="2">
        <v>467.89357726061399</v>
      </c>
      <c r="H2810" s="1">
        <v>139.217108293141</v>
      </c>
      <c r="I2810" s="1">
        <f t="shared" si="87"/>
        <v>144.94754836863444</v>
      </c>
    </row>
    <row r="2811" spans="1:9" x14ac:dyDescent="0.45">
      <c r="A2811" t="s">
        <v>28</v>
      </c>
      <c r="B2811" t="s">
        <v>48</v>
      </c>
      <c r="C2811" t="str">
        <f t="shared" si="86"/>
        <v>HoustonNew Mexico</v>
      </c>
      <c r="D2811" t="s">
        <v>28</v>
      </c>
      <c r="E2811">
        <v>97.9</v>
      </c>
      <c r="F2811" s="1">
        <v>-25.166037735849098</v>
      </c>
      <c r="G2811" s="2">
        <v>-4648.9278757406601</v>
      </c>
      <c r="H2811" s="1">
        <v>141.33057065034399</v>
      </c>
      <c r="I2811" s="1">
        <f t="shared" si="87"/>
        <v>174.6241857009156</v>
      </c>
    </row>
    <row r="2812" spans="1:9" x14ac:dyDescent="0.45">
      <c r="A2812" t="s">
        <v>29</v>
      </c>
      <c r="B2812" t="s">
        <v>48</v>
      </c>
      <c r="C2812" t="str">
        <f t="shared" si="86"/>
        <v>IllinoisNew Mexico</v>
      </c>
      <c r="D2812" t="s">
        <v>29</v>
      </c>
      <c r="E2812">
        <v>82.1</v>
      </c>
      <c r="F2812" s="1">
        <v>-9.9811320754717006</v>
      </c>
      <c r="G2812" s="2">
        <v>-458.288783968068</v>
      </c>
      <c r="H2812" s="1">
        <v>139.389034425305</v>
      </c>
      <c r="I2812" s="1">
        <f t="shared" si="87"/>
        <v>147.36168621915445</v>
      </c>
    </row>
    <row r="2813" spans="1:9" x14ac:dyDescent="0.45">
      <c r="A2813" t="s">
        <v>30</v>
      </c>
      <c r="B2813" t="s">
        <v>48</v>
      </c>
      <c r="C2813" t="str">
        <f t="shared" si="86"/>
        <v>Iowa St.New Mexico</v>
      </c>
      <c r="D2813" t="s">
        <v>30</v>
      </c>
      <c r="E2813">
        <v>90.6</v>
      </c>
      <c r="F2813" s="1">
        <v>-14.841509433962299</v>
      </c>
      <c r="G2813" s="2">
        <v>-962.04478082496098</v>
      </c>
      <c r="H2813" s="1">
        <v>140.285576716891</v>
      </c>
      <c r="I2813" s="1">
        <f t="shared" si="87"/>
        <v>159.95067809297308</v>
      </c>
    </row>
    <row r="2814" spans="1:9" x14ac:dyDescent="0.45">
      <c r="A2814" t="s">
        <v>31</v>
      </c>
      <c r="B2814" t="s">
        <v>48</v>
      </c>
      <c r="C2814" t="str">
        <f t="shared" si="86"/>
        <v>KansasNew Mexico</v>
      </c>
      <c r="D2814" t="s">
        <v>31</v>
      </c>
      <c r="E2814">
        <v>74.8</v>
      </c>
      <c r="F2814" s="1">
        <v>-7.12452830188679</v>
      </c>
      <c r="G2814" s="2">
        <v>-296.47928323113803</v>
      </c>
      <c r="H2814" s="1">
        <v>139.33616460574501</v>
      </c>
      <c r="I2814" s="1">
        <f t="shared" si="87"/>
        <v>146.61930324954182</v>
      </c>
    </row>
    <row r="2815" spans="1:9" x14ac:dyDescent="0.45">
      <c r="A2815" t="s">
        <v>32</v>
      </c>
      <c r="B2815" t="s">
        <v>48</v>
      </c>
      <c r="C2815" t="str">
        <f t="shared" si="86"/>
        <v>KentuckyNew Mexico</v>
      </c>
      <c r="D2815" t="s">
        <v>32</v>
      </c>
      <c r="E2815">
        <v>83.2</v>
      </c>
      <c r="F2815" s="1">
        <v>-10.4905660377358</v>
      </c>
      <c r="G2815" s="2">
        <v>-495.31364799755801</v>
      </c>
      <c r="H2815" s="1">
        <v>139.27044693787099</v>
      </c>
      <c r="I2815" s="1">
        <f t="shared" si="87"/>
        <v>145.69651444794621</v>
      </c>
    </row>
    <row r="2816" spans="1:9" x14ac:dyDescent="0.45">
      <c r="A2816" t="s">
        <v>33</v>
      </c>
      <c r="B2816" t="s">
        <v>48</v>
      </c>
      <c r="C2816" t="str">
        <f t="shared" si="86"/>
        <v>LibertyNew Mexico</v>
      </c>
      <c r="D2816" t="s">
        <v>48</v>
      </c>
      <c r="E2816">
        <v>12.9</v>
      </c>
      <c r="F2816" s="1">
        <v>12.498113207547201</v>
      </c>
      <c r="G2816" s="2">
        <v>672.89549407740003</v>
      </c>
      <c r="H2816" s="1">
        <v>138.61544798158801</v>
      </c>
      <c r="I2816" s="1">
        <f t="shared" si="87"/>
        <v>136.49920539137153</v>
      </c>
    </row>
    <row r="2817" spans="1:9" x14ac:dyDescent="0.45">
      <c r="A2817" t="s">
        <v>34</v>
      </c>
      <c r="B2817" t="s">
        <v>48</v>
      </c>
      <c r="C2817" t="str">
        <f t="shared" si="86"/>
        <v>LipscombNew Mexico</v>
      </c>
      <c r="D2817" t="s">
        <v>48</v>
      </c>
      <c r="E2817">
        <v>10.1</v>
      </c>
      <c r="F2817" s="1">
        <v>14.3622641509434</v>
      </c>
      <c r="G2817" s="2">
        <v>894.42910067620903</v>
      </c>
      <c r="H2817" s="1">
        <v>139.02176617917999</v>
      </c>
      <c r="I2817" s="1">
        <f t="shared" si="87"/>
        <v>142.20460996143524</v>
      </c>
    </row>
    <row r="2818" spans="1:9" x14ac:dyDescent="0.45">
      <c r="A2818" t="s">
        <v>35</v>
      </c>
      <c r="B2818" t="s">
        <v>48</v>
      </c>
      <c r="C2818" t="str">
        <f t="shared" si="86"/>
        <v>LouisvilleNew Mexico</v>
      </c>
      <c r="D2818" t="s">
        <v>48</v>
      </c>
      <c r="E2818">
        <v>22</v>
      </c>
      <c r="F2818" s="1">
        <v>8.3132075471698101</v>
      </c>
      <c r="G2818" s="2">
        <v>355.47420017998797</v>
      </c>
      <c r="H2818" s="1">
        <v>138.267128184998</v>
      </c>
      <c r="I2818" s="1">
        <f t="shared" si="87"/>
        <v>131.60819787291462</v>
      </c>
    </row>
    <row r="2819" spans="1:9" x14ac:dyDescent="0.45">
      <c r="A2819" t="s">
        <v>36</v>
      </c>
      <c r="B2819" t="s">
        <v>48</v>
      </c>
      <c r="C2819" t="str">
        <f t="shared" ref="C2819:C2882" si="88">A2819&amp;B2819</f>
        <v>MarquetteNew Mexico</v>
      </c>
      <c r="D2819" t="s">
        <v>36</v>
      </c>
      <c r="E2819">
        <v>79.2</v>
      </c>
      <c r="F2819" s="1">
        <v>-8.7547169811320806</v>
      </c>
      <c r="G2819" s="2">
        <v>-380.13268369133999</v>
      </c>
      <c r="H2819" s="1">
        <v>139.52926202846001</v>
      </c>
      <c r="I2819" s="1">
        <f t="shared" ref="I2819:I2882" si="89">18*(H2819-AVERAGE($H$2:$H$4625))/_xlfn.STDEV.P($H$2:$H$4625)+AVERAGE($H$2:$H$4625)</f>
        <v>149.33072234067484</v>
      </c>
    </row>
    <row r="2820" spans="1:9" x14ac:dyDescent="0.45">
      <c r="A2820" t="s">
        <v>37</v>
      </c>
      <c r="B2820" t="s">
        <v>48</v>
      </c>
      <c r="C2820" t="str">
        <f t="shared" si="88"/>
        <v>MarylandNew Mexico</v>
      </c>
      <c r="D2820" t="s">
        <v>37</v>
      </c>
      <c r="E2820">
        <v>70.099999999999994</v>
      </c>
      <c r="F2820" s="1">
        <v>-5.5849056603773599</v>
      </c>
      <c r="G2820" s="2">
        <v>-234.47761068734599</v>
      </c>
      <c r="H2820" s="1">
        <v>138.987631627003</v>
      </c>
      <c r="I2820" s="1">
        <f t="shared" si="89"/>
        <v>141.72530228793727</v>
      </c>
    </row>
    <row r="2821" spans="1:9" x14ac:dyDescent="0.45">
      <c r="A2821" t="s">
        <v>38</v>
      </c>
      <c r="B2821" t="s">
        <v>48</v>
      </c>
      <c r="C2821" t="str">
        <f t="shared" si="88"/>
        <v>McNeese St.New Mexico</v>
      </c>
      <c r="D2821" t="s">
        <v>48</v>
      </c>
      <c r="E2821">
        <v>35.4</v>
      </c>
      <c r="F2821" s="1">
        <v>3.9547169811320799</v>
      </c>
      <c r="G2821" s="2">
        <v>182.796675745095</v>
      </c>
      <c r="H2821" s="1">
        <v>139.58086703996699</v>
      </c>
      <c r="I2821" s="1">
        <f t="shared" si="89"/>
        <v>150.05534523532984</v>
      </c>
    </row>
    <row r="2822" spans="1:9" x14ac:dyDescent="0.45">
      <c r="A2822" t="s">
        <v>39</v>
      </c>
      <c r="B2822" t="s">
        <v>48</v>
      </c>
      <c r="C2822" t="str">
        <f t="shared" si="88"/>
        <v>MemphisNew Mexico</v>
      </c>
      <c r="D2822" t="s">
        <v>39</v>
      </c>
      <c r="E2822">
        <v>56.9</v>
      </c>
      <c r="F2822" s="1">
        <v>-1.8226415094339601</v>
      </c>
      <c r="G2822" s="2">
        <v>-132.038631157293</v>
      </c>
      <c r="H2822" s="1">
        <v>138.115148866493</v>
      </c>
      <c r="I2822" s="1">
        <f t="shared" si="89"/>
        <v>129.47414750674247</v>
      </c>
    </row>
    <row r="2823" spans="1:9" x14ac:dyDescent="0.45">
      <c r="A2823" t="s">
        <v>40</v>
      </c>
      <c r="B2823" t="s">
        <v>48</v>
      </c>
      <c r="C2823" t="str">
        <f t="shared" si="88"/>
        <v>MichiganNew Mexico</v>
      </c>
      <c r="D2823" t="s">
        <v>48</v>
      </c>
      <c r="E2823">
        <v>39.5</v>
      </c>
      <c r="F2823" s="1">
        <v>2.80377358490566</v>
      </c>
      <c r="G2823" s="2">
        <v>153.353474743193</v>
      </c>
      <c r="H2823" s="1">
        <v>137.67777016340901</v>
      </c>
      <c r="I2823" s="1">
        <f t="shared" si="89"/>
        <v>123.33260015244507</v>
      </c>
    </row>
    <row r="2824" spans="1:9" x14ac:dyDescent="0.45">
      <c r="A2824" t="s">
        <v>41</v>
      </c>
      <c r="B2824" t="s">
        <v>48</v>
      </c>
      <c r="C2824" t="str">
        <f t="shared" si="88"/>
        <v>Michigan St.New Mexico</v>
      </c>
      <c r="D2824" t="s">
        <v>41</v>
      </c>
      <c r="E2824">
        <v>86.1</v>
      </c>
      <c r="F2824" s="1">
        <v>-11.9433962264151</v>
      </c>
      <c r="G2824" s="2">
        <v>-618.38866524948503</v>
      </c>
      <c r="H2824" s="1">
        <v>139.324849872616</v>
      </c>
      <c r="I2824" s="1">
        <f t="shared" si="89"/>
        <v>146.46042498495532</v>
      </c>
    </row>
    <row r="2825" spans="1:9" x14ac:dyDescent="0.45">
      <c r="A2825" t="s">
        <v>42</v>
      </c>
      <c r="B2825" t="s">
        <v>48</v>
      </c>
      <c r="C2825" t="str">
        <f t="shared" si="88"/>
        <v>MississippiNew Mexico</v>
      </c>
      <c r="D2825" t="s">
        <v>42</v>
      </c>
      <c r="E2825">
        <v>62.9</v>
      </c>
      <c r="F2825" s="1">
        <v>-3.4490566037735899</v>
      </c>
      <c r="G2825" s="2">
        <v>-169.19600540942599</v>
      </c>
      <c r="H2825" s="1">
        <v>138.59254122250599</v>
      </c>
      <c r="I2825" s="1">
        <f t="shared" si="89"/>
        <v>136.17755519522862</v>
      </c>
    </row>
    <row r="2826" spans="1:9" x14ac:dyDescent="0.45">
      <c r="A2826" t="s">
        <v>43</v>
      </c>
      <c r="B2826" t="s">
        <v>48</v>
      </c>
      <c r="C2826" t="str">
        <f t="shared" si="88"/>
        <v>Mississippi St.New Mexico</v>
      </c>
      <c r="D2826" t="s">
        <v>43</v>
      </c>
      <c r="E2826">
        <v>56.5</v>
      </c>
      <c r="F2826" s="1">
        <v>-1.7245283018867901</v>
      </c>
      <c r="G2826" s="2">
        <v>-130.08067726999201</v>
      </c>
      <c r="H2826" s="1">
        <v>138.73228769518201</v>
      </c>
      <c r="I2826" s="1">
        <f t="shared" si="89"/>
        <v>138.13983541940087</v>
      </c>
    </row>
    <row r="2827" spans="1:9" x14ac:dyDescent="0.45">
      <c r="A2827" t="s">
        <v>44</v>
      </c>
      <c r="B2827" t="s">
        <v>48</v>
      </c>
      <c r="C2827" t="str">
        <f t="shared" si="88"/>
        <v>MissouriNew Mexico</v>
      </c>
      <c r="D2827" t="s">
        <v>48</v>
      </c>
      <c r="E2827">
        <v>38</v>
      </c>
      <c r="F2827" s="1">
        <v>3.2113207547169802</v>
      </c>
      <c r="G2827" s="2">
        <v>163.179460317869</v>
      </c>
      <c r="H2827" s="1">
        <v>138.14994959382801</v>
      </c>
      <c r="I2827" s="1">
        <f t="shared" si="89"/>
        <v>129.96280942234313</v>
      </c>
    </row>
    <row r="2828" spans="1:9" x14ac:dyDescent="0.45">
      <c r="A2828" t="s">
        <v>45</v>
      </c>
      <c r="B2828" t="s">
        <v>48</v>
      </c>
      <c r="C2828" t="str">
        <f t="shared" si="88"/>
        <v>MontanaNew Mexico</v>
      </c>
      <c r="D2828" t="s">
        <v>48</v>
      </c>
      <c r="E2828">
        <v>5.2</v>
      </c>
      <c r="F2828" s="1">
        <v>19.0150943396226</v>
      </c>
      <c r="G2828" s="2">
        <v>1818.9101024264901</v>
      </c>
      <c r="H2828" s="1">
        <v>137.28666115723399</v>
      </c>
      <c r="I2828" s="1">
        <f t="shared" si="89"/>
        <v>117.84075872262866</v>
      </c>
    </row>
    <row r="2829" spans="1:9" x14ac:dyDescent="0.45">
      <c r="A2829" t="s">
        <v>46</v>
      </c>
      <c r="B2829" t="s">
        <v>48</v>
      </c>
      <c r="C2829" t="str">
        <f t="shared" si="88"/>
        <v>Mount St. Mary'sNew Mexico</v>
      </c>
      <c r="D2829" t="s">
        <v>48</v>
      </c>
      <c r="E2829">
        <v>2</v>
      </c>
      <c r="F2829" s="1">
        <v>25.350943396226398</v>
      </c>
      <c r="G2829" s="2">
        <v>4780.0822948716896</v>
      </c>
      <c r="H2829" s="1">
        <v>138.58994911138501</v>
      </c>
      <c r="I2829" s="1">
        <f t="shared" si="89"/>
        <v>136.14115750808742</v>
      </c>
    </row>
    <row r="2830" spans="1:9" x14ac:dyDescent="0.45">
      <c r="A2830" t="s">
        <v>47</v>
      </c>
      <c r="B2830" t="s">
        <v>48</v>
      </c>
      <c r="C2830" t="str">
        <f t="shared" si="88"/>
        <v>Nebraska OmahaNew Mexico</v>
      </c>
      <c r="D2830" t="s">
        <v>48</v>
      </c>
      <c r="E2830">
        <v>2.8</v>
      </c>
      <c r="F2830" s="1">
        <v>23.158490566037699</v>
      </c>
      <c r="G2830" s="2">
        <v>3422.4164304666901</v>
      </c>
      <c r="H2830" s="1">
        <v>138.00772524348801</v>
      </c>
      <c r="I2830" s="1">
        <f t="shared" si="89"/>
        <v>127.96573554474384</v>
      </c>
    </row>
    <row r="2831" spans="1:9" x14ac:dyDescent="0.45">
      <c r="A2831" t="s">
        <v>48</v>
      </c>
      <c r="B2831" t="s">
        <v>48</v>
      </c>
      <c r="C2831" t="str">
        <f t="shared" si="88"/>
        <v>New MexicoNew Mexico</v>
      </c>
      <c r="D2831" t="s">
        <v>48</v>
      </c>
      <c r="E2831">
        <v>41.2</v>
      </c>
      <c r="F2831" s="1">
        <v>2.3283018867924499</v>
      </c>
      <c r="G2831" s="2">
        <v>142.64273539779199</v>
      </c>
      <c r="H2831" s="1">
        <v>138.77771517530499</v>
      </c>
      <c r="I2831" s="1">
        <f t="shared" si="89"/>
        <v>138.77771517530684</v>
      </c>
    </row>
    <row r="2832" spans="1:9" x14ac:dyDescent="0.45">
      <c r="A2832" t="s">
        <v>49</v>
      </c>
      <c r="B2832" t="s">
        <v>48</v>
      </c>
      <c r="C2832" t="str">
        <f t="shared" si="88"/>
        <v>Norfolk St.New Mexico</v>
      </c>
      <c r="D2832" t="s">
        <v>48</v>
      </c>
      <c r="E2832">
        <v>4</v>
      </c>
      <c r="F2832" s="1">
        <v>20.8943396226415</v>
      </c>
      <c r="G2832" s="2">
        <v>2422.5905331771301</v>
      </c>
      <c r="H2832" s="1">
        <v>137.813840939269</v>
      </c>
      <c r="I2832" s="1">
        <f t="shared" si="89"/>
        <v>125.24326728732758</v>
      </c>
    </row>
    <row r="2833" spans="1:9" x14ac:dyDescent="0.45">
      <c r="A2833" t="s">
        <v>50</v>
      </c>
      <c r="B2833" t="s">
        <v>48</v>
      </c>
      <c r="C2833" t="str">
        <f t="shared" si="88"/>
        <v>North CarolinaNew Mexico</v>
      </c>
      <c r="D2833" t="s">
        <v>50</v>
      </c>
      <c r="E2833">
        <v>70.5</v>
      </c>
      <c r="F2833" s="1">
        <v>-5.7207547169811299</v>
      </c>
      <c r="G2833" s="2">
        <v>-239.39073937248801</v>
      </c>
      <c r="H2833" s="1">
        <v>139.887446893739</v>
      </c>
      <c r="I2833" s="1">
        <f t="shared" si="89"/>
        <v>154.36025234794883</v>
      </c>
    </row>
    <row r="2834" spans="1:9" x14ac:dyDescent="0.45">
      <c r="A2834" t="s">
        <v>51</v>
      </c>
      <c r="B2834" t="s">
        <v>48</v>
      </c>
      <c r="C2834" t="str">
        <f t="shared" si="88"/>
        <v>OklahomaNew Mexico</v>
      </c>
      <c r="D2834" t="s">
        <v>48</v>
      </c>
      <c r="E2834">
        <v>45.6</v>
      </c>
      <c r="F2834" s="1">
        <v>1.15849056603774</v>
      </c>
      <c r="G2834" s="2">
        <v>119.36304074595</v>
      </c>
      <c r="H2834" s="1">
        <v>138.31107001991299</v>
      </c>
      <c r="I2834" s="1">
        <f t="shared" si="89"/>
        <v>132.22521662134073</v>
      </c>
    </row>
    <row r="2835" spans="1:9" x14ac:dyDescent="0.45">
      <c r="A2835" t="s">
        <v>52</v>
      </c>
      <c r="B2835" t="s">
        <v>48</v>
      </c>
      <c r="C2835" t="str">
        <f t="shared" si="88"/>
        <v>OregonNew Mexico</v>
      </c>
      <c r="D2835" t="s">
        <v>52</v>
      </c>
      <c r="E2835">
        <v>70.2</v>
      </c>
      <c r="F2835" s="1">
        <v>-5.60754716981132</v>
      </c>
      <c r="G2835" s="2">
        <v>-235.177826325425</v>
      </c>
      <c r="H2835" s="1">
        <v>138.60178741144199</v>
      </c>
      <c r="I2835" s="1">
        <f t="shared" si="89"/>
        <v>136.3073875505693</v>
      </c>
    </row>
    <row r="2836" spans="1:9" x14ac:dyDescent="0.45">
      <c r="A2836" t="s">
        <v>53</v>
      </c>
      <c r="B2836" t="s">
        <v>48</v>
      </c>
      <c r="C2836" t="str">
        <f t="shared" si="88"/>
        <v>PurdueNew Mexico</v>
      </c>
      <c r="D2836" t="s">
        <v>53</v>
      </c>
      <c r="E2836">
        <v>93</v>
      </c>
      <c r="F2836" s="1">
        <v>-16.977358490566001</v>
      </c>
      <c r="G2836" s="2">
        <v>-1332.8951630026099</v>
      </c>
      <c r="H2836" s="1">
        <v>140.08987461123999</v>
      </c>
      <c r="I2836" s="1">
        <f t="shared" si="89"/>
        <v>157.20268478484769</v>
      </c>
    </row>
    <row r="2837" spans="1:9" x14ac:dyDescent="0.45">
      <c r="A2837" t="s">
        <v>54</v>
      </c>
      <c r="B2837" t="s">
        <v>48</v>
      </c>
      <c r="C2837" t="str">
        <f t="shared" si="88"/>
        <v>Robert MorrisNew Mexico</v>
      </c>
      <c r="D2837" t="s">
        <v>48</v>
      </c>
      <c r="E2837">
        <v>1.6</v>
      </c>
      <c r="F2837" s="1">
        <v>26.909433962264199</v>
      </c>
      <c r="G2837" s="2">
        <v>6065.1131658349595</v>
      </c>
      <c r="H2837" s="1">
        <v>137.172839939927</v>
      </c>
      <c r="I2837" s="1">
        <f t="shared" si="89"/>
        <v>116.24251356097427</v>
      </c>
    </row>
    <row r="2838" spans="1:9" x14ac:dyDescent="0.45">
      <c r="A2838" t="s">
        <v>55</v>
      </c>
      <c r="B2838" t="s">
        <v>48</v>
      </c>
      <c r="C2838" t="str">
        <f t="shared" si="88"/>
        <v>Saint FrancisNew Mexico</v>
      </c>
      <c r="D2838" t="s">
        <v>48</v>
      </c>
      <c r="E2838">
        <v>1</v>
      </c>
      <c r="F2838" s="1">
        <v>30.271698113207499</v>
      </c>
      <c r="G2838" s="2">
        <v>10130.271920572701</v>
      </c>
      <c r="H2838" s="1">
        <v>137.879687821971</v>
      </c>
      <c r="I2838" s="1">
        <f t="shared" si="89"/>
        <v>126.16787048678782</v>
      </c>
    </row>
    <row r="2839" spans="1:9" x14ac:dyDescent="0.45">
      <c r="A2839" t="s">
        <v>56</v>
      </c>
      <c r="B2839" t="s">
        <v>48</v>
      </c>
      <c r="C2839" t="str">
        <f t="shared" si="88"/>
        <v>Saint Mary'sNew Mexico</v>
      </c>
      <c r="D2839" t="s">
        <v>56</v>
      </c>
      <c r="E2839">
        <v>69.7</v>
      </c>
      <c r="F2839" s="1">
        <v>-5.4603773584905699</v>
      </c>
      <c r="G2839" s="2">
        <v>-230.06103640504</v>
      </c>
      <c r="H2839" s="1">
        <v>139.608893937913</v>
      </c>
      <c r="I2839" s="1">
        <f t="shared" si="89"/>
        <v>150.44889096518764</v>
      </c>
    </row>
    <row r="2840" spans="1:9" x14ac:dyDescent="0.45">
      <c r="A2840" t="s">
        <v>57</v>
      </c>
      <c r="B2840" t="s">
        <v>48</v>
      </c>
      <c r="C2840" t="str">
        <f t="shared" si="88"/>
        <v>San Diego St.New Mexico</v>
      </c>
      <c r="D2840" t="s">
        <v>48</v>
      </c>
      <c r="E2840">
        <v>41.6</v>
      </c>
      <c r="F2840" s="1">
        <v>2.2113207547169802</v>
      </c>
      <c r="G2840" s="2">
        <v>140.138186838481</v>
      </c>
      <c r="H2840" s="1">
        <v>138.823593100941</v>
      </c>
      <c r="I2840" s="1">
        <f t="shared" si="89"/>
        <v>139.421919958996</v>
      </c>
    </row>
    <row r="2841" spans="1:9" x14ac:dyDescent="0.45">
      <c r="A2841" t="s">
        <v>58</v>
      </c>
      <c r="B2841" t="s">
        <v>48</v>
      </c>
      <c r="C2841" t="str">
        <f t="shared" si="88"/>
        <v>SIU EdwardsvilleNew Mexico</v>
      </c>
      <c r="D2841" t="s">
        <v>48</v>
      </c>
      <c r="E2841">
        <v>3.3</v>
      </c>
      <c r="F2841" s="1">
        <v>22.1849056603774</v>
      </c>
      <c r="G2841" s="2">
        <v>2950.10024422284</v>
      </c>
      <c r="H2841" s="1">
        <v>138.882851281125</v>
      </c>
      <c r="I2841" s="1">
        <f t="shared" si="89"/>
        <v>140.25400647158426</v>
      </c>
    </row>
    <row r="2842" spans="1:9" x14ac:dyDescent="0.45">
      <c r="A2842" t="s">
        <v>59</v>
      </c>
      <c r="B2842" t="s">
        <v>48</v>
      </c>
      <c r="C2842" t="str">
        <f t="shared" si="88"/>
        <v>St. John'sNew Mexico</v>
      </c>
      <c r="D2842" t="s">
        <v>59</v>
      </c>
      <c r="E2842">
        <v>87</v>
      </c>
      <c r="F2842" s="1">
        <v>-12.445283018867899</v>
      </c>
      <c r="G2842" s="2">
        <v>-667.56371252726603</v>
      </c>
      <c r="H2842" s="1">
        <v>139.70230772968</v>
      </c>
      <c r="I2842" s="1">
        <f t="shared" si="89"/>
        <v>151.76058086146358</v>
      </c>
    </row>
    <row r="2843" spans="1:9" x14ac:dyDescent="0.45">
      <c r="A2843" t="s">
        <v>60</v>
      </c>
      <c r="B2843" t="s">
        <v>48</v>
      </c>
      <c r="C2843" t="str">
        <f t="shared" si="88"/>
        <v>TennesseeNew Mexico</v>
      </c>
      <c r="D2843" t="s">
        <v>60</v>
      </c>
      <c r="E2843">
        <v>93.7</v>
      </c>
      <c r="F2843" s="1">
        <v>-17.660377358490599</v>
      </c>
      <c r="G2843" s="2">
        <v>-1479.2794147521599</v>
      </c>
      <c r="H2843" s="1">
        <v>140.49554010381399</v>
      </c>
      <c r="I2843" s="1">
        <f t="shared" si="89"/>
        <v>162.89892425668398</v>
      </c>
    </row>
    <row r="2844" spans="1:9" x14ac:dyDescent="0.45">
      <c r="A2844" t="s">
        <v>61</v>
      </c>
      <c r="B2844" t="s">
        <v>48</v>
      </c>
      <c r="C2844" t="str">
        <f t="shared" si="88"/>
        <v>TexasNew Mexico</v>
      </c>
      <c r="D2844" t="s">
        <v>48</v>
      </c>
      <c r="E2844">
        <v>37.200000000000003</v>
      </c>
      <c r="F2844" s="1">
        <v>3.43396226415094</v>
      </c>
      <c r="G2844" s="2">
        <v>168.88637336875399</v>
      </c>
      <c r="H2844" s="1">
        <v>138.19542193145199</v>
      </c>
      <c r="I2844" s="1">
        <f t="shared" si="89"/>
        <v>130.60131905452022</v>
      </c>
    </row>
    <row r="2845" spans="1:9" x14ac:dyDescent="0.45">
      <c r="A2845" t="s">
        <v>62</v>
      </c>
      <c r="B2845" t="s">
        <v>48</v>
      </c>
      <c r="C2845" t="str">
        <f t="shared" si="88"/>
        <v>Texas A&amp;MNew Mexico</v>
      </c>
      <c r="D2845" t="s">
        <v>62</v>
      </c>
      <c r="E2845">
        <v>77.099999999999994</v>
      </c>
      <c r="F2845" s="1">
        <v>-7.9660377358490599</v>
      </c>
      <c r="G2845" s="2">
        <v>-337.10071162661399</v>
      </c>
      <c r="H2845" s="1">
        <v>138.98239724084999</v>
      </c>
      <c r="I2845" s="1">
        <f t="shared" si="89"/>
        <v>141.65180252628292</v>
      </c>
    </row>
    <row r="2846" spans="1:9" x14ac:dyDescent="0.45">
      <c r="A2846" t="s">
        <v>63</v>
      </c>
      <c r="B2846" t="s">
        <v>48</v>
      </c>
      <c r="C2846" t="str">
        <f t="shared" si="88"/>
        <v>Texas TechNew Mexico</v>
      </c>
      <c r="D2846" t="s">
        <v>63</v>
      </c>
      <c r="E2846">
        <v>86.7</v>
      </c>
      <c r="F2846" s="1">
        <v>-12.3018867924528</v>
      </c>
      <c r="G2846" s="2">
        <v>-652.94276023370901</v>
      </c>
      <c r="H2846" s="1">
        <v>139.97290984608901</v>
      </c>
      <c r="I2846" s="1">
        <f t="shared" si="89"/>
        <v>155.56029881842105</v>
      </c>
    </row>
    <row r="2847" spans="1:9" x14ac:dyDescent="0.45">
      <c r="A2847" t="s">
        <v>64</v>
      </c>
      <c r="B2847" t="s">
        <v>48</v>
      </c>
      <c r="C2847" t="str">
        <f t="shared" si="88"/>
        <v>TroyNew Mexico</v>
      </c>
      <c r="D2847" t="s">
        <v>48</v>
      </c>
      <c r="E2847">
        <v>8.6</v>
      </c>
      <c r="F2847" s="1">
        <v>15.5094339622642</v>
      </c>
      <c r="G2847" s="2">
        <v>1065.2858371140601</v>
      </c>
      <c r="H2847" s="1">
        <v>138.739214440648</v>
      </c>
      <c r="I2847" s="1">
        <f t="shared" si="89"/>
        <v>138.23709880920603</v>
      </c>
    </row>
    <row r="2848" spans="1:9" x14ac:dyDescent="0.45">
      <c r="A2848" t="s">
        <v>65</v>
      </c>
      <c r="B2848" t="s">
        <v>48</v>
      </c>
      <c r="C2848" t="str">
        <f t="shared" si="88"/>
        <v>UC San DiegoNew Mexico</v>
      </c>
      <c r="D2848" t="s">
        <v>48</v>
      </c>
      <c r="E2848">
        <v>19.399999999999999</v>
      </c>
      <c r="F2848" s="1">
        <v>9.3283018867924508</v>
      </c>
      <c r="G2848" s="2">
        <v>414.89503781330899</v>
      </c>
      <c r="H2848" s="1">
        <v>138.80933467031099</v>
      </c>
      <c r="I2848" s="1">
        <f t="shared" si="89"/>
        <v>139.22170713131439</v>
      </c>
    </row>
    <row r="2849" spans="1:9" x14ac:dyDescent="0.45">
      <c r="A2849" t="s">
        <v>66</v>
      </c>
      <c r="B2849" t="s">
        <v>48</v>
      </c>
      <c r="C2849" t="str">
        <f t="shared" si="88"/>
        <v>UCLANew Mexico</v>
      </c>
      <c r="D2849" t="s">
        <v>48</v>
      </c>
      <c r="E2849">
        <v>45.3</v>
      </c>
      <c r="F2849" s="1">
        <v>1.2264150943396199</v>
      </c>
      <c r="G2849" s="2">
        <v>120.57209001069801</v>
      </c>
      <c r="H2849" s="1">
        <v>138.03059324952301</v>
      </c>
      <c r="I2849" s="1">
        <f t="shared" si="89"/>
        <v>128.28684158162218</v>
      </c>
    </row>
    <row r="2850" spans="1:9" x14ac:dyDescent="0.45">
      <c r="A2850" t="s">
        <v>67</v>
      </c>
      <c r="B2850" t="s">
        <v>48</v>
      </c>
      <c r="C2850" t="str">
        <f t="shared" si="88"/>
        <v>UNC WilmingtonNew Mexico</v>
      </c>
      <c r="D2850" t="s">
        <v>48</v>
      </c>
      <c r="E2850">
        <v>12.2</v>
      </c>
      <c r="F2850" s="1">
        <v>12.920754716981101</v>
      </c>
      <c r="G2850" s="2">
        <v>717.631065438581</v>
      </c>
      <c r="H2850" s="1">
        <v>139.346003140975</v>
      </c>
      <c r="I2850" s="1">
        <f t="shared" si="89"/>
        <v>146.75745316307405</v>
      </c>
    </row>
    <row r="2851" spans="1:9" x14ac:dyDescent="0.45">
      <c r="A2851" t="s">
        <v>68</v>
      </c>
      <c r="B2851" t="s">
        <v>48</v>
      </c>
      <c r="C2851" t="str">
        <f t="shared" si="88"/>
        <v>Utah St.New Mexico</v>
      </c>
      <c r="D2851" t="s">
        <v>48</v>
      </c>
      <c r="E2851">
        <v>44</v>
      </c>
      <c r="F2851" s="1">
        <v>1.59245283018868</v>
      </c>
      <c r="G2851" s="2">
        <v>127.486160648143</v>
      </c>
      <c r="H2851" s="1">
        <v>138.89318963955401</v>
      </c>
      <c r="I2851" s="1">
        <f t="shared" si="89"/>
        <v>140.39917476032298</v>
      </c>
    </row>
    <row r="2852" spans="1:9" x14ac:dyDescent="0.45">
      <c r="A2852" t="s">
        <v>69</v>
      </c>
      <c r="B2852" t="s">
        <v>48</v>
      </c>
      <c r="C2852" t="str">
        <f t="shared" si="88"/>
        <v>VanderbiltNew Mexico</v>
      </c>
      <c r="D2852" t="s">
        <v>48</v>
      </c>
      <c r="E2852">
        <v>13.4</v>
      </c>
      <c r="F2852" s="1">
        <v>12.2415094339623</v>
      </c>
      <c r="G2852" s="2">
        <v>646.96682372917201</v>
      </c>
      <c r="H2852" s="1">
        <v>137.327227520837</v>
      </c>
      <c r="I2852" s="1">
        <f t="shared" si="89"/>
        <v>118.41038006290609</v>
      </c>
    </row>
    <row r="2853" spans="1:9" x14ac:dyDescent="0.45">
      <c r="A2853" t="s">
        <v>70</v>
      </c>
      <c r="B2853" t="s">
        <v>48</v>
      </c>
      <c r="C2853" t="str">
        <f t="shared" si="88"/>
        <v>VCUNew Mexico</v>
      </c>
      <c r="D2853" t="s">
        <v>48</v>
      </c>
      <c r="E2853">
        <v>33.200000000000003</v>
      </c>
      <c r="F2853" s="1">
        <v>4.5924528301886802</v>
      </c>
      <c r="G2853" s="2">
        <v>201.539538983721</v>
      </c>
      <c r="H2853" s="1">
        <v>139.25240065003001</v>
      </c>
      <c r="I2853" s="1">
        <f t="shared" si="89"/>
        <v>145.44311360660862</v>
      </c>
    </row>
    <row r="2854" spans="1:9" x14ac:dyDescent="0.45">
      <c r="A2854" t="s">
        <v>71</v>
      </c>
      <c r="B2854" t="s">
        <v>48</v>
      </c>
      <c r="C2854" t="str">
        <f t="shared" si="88"/>
        <v>WisconsinNew Mexico</v>
      </c>
      <c r="D2854" t="s">
        <v>71</v>
      </c>
      <c r="E2854">
        <v>85</v>
      </c>
      <c r="F2854" s="1">
        <v>-11.3584905660377</v>
      </c>
      <c r="G2854" s="2">
        <v>-565.62080820648703</v>
      </c>
      <c r="H2854" s="1">
        <v>139.905656258362</v>
      </c>
      <c r="I2854" s="1">
        <f t="shared" si="89"/>
        <v>154.61594306707917</v>
      </c>
    </row>
    <row r="2855" spans="1:9" x14ac:dyDescent="0.45">
      <c r="A2855" t="s">
        <v>80</v>
      </c>
      <c r="B2855" t="s">
        <v>48</v>
      </c>
      <c r="C2855" t="str">
        <f t="shared" si="88"/>
        <v>WoffordNew Mexico</v>
      </c>
      <c r="D2855" t="s">
        <v>48</v>
      </c>
      <c r="E2855">
        <v>4.5999999999999996</v>
      </c>
      <c r="F2855" s="1">
        <v>19.8150943396226</v>
      </c>
      <c r="G2855" s="2">
        <v>2054.7581206106902</v>
      </c>
      <c r="H2855" s="1">
        <v>138.00330468758901</v>
      </c>
      <c r="I2855" s="1">
        <f t="shared" si="89"/>
        <v>127.9036633560556</v>
      </c>
    </row>
    <row r="2856" spans="1:9" x14ac:dyDescent="0.45">
      <c r="A2856" t="s">
        <v>72</v>
      </c>
      <c r="B2856" t="s">
        <v>48</v>
      </c>
      <c r="C2856" t="str">
        <f t="shared" si="88"/>
        <v>XavierNew Mexico</v>
      </c>
      <c r="D2856" t="s">
        <v>48</v>
      </c>
      <c r="E2856">
        <v>32.9</v>
      </c>
      <c r="F2856" s="1">
        <v>4.6679245283018904</v>
      </c>
      <c r="G2856" s="2">
        <v>203.80096974496701</v>
      </c>
      <c r="H2856" s="1">
        <v>138.74610685821</v>
      </c>
      <c r="I2856" s="1">
        <f t="shared" si="89"/>
        <v>138.33388017634655</v>
      </c>
    </row>
    <row r="2857" spans="1:9" x14ac:dyDescent="0.45">
      <c r="A2857" t="s">
        <v>73</v>
      </c>
      <c r="B2857" t="s">
        <v>48</v>
      </c>
      <c r="C2857" t="str">
        <f t="shared" si="88"/>
        <v>YaleNew Mexico</v>
      </c>
      <c r="D2857" t="s">
        <v>48</v>
      </c>
      <c r="E2857">
        <v>20.399999999999999</v>
      </c>
      <c r="F2857" s="1">
        <v>8.9169811320754704</v>
      </c>
      <c r="G2857" s="2">
        <v>389.71914189801998</v>
      </c>
      <c r="H2857" s="1">
        <v>139.34581299460399</v>
      </c>
      <c r="I2857" s="1">
        <f t="shared" si="89"/>
        <v>146.75478318181163</v>
      </c>
    </row>
    <row r="2858" spans="1:9" x14ac:dyDescent="0.45">
      <c r="A2858" t="s">
        <v>7</v>
      </c>
      <c r="B2858" t="s">
        <v>49</v>
      </c>
      <c r="C2858" t="str">
        <f t="shared" si="88"/>
        <v>AkronNorfolk St.</v>
      </c>
      <c r="D2858" t="s">
        <v>7</v>
      </c>
      <c r="E2858">
        <v>69.5</v>
      </c>
      <c r="F2858" s="1">
        <v>-5.3849056603773597</v>
      </c>
      <c r="G2858" s="2">
        <v>-227.407441655074</v>
      </c>
      <c r="H2858" s="1">
        <v>139.12651429121999</v>
      </c>
      <c r="I2858" s="1">
        <f t="shared" si="89"/>
        <v>143.67545315940265</v>
      </c>
    </row>
    <row r="2859" spans="1:9" x14ac:dyDescent="0.45">
      <c r="A2859" t="s">
        <v>8</v>
      </c>
      <c r="B2859" t="s">
        <v>49</v>
      </c>
      <c r="C2859" t="str">
        <f t="shared" si="88"/>
        <v>AlabamaNorfolk St.</v>
      </c>
      <c r="D2859" t="s">
        <v>8</v>
      </c>
      <c r="E2859">
        <v>99.4</v>
      </c>
      <c r="F2859" s="1">
        <v>-33.724528301886799</v>
      </c>
      <c r="G2859" s="2">
        <v>-17152.813938050102</v>
      </c>
      <c r="H2859" s="1">
        <v>140.93412547881499</v>
      </c>
      <c r="I2859" s="1">
        <f t="shared" si="89"/>
        <v>169.05741535485168</v>
      </c>
    </row>
    <row r="2860" spans="1:9" x14ac:dyDescent="0.45">
      <c r="A2860" t="s">
        <v>9</v>
      </c>
      <c r="B2860" t="s">
        <v>49</v>
      </c>
      <c r="C2860" t="str">
        <f t="shared" si="88"/>
        <v>Alabama St.Norfolk St.</v>
      </c>
      <c r="D2860" t="s">
        <v>49</v>
      </c>
      <c r="E2860">
        <v>25.8</v>
      </c>
      <c r="F2860" s="1">
        <v>6.9320754716981101</v>
      </c>
      <c r="G2860" s="2">
        <v>287.92875884083401</v>
      </c>
      <c r="H2860" s="1">
        <v>139.313276050642</v>
      </c>
      <c r="I2860" s="1">
        <f t="shared" si="89"/>
        <v>146.29790866849478</v>
      </c>
    </row>
    <row r="2861" spans="1:9" x14ac:dyDescent="0.45">
      <c r="A2861" t="s">
        <v>10</v>
      </c>
      <c r="B2861" t="s">
        <v>49</v>
      </c>
      <c r="C2861" t="str">
        <f t="shared" si="88"/>
        <v>AmericanNorfolk St.</v>
      </c>
      <c r="D2861" t="s">
        <v>49</v>
      </c>
      <c r="E2861">
        <v>28</v>
      </c>
      <c r="F2861" s="1">
        <v>6.1773584905660401</v>
      </c>
      <c r="G2861" s="2">
        <v>256.53036262322399</v>
      </c>
      <c r="H2861" s="1">
        <v>139.07656557040301</v>
      </c>
      <c r="I2861" s="1">
        <f t="shared" si="89"/>
        <v>142.97408742755269</v>
      </c>
    </row>
    <row r="2862" spans="1:9" x14ac:dyDescent="0.45">
      <c r="A2862" t="s">
        <v>11</v>
      </c>
      <c r="B2862" t="s">
        <v>49</v>
      </c>
      <c r="C2862" t="str">
        <f t="shared" si="88"/>
        <v>ArizonaNorfolk St.</v>
      </c>
      <c r="D2862" t="s">
        <v>11</v>
      </c>
      <c r="E2862">
        <v>99.1</v>
      </c>
      <c r="F2862" s="1">
        <v>-30.969811320754701</v>
      </c>
      <c r="G2862" s="2">
        <v>-11266.2969504747</v>
      </c>
      <c r="H2862" s="1">
        <v>140.54460481899301</v>
      </c>
      <c r="I2862" s="1">
        <f t="shared" si="89"/>
        <v>163.58787703278466</v>
      </c>
    </row>
    <row r="2863" spans="1:9" x14ac:dyDescent="0.45">
      <c r="A2863" t="s">
        <v>12</v>
      </c>
      <c r="B2863" t="s">
        <v>49</v>
      </c>
      <c r="C2863" t="str">
        <f t="shared" si="88"/>
        <v>ArkansasNorfolk St.</v>
      </c>
      <c r="D2863" t="s">
        <v>12</v>
      </c>
      <c r="E2863">
        <v>88</v>
      </c>
      <c r="F2863" s="1">
        <v>-13.0716981132075</v>
      </c>
      <c r="G2863" s="2">
        <v>-734.31363069696295</v>
      </c>
      <c r="H2863" s="1">
        <v>138.870528796782</v>
      </c>
      <c r="I2863" s="1">
        <f t="shared" si="89"/>
        <v>140.08097765106439</v>
      </c>
    </row>
    <row r="2864" spans="1:9" x14ac:dyDescent="0.45">
      <c r="A2864" t="s">
        <v>13</v>
      </c>
      <c r="B2864" t="s">
        <v>49</v>
      </c>
      <c r="C2864" t="str">
        <f t="shared" si="88"/>
        <v>AuburnNorfolk St.</v>
      </c>
      <c r="D2864" t="s">
        <v>13</v>
      </c>
      <c r="E2864">
        <v>99.7</v>
      </c>
      <c r="F2864" s="1">
        <v>-38.166037735849102</v>
      </c>
      <c r="G2864" s="2">
        <v>-33763.378689910598</v>
      </c>
      <c r="H2864" s="1">
        <v>141.95634171216801</v>
      </c>
      <c r="I2864" s="1">
        <f t="shared" si="89"/>
        <v>183.41108497617176</v>
      </c>
    </row>
    <row r="2865" spans="1:9" x14ac:dyDescent="0.45">
      <c r="A2865" t="s">
        <v>14</v>
      </c>
      <c r="B2865" t="s">
        <v>49</v>
      </c>
      <c r="C2865" t="str">
        <f t="shared" si="88"/>
        <v>BaylorNorfolk St.</v>
      </c>
      <c r="D2865" t="s">
        <v>14</v>
      </c>
      <c r="E2865">
        <v>97.1</v>
      </c>
      <c r="F2865" s="1">
        <v>-23.116981132075502</v>
      </c>
      <c r="G2865" s="2">
        <v>-3400.0374166589399</v>
      </c>
      <c r="H2865" s="1">
        <v>140.419259073348</v>
      </c>
      <c r="I2865" s="1">
        <f t="shared" si="89"/>
        <v>161.82780772188661</v>
      </c>
    </row>
    <row r="2866" spans="1:9" x14ac:dyDescent="0.45">
      <c r="A2866" t="s">
        <v>15</v>
      </c>
      <c r="B2866" t="s">
        <v>49</v>
      </c>
      <c r="C2866" t="str">
        <f t="shared" si="88"/>
        <v>BryantNorfolk St.</v>
      </c>
      <c r="D2866" t="s">
        <v>15</v>
      </c>
      <c r="E2866">
        <v>61.4</v>
      </c>
      <c r="F2866" s="1">
        <v>-3.0452830188679201</v>
      </c>
      <c r="G2866" s="2">
        <v>-159.13726341396099</v>
      </c>
      <c r="H2866" s="1">
        <v>140.01157894899401</v>
      </c>
      <c r="I2866" s="1">
        <f t="shared" si="89"/>
        <v>156.10327936357504</v>
      </c>
    </row>
    <row r="2867" spans="1:9" x14ac:dyDescent="0.45">
      <c r="A2867" t="s">
        <v>16</v>
      </c>
      <c r="B2867" t="s">
        <v>49</v>
      </c>
      <c r="C2867" t="str">
        <f t="shared" si="88"/>
        <v>BYUNorfolk St.</v>
      </c>
      <c r="D2867" t="s">
        <v>16</v>
      </c>
      <c r="E2867">
        <v>97.6</v>
      </c>
      <c r="F2867" s="1">
        <v>-24.211320754717001</v>
      </c>
      <c r="G2867" s="2">
        <v>-4017.8474043639699</v>
      </c>
      <c r="H2867" s="1">
        <v>140.181619623438</v>
      </c>
      <c r="I2867" s="1">
        <f t="shared" si="89"/>
        <v>158.49094215303148</v>
      </c>
    </row>
    <row r="2868" spans="1:9" x14ac:dyDescent="0.45">
      <c r="A2868" t="s">
        <v>17</v>
      </c>
      <c r="B2868" t="s">
        <v>49</v>
      </c>
      <c r="C2868" t="str">
        <f t="shared" si="88"/>
        <v>ClemsonNorfolk St.</v>
      </c>
      <c r="D2868" t="s">
        <v>17</v>
      </c>
      <c r="E2868">
        <v>98.3</v>
      </c>
      <c r="F2868" s="1">
        <v>-26.415094339622598</v>
      </c>
      <c r="G2868" s="2">
        <v>-5623.8613390401497</v>
      </c>
      <c r="H2868" s="1">
        <v>140.53166984588</v>
      </c>
      <c r="I2868" s="1">
        <f t="shared" si="89"/>
        <v>163.40624781915369</v>
      </c>
    </row>
    <row r="2869" spans="1:9" x14ac:dyDescent="0.45">
      <c r="A2869" t="s">
        <v>18</v>
      </c>
      <c r="B2869" t="s">
        <v>49</v>
      </c>
      <c r="C2869" t="str">
        <f t="shared" si="88"/>
        <v>Colorado St.Norfolk St.</v>
      </c>
      <c r="D2869" t="s">
        <v>18</v>
      </c>
      <c r="E2869">
        <v>90.3</v>
      </c>
      <c r="F2869" s="1">
        <v>-14.633962264150901</v>
      </c>
      <c r="G2869" s="2">
        <v>-932.11759790854705</v>
      </c>
      <c r="H2869" s="1">
        <v>139.92128082067401</v>
      </c>
      <c r="I2869" s="1">
        <f t="shared" si="89"/>
        <v>154.83533872729944</v>
      </c>
    </row>
    <row r="2870" spans="1:9" x14ac:dyDescent="0.45">
      <c r="A2870" t="s">
        <v>19</v>
      </c>
      <c r="B2870" t="s">
        <v>49</v>
      </c>
      <c r="C2870" t="str">
        <f t="shared" si="88"/>
        <v>ConnecticutNorfolk St.</v>
      </c>
      <c r="D2870" t="s">
        <v>19</v>
      </c>
      <c r="E2870">
        <v>98.9</v>
      </c>
      <c r="F2870" s="1">
        <v>-29.309433962264201</v>
      </c>
      <c r="G2870" s="2">
        <v>-8744.2171189903092</v>
      </c>
      <c r="H2870" s="1">
        <v>140.33192067662799</v>
      </c>
      <c r="I2870" s="1">
        <f t="shared" si="89"/>
        <v>160.60142679496394</v>
      </c>
    </row>
    <row r="2871" spans="1:9" x14ac:dyDescent="0.45">
      <c r="A2871" t="s">
        <v>20</v>
      </c>
      <c r="B2871" t="s">
        <v>49</v>
      </c>
      <c r="C2871" t="str">
        <f t="shared" si="88"/>
        <v>CreightonNorfolk St.</v>
      </c>
      <c r="D2871" t="s">
        <v>20</v>
      </c>
      <c r="E2871">
        <v>96.4</v>
      </c>
      <c r="F2871" s="1">
        <v>-21.6</v>
      </c>
      <c r="G2871" s="2">
        <v>-2698.2878181297601</v>
      </c>
      <c r="H2871" s="1">
        <v>139.881217429467</v>
      </c>
      <c r="I2871" s="1">
        <f t="shared" si="89"/>
        <v>154.2727799823567</v>
      </c>
    </row>
    <row r="2872" spans="1:9" x14ac:dyDescent="0.45">
      <c r="A2872" t="s">
        <v>21</v>
      </c>
      <c r="B2872" t="s">
        <v>49</v>
      </c>
      <c r="C2872" t="str">
        <f t="shared" si="88"/>
        <v>DrakeNorfolk St.</v>
      </c>
      <c r="D2872" t="s">
        <v>21</v>
      </c>
      <c r="E2872">
        <v>90</v>
      </c>
      <c r="F2872" s="1">
        <v>-14.430188679245299</v>
      </c>
      <c r="G2872" s="2">
        <v>-903.44262965846099</v>
      </c>
      <c r="H2872" s="1">
        <v>140.11589323514099</v>
      </c>
      <c r="I2872" s="1">
        <f t="shared" si="89"/>
        <v>157.56803090173653</v>
      </c>
    </row>
    <row r="2873" spans="1:9" x14ac:dyDescent="0.45">
      <c r="A2873" t="s">
        <v>22</v>
      </c>
      <c r="B2873" t="s">
        <v>49</v>
      </c>
      <c r="C2873" t="str">
        <f t="shared" si="88"/>
        <v>DukeNorfolk St.</v>
      </c>
      <c r="D2873" t="s">
        <v>22</v>
      </c>
      <c r="E2873">
        <v>99.8</v>
      </c>
      <c r="F2873" s="1">
        <v>-40.381132075471697</v>
      </c>
      <c r="G2873" s="2">
        <v>-47331.798307306301</v>
      </c>
      <c r="H2873" s="1">
        <v>142.19623312374401</v>
      </c>
      <c r="I2873" s="1">
        <f t="shared" si="89"/>
        <v>186.77957195026272</v>
      </c>
    </row>
    <row r="2874" spans="1:9" x14ac:dyDescent="0.45">
      <c r="A2874" t="s">
        <v>23</v>
      </c>
      <c r="B2874" t="s">
        <v>49</v>
      </c>
      <c r="C2874" t="str">
        <f t="shared" si="88"/>
        <v>FloridaNorfolk St.</v>
      </c>
      <c r="D2874" t="s">
        <v>23</v>
      </c>
      <c r="E2874">
        <v>99.6</v>
      </c>
      <c r="F2874" s="1">
        <v>-36.520754716981102</v>
      </c>
      <c r="G2874" s="2">
        <v>-26279.726740264701</v>
      </c>
      <c r="H2874" s="1">
        <v>141.93088365129799</v>
      </c>
      <c r="I2874" s="1">
        <f t="shared" si="89"/>
        <v>183.05361012593471</v>
      </c>
    </row>
    <row r="2875" spans="1:9" x14ac:dyDescent="0.45">
      <c r="A2875" t="s">
        <v>24</v>
      </c>
      <c r="B2875" t="s">
        <v>49</v>
      </c>
      <c r="C2875" t="str">
        <f t="shared" si="88"/>
        <v>GeorgiaNorfolk St.</v>
      </c>
      <c r="D2875" t="s">
        <v>24</v>
      </c>
      <c r="E2875">
        <v>91.4</v>
      </c>
      <c r="F2875" s="1">
        <v>-15.4603773584906</v>
      </c>
      <c r="G2875" s="2">
        <v>-1057.5607571798801</v>
      </c>
      <c r="H2875" s="1">
        <v>139.194841947583</v>
      </c>
      <c r="I2875" s="1">
        <f t="shared" si="89"/>
        <v>144.63489067705655</v>
      </c>
    </row>
    <row r="2876" spans="1:9" x14ac:dyDescent="0.45">
      <c r="A2876" t="s">
        <v>25</v>
      </c>
      <c r="B2876" t="s">
        <v>49</v>
      </c>
      <c r="C2876" t="str">
        <f t="shared" si="88"/>
        <v>GonzagaNorfolk St.</v>
      </c>
      <c r="D2876" t="s">
        <v>25</v>
      </c>
      <c r="E2876">
        <v>98.2</v>
      </c>
      <c r="F2876" s="1">
        <v>-26.090566037735801</v>
      </c>
      <c r="G2876" s="2">
        <v>-5352.3458684279503</v>
      </c>
      <c r="H2876" s="1">
        <v>141.17180367808899</v>
      </c>
      <c r="I2876" s="1">
        <f t="shared" si="89"/>
        <v>172.39482503125535</v>
      </c>
    </row>
    <row r="2877" spans="1:9" x14ac:dyDescent="0.45">
      <c r="A2877" t="s">
        <v>26</v>
      </c>
      <c r="B2877" t="s">
        <v>49</v>
      </c>
      <c r="C2877" t="str">
        <f t="shared" si="88"/>
        <v>Grand CanyonNorfolk St.</v>
      </c>
      <c r="D2877" t="s">
        <v>26</v>
      </c>
      <c r="E2877">
        <v>85.3</v>
      </c>
      <c r="F2877" s="1">
        <v>-11.5396226415094</v>
      </c>
      <c r="G2877" s="2">
        <v>-581.52090910403001</v>
      </c>
      <c r="H2877" s="1">
        <v>139.98977539562799</v>
      </c>
      <c r="I2877" s="1">
        <f t="shared" si="89"/>
        <v>155.79712006833452</v>
      </c>
    </row>
    <row r="2878" spans="1:9" x14ac:dyDescent="0.45">
      <c r="A2878" t="s">
        <v>27</v>
      </c>
      <c r="B2878" t="s">
        <v>49</v>
      </c>
      <c r="C2878" t="str">
        <f t="shared" si="88"/>
        <v>High PointNorfolk St.</v>
      </c>
      <c r="D2878" t="s">
        <v>27</v>
      </c>
      <c r="E2878">
        <v>78.400000000000006</v>
      </c>
      <c r="F2878" s="1">
        <v>-8.4528301886792505</v>
      </c>
      <c r="G2878" s="2">
        <v>-362.98048246019903</v>
      </c>
      <c r="H2878" s="1">
        <v>140.18098252917699</v>
      </c>
      <c r="I2878" s="1">
        <f t="shared" si="89"/>
        <v>158.48199625661371</v>
      </c>
    </row>
    <row r="2879" spans="1:9" x14ac:dyDescent="0.45">
      <c r="A2879" t="s">
        <v>28</v>
      </c>
      <c r="B2879" t="s">
        <v>49</v>
      </c>
      <c r="C2879" t="str">
        <f t="shared" si="88"/>
        <v>HoustonNorfolk St.</v>
      </c>
      <c r="D2879" t="s">
        <v>28</v>
      </c>
      <c r="E2879">
        <v>99.9</v>
      </c>
      <c r="F2879" s="1">
        <v>-43.735849056603797</v>
      </c>
      <c r="G2879" s="2">
        <v>-78955.641377630105</v>
      </c>
      <c r="H2879" s="1">
        <v>142.29444488638001</v>
      </c>
      <c r="I2879" s="1">
        <f t="shared" si="89"/>
        <v>188.15863358889527</v>
      </c>
    </row>
    <row r="2880" spans="1:9" x14ac:dyDescent="0.45">
      <c r="A2880" t="s">
        <v>29</v>
      </c>
      <c r="B2880" t="s">
        <v>49</v>
      </c>
      <c r="C2880" t="str">
        <f t="shared" si="88"/>
        <v>IllinoisNorfolk St.</v>
      </c>
      <c r="D2880" t="s">
        <v>29</v>
      </c>
      <c r="E2880">
        <v>98.7</v>
      </c>
      <c r="F2880" s="1">
        <v>-28.547169811320799</v>
      </c>
      <c r="G2880" s="2">
        <v>-7783.4042259924699</v>
      </c>
      <c r="H2880" s="1">
        <v>140.35290866134201</v>
      </c>
      <c r="I2880" s="1">
        <f t="shared" si="89"/>
        <v>160.89613410714807</v>
      </c>
    </row>
    <row r="2881" spans="1:9" x14ac:dyDescent="0.45">
      <c r="A2881" t="s">
        <v>30</v>
      </c>
      <c r="B2881" t="s">
        <v>49</v>
      </c>
      <c r="C2881" t="str">
        <f t="shared" si="88"/>
        <v>Iowa St.Norfolk St.</v>
      </c>
      <c r="D2881" t="s">
        <v>30</v>
      </c>
      <c r="E2881">
        <v>99.4</v>
      </c>
      <c r="F2881" s="1">
        <v>-33.407547169811302</v>
      </c>
      <c r="G2881" s="2">
        <v>-16339.006483712499</v>
      </c>
      <c r="H2881" s="1">
        <v>141.24945095292799</v>
      </c>
      <c r="I2881" s="1">
        <f t="shared" si="89"/>
        <v>173.4851259809663</v>
      </c>
    </row>
    <row r="2882" spans="1:9" x14ac:dyDescent="0.45">
      <c r="A2882" t="s">
        <v>31</v>
      </c>
      <c r="B2882" t="s">
        <v>49</v>
      </c>
      <c r="C2882" t="str">
        <f t="shared" si="88"/>
        <v>KansasNorfolk St.</v>
      </c>
      <c r="D2882" t="s">
        <v>31</v>
      </c>
      <c r="E2882">
        <v>98.1</v>
      </c>
      <c r="F2882" s="1">
        <v>-25.690566037735799</v>
      </c>
      <c r="G2882" s="2">
        <v>-5035.2925638722299</v>
      </c>
      <c r="H2882" s="1">
        <v>140.300038841782</v>
      </c>
      <c r="I2882" s="1">
        <f t="shared" si="89"/>
        <v>160.15375113753504</v>
      </c>
    </row>
    <row r="2883" spans="1:9" x14ac:dyDescent="0.45">
      <c r="A2883" t="s">
        <v>32</v>
      </c>
      <c r="B2883" t="s">
        <v>49</v>
      </c>
      <c r="C2883" t="str">
        <f t="shared" ref="C2883:C2946" si="90">A2883&amp;B2883</f>
        <v>KentuckyNorfolk St.</v>
      </c>
      <c r="D2883" t="s">
        <v>32</v>
      </c>
      <c r="E2883">
        <v>98.8</v>
      </c>
      <c r="F2883" s="1">
        <v>-29.0566037735849</v>
      </c>
      <c r="G2883" s="2">
        <v>-8412.2205820436502</v>
      </c>
      <c r="H2883" s="1">
        <v>140.23432117390701</v>
      </c>
      <c r="I2883" s="1">
        <f t="shared" ref="I2883:I2946" si="91">18*(H2883-AVERAGE($H$2:$H$4625))/_xlfn.STDEV.P($H$2:$H$4625)+AVERAGE($H$2:$H$4625)</f>
        <v>159.23096233592585</v>
      </c>
    </row>
    <row r="2884" spans="1:9" x14ac:dyDescent="0.45">
      <c r="A2884" t="s">
        <v>33</v>
      </c>
      <c r="B2884" t="s">
        <v>49</v>
      </c>
      <c r="C2884" t="str">
        <f t="shared" si="90"/>
        <v>LibertyNorfolk St.</v>
      </c>
      <c r="D2884" t="s">
        <v>33</v>
      </c>
      <c r="E2884">
        <v>71.599999999999994</v>
      </c>
      <c r="F2884" s="1">
        <v>-6.0679245283018899</v>
      </c>
      <c r="G2884" s="2">
        <v>-252.39615647441201</v>
      </c>
      <c r="H2884" s="1">
        <v>139.57932221762499</v>
      </c>
      <c r="I2884" s="1">
        <f t="shared" si="91"/>
        <v>150.03365327936476</v>
      </c>
    </row>
    <row r="2885" spans="1:9" x14ac:dyDescent="0.45">
      <c r="A2885" t="s">
        <v>34</v>
      </c>
      <c r="B2885" t="s">
        <v>49</v>
      </c>
      <c r="C2885" t="str">
        <f t="shared" si="90"/>
        <v>LipscombNorfolk St.</v>
      </c>
      <c r="D2885" t="s">
        <v>34</v>
      </c>
      <c r="E2885">
        <v>65.5</v>
      </c>
      <c r="F2885" s="1">
        <v>-4.2037735849056599</v>
      </c>
      <c r="G2885" s="2">
        <v>-189.88227941788401</v>
      </c>
      <c r="H2885" s="1">
        <v>139.98564041521601</v>
      </c>
      <c r="I2885" s="1">
        <f t="shared" si="91"/>
        <v>155.73905784941488</v>
      </c>
    </row>
    <row r="2886" spans="1:9" x14ac:dyDescent="0.45">
      <c r="A2886" t="s">
        <v>35</v>
      </c>
      <c r="B2886" t="s">
        <v>49</v>
      </c>
      <c r="C2886" t="str">
        <f t="shared" si="90"/>
        <v>LouisvilleNorfolk St.</v>
      </c>
      <c r="D2886" t="s">
        <v>35</v>
      </c>
      <c r="E2886">
        <v>82.7</v>
      </c>
      <c r="F2886" s="1">
        <v>-10.2528301886792</v>
      </c>
      <c r="G2886" s="2">
        <v>-477.77373527556398</v>
      </c>
      <c r="H2886" s="1">
        <v>139.23100242103399</v>
      </c>
      <c r="I2886" s="1">
        <f t="shared" si="91"/>
        <v>145.14264576089388</v>
      </c>
    </row>
    <row r="2887" spans="1:9" x14ac:dyDescent="0.45">
      <c r="A2887" t="s">
        <v>36</v>
      </c>
      <c r="B2887" t="s">
        <v>49</v>
      </c>
      <c r="C2887" t="str">
        <f t="shared" si="90"/>
        <v>MarquetteNorfolk St.</v>
      </c>
      <c r="D2887" t="s">
        <v>36</v>
      </c>
      <c r="E2887">
        <v>98.5</v>
      </c>
      <c r="F2887" s="1">
        <v>-27.320754716981099</v>
      </c>
      <c r="G2887" s="2">
        <v>-6456.0304336123299</v>
      </c>
      <c r="H2887" s="1">
        <v>140.493136264496</v>
      </c>
      <c r="I2887" s="1">
        <f t="shared" si="91"/>
        <v>162.86517022865411</v>
      </c>
    </row>
    <row r="2888" spans="1:9" x14ac:dyDescent="0.45">
      <c r="A2888" t="s">
        <v>37</v>
      </c>
      <c r="B2888" t="s">
        <v>49</v>
      </c>
      <c r="C2888" t="str">
        <f t="shared" si="90"/>
        <v>MarylandNorfolk St.</v>
      </c>
      <c r="D2888" t="s">
        <v>37</v>
      </c>
      <c r="E2888">
        <v>97.6</v>
      </c>
      <c r="F2888" s="1">
        <v>-24.154716981132101</v>
      </c>
      <c r="G2888" s="2">
        <v>-3982.2794922506</v>
      </c>
      <c r="H2888" s="1">
        <v>139.95150586303899</v>
      </c>
      <c r="I2888" s="1">
        <f t="shared" si="91"/>
        <v>155.25975017591654</v>
      </c>
    </row>
    <row r="2889" spans="1:9" x14ac:dyDescent="0.45">
      <c r="A2889" t="s">
        <v>38</v>
      </c>
      <c r="B2889" t="s">
        <v>49</v>
      </c>
      <c r="C2889" t="str">
        <f t="shared" si="90"/>
        <v>McNeese St.Norfolk St.</v>
      </c>
      <c r="D2889" t="s">
        <v>38</v>
      </c>
      <c r="E2889">
        <v>90.3</v>
      </c>
      <c r="F2889" s="1">
        <v>-14.611320754716999</v>
      </c>
      <c r="G2889" s="2">
        <v>-929.09915195021597</v>
      </c>
      <c r="H2889" s="1">
        <v>140.54474127600301</v>
      </c>
      <c r="I2889" s="1">
        <f t="shared" si="91"/>
        <v>163.58979312330951</v>
      </c>
    </row>
    <row r="2890" spans="1:9" x14ac:dyDescent="0.45">
      <c r="A2890" t="s">
        <v>39</v>
      </c>
      <c r="B2890" t="s">
        <v>49</v>
      </c>
      <c r="C2890" t="str">
        <f t="shared" si="90"/>
        <v>MemphisNorfolk St.</v>
      </c>
      <c r="D2890" t="s">
        <v>39</v>
      </c>
      <c r="E2890">
        <v>95.7</v>
      </c>
      <c r="F2890" s="1">
        <v>-20.388679245283001</v>
      </c>
      <c r="G2890" s="2">
        <v>-2242.4944177022298</v>
      </c>
      <c r="H2890" s="1">
        <v>139.07902310252899</v>
      </c>
      <c r="I2890" s="1">
        <f t="shared" si="91"/>
        <v>143.00859539472171</v>
      </c>
    </row>
    <row r="2891" spans="1:9" x14ac:dyDescent="0.45">
      <c r="A2891" t="s">
        <v>40</v>
      </c>
      <c r="B2891" t="s">
        <v>49</v>
      </c>
      <c r="C2891" t="str">
        <f t="shared" si="90"/>
        <v>MichiganNorfolk St.</v>
      </c>
      <c r="D2891" t="s">
        <v>40</v>
      </c>
      <c r="E2891">
        <v>91.7</v>
      </c>
      <c r="F2891" s="1">
        <v>-15.7622641509434</v>
      </c>
      <c r="G2891" s="2">
        <v>-1107.4821532312601</v>
      </c>
      <c r="H2891" s="1">
        <v>138.641644399445</v>
      </c>
      <c r="I2891" s="1">
        <f t="shared" si="91"/>
        <v>136.86704804042432</v>
      </c>
    </row>
    <row r="2892" spans="1:9" x14ac:dyDescent="0.45">
      <c r="A2892" t="s">
        <v>41</v>
      </c>
      <c r="B2892" t="s">
        <v>49</v>
      </c>
      <c r="C2892" t="str">
        <f t="shared" si="90"/>
        <v>Michigan St.Norfolk St.</v>
      </c>
      <c r="D2892" t="s">
        <v>41</v>
      </c>
      <c r="E2892">
        <v>99.1</v>
      </c>
      <c r="F2892" s="1">
        <v>-30.5094339622642</v>
      </c>
      <c r="G2892" s="2">
        <v>-10502.4803547102</v>
      </c>
      <c r="H2892" s="1">
        <v>140.28872410865301</v>
      </c>
      <c r="I2892" s="1">
        <f t="shared" si="91"/>
        <v>159.99487287294897</v>
      </c>
    </row>
    <row r="2893" spans="1:9" x14ac:dyDescent="0.45">
      <c r="A2893" t="s">
        <v>42</v>
      </c>
      <c r="B2893" t="s">
        <v>49</v>
      </c>
      <c r="C2893" t="str">
        <f t="shared" si="90"/>
        <v>MississippiNorfolk St.</v>
      </c>
      <c r="D2893" t="s">
        <v>42</v>
      </c>
      <c r="E2893">
        <v>96.6</v>
      </c>
      <c r="F2893" s="1">
        <v>-22.0150943396226</v>
      </c>
      <c r="G2893" s="2">
        <v>-2873.5612775034201</v>
      </c>
      <c r="H2893" s="1">
        <v>139.55641545854201</v>
      </c>
      <c r="I2893" s="1">
        <f t="shared" si="91"/>
        <v>149.71200308320829</v>
      </c>
    </row>
    <row r="2894" spans="1:9" x14ac:dyDescent="0.45">
      <c r="A2894" t="s">
        <v>43</v>
      </c>
      <c r="B2894" t="s">
        <v>49</v>
      </c>
      <c r="C2894" t="str">
        <f t="shared" si="90"/>
        <v>Mississippi St.Norfolk St.</v>
      </c>
      <c r="D2894" t="s">
        <v>43</v>
      </c>
      <c r="E2894">
        <v>95.7</v>
      </c>
      <c r="F2894" s="1">
        <v>-20.2905660377359</v>
      </c>
      <c r="G2894" s="2">
        <v>-2209.2412657730802</v>
      </c>
      <c r="H2894" s="1">
        <v>139.696161931219</v>
      </c>
      <c r="I2894" s="1">
        <f t="shared" si="91"/>
        <v>151.67428330739409</v>
      </c>
    </row>
    <row r="2895" spans="1:9" x14ac:dyDescent="0.45">
      <c r="A2895" t="s">
        <v>44</v>
      </c>
      <c r="B2895" t="s">
        <v>49</v>
      </c>
      <c r="C2895" t="str">
        <f t="shared" si="90"/>
        <v>MissouriNorfolk St.</v>
      </c>
      <c r="D2895" t="s">
        <v>44</v>
      </c>
      <c r="E2895">
        <v>91.2</v>
      </c>
      <c r="F2895" s="1">
        <v>-15.3547169811321</v>
      </c>
      <c r="G2895" s="2">
        <v>-1040.7942034080199</v>
      </c>
      <c r="H2895" s="1">
        <v>139.113823829864</v>
      </c>
      <c r="I2895" s="1">
        <f t="shared" si="91"/>
        <v>143.4972573103224</v>
      </c>
    </row>
    <row r="2896" spans="1:9" x14ac:dyDescent="0.45">
      <c r="A2896" t="s">
        <v>45</v>
      </c>
      <c r="B2896" t="s">
        <v>49</v>
      </c>
      <c r="C2896" t="str">
        <f t="shared" si="90"/>
        <v>MontanaNorfolk St.</v>
      </c>
      <c r="D2896" t="s">
        <v>49</v>
      </c>
      <c r="E2896">
        <v>48.3</v>
      </c>
      <c r="F2896" s="1">
        <v>0.44905660377358497</v>
      </c>
      <c r="G2896" s="2">
        <v>107.09788092522901</v>
      </c>
      <c r="H2896" s="1">
        <v>138.25053539327101</v>
      </c>
      <c r="I2896" s="1">
        <f t="shared" si="91"/>
        <v>131.37520661062229</v>
      </c>
    </row>
    <row r="2897" spans="1:9" x14ac:dyDescent="0.45">
      <c r="A2897" t="s">
        <v>46</v>
      </c>
      <c r="B2897" t="s">
        <v>49</v>
      </c>
      <c r="C2897" t="str">
        <f t="shared" si="90"/>
        <v>Mount St. Mary'sNorfolk St.</v>
      </c>
      <c r="D2897" t="s">
        <v>49</v>
      </c>
      <c r="E2897">
        <v>26.2</v>
      </c>
      <c r="F2897" s="1">
        <v>6.7849056603773601</v>
      </c>
      <c r="G2897" s="2">
        <v>281.45243887865797</v>
      </c>
      <c r="H2897" s="1">
        <v>139.553823347421</v>
      </c>
      <c r="I2897" s="1">
        <f t="shared" si="91"/>
        <v>149.67560539606669</v>
      </c>
    </row>
    <row r="2898" spans="1:9" x14ac:dyDescent="0.45">
      <c r="A2898" t="s">
        <v>47</v>
      </c>
      <c r="B2898" t="s">
        <v>49</v>
      </c>
      <c r="C2898" t="str">
        <f t="shared" si="90"/>
        <v>Nebraska OmahaNorfolk St.</v>
      </c>
      <c r="D2898" t="s">
        <v>49</v>
      </c>
      <c r="E2898">
        <v>33.200000000000003</v>
      </c>
      <c r="F2898" s="1">
        <v>4.5924528301886802</v>
      </c>
      <c r="G2898" s="2">
        <v>201.51273383863301</v>
      </c>
      <c r="H2898" s="1">
        <v>138.971599479524</v>
      </c>
      <c r="I2898" s="1">
        <f t="shared" si="91"/>
        <v>141.50018343272311</v>
      </c>
    </row>
    <row r="2899" spans="1:9" x14ac:dyDescent="0.45">
      <c r="A2899" t="s">
        <v>48</v>
      </c>
      <c r="B2899" t="s">
        <v>49</v>
      </c>
      <c r="C2899" t="str">
        <f t="shared" si="90"/>
        <v>New MexicoNorfolk St.</v>
      </c>
      <c r="D2899" t="s">
        <v>48</v>
      </c>
      <c r="E2899">
        <v>92.3</v>
      </c>
      <c r="F2899" s="1">
        <v>-16.237735849056602</v>
      </c>
      <c r="G2899" s="2">
        <v>-1190.6406305267501</v>
      </c>
      <c r="H2899" s="1">
        <v>139.74158941134201</v>
      </c>
      <c r="I2899" s="1">
        <f t="shared" si="91"/>
        <v>152.31216306330046</v>
      </c>
    </row>
    <row r="2900" spans="1:9" x14ac:dyDescent="0.45">
      <c r="A2900" t="s">
        <v>49</v>
      </c>
      <c r="B2900" t="s">
        <v>49</v>
      </c>
      <c r="C2900" t="str">
        <f t="shared" si="90"/>
        <v>Norfolk St.Norfolk St.</v>
      </c>
      <c r="D2900" t="s">
        <v>49</v>
      </c>
      <c r="E2900">
        <v>41.2</v>
      </c>
      <c r="F2900" s="1">
        <v>2.3283018867924499</v>
      </c>
      <c r="G2900" s="2">
        <v>142.64273539779199</v>
      </c>
      <c r="H2900" s="1">
        <v>138.77771517530499</v>
      </c>
      <c r="I2900" s="1">
        <f t="shared" si="91"/>
        <v>138.77771517530684</v>
      </c>
    </row>
    <row r="2901" spans="1:9" x14ac:dyDescent="0.45">
      <c r="A2901" t="s">
        <v>50</v>
      </c>
      <c r="B2901" t="s">
        <v>49</v>
      </c>
      <c r="C2901" t="str">
        <f t="shared" si="90"/>
        <v>North CarolinaNorfolk St.</v>
      </c>
      <c r="D2901" t="s">
        <v>50</v>
      </c>
      <c r="E2901">
        <v>97.6</v>
      </c>
      <c r="F2901" s="1">
        <v>-24.2905660377359</v>
      </c>
      <c r="G2901" s="2">
        <v>-4065.7222207409</v>
      </c>
      <c r="H2901" s="1">
        <v>140.85132112977499</v>
      </c>
      <c r="I2901" s="1">
        <f t="shared" si="91"/>
        <v>167.89470023592807</v>
      </c>
    </row>
    <row r="2902" spans="1:9" x14ac:dyDescent="0.45">
      <c r="A2902" t="s">
        <v>51</v>
      </c>
      <c r="B2902" t="s">
        <v>49</v>
      </c>
      <c r="C2902" t="str">
        <f t="shared" si="90"/>
        <v>OklahomaNorfolk St.</v>
      </c>
      <c r="D2902" t="s">
        <v>51</v>
      </c>
      <c r="E2902">
        <v>93.4</v>
      </c>
      <c r="F2902" s="1">
        <v>-17.407547169811298</v>
      </c>
      <c r="G2902" s="2">
        <v>-1422.8544728142599</v>
      </c>
      <c r="H2902" s="1">
        <v>139.27494425595</v>
      </c>
      <c r="I2902" s="1">
        <f t="shared" si="91"/>
        <v>145.75966450933436</v>
      </c>
    </row>
    <row r="2903" spans="1:9" x14ac:dyDescent="0.45">
      <c r="A2903" t="s">
        <v>52</v>
      </c>
      <c r="B2903" t="s">
        <v>49</v>
      </c>
      <c r="C2903" t="str">
        <f t="shared" si="90"/>
        <v>OregonNorfolk St.</v>
      </c>
      <c r="D2903" t="s">
        <v>52</v>
      </c>
      <c r="E2903">
        <v>97.6</v>
      </c>
      <c r="F2903" s="1">
        <v>-24.173584905660402</v>
      </c>
      <c r="G2903" s="2">
        <v>-3994.17169111558</v>
      </c>
      <c r="H2903" s="1">
        <v>139.56566164747801</v>
      </c>
      <c r="I2903" s="1">
        <f t="shared" si="91"/>
        <v>149.84183543854897</v>
      </c>
    </row>
    <row r="2904" spans="1:9" x14ac:dyDescent="0.45">
      <c r="A2904" t="s">
        <v>53</v>
      </c>
      <c r="B2904" t="s">
        <v>49</v>
      </c>
      <c r="C2904" t="str">
        <f t="shared" si="90"/>
        <v>PurdueNorfolk St.</v>
      </c>
      <c r="D2904" t="s">
        <v>53</v>
      </c>
      <c r="E2904">
        <v>99.6</v>
      </c>
      <c r="F2904" s="1">
        <v>-35.543396226415098</v>
      </c>
      <c r="G2904" s="2">
        <v>-22637.3898018898</v>
      </c>
      <c r="H2904" s="1">
        <v>141.05374884727701</v>
      </c>
      <c r="I2904" s="1">
        <f t="shared" si="91"/>
        <v>170.73713267284131</v>
      </c>
    </row>
    <row r="2905" spans="1:9" x14ac:dyDescent="0.45">
      <c r="A2905" t="s">
        <v>54</v>
      </c>
      <c r="B2905" t="s">
        <v>49</v>
      </c>
      <c r="C2905" t="str">
        <f t="shared" si="90"/>
        <v>Robert MorrisNorfolk St.</v>
      </c>
      <c r="D2905" t="s">
        <v>49</v>
      </c>
      <c r="E2905">
        <v>21.9</v>
      </c>
      <c r="F2905" s="1">
        <v>8.3433962264150896</v>
      </c>
      <c r="G2905" s="2">
        <v>357.11537737137002</v>
      </c>
      <c r="H2905" s="1">
        <v>138.13671417596399</v>
      </c>
      <c r="I2905" s="1">
        <f t="shared" si="91"/>
        <v>129.77696144896751</v>
      </c>
    </row>
    <row r="2906" spans="1:9" x14ac:dyDescent="0.45">
      <c r="A2906" t="s">
        <v>55</v>
      </c>
      <c r="B2906" t="s">
        <v>49</v>
      </c>
      <c r="C2906" t="str">
        <f t="shared" si="90"/>
        <v>Saint FrancisNorfolk St.</v>
      </c>
      <c r="D2906" t="s">
        <v>49</v>
      </c>
      <c r="E2906">
        <v>14.4</v>
      </c>
      <c r="F2906" s="1">
        <v>11.7056603773585</v>
      </c>
      <c r="G2906" s="2">
        <v>596.47293972492503</v>
      </c>
      <c r="H2906" s="1">
        <v>138.843562058007</v>
      </c>
      <c r="I2906" s="1">
        <f t="shared" si="91"/>
        <v>139.70231837476706</v>
      </c>
    </row>
    <row r="2907" spans="1:9" x14ac:dyDescent="0.45">
      <c r="A2907" t="s">
        <v>56</v>
      </c>
      <c r="B2907" t="s">
        <v>49</v>
      </c>
      <c r="C2907" t="str">
        <f t="shared" si="90"/>
        <v>Saint Mary'sNorfolk St.</v>
      </c>
      <c r="D2907" t="s">
        <v>56</v>
      </c>
      <c r="E2907">
        <v>97.5</v>
      </c>
      <c r="F2907" s="1">
        <v>-24.026415094339601</v>
      </c>
      <c r="G2907" s="2">
        <v>-3907.2700568556102</v>
      </c>
      <c r="H2907" s="1">
        <v>140.57276817394899</v>
      </c>
      <c r="I2907" s="1">
        <f t="shared" si="91"/>
        <v>163.98333885316691</v>
      </c>
    </row>
    <row r="2908" spans="1:9" x14ac:dyDescent="0.45">
      <c r="A2908" t="s">
        <v>57</v>
      </c>
      <c r="B2908" t="s">
        <v>49</v>
      </c>
      <c r="C2908" t="str">
        <f t="shared" si="90"/>
        <v>San Diego St.Norfolk St.</v>
      </c>
      <c r="D2908" t="s">
        <v>57</v>
      </c>
      <c r="E2908">
        <v>92.4</v>
      </c>
      <c r="F2908" s="1">
        <v>-16.3547169811321</v>
      </c>
      <c r="G2908" s="2">
        <v>-1211.9197503948999</v>
      </c>
      <c r="H2908" s="1">
        <v>139.78746733697699</v>
      </c>
      <c r="I2908" s="1">
        <f t="shared" si="91"/>
        <v>152.95636784697524</v>
      </c>
    </row>
    <row r="2909" spans="1:9" x14ac:dyDescent="0.45">
      <c r="A2909" t="s">
        <v>58</v>
      </c>
      <c r="B2909" t="s">
        <v>49</v>
      </c>
      <c r="C2909" t="str">
        <f t="shared" si="90"/>
        <v>SIU EdwardsvilleNorfolk St.</v>
      </c>
      <c r="D2909" t="s">
        <v>49</v>
      </c>
      <c r="E2909">
        <v>36.5</v>
      </c>
      <c r="F2909" s="1">
        <v>3.6188679245283</v>
      </c>
      <c r="G2909" s="2">
        <v>173.70263887796301</v>
      </c>
      <c r="H2909" s="1">
        <v>139.84672551716099</v>
      </c>
      <c r="I2909" s="1">
        <f t="shared" si="91"/>
        <v>153.78845435956353</v>
      </c>
    </row>
    <row r="2910" spans="1:9" x14ac:dyDescent="0.45">
      <c r="A2910" t="s">
        <v>59</v>
      </c>
      <c r="B2910" t="s">
        <v>49</v>
      </c>
      <c r="C2910" t="str">
        <f t="shared" si="90"/>
        <v>St. John'sNorfolk St.</v>
      </c>
      <c r="D2910" t="s">
        <v>59</v>
      </c>
      <c r="E2910">
        <v>99.1</v>
      </c>
      <c r="F2910" s="1">
        <v>-31.011320754717001</v>
      </c>
      <c r="G2910" s="2">
        <v>-11337.6508502246</v>
      </c>
      <c r="H2910" s="1">
        <v>140.66618196571599</v>
      </c>
      <c r="I2910" s="1">
        <f t="shared" si="91"/>
        <v>165.29502874944285</v>
      </c>
    </row>
    <row r="2911" spans="1:9" x14ac:dyDescent="0.45">
      <c r="A2911" t="s">
        <v>60</v>
      </c>
      <c r="B2911" t="s">
        <v>49</v>
      </c>
      <c r="C2911" t="str">
        <f t="shared" si="90"/>
        <v>TennesseeNorfolk St.</v>
      </c>
      <c r="D2911" t="s">
        <v>60</v>
      </c>
      <c r="E2911">
        <v>99.6</v>
      </c>
      <c r="F2911" s="1">
        <v>-36.2264150943396</v>
      </c>
      <c r="G2911" s="2">
        <v>-25123.524840633701</v>
      </c>
      <c r="H2911" s="1">
        <v>141.45941433985001</v>
      </c>
      <c r="I2911" s="1">
        <f t="shared" si="91"/>
        <v>176.43337214466362</v>
      </c>
    </row>
    <row r="2912" spans="1:9" x14ac:dyDescent="0.45">
      <c r="A2912" t="s">
        <v>61</v>
      </c>
      <c r="B2912" t="s">
        <v>49</v>
      </c>
      <c r="C2912" t="str">
        <f t="shared" si="90"/>
        <v>TexasNorfolk St.</v>
      </c>
      <c r="D2912" t="s">
        <v>61</v>
      </c>
      <c r="E2912">
        <v>91</v>
      </c>
      <c r="F2912" s="1">
        <v>-15.1320754716981</v>
      </c>
      <c r="G2912" s="2">
        <v>-1005.62427285509</v>
      </c>
      <c r="H2912" s="1">
        <v>139.15929616748801</v>
      </c>
      <c r="I2912" s="1">
        <f t="shared" si="91"/>
        <v>144.13576694249988</v>
      </c>
    </row>
    <row r="2913" spans="1:9" x14ac:dyDescent="0.45">
      <c r="A2913" t="s">
        <v>62</v>
      </c>
      <c r="B2913" t="s">
        <v>49</v>
      </c>
      <c r="C2913" t="str">
        <f t="shared" si="90"/>
        <v>Texas A&amp;MNorfolk St.</v>
      </c>
      <c r="D2913" t="s">
        <v>62</v>
      </c>
      <c r="E2913">
        <v>98.3</v>
      </c>
      <c r="F2913" s="1">
        <v>-26.5320754716981</v>
      </c>
      <c r="G2913" s="2">
        <v>-5725.1916155174204</v>
      </c>
      <c r="H2913" s="1">
        <v>139.94627147688601</v>
      </c>
      <c r="I2913" s="1">
        <f t="shared" si="91"/>
        <v>155.18625041426259</v>
      </c>
    </row>
    <row r="2914" spans="1:9" x14ac:dyDescent="0.45">
      <c r="A2914" t="s">
        <v>63</v>
      </c>
      <c r="B2914" t="s">
        <v>49</v>
      </c>
      <c r="C2914" t="str">
        <f t="shared" si="90"/>
        <v>Texas TechNorfolk St.</v>
      </c>
      <c r="D2914" t="s">
        <v>63</v>
      </c>
      <c r="E2914">
        <v>99.1</v>
      </c>
      <c r="F2914" s="1">
        <v>-30.867924528301899</v>
      </c>
      <c r="G2914" s="2">
        <v>-11089.334099191899</v>
      </c>
      <c r="H2914" s="1">
        <v>140.936784082125</v>
      </c>
      <c r="I2914" s="1">
        <f t="shared" si="91"/>
        <v>169.09474670640031</v>
      </c>
    </row>
    <row r="2915" spans="1:9" x14ac:dyDescent="0.45">
      <c r="A2915" t="s">
        <v>64</v>
      </c>
      <c r="B2915" t="s">
        <v>49</v>
      </c>
      <c r="C2915" t="str">
        <f t="shared" si="90"/>
        <v>TroyNorfolk St.</v>
      </c>
      <c r="D2915" t="s">
        <v>64</v>
      </c>
      <c r="E2915">
        <v>61.5</v>
      </c>
      <c r="F2915" s="1">
        <v>-3.0566037735849099</v>
      </c>
      <c r="G2915" s="2">
        <v>-159.427855414079</v>
      </c>
      <c r="H2915" s="1">
        <v>139.70308867668399</v>
      </c>
      <c r="I2915" s="1">
        <f t="shared" si="91"/>
        <v>151.7715466971853</v>
      </c>
    </row>
    <row r="2916" spans="1:9" x14ac:dyDescent="0.45">
      <c r="A2916" t="s">
        <v>65</v>
      </c>
      <c r="B2916" t="s">
        <v>49</v>
      </c>
      <c r="C2916" t="str">
        <f t="shared" si="90"/>
        <v>UC San DiegoNorfolk St.</v>
      </c>
      <c r="D2916" t="s">
        <v>65</v>
      </c>
      <c r="E2916">
        <v>80.400000000000006</v>
      </c>
      <c r="F2916" s="1">
        <v>-9.2377358490565999</v>
      </c>
      <c r="G2916" s="2">
        <v>-409.34747571145402</v>
      </c>
      <c r="H2916" s="1">
        <v>139.77320890634701</v>
      </c>
      <c r="I2916" s="1">
        <f t="shared" si="91"/>
        <v>152.75615501929406</v>
      </c>
    </row>
    <row r="2917" spans="1:9" x14ac:dyDescent="0.45">
      <c r="A2917" t="s">
        <v>66</v>
      </c>
      <c r="B2917" t="s">
        <v>49</v>
      </c>
      <c r="C2917" t="str">
        <f t="shared" si="90"/>
        <v>UCLANorfolk St.</v>
      </c>
      <c r="D2917" t="s">
        <v>66</v>
      </c>
      <c r="E2917">
        <v>93.4</v>
      </c>
      <c r="F2917" s="1">
        <v>-17.339622641509401</v>
      </c>
      <c r="G2917" s="2">
        <v>-1408.58665051769</v>
      </c>
      <c r="H2917" s="1">
        <v>138.994467485559</v>
      </c>
      <c r="I2917" s="1">
        <f t="shared" si="91"/>
        <v>141.82128946960145</v>
      </c>
    </row>
    <row r="2918" spans="1:9" x14ac:dyDescent="0.45">
      <c r="A2918" t="s">
        <v>67</v>
      </c>
      <c r="B2918" t="s">
        <v>49</v>
      </c>
      <c r="C2918" t="str">
        <f t="shared" si="90"/>
        <v>UNC WilmingtonNorfolk St.</v>
      </c>
      <c r="D2918" t="s">
        <v>67</v>
      </c>
      <c r="E2918">
        <v>70.3</v>
      </c>
      <c r="F2918" s="1">
        <v>-5.6490566037735803</v>
      </c>
      <c r="G2918" s="2">
        <v>-236.662324965392</v>
      </c>
      <c r="H2918" s="1">
        <v>140.30987737701099</v>
      </c>
      <c r="I2918" s="1">
        <f t="shared" si="91"/>
        <v>160.29190105105332</v>
      </c>
    </row>
    <row r="2919" spans="1:9" x14ac:dyDescent="0.45">
      <c r="A2919" t="s">
        <v>68</v>
      </c>
      <c r="B2919" t="s">
        <v>49</v>
      </c>
      <c r="C2919" t="str">
        <f t="shared" si="90"/>
        <v>Utah St.Norfolk St.</v>
      </c>
      <c r="D2919" t="s">
        <v>68</v>
      </c>
      <c r="E2919">
        <v>93</v>
      </c>
      <c r="F2919" s="1">
        <v>-16.973584905660399</v>
      </c>
      <c r="G2919" s="2">
        <v>-1332.19351457942</v>
      </c>
      <c r="H2919" s="1">
        <v>139.857063875591</v>
      </c>
      <c r="I2919" s="1">
        <f t="shared" si="91"/>
        <v>153.9336226483162</v>
      </c>
    </row>
    <row r="2920" spans="1:9" x14ac:dyDescent="0.45">
      <c r="A2920" t="s">
        <v>69</v>
      </c>
      <c r="B2920" t="s">
        <v>49</v>
      </c>
      <c r="C2920" t="str">
        <f t="shared" si="90"/>
        <v>VanderbiltNorfolk St.</v>
      </c>
      <c r="D2920" t="s">
        <v>69</v>
      </c>
      <c r="E2920">
        <v>72.400000000000006</v>
      </c>
      <c r="F2920" s="1">
        <v>-6.3283018867924499</v>
      </c>
      <c r="G2920" s="2">
        <v>-262.51150783147699</v>
      </c>
      <c r="H2920" s="1">
        <v>138.29110175687299</v>
      </c>
      <c r="I2920" s="1">
        <f t="shared" si="91"/>
        <v>131.94482795088535</v>
      </c>
    </row>
    <row r="2921" spans="1:9" x14ac:dyDescent="0.45">
      <c r="A2921" t="s">
        <v>70</v>
      </c>
      <c r="B2921" t="s">
        <v>49</v>
      </c>
      <c r="C2921" t="str">
        <f t="shared" si="90"/>
        <v>VCUNorfolk St.</v>
      </c>
      <c r="D2921" t="s">
        <v>70</v>
      </c>
      <c r="E2921">
        <v>89.4</v>
      </c>
      <c r="F2921" s="1">
        <v>-13.973584905660401</v>
      </c>
      <c r="G2921" s="2">
        <v>-842.69437784019499</v>
      </c>
      <c r="H2921" s="1">
        <v>140.216274886066</v>
      </c>
      <c r="I2921" s="1">
        <f t="shared" si="91"/>
        <v>158.97756149458789</v>
      </c>
    </row>
    <row r="2922" spans="1:9" x14ac:dyDescent="0.45">
      <c r="A2922" t="s">
        <v>71</v>
      </c>
      <c r="B2922" t="s">
        <v>49</v>
      </c>
      <c r="C2922" t="str">
        <f t="shared" si="90"/>
        <v>WisconsinNorfolk St.</v>
      </c>
      <c r="D2922" t="s">
        <v>71</v>
      </c>
      <c r="E2922">
        <v>99</v>
      </c>
      <c r="F2922" s="1">
        <v>-29.924528301886799</v>
      </c>
      <c r="G2922" s="2">
        <v>-9606.2909303283996</v>
      </c>
      <c r="H2922" s="1">
        <v>140.86953049439799</v>
      </c>
      <c r="I2922" s="1">
        <f t="shared" si="91"/>
        <v>168.15039095505844</v>
      </c>
    </row>
    <row r="2923" spans="1:9" x14ac:dyDescent="0.45">
      <c r="A2923" t="s">
        <v>80</v>
      </c>
      <c r="B2923" t="s">
        <v>49</v>
      </c>
      <c r="C2923" t="str">
        <f t="shared" si="90"/>
        <v>WoffordNorfolk St.</v>
      </c>
      <c r="D2923" t="s">
        <v>49</v>
      </c>
      <c r="E2923">
        <v>45.3</v>
      </c>
      <c r="F2923" s="1">
        <v>1.24905660377358</v>
      </c>
      <c r="G2923" s="2">
        <v>120.98467111582001</v>
      </c>
      <c r="H2923" s="1">
        <v>138.967178923625</v>
      </c>
      <c r="I2923" s="1">
        <f t="shared" si="91"/>
        <v>141.43811124403487</v>
      </c>
    </row>
    <row r="2924" spans="1:9" x14ac:dyDescent="0.45">
      <c r="A2924" t="s">
        <v>72</v>
      </c>
      <c r="B2924" t="s">
        <v>49</v>
      </c>
      <c r="C2924" t="str">
        <f t="shared" si="90"/>
        <v>XavierNorfolk St.</v>
      </c>
      <c r="D2924" t="s">
        <v>72</v>
      </c>
      <c r="E2924">
        <v>89.3</v>
      </c>
      <c r="F2924" s="1">
        <v>-13.898113207547199</v>
      </c>
      <c r="G2924" s="2">
        <v>-833.34361277385699</v>
      </c>
      <c r="H2924" s="1">
        <v>139.70998109424599</v>
      </c>
      <c r="I2924" s="1">
        <f t="shared" si="91"/>
        <v>151.86832806432579</v>
      </c>
    </row>
    <row r="2925" spans="1:9" x14ac:dyDescent="0.45">
      <c r="A2925" t="s">
        <v>73</v>
      </c>
      <c r="B2925" t="s">
        <v>49</v>
      </c>
      <c r="C2925" t="str">
        <f t="shared" si="90"/>
        <v>YaleNorfolk St.</v>
      </c>
      <c r="D2925" t="s">
        <v>73</v>
      </c>
      <c r="E2925">
        <v>81.3</v>
      </c>
      <c r="F2925" s="1">
        <v>-9.6490566037735803</v>
      </c>
      <c r="G2925" s="2">
        <v>-435.7913639729</v>
      </c>
      <c r="H2925" s="1">
        <v>140.309687230641</v>
      </c>
      <c r="I2925" s="1">
        <f t="shared" si="91"/>
        <v>160.28923106980525</v>
      </c>
    </row>
    <row r="2926" spans="1:9" x14ac:dyDescent="0.45">
      <c r="A2926" t="s">
        <v>7</v>
      </c>
      <c r="B2926" t="s">
        <v>50</v>
      </c>
      <c r="C2926" t="str">
        <f t="shared" si="90"/>
        <v>AkronNorth Carolina</v>
      </c>
      <c r="D2926" t="s">
        <v>50</v>
      </c>
      <c r="E2926">
        <v>3.8</v>
      </c>
      <c r="F2926" s="1">
        <v>21.230188679245298</v>
      </c>
      <c r="G2926" s="2">
        <v>2550.24960798649</v>
      </c>
      <c r="H2926" s="1">
        <v>137.05290833674999</v>
      </c>
      <c r="I2926" s="1">
        <f t="shared" si="91"/>
        <v>114.55846809878142</v>
      </c>
    </row>
    <row r="2927" spans="1:9" x14ac:dyDescent="0.45">
      <c r="A2927" t="s">
        <v>8</v>
      </c>
      <c r="B2927" t="s">
        <v>50</v>
      </c>
      <c r="C2927" t="str">
        <f t="shared" si="90"/>
        <v>AlabamaNorth Carolina</v>
      </c>
      <c r="D2927" t="s">
        <v>8</v>
      </c>
      <c r="E2927">
        <v>74.7</v>
      </c>
      <c r="F2927" s="1">
        <v>-7.1094339622641503</v>
      </c>
      <c r="G2927" s="2">
        <v>-295.76584129365102</v>
      </c>
      <c r="H2927" s="1">
        <v>138.86051952434599</v>
      </c>
      <c r="I2927" s="1">
        <f t="shared" si="91"/>
        <v>139.94043029424441</v>
      </c>
    </row>
    <row r="2928" spans="1:9" x14ac:dyDescent="0.45">
      <c r="A2928" t="s">
        <v>9</v>
      </c>
      <c r="B2928" t="s">
        <v>50</v>
      </c>
      <c r="C2928" t="str">
        <f t="shared" si="90"/>
        <v>Alabama St.North Carolina</v>
      </c>
      <c r="D2928" t="s">
        <v>50</v>
      </c>
      <c r="E2928">
        <v>0.6</v>
      </c>
      <c r="F2928" s="1">
        <v>33.550943396226401</v>
      </c>
      <c r="G2928" s="2">
        <v>16698.3056806315</v>
      </c>
      <c r="H2928" s="1">
        <v>137.23967009617201</v>
      </c>
      <c r="I2928" s="1">
        <f t="shared" si="91"/>
        <v>117.18092360787354</v>
      </c>
    </row>
    <row r="2929" spans="1:9" x14ac:dyDescent="0.45">
      <c r="A2929" t="s">
        <v>10</v>
      </c>
      <c r="B2929" t="s">
        <v>50</v>
      </c>
      <c r="C2929" t="str">
        <f t="shared" si="90"/>
        <v>AmericanNorth Carolina</v>
      </c>
      <c r="D2929" t="s">
        <v>50</v>
      </c>
      <c r="E2929">
        <v>0.7</v>
      </c>
      <c r="F2929" s="1">
        <v>32.792452830188701</v>
      </c>
      <c r="G2929" s="2">
        <v>14877.3690710549</v>
      </c>
      <c r="H2929" s="1">
        <v>137.002959615934</v>
      </c>
      <c r="I2929" s="1">
        <f t="shared" si="91"/>
        <v>113.85710236694541</v>
      </c>
    </row>
    <row r="2930" spans="1:9" x14ac:dyDescent="0.45">
      <c r="A2930" t="s">
        <v>11</v>
      </c>
      <c r="B2930" t="s">
        <v>50</v>
      </c>
      <c r="C2930" t="str">
        <f t="shared" si="90"/>
        <v>ArizonaNorth Carolina</v>
      </c>
      <c r="D2930" t="s">
        <v>11</v>
      </c>
      <c r="E2930">
        <v>66</v>
      </c>
      <c r="F2930" s="1">
        <v>-4.3547169811320803</v>
      </c>
      <c r="G2930" s="2">
        <v>-194.26467329826701</v>
      </c>
      <c r="H2930" s="1">
        <v>138.47099886452301</v>
      </c>
      <c r="I2930" s="1">
        <f t="shared" si="91"/>
        <v>134.47089197216343</v>
      </c>
    </row>
    <row r="2931" spans="1:9" x14ac:dyDescent="0.45">
      <c r="A2931" t="s">
        <v>12</v>
      </c>
      <c r="B2931" t="s">
        <v>50</v>
      </c>
      <c r="C2931" t="str">
        <f t="shared" si="90"/>
        <v>ArkansasNorth Carolina</v>
      </c>
      <c r="D2931" t="s">
        <v>50</v>
      </c>
      <c r="E2931">
        <v>11.2</v>
      </c>
      <c r="F2931" s="1">
        <v>13.547169811320799</v>
      </c>
      <c r="G2931" s="2">
        <v>789.77934589559095</v>
      </c>
      <c r="H2931" s="1">
        <v>136.796922842312</v>
      </c>
      <c r="I2931" s="1">
        <f t="shared" si="91"/>
        <v>110.96399259044315</v>
      </c>
    </row>
    <row r="2932" spans="1:9" x14ac:dyDescent="0.45">
      <c r="A2932" t="s">
        <v>13</v>
      </c>
      <c r="B2932" t="s">
        <v>50</v>
      </c>
      <c r="C2932" t="str">
        <f t="shared" si="90"/>
        <v>AuburnNorth Carolina</v>
      </c>
      <c r="D2932" t="s">
        <v>13</v>
      </c>
      <c r="E2932">
        <v>85.3</v>
      </c>
      <c r="F2932" s="1">
        <v>-11.547169811320799</v>
      </c>
      <c r="G2932" s="2">
        <v>-582.18168396182102</v>
      </c>
      <c r="H2932" s="1">
        <v>139.88273575769799</v>
      </c>
      <c r="I2932" s="1">
        <f t="shared" si="91"/>
        <v>154.29409991555011</v>
      </c>
    </row>
    <row r="2933" spans="1:9" x14ac:dyDescent="0.45">
      <c r="A2933" t="s">
        <v>14</v>
      </c>
      <c r="B2933" t="s">
        <v>50</v>
      </c>
      <c r="C2933" t="str">
        <f t="shared" si="90"/>
        <v>BaylorNorth Carolina</v>
      </c>
      <c r="D2933" t="s">
        <v>50</v>
      </c>
      <c r="E2933">
        <v>37</v>
      </c>
      <c r="F2933" s="1">
        <v>3.5018867924528299</v>
      </c>
      <c r="G2933" s="2">
        <v>170.57039904694599</v>
      </c>
      <c r="H2933" s="1">
        <v>138.345653118879</v>
      </c>
      <c r="I2933" s="1">
        <f t="shared" si="91"/>
        <v>132.71082266127934</v>
      </c>
    </row>
    <row r="2934" spans="1:9" x14ac:dyDescent="0.45">
      <c r="A2934" t="s">
        <v>15</v>
      </c>
      <c r="B2934" t="s">
        <v>50</v>
      </c>
      <c r="C2934" t="str">
        <f t="shared" si="90"/>
        <v>BryantNorth Carolina</v>
      </c>
      <c r="D2934" t="s">
        <v>50</v>
      </c>
      <c r="E2934">
        <v>2.7</v>
      </c>
      <c r="F2934" s="1">
        <v>23.569811320754699</v>
      </c>
      <c r="G2934" s="2">
        <v>3644.3113730406399</v>
      </c>
      <c r="H2934" s="1">
        <v>137.93797299452399</v>
      </c>
      <c r="I2934" s="1">
        <f t="shared" si="91"/>
        <v>126.98629430295338</v>
      </c>
    </row>
    <row r="2935" spans="1:9" x14ac:dyDescent="0.45">
      <c r="A2935" t="s">
        <v>16</v>
      </c>
      <c r="B2935" t="s">
        <v>50</v>
      </c>
      <c r="C2935" t="str">
        <f t="shared" si="90"/>
        <v>BYUNorth Carolina</v>
      </c>
      <c r="D2935" t="s">
        <v>50</v>
      </c>
      <c r="E2935">
        <v>40.9</v>
      </c>
      <c r="F2935" s="1">
        <v>2.4075471698113202</v>
      </c>
      <c r="G2935" s="2">
        <v>144.34240043665099</v>
      </c>
      <c r="H2935" s="1">
        <v>138.108013668968</v>
      </c>
      <c r="I2935" s="1">
        <f t="shared" si="91"/>
        <v>129.37395709241025</v>
      </c>
    </row>
    <row r="2936" spans="1:9" x14ac:dyDescent="0.45">
      <c r="A2936" t="s">
        <v>17</v>
      </c>
      <c r="B2936" t="s">
        <v>50</v>
      </c>
      <c r="C2936" t="str">
        <f t="shared" si="90"/>
        <v>ClemsonNorth Carolina</v>
      </c>
      <c r="D2936" t="s">
        <v>50</v>
      </c>
      <c r="E2936">
        <v>49.2</v>
      </c>
      <c r="F2936" s="1">
        <v>0.2</v>
      </c>
      <c r="G2936" s="2">
        <v>103.122339611781</v>
      </c>
      <c r="H2936" s="1">
        <v>138.45806389141001</v>
      </c>
      <c r="I2936" s="1">
        <f t="shared" si="91"/>
        <v>134.28926275853243</v>
      </c>
    </row>
    <row r="2937" spans="1:9" x14ac:dyDescent="0.45">
      <c r="A2937" t="s">
        <v>18</v>
      </c>
      <c r="B2937" t="s">
        <v>50</v>
      </c>
      <c r="C2937" t="str">
        <f t="shared" si="90"/>
        <v>Colorado St.North Carolina</v>
      </c>
      <c r="D2937" t="s">
        <v>50</v>
      </c>
      <c r="E2937">
        <v>13.8</v>
      </c>
      <c r="F2937" s="1">
        <v>11.9849056603774</v>
      </c>
      <c r="G2937" s="2">
        <v>622.18087099237903</v>
      </c>
      <c r="H2937" s="1">
        <v>137.84767486620399</v>
      </c>
      <c r="I2937" s="1">
        <f t="shared" si="91"/>
        <v>125.71835366667781</v>
      </c>
    </row>
    <row r="2938" spans="1:9" x14ac:dyDescent="0.45">
      <c r="A2938" t="s">
        <v>19</v>
      </c>
      <c r="B2938" t="s">
        <v>50</v>
      </c>
      <c r="C2938" t="str">
        <f t="shared" si="90"/>
        <v>ConnecticutNorth Carolina</v>
      </c>
      <c r="D2938" t="s">
        <v>19</v>
      </c>
      <c r="E2938">
        <v>60.1</v>
      </c>
      <c r="F2938" s="1">
        <v>-2.69056603773585</v>
      </c>
      <c r="G2938" s="2">
        <v>-150.77646979633101</v>
      </c>
      <c r="H2938" s="1">
        <v>138.25831472215799</v>
      </c>
      <c r="I2938" s="1">
        <f t="shared" si="91"/>
        <v>131.48444173434271</v>
      </c>
    </row>
    <row r="2939" spans="1:9" x14ac:dyDescent="0.45">
      <c r="A2939" t="s">
        <v>20</v>
      </c>
      <c r="B2939" t="s">
        <v>50</v>
      </c>
      <c r="C2939" t="str">
        <f t="shared" si="90"/>
        <v>CreightonNorth Carolina</v>
      </c>
      <c r="D2939" t="s">
        <v>50</v>
      </c>
      <c r="E2939">
        <v>31.8</v>
      </c>
      <c r="F2939" s="1">
        <v>5.0150943396226397</v>
      </c>
      <c r="G2939" s="2">
        <v>214.93101478553001</v>
      </c>
      <c r="H2939" s="1">
        <v>137.807611474997</v>
      </c>
      <c r="I2939" s="1">
        <f t="shared" si="91"/>
        <v>125.15579492173546</v>
      </c>
    </row>
    <row r="2940" spans="1:9" x14ac:dyDescent="0.45">
      <c r="A2940" t="s">
        <v>21</v>
      </c>
      <c r="B2940" t="s">
        <v>50</v>
      </c>
      <c r="C2940" t="str">
        <f t="shared" si="90"/>
        <v>DrakeNorth Carolina</v>
      </c>
      <c r="D2940" t="s">
        <v>50</v>
      </c>
      <c r="E2940">
        <v>13.5</v>
      </c>
      <c r="F2940" s="1">
        <v>12.188679245283</v>
      </c>
      <c r="G2940" s="2">
        <v>641.92868467288099</v>
      </c>
      <c r="H2940" s="1">
        <v>138.04228728067099</v>
      </c>
      <c r="I2940" s="1">
        <f t="shared" si="91"/>
        <v>128.4510458411153</v>
      </c>
    </row>
    <row r="2941" spans="1:9" x14ac:dyDescent="0.45">
      <c r="A2941" t="s">
        <v>22</v>
      </c>
      <c r="B2941" t="s">
        <v>50</v>
      </c>
      <c r="C2941" t="str">
        <f t="shared" si="90"/>
        <v>DukeNorth Carolina</v>
      </c>
      <c r="D2941" t="s">
        <v>22</v>
      </c>
      <c r="E2941">
        <v>89.1</v>
      </c>
      <c r="F2941" s="1">
        <v>-13.7622641509434</v>
      </c>
      <c r="G2941" s="2">
        <v>-816.14184103329796</v>
      </c>
      <c r="H2941" s="1">
        <v>140.12262716927401</v>
      </c>
      <c r="I2941" s="1">
        <f t="shared" si="91"/>
        <v>157.66258688964146</v>
      </c>
    </row>
    <row r="2942" spans="1:9" x14ac:dyDescent="0.45">
      <c r="A2942" t="s">
        <v>23</v>
      </c>
      <c r="B2942" t="s">
        <v>50</v>
      </c>
      <c r="C2942" t="str">
        <f t="shared" si="90"/>
        <v>FloridaNorth Carolina</v>
      </c>
      <c r="D2942" t="s">
        <v>23</v>
      </c>
      <c r="E2942">
        <v>81.900000000000006</v>
      </c>
      <c r="F2942" s="1">
        <v>-9.9056603773584904</v>
      </c>
      <c r="G2942" s="2">
        <v>-453.141129867887</v>
      </c>
      <c r="H2942" s="1">
        <v>139.85727769682899</v>
      </c>
      <c r="I2942" s="1">
        <f t="shared" si="91"/>
        <v>153.93662506532743</v>
      </c>
    </row>
    <row r="2943" spans="1:9" x14ac:dyDescent="0.45">
      <c r="A2943" t="s">
        <v>24</v>
      </c>
      <c r="B2943" t="s">
        <v>50</v>
      </c>
      <c r="C2943" t="str">
        <f t="shared" si="90"/>
        <v>GeorgiaNorth Carolina</v>
      </c>
      <c r="D2943" t="s">
        <v>50</v>
      </c>
      <c r="E2943">
        <v>15.4</v>
      </c>
      <c r="F2943" s="1">
        <v>11.154716981132101</v>
      </c>
      <c r="G2943" s="2">
        <v>548.38053983826001</v>
      </c>
      <c r="H2943" s="1">
        <v>137.121235993113</v>
      </c>
      <c r="I2943" s="1">
        <f t="shared" si="91"/>
        <v>115.51790561643531</v>
      </c>
    </row>
    <row r="2944" spans="1:9" x14ac:dyDescent="0.45">
      <c r="A2944" t="s">
        <v>25</v>
      </c>
      <c r="B2944" t="s">
        <v>50</v>
      </c>
      <c r="C2944" t="str">
        <f t="shared" si="90"/>
        <v>GonzagaNorth Carolina</v>
      </c>
      <c r="D2944" t="s">
        <v>50</v>
      </c>
      <c r="E2944">
        <v>48</v>
      </c>
      <c r="F2944" s="1">
        <v>0.524528301886792</v>
      </c>
      <c r="G2944" s="2">
        <v>108.353561819502</v>
      </c>
      <c r="H2944" s="1">
        <v>139.09819772361899</v>
      </c>
      <c r="I2944" s="1">
        <f t="shared" si="91"/>
        <v>143.27783997063409</v>
      </c>
    </row>
    <row r="2945" spans="1:9" x14ac:dyDescent="0.45">
      <c r="A2945" t="s">
        <v>26</v>
      </c>
      <c r="B2945" t="s">
        <v>50</v>
      </c>
      <c r="C2945" t="str">
        <f t="shared" si="90"/>
        <v>Grand CanyonNorth Carolina</v>
      </c>
      <c r="D2945" t="s">
        <v>50</v>
      </c>
      <c r="E2945">
        <v>9.1</v>
      </c>
      <c r="F2945" s="1">
        <v>15.0754716981132</v>
      </c>
      <c r="G2945" s="2">
        <v>997.29129229008595</v>
      </c>
      <c r="H2945" s="1">
        <v>137.91616944115901</v>
      </c>
      <c r="I2945" s="1">
        <f t="shared" si="91"/>
        <v>126.68013500772764</v>
      </c>
    </row>
    <row r="2946" spans="1:9" x14ac:dyDescent="0.45">
      <c r="A2946" t="s">
        <v>27</v>
      </c>
      <c r="B2946" t="s">
        <v>50</v>
      </c>
      <c r="C2946" t="str">
        <f t="shared" si="90"/>
        <v>High PointNorth Carolina</v>
      </c>
      <c r="D2946" t="s">
        <v>50</v>
      </c>
      <c r="E2946">
        <v>5.9</v>
      </c>
      <c r="F2946" s="1">
        <v>18.166037735849098</v>
      </c>
      <c r="G2946" s="2">
        <v>1597.7325695401701</v>
      </c>
      <c r="H2946" s="1">
        <v>138.10737657470699</v>
      </c>
      <c r="I2946" s="1">
        <f t="shared" si="91"/>
        <v>129.36501119599245</v>
      </c>
    </row>
    <row r="2947" spans="1:9" x14ac:dyDescent="0.45">
      <c r="A2947" t="s">
        <v>28</v>
      </c>
      <c r="B2947" t="s">
        <v>50</v>
      </c>
      <c r="C2947" t="str">
        <f t="shared" ref="C2947:C3010" si="92">A2947&amp;B2947</f>
        <v>HoustonNorth Carolina</v>
      </c>
      <c r="D2947" t="s">
        <v>28</v>
      </c>
      <c r="E2947">
        <v>93.2</v>
      </c>
      <c r="F2947" s="1">
        <v>-17.116981132075502</v>
      </c>
      <c r="G2947" s="2">
        <v>-1361.4315284521699</v>
      </c>
      <c r="H2947" s="1">
        <v>140.22083893191001</v>
      </c>
      <c r="I2947" s="1">
        <f t="shared" ref="I2947:I3010" si="93">18*(H2947-AVERAGE($H$2:$H$4625))/_xlfn.STDEV.P($H$2:$H$4625)+AVERAGE($H$2:$H$4625)</f>
        <v>159.04164852827404</v>
      </c>
    </row>
    <row r="2948" spans="1:9" x14ac:dyDescent="0.45">
      <c r="A2948" t="s">
        <v>29</v>
      </c>
      <c r="B2948" t="s">
        <v>50</v>
      </c>
      <c r="C2948" t="str">
        <f t="shared" si="92"/>
        <v>IllinoisNorth Carolina</v>
      </c>
      <c r="D2948" t="s">
        <v>29</v>
      </c>
      <c r="E2948">
        <v>57.3</v>
      </c>
      <c r="F2948" s="1">
        <v>-1.92830188679245</v>
      </c>
      <c r="G2948" s="2">
        <v>-134.20918033294501</v>
      </c>
      <c r="H2948" s="1">
        <v>138.27930270687199</v>
      </c>
      <c r="I2948" s="1">
        <f t="shared" si="93"/>
        <v>131.77914904652644</v>
      </c>
    </row>
    <row r="2949" spans="1:9" x14ac:dyDescent="0.45">
      <c r="A2949" t="s">
        <v>30</v>
      </c>
      <c r="B2949" t="s">
        <v>50</v>
      </c>
      <c r="C2949" t="str">
        <f t="shared" si="92"/>
        <v>Iowa St.North Carolina</v>
      </c>
      <c r="D2949" t="s">
        <v>30</v>
      </c>
      <c r="E2949">
        <v>73.8</v>
      </c>
      <c r="F2949" s="1">
        <v>-6.7886792452830198</v>
      </c>
      <c r="G2949" s="2">
        <v>-281.73336549973698</v>
      </c>
      <c r="H2949" s="1">
        <v>139.17584499845799</v>
      </c>
      <c r="I2949" s="1">
        <f t="shared" si="93"/>
        <v>144.36814092034507</v>
      </c>
    </row>
    <row r="2950" spans="1:9" x14ac:dyDescent="0.45">
      <c r="A2950" t="s">
        <v>31</v>
      </c>
      <c r="B2950" t="s">
        <v>50</v>
      </c>
      <c r="C2950" t="str">
        <f t="shared" si="92"/>
        <v>KansasNorth Carolina</v>
      </c>
      <c r="D2950" t="s">
        <v>50</v>
      </c>
      <c r="E2950">
        <v>46.5</v>
      </c>
      <c r="F2950" s="1">
        <v>0.92452830188679203</v>
      </c>
      <c r="G2950" s="2">
        <v>115.176175282271</v>
      </c>
      <c r="H2950" s="1">
        <v>138.226432887312</v>
      </c>
      <c r="I2950" s="1">
        <f t="shared" si="93"/>
        <v>131.03676607691381</v>
      </c>
    </row>
    <row r="2951" spans="1:9" x14ac:dyDescent="0.45">
      <c r="A2951" t="s">
        <v>32</v>
      </c>
      <c r="B2951" t="s">
        <v>50</v>
      </c>
      <c r="C2951" t="str">
        <f t="shared" si="92"/>
        <v>KentuckyNorth Carolina</v>
      </c>
      <c r="D2951" t="s">
        <v>32</v>
      </c>
      <c r="E2951">
        <v>59.2</v>
      </c>
      <c r="F2951" s="1">
        <v>-2.4377358490566001</v>
      </c>
      <c r="G2951" s="2">
        <v>-145.051856015103</v>
      </c>
      <c r="H2951" s="1">
        <v>138.16071521943701</v>
      </c>
      <c r="I2951" s="1">
        <f t="shared" si="93"/>
        <v>130.11397727530462</v>
      </c>
    </row>
    <row r="2952" spans="1:9" x14ac:dyDescent="0.45">
      <c r="A2952" t="s">
        <v>33</v>
      </c>
      <c r="B2952" t="s">
        <v>50</v>
      </c>
      <c r="C2952" t="str">
        <f t="shared" si="92"/>
        <v>LibertyNorth Carolina</v>
      </c>
      <c r="D2952" t="s">
        <v>50</v>
      </c>
      <c r="E2952">
        <v>4.2</v>
      </c>
      <c r="F2952" s="1">
        <v>20.547169811320799</v>
      </c>
      <c r="G2952" s="2">
        <v>2297.75978776784</v>
      </c>
      <c r="H2952" s="1">
        <v>137.50571626315499</v>
      </c>
      <c r="I2952" s="1">
        <f t="shared" si="93"/>
        <v>120.91666821874352</v>
      </c>
    </row>
    <row r="2953" spans="1:9" x14ac:dyDescent="0.45">
      <c r="A2953" t="s">
        <v>34</v>
      </c>
      <c r="B2953" t="s">
        <v>50</v>
      </c>
      <c r="C2953" t="str">
        <f t="shared" si="92"/>
        <v>LipscombNorth Carolina</v>
      </c>
      <c r="D2953" t="s">
        <v>50</v>
      </c>
      <c r="E2953">
        <v>3.2</v>
      </c>
      <c r="F2953" s="1">
        <v>22.415094339622598</v>
      </c>
      <c r="G2953" s="2">
        <v>3054.2383455264298</v>
      </c>
      <c r="H2953" s="1">
        <v>137.91203446074701</v>
      </c>
      <c r="I2953" s="1">
        <f t="shared" si="93"/>
        <v>126.62207278880761</v>
      </c>
    </row>
    <row r="2954" spans="1:9" x14ac:dyDescent="0.45">
      <c r="A2954" t="s">
        <v>35</v>
      </c>
      <c r="B2954" t="s">
        <v>50</v>
      </c>
      <c r="C2954" t="str">
        <f t="shared" si="92"/>
        <v>LouisvilleNorth Carolina</v>
      </c>
      <c r="D2954" t="s">
        <v>50</v>
      </c>
      <c r="E2954">
        <v>7.6</v>
      </c>
      <c r="F2954" s="1">
        <v>16.366037735849101</v>
      </c>
      <c r="G2954" s="2">
        <v>1213.8501891477399</v>
      </c>
      <c r="H2954" s="1">
        <v>137.15739646656399</v>
      </c>
      <c r="I2954" s="1">
        <f t="shared" si="93"/>
        <v>116.02566070027264</v>
      </c>
    </row>
    <row r="2955" spans="1:9" x14ac:dyDescent="0.45">
      <c r="A2955" t="s">
        <v>36</v>
      </c>
      <c r="B2955" t="s">
        <v>50</v>
      </c>
      <c r="C2955" t="str">
        <f t="shared" si="92"/>
        <v>MarquetteNorth Carolina</v>
      </c>
      <c r="D2955" t="s">
        <v>36</v>
      </c>
      <c r="E2955">
        <v>52.7</v>
      </c>
      <c r="F2955" s="1">
        <v>-0.70188679245283003</v>
      </c>
      <c r="G2955" s="2">
        <v>-111.321284047685</v>
      </c>
      <c r="H2955" s="1">
        <v>138.419530310026</v>
      </c>
      <c r="I2955" s="1">
        <f t="shared" si="93"/>
        <v>133.74818516803285</v>
      </c>
    </row>
    <row r="2956" spans="1:9" x14ac:dyDescent="0.45">
      <c r="A2956" t="s">
        <v>37</v>
      </c>
      <c r="B2956" t="s">
        <v>50</v>
      </c>
      <c r="C2956" t="str">
        <f t="shared" si="92"/>
        <v>MarylandNorth Carolina</v>
      </c>
      <c r="D2956" t="s">
        <v>50</v>
      </c>
      <c r="E2956">
        <v>40.700000000000003</v>
      </c>
      <c r="F2956" s="1">
        <v>2.4641509433962301</v>
      </c>
      <c r="G2956" s="2">
        <v>145.63160121297901</v>
      </c>
      <c r="H2956" s="1">
        <v>137.87789990856899</v>
      </c>
      <c r="I2956" s="1">
        <f t="shared" si="93"/>
        <v>126.14276511529529</v>
      </c>
    </row>
    <row r="2957" spans="1:9" x14ac:dyDescent="0.45">
      <c r="A2957" t="s">
        <v>38</v>
      </c>
      <c r="B2957" t="s">
        <v>50</v>
      </c>
      <c r="C2957" t="str">
        <f t="shared" si="92"/>
        <v>McNeese St.North Carolina</v>
      </c>
      <c r="D2957" t="s">
        <v>50</v>
      </c>
      <c r="E2957">
        <v>13.8</v>
      </c>
      <c r="F2957" s="1">
        <v>12.0037735849057</v>
      </c>
      <c r="G2957" s="2">
        <v>624.20220459434904</v>
      </c>
      <c r="H2957" s="1">
        <v>138.47113532153401</v>
      </c>
      <c r="I2957" s="1">
        <f t="shared" si="93"/>
        <v>134.47280806270223</v>
      </c>
    </row>
    <row r="2958" spans="1:9" x14ac:dyDescent="0.45">
      <c r="A2958" t="s">
        <v>39</v>
      </c>
      <c r="B2958" t="s">
        <v>50</v>
      </c>
      <c r="C2958" t="str">
        <f t="shared" si="92"/>
        <v>MemphisNorth Carolina</v>
      </c>
      <c r="D2958" t="s">
        <v>50</v>
      </c>
      <c r="E2958">
        <v>27.9</v>
      </c>
      <c r="F2958" s="1">
        <v>6.2301886792452796</v>
      </c>
      <c r="G2958" s="2">
        <v>258.61635790750603</v>
      </c>
      <c r="H2958" s="1">
        <v>137.005417148059</v>
      </c>
      <c r="I2958" s="1">
        <f t="shared" si="93"/>
        <v>113.89161033410048</v>
      </c>
    </row>
    <row r="2959" spans="1:9" x14ac:dyDescent="0.45">
      <c r="A2959" t="s">
        <v>40</v>
      </c>
      <c r="B2959" t="s">
        <v>50</v>
      </c>
      <c r="C2959" t="str">
        <f t="shared" si="92"/>
        <v>MichiganNorth Carolina</v>
      </c>
      <c r="D2959" t="s">
        <v>50</v>
      </c>
      <c r="E2959">
        <v>16</v>
      </c>
      <c r="F2959" s="1">
        <v>10.852830188679199</v>
      </c>
      <c r="G2959" s="2">
        <v>523.66147593618598</v>
      </c>
      <c r="H2959" s="1">
        <v>136.568038444976</v>
      </c>
      <c r="I2959" s="1">
        <f t="shared" si="93"/>
        <v>107.75006297981706</v>
      </c>
    </row>
    <row r="2960" spans="1:9" x14ac:dyDescent="0.45">
      <c r="A2960" t="s">
        <v>41</v>
      </c>
      <c r="B2960" t="s">
        <v>50</v>
      </c>
      <c r="C2960" t="str">
        <f t="shared" si="92"/>
        <v>Michigan St.North Carolina</v>
      </c>
      <c r="D2960" t="s">
        <v>41</v>
      </c>
      <c r="E2960">
        <v>64.400000000000006</v>
      </c>
      <c r="F2960" s="1">
        <v>-3.8943396226415099</v>
      </c>
      <c r="G2960" s="2">
        <v>-181.09418950148299</v>
      </c>
      <c r="H2960" s="1">
        <v>138.21511815418299</v>
      </c>
      <c r="I2960" s="1">
        <f t="shared" si="93"/>
        <v>130.87788781232732</v>
      </c>
    </row>
    <row r="2961" spans="1:9" x14ac:dyDescent="0.45">
      <c r="A2961" t="s">
        <v>42</v>
      </c>
      <c r="B2961" t="s">
        <v>50</v>
      </c>
      <c r="C2961" t="str">
        <f t="shared" si="92"/>
        <v>MississippiNorth Carolina</v>
      </c>
      <c r="D2961" t="s">
        <v>50</v>
      </c>
      <c r="E2961">
        <v>33.1</v>
      </c>
      <c r="F2961" s="1">
        <v>4.6037735849056602</v>
      </c>
      <c r="G2961" s="2">
        <v>201.821253464943</v>
      </c>
      <c r="H2961" s="1">
        <v>137.48280950407201</v>
      </c>
      <c r="I2961" s="1">
        <f t="shared" si="93"/>
        <v>120.59501802258703</v>
      </c>
    </row>
    <row r="2962" spans="1:9" x14ac:dyDescent="0.45">
      <c r="A2962" t="s">
        <v>43</v>
      </c>
      <c r="B2962" t="s">
        <v>50</v>
      </c>
      <c r="C2962" t="str">
        <f t="shared" si="92"/>
        <v>Mississippi St.North Carolina</v>
      </c>
      <c r="D2962" t="s">
        <v>50</v>
      </c>
      <c r="E2962">
        <v>27.6</v>
      </c>
      <c r="F2962" s="1">
        <v>6.3283018867924499</v>
      </c>
      <c r="G2962" s="2">
        <v>262.509010635886</v>
      </c>
      <c r="H2962" s="1">
        <v>137.622555976749</v>
      </c>
      <c r="I2962" s="1">
        <f t="shared" si="93"/>
        <v>122.55729824677285</v>
      </c>
    </row>
    <row r="2963" spans="1:9" x14ac:dyDescent="0.45">
      <c r="A2963" t="s">
        <v>44</v>
      </c>
      <c r="B2963" t="s">
        <v>50</v>
      </c>
      <c r="C2963" t="str">
        <f t="shared" si="92"/>
        <v>MissouriNorth Carolina</v>
      </c>
      <c r="D2963" t="s">
        <v>50</v>
      </c>
      <c r="E2963">
        <v>15.2</v>
      </c>
      <c r="F2963" s="1">
        <v>11.260377358490601</v>
      </c>
      <c r="G2963" s="2">
        <v>557.21461268237999</v>
      </c>
      <c r="H2963" s="1">
        <v>137.040217875395</v>
      </c>
      <c r="I2963" s="1">
        <f t="shared" si="93"/>
        <v>114.38027224971512</v>
      </c>
    </row>
    <row r="2964" spans="1:9" x14ac:dyDescent="0.45">
      <c r="A2964" t="s">
        <v>45</v>
      </c>
      <c r="B2964" t="s">
        <v>50</v>
      </c>
      <c r="C2964" t="str">
        <f t="shared" si="92"/>
        <v>MontanaNorth Carolina</v>
      </c>
      <c r="D2964" t="s">
        <v>50</v>
      </c>
      <c r="E2964">
        <v>1.6</v>
      </c>
      <c r="F2964" s="1">
        <v>27.067924528301901</v>
      </c>
      <c r="G2964" s="2">
        <v>6211.09596914546</v>
      </c>
      <c r="H2964" s="1">
        <v>136.17692943880101</v>
      </c>
      <c r="I2964" s="1">
        <f t="shared" si="93"/>
        <v>102.25822155000105</v>
      </c>
    </row>
    <row r="2965" spans="1:9" x14ac:dyDescent="0.45">
      <c r="A2965" t="s">
        <v>46</v>
      </c>
      <c r="B2965" t="s">
        <v>50</v>
      </c>
      <c r="C2965" t="str">
        <f t="shared" si="92"/>
        <v>Mount St. Mary'sNorth Carolina</v>
      </c>
      <c r="D2965" t="s">
        <v>50</v>
      </c>
      <c r="E2965">
        <v>0.6</v>
      </c>
      <c r="F2965" s="1">
        <v>33.4</v>
      </c>
      <c r="G2965" s="2">
        <v>16322.7142640278</v>
      </c>
      <c r="H2965" s="1">
        <v>137.480217392952</v>
      </c>
      <c r="I2965" s="1">
        <f t="shared" si="93"/>
        <v>120.55862033545941</v>
      </c>
    </row>
    <row r="2966" spans="1:9" x14ac:dyDescent="0.45">
      <c r="A2966" t="s">
        <v>47</v>
      </c>
      <c r="B2966" t="s">
        <v>50</v>
      </c>
      <c r="C2966" t="str">
        <f t="shared" si="92"/>
        <v>Nebraska OmahaNorth Carolina</v>
      </c>
      <c r="D2966" t="s">
        <v>50</v>
      </c>
      <c r="E2966">
        <v>0.8</v>
      </c>
      <c r="F2966" s="1">
        <v>31.211320754717001</v>
      </c>
      <c r="G2966" s="2">
        <v>11686.645133066901</v>
      </c>
      <c r="H2966" s="1">
        <v>136.897993525055</v>
      </c>
      <c r="I2966" s="1">
        <f t="shared" si="93"/>
        <v>112.38319837211583</v>
      </c>
    </row>
    <row r="2967" spans="1:9" x14ac:dyDescent="0.45">
      <c r="A2967" t="s">
        <v>48</v>
      </c>
      <c r="B2967" t="s">
        <v>50</v>
      </c>
      <c r="C2967" t="str">
        <f t="shared" si="92"/>
        <v>New MexicoNorth Carolina</v>
      </c>
      <c r="D2967" t="s">
        <v>50</v>
      </c>
      <c r="E2967">
        <v>17</v>
      </c>
      <c r="F2967" s="1">
        <v>10.377358490565999</v>
      </c>
      <c r="G2967" s="2">
        <v>487.08713953218103</v>
      </c>
      <c r="H2967" s="1">
        <v>137.66798345687201</v>
      </c>
      <c r="I2967" s="1">
        <f t="shared" si="93"/>
        <v>123.19517800267923</v>
      </c>
    </row>
    <row r="2968" spans="1:9" x14ac:dyDescent="0.45">
      <c r="A2968" t="s">
        <v>49</v>
      </c>
      <c r="B2968" t="s">
        <v>50</v>
      </c>
      <c r="C2968" t="str">
        <f t="shared" si="92"/>
        <v>Norfolk St.North Carolina</v>
      </c>
      <c r="D2968" t="s">
        <v>50</v>
      </c>
      <c r="E2968">
        <v>1.2</v>
      </c>
      <c r="F2968" s="1">
        <v>28.947169811320801</v>
      </c>
      <c r="G2968" s="2">
        <v>8272.5046583848598</v>
      </c>
      <c r="H2968" s="1">
        <v>136.70410922083599</v>
      </c>
      <c r="I2968" s="1">
        <f t="shared" si="93"/>
        <v>109.66073011469958</v>
      </c>
    </row>
    <row r="2969" spans="1:9" x14ac:dyDescent="0.45">
      <c r="A2969" t="s">
        <v>50</v>
      </c>
      <c r="B2969" t="s">
        <v>50</v>
      </c>
      <c r="C2969" t="str">
        <f t="shared" si="92"/>
        <v>North CarolinaNorth Carolina</v>
      </c>
      <c r="D2969" t="s">
        <v>50</v>
      </c>
      <c r="E2969">
        <v>41.2</v>
      </c>
      <c r="F2969" s="1">
        <v>2.3283018867924499</v>
      </c>
      <c r="G2969" s="2">
        <v>142.64273539779199</v>
      </c>
      <c r="H2969" s="1">
        <v>138.77771517530499</v>
      </c>
      <c r="I2969" s="1">
        <f t="shared" si="93"/>
        <v>138.77771517530684</v>
      </c>
    </row>
    <row r="2970" spans="1:9" x14ac:dyDescent="0.45">
      <c r="A2970" t="s">
        <v>51</v>
      </c>
      <c r="B2970" t="s">
        <v>50</v>
      </c>
      <c r="C2970" t="str">
        <f t="shared" si="92"/>
        <v>OklahomaNorth Carolina</v>
      </c>
      <c r="D2970" t="s">
        <v>50</v>
      </c>
      <c r="E2970">
        <v>19.7</v>
      </c>
      <c r="F2970" s="1">
        <v>9.2113207547169793</v>
      </c>
      <c r="G2970" s="2">
        <v>407.59315166433697</v>
      </c>
      <c r="H2970" s="1">
        <v>137.20133830148001</v>
      </c>
      <c r="I2970" s="1">
        <f t="shared" si="93"/>
        <v>116.64267944871312</v>
      </c>
    </row>
    <row r="2971" spans="1:9" x14ac:dyDescent="0.45">
      <c r="A2971" t="s">
        <v>52</v>
      </c>
      <c r="B2971" t="s">
        <v>50</v>
      </c>
      <c r="C2971" t="str">
        <f t="shared" si="92"/>
        <v>OregonNorth Carolina</v>
      </c>
      <c r="D2971" t="s">
        <v>50</v>
      </c>
      <c r="E2971">
        <v>40.799999999999997</v>
      </c>
      <c r="F2971" s="1">
        <v>2.44528301886792</v>
      </c>
      <c r="G2971" s="2">
        <v>145.197999431037</v>
      </c>
      <c r="H2971" s="1">
        <v>137.49205569300901</v>
      </c>
      <c r="I2971" s="1">
        <f t="shared" si="93"/>
        <v>120.72485037794169</v>
      </c>
    </row>
    <row r="2972" spans="1:9" x14ac:dyDescent="0.45">
      <c r="A2972" t="s">
        <v>53</v>
      </c>
      <c r="B2972" t="s">
        <v>50</v>
      </c>
      <c r="C2972" t="str">
        <f t="shared" si="92"/>
        <v>PurdueNorth Carolina</v>
      </c>
      <c r="D2972" t="s">
        <v>53</v>
      </c>
      <c r="E2972">
        <v>79.599999999999994</v>
      </c>
      <c r="F2972" s="1">
        <v>-8.9283018867924504</v>
      </c>
      <c r="G2972" s="2">
        <v>-390.336341525634</v>
      </c>
      <c r="H2972" s="1">
        <v>138.98014289280701</v>
      </c>
      <c r="I2972" s="1">
        <f t="shared" si="93"/>
        <v>141.62014761222008</v>
      </c>
    </row>
    <row r="2973" spans="1:9" x14ac:dyDescent="0.45">
      <c r="A2973" t="s">
        <v>54</v>
      </c>
      <c r="B2973" t="s">
        <v>50</v>
      </c>
      <c r="C2973" t="str">
        <f t="shared" si="92"/>
        <v>Robert MorrisNorth Carolina</v>
      </c>
      <c r="D2973" t="s">
        <v>50</v>
      </c>
      <c r="E2973">
        <v>0.5</v>
      </c>
      <c r="F2973" s="1">
        <v>34.962264150943398</v>
      </c>
      <c r="G2973" s="2">
        <v>20710.754141435598</v>
      </c>
      <c r="H2973" s="1">
        <v>136.06310822149399</v>
      </c>
      <c r="I2973" s="1">
        <f t="shared" si="93"/>
        <v>100.65997638834627</v>
      </c>
    </row>
    <row r="2974" spans="1:9" x14ac:dyDescent="0.45">
      <c r="A2974" t="s">
        <v>55</v>
      </c>
      <c r="B2974" t="s">
        <v>50</v>
      </c>
      <c r="C2974" t="str">
        <f t="shared" si="92"/>
        <v>Saint FrancisNorth Carolina</v>
      </c>
      <c r="D2974" t="s">
        <v>50</v>
      </c>
      <c r="E2974">
        <v>0.3</v>
      </c>
      <c r="F2974" s="1">
        <v>38.324528301886801</v>
      </c>
      <c r="G2974" s="2">
        <v>34592.193978294497</v>
      </c>
      <c r="H2974" s="1">
        <v>136.769956103537</v>
      </c>
      <c r="I2974" s="1">
        <f t="shared" si="93"/>
        <v>110.58533331414583</v>
      </c>
    </row>
    <row r="2975" spans="1:9" x14ac:dyDescent="0.45">
      <c r="A2975" t="s">
        <v>56</v>
      </c>
      <c r="B2975" t="s">
        <v>50</v>
      </c>
      <c r="C2975" t="str">
        <f t="shared" si="92"/>
        <v>Saint Mary'sNorth Carolina</v>
      </c>
      <c r="D2975" t="s">
        <v>50</v>
      </c>
      <c r="E2975">
        <v>40.299999999999997</v>
      </c>
      <c r="F2975" s="1">
        <v>2.5886792452830201</v>
      </c>
      <c r="G2975" s="2">
        <v>148.427349657213</v>
      </c>
      <c r="H2975" s="1">
        <v>138.49916221947899</v>
      </c>
      <c r="I2975" s="1">
        <f t="shared" si="93"/>
        <v>134.86635379254568</v>
      </c>
    </row>
    <row r="2976" spans="1:9" x14ac:dyDescent="0.45">
      <c r="A2976" t="s">
        <v>57</v>
      </c>
      <c r="B2976" t="s">
        <v>50</v>
      </c>
      <c r="C2976" t="str">
        <f t="shared" si="92"/>
        <v>San Diego St.North Carolina</v>
      </c>
      <c r="D2976" t="s">
        <v>50</v>
      </c>
      <c r="E2976">
        <v>17.3</v>
      </c>
      <c r="F2976" s="1">
        <v>10.264150943396199</v>
      </c>
      <c r="G2976" s="2">
        <v>478.53476993430502</v>
      </c>
      <c r="H2976" s="1">
        <v>137.71386138250799</v>
      </c>
      <c r="I2976" s="1">
        <f t="shared" si="93"/>
        <v>123.83938278636799</v>
      </c>
    </row>
    <row r="2977" spans="1:9" x14ac:dyDescent="0.45">
      <c r="A2977" t="s">
        <v>58</v>
      </c>
      <c r="B2977" t="s">
        <v>50</v>
      </c>
      <c r="C2977" t="str">
        <f t="shared" si="92"/>
        <v>SIU EdwardsvilleNorth Carolina</v>
      </c>
      <c r="D2977" t="s">
        <v>50</v>
      </c>
      <c r="E2977">
        <v>1</v>
      </c>
      <c r="F2977" s="1">
        <v>30.237735849056602</v>
      </c>
      <c r="G2977" s="2">
        <v>10073.8105258877</v>
      </c>
      <c r="H2977" s="1">
        <v>137.77311956269199</v>
      </c>
      <c r="I2977" s="1">
        <f t="shared" si="93"/>
        <v>124.67146929895625</v>
      </c>
    </row>
    <row r="2978" spans="1:9" x14ac:dyDescent="0.45">
      <c r="A2978" t="s">
        <v>59</v>
      </c>
      <c r="B2978" t="s">
        <v>50</v>
      </c>
      <c r="C2978" t="str">
        <f t="shared" si="92"/>
        <v>St. John'sNorth Carolina</v>
      </c>
      <c r="D2978" t="s">
        <v>59</v>
      </c>
      <c r="E2978">
        <v>66.2</v>
      </c>
      <c r="F2978" s="1">
        <v>-4.3962264150943398</v>
      </c>
      <c r="G2978" s="2">
        <v>-195.495028053195</v>
      </c>
      <c r="H2978" s="1">
        <v>138.592576011246</v>
      </c>
      <c r="I2978" s="1">
        <f t="shared" si="93"/>
        <v>136.17804368882159</v>
      </c>
    </row>
    <row r="2979" spans="1:9" x14ac:dyDescent="0.45">
      <c r="A2979" t="s">
        <v>60</v>
      </c>
      <c r="B2979" t="s">
        <v>50</v>
      </c>
      <c r="C2979" t="str">
        <f t="shared" si="92"/>
        <v>TennesseeNorth Carolina</v>
      </c>
      <c r="D2979" t="s">
        <v>60</v>
      </c>
      <c r="E2979">
        <v>81.2</v>
      </c>
      <c r="F2979" s="1">
        <v>-9.6113207547169797</v>
      </c>
      <c r="G2979" s="2">
        <v>-433.20474923758798</v>
      </c>
      <c r="H2979" s="1">
        <v>139.38580838537999</v>
      </c>
      <c r="I2979" s="1">
        <f t="shared" si="93"/>
        <v>147.31638708404199</v>
      </c>
    </row>
    <row r="2980" spans="1:9" x14ac:dyDescent="0.45">
      <c r="A2980" t="s">
        <v>61</v>
      </c>
      <c r="B2980" t="s">
        <v>50</v>
      </c>
      <c r="C2980" t="str">
        <f t="shared" si="92"/>
        <v>TexasNorth Carolina</v>
      </c>
      <c r="D2980" t="s">
        <v>50</v>
      </c>
      <c r="E2980">
        <v>14.8</v>
      </c>
      <c r="F2980" s="1">
        <v>11.486792452830199</v>
      </c>
      <c r="G2980" s="2">
        <v>576.702208358127</v>
      </c>
      <c r="H2980" s="1">
        <v>137.08569021301801</v>
      </c>
      <c r="I2980" s="1">
        <f t="shared" si="93"/>
        <v>115.01878188187864</v>
      </c>
    </row>
    <row r="2981" spans="1:9" x14ac:dyDescent="0.45">
      <c r="A2981" t="s">
        <v>62</v>
      </c>
      <c r="B2981" t="s">
        <v>50</v>
      </c>
      <c r="C2981" t="str">
        <f t="shared" si="92"/>
        <v>Texas A&amp;MNorth Carolina</v>
      </c>
      <c r="D2981" t="s">
        <v>50</v>
      </c>
      <c r="E2981">
        <v>49.7</v>
      </c>
      <c r="F2981" s="1">
        <v>8.3018867924528297E-2</v>
      </c>
      <c r="G2981" s="2">
        <v>101.29717534033099</v>
      </c>
      <c r="H2981" s="1">
        <v>137.87266552241601</v>
      </c>
      <c r="I2981" s="1">
        <f t="shared" si="93"/>
        <v>126.06926535364133</v>
      </c>
    </row>
    <row r="2982" spans="1:9" x14ac:dyDescent="0.45">
      <c r="A2982" t="s">
        <v>63</v>
      </c>
      <c r="B2982" t="s">
        <v>50</v>
      </c>
      <c r="C2982" t="str">
        <f t="shared" si="92"/>
        <v>Texas TechNorth Carolina</v>
      </c>
      <c r="D2982" t="s">
        <v>63</v>
      </c>
      <c r="E2982">
        <v>65.7</v>
      </c>
      <c r="F2982" s="1">
        <v>-4.24905660377358</v>
      </c>
      <c r="G2982" s="2">
        <v>-191.213304189008</v>
      </c>
      <c r="H2982" s="1">
        <v>138.863178127656</v>
      </c>
      <c r="I2982" s="1">
        <f t="shared" si="93"/>
        <v>139.97776164579304</v>
      </c>
    </row>
    <row r="2983" spans="1:9" x14ac:dyDescent="0.45">
      <c r="A2983" t="s">
        <v>64</v>
      </c>
      <c r="B2983" t="s">
        <v>50</v>
      </c>
      <c r="C2983" t="str">
        <f t="shared" si="92"/>
        <v>TroyNorth Carolina</v>
      </c>
      <c r="D2983" t="s">
        <v>50</v>
      </c>
      <c r="E2983">
        <v>2.7</v>
      </c>
      <c r="F2983" s="1">
        <v>23.558490566037701</v>
      </c>
      <c r="G2983" s="2">
        <v>3637.6688215982199</v>
      </c>
      <c r="H2983" s="1">
        <v>137.62948272221399</v>
      </c>
      <c r="I2983" s="1">
        <f t="shared" si="93"/>
        <v>122.65456163656405</v>
      </c>
    </row>
    <row r="2984" spans="1:9" x14ac:dyDescent="0.45">
      <c r="A2984" t="s">
        <v>65</v>
      </c>
      <c r="B2984" t="s">
        <v>50</v>
      </c>
      <c r="C2984" t="str">
        <f t="shared" si="92"/>
        <v>UC San DiegoNorth Carolina</v>
      </c>
      <c r="D2984" t="s">
        <v>50</v>
      </c>
      <c r="E2984">
        <v>6.6</v>
      </c>
      <c r="F2984" s="1">
        <v>17.377358490565999</v>
      </c>
      <c r="G2984" s="2">
        <v>1416.7566025077001</v>
      </c>
      <c r="H2984" s="1">
        <v>137.69960295187701</v>
      </c>
      <c r="I2984" s="1">
        <f t="shared" si="93"/>
        <v>123.63916995867281</v>
      </c>
    </row>
    <row r="2985" spans="1:9" x14ac:dyDescent="0.45">
      <c r="A2985" t="s">
        <v>66</v>
      </c>
      <c r="B2985" t="s">
        <v>50</v>
      </c>
      <c r="C2985" t="str">
        <f t="shared" si="92"/>
        <v>UCLANorth Carolina</v>
      </c>
      <c r="D2985" t="s">
        <v>50</v>
      </c>
      <c r="E2985">
        <v>19.5</v>
      </c>
      <c r="F2985" s="1">
        <v>9.2754716981132095</v>
      </c>
      <c r="G2985" s="2">
        <v>411.72173449245798</v>
      </c>
      <c r="H2985" s="1">
        <v>136.920861531089</v>
      </c>
      <c r="I2985" s="1">
        <f t="shared" si="93"/>
        <v>112.70430440898021</v>
      </c>
    </row>
    <row r="2986" spans="1:9" x14ac:dyDescent="0.45">
      <c r="A2986" t="s">
        <v>67</v>
      </c>
      <c r="B2986" t="s">
        <v>50</v>
      </c>
      <c r="C2986" t="str">
        <f t="shared" si="92"/>
        <v>UNC WilmingtonNorth Carolina</v>
      </c>
      <c r="D2986" t="s">
        <v>50</v>
      </c>
      <c r="E2986">
        <v>3.9</v>
      </c>
      <c r="F2986" s="1">
        <v>20.969811320754701</v>
      </c>
      <c r="G2986" s="2">
        <v>2450.5199085611598</v>
      </c>
      <c r="H2986" s="1">
        <v>138.23627142254199</v>
      </c>
      <c r="I2986" s="1">
        <f t="shared" si="93"/>
        <v>131.17491599044604</v>
      </c>
    </row>
    <row r="2987" spans="1:9" x14ac:dyDescent="0.45">
      <c r="A2987" t="s">
        <v>68</v>
      </c>
      <c r="B2987" t="s">
        <v>50</v>
      </c>
      <c r="C2987" t="str">
        <f t="shared" si="92"/>
        <v>Utah St.North Carolina</v>
      </c>
      <c r="D2987" t="s">
        <v>50</v>
      </c>
      <c r="E2987">
        <v>18.7</v>
      </c>
      <c r="F2987" s="1">
        <v>9.6415094339622591</v>
      </c>
      <c r="G2987" s="2">
        <v>435.331453416626</v>
      </c>
      <c r="H2987" s="1">
        <v>137.783457921121</v>
      </c>
      <c r="I2987" s="1">
        <f t="shared" si="93"/>
        <v>124.81663758769497</v>
      </c>
    </row>
    <row r="2988" spans="1:9" x14ac:dyDescent="0.45">
      <c r="A2988" t="s">
        <v>69</v>
      </c>
      <c r="B2988" t="s">
        <v>50</v>
      </c>
      <c r="C2988" t="str">
        <f t="shared" si="92"/>
        <v>VanderbiltNorth Carolina</v>
      </c>
      <c r="D2988" t="s">
        <v>50</v>
      </c>
      <c r="E2988">
        <v>4.3</v>
      </c>
      <c r="F2988" s="1">
        <v>20.2905660377359</v>
      </c>
      <c r="G2988" s="2">
        <v>2209.2202499037498</v>
      </c>
      <c r="H2988" s="1">
        <v>136.21749580240399</v>
      </c>
      <c r="I2988" s="1">
        <f t="shared" si="93"/>
        <v>102.82784289027808</v>
      </c>
    </row>
    <row r="2989" spans="1:9" x14ac:dyDescent="0.45">
      <c r="A2989" t="s">
        <v>70</v>
      </c>
      <c r="B2989" t="s">
        <v>50</v>
      </c>
      <c r="C2989" t="str">
        <f t="shared" si="92"/>
        <v>VCUNorth Carolina</v>
      </c>
      <c r="D2989" t="s">
        <v>50</v>
      </c>
      <c r="E2989">
        <v>12.7</v>
      </c>
      <c r="F2989" s="1">
        <v>12.6452830188679</v>
      </c>
      <c r="G2989" s="2">
        <v>688.20411549493303</v>
      </c>
      <c r="H2989" s="1">
        <v>138.142668931597</v>
      </c>
      <c r="I2989" s="1">
        <f t="shared" si="93"/>
        <v>129.86057643398061</v>
      </c>
    </row>
    <row r="2990" spans="1:9" x14ac:dyDescent="0.45">
      <c r="A2990" t="s">
        <v>71</v>
      </c>
      <c r="B2990" t="s">
        <v>50</v>
      </c>
      <c r="C2990" t="str">
        <f t="shared" si="92"/>
        <v>WisconsinNorth Carolina</v>
      </c>
      <c r="D2990" t="s">
        <v>71</v>
      </c>
      <c r="E2990">
        <v>62.4</v>
      </c>
      <c r="F2990" s="1">
        <v>-3.30943396226415</v>
      </c>
      <c r="G2990" s="2">
        <v>-165.64120201977201</v>
      </c>
      <c r="H2990" s="1">
        <v>138.79592453992899</v>
      </c>
      <c r="I2990" s="1">
        <f t="shared" si="93"/>
        <v>139.03340589445116</v>
      </c>
    </row>
    <row r="2991" spans="1:9" x14ac:dyDescent="0.45">
      <c r="A2991" t="s">
        <v>80</v>
      </c>
      <c r="B2991" t="s">
        <v>50</v>
      </c>
      <c r="C2991" t="str">
        <f t="shared" si="92"/>
        <v>WoffordNorth Carolina</v>
      </c>
      <c r="D2991" t="s">
        <v>50</v>
      </c>
      <c r="E2991">
        <v>1.4</v>
      </c>
      <c r="F2991" s="1">
        <v>27.864150943396201</v>
      </c>
      <c r="G2991" s="2">
        <v>7016.4544489959098</v>
      </c>
      <c r="H2991" s="1">
        <v>136.893572969155</v>
      </c>
      <c r="I2991" s="1">
        <f t="shared" si="93"/>
        <v>112.32112618341363</v>
      </c>
    </row>
    <row r="2992" spans="1:9" x14ac:dyDescent="0.45">
      <c r="A2992" t="s">
        <v>72</v>
      </c>
      <c r="B2992" t="s">
        <v>50</v>
      </c>
      <c r="C2992" t="str">
        <f t="shared" si="92"/>
        <v>XavierNorth Carolina</v>
      </c>
      <c r="D2992" t="s">
        <v>50</v>
      </c>
      <c r="E2992">
        <v>12.6</v>
      </c>
      <c r="F2992" s="1">
        <v>12.7169811320755</v>
      </c>
      <c r="G2992" s="2">
        <v>695.92630224124002</v>
      </c>
      <c r="H2992" s="1">
        <v>137.63637513977699</v>
      </c>
      <c r="I2992" s="1">
        <f t="shared" si="93"/>
        <v>122.75134300371853</v>
      </c>
    </row>
    <row r="2993" spans="1:9" x14ac:dyDescent="0.45">
      <c r="A2993" t="s">
        <v>73</v>
      </c>
      <c r="B2993" t="s">
        <v>50</v>
      </c>
      <c r="C2993" t="str">
        <f t="shared" si="92"/>
        <v>YaleNorth Carolina</v>
      </c>
      <c r="D2993" t="s">
        <v>50</v>
      </c>
      <c r="E2993">
        <v>7</v>
      </c>
      <c r="F2993" s="1">
        <v>16.966037735849099</v>
      </c>
      <c r="G2993" s="2">
        <v>1330.7875898388099</v>
      </c>
      <c r="H2993" s="1">
        <v>138.23608127617101</v>
      </c>
      <c r="I2993" s="1">
        <f t="shared" si="93"/>
        <v>131.17224600918402</v>
      </c>
    </row>
    <row r="2994" spans="1:9" x14ac:dyDescent="0.45">
      <c r="A2994" t="s">
        <v>7</v>
      </c>
      <c r="B2994" t="s">
        <v>51</v>
      </c>
      <c r="C2994" t="str">
        <f t="shared" si="92"/>
        <v>AkronOklahoma</v>
      </c>
      <c r="D2994" t="s">
        <v>51</v>
      </c>
      <c r="E2994">
        <v>10.1</v>
      </c>
      <c r="F2994" s="1">
        <v>14.3471698113208</v>
      </c>
      <c r="G2994" s="2">
        <v>892.49433790761395</v>
      </c>
      <c r="H2994" s="1">
        <v>138.629285210576</v>
      </c>
      <c r="I2994" s="1">
        <f t="shared" si="93"/>
        <v>136.69350382538951</v>
      </c>
    </row>
    <row r="2995" spans="1:9" x14ac:dyDescent="0.45">
      <c r="A2995" t="s">
        <v>8</v>
      </c>
      <c r="B2995" t="s">
        <v>51</v>
      </c>
      <c r="C2995" t="str">
        <f t="shared" si="92"/>
        <v>AlabamaOklahoma</v>
      </c>
      <c r="D2995" t="s">
        <v>8</v>
      </c>
      <c r="E2995">
        <v>89.4</v>
      </c>
      <c r="F2995" s="1">
        <v>-13.9924528301887</v>
      </c>
      <c r="G2995" s="2">
        <v>-845.13334009857601</v>
      </c>
      <c r="H2995" s="1">
        <v>140.436896398171</v>
      </c>
      <c r="I2995" s="1">
        <f t="shared" si="93"/>
        <v>162.07546602083852</v>
      </c>
    </row>
    <row r="2996" spans="1:9" x14ac:dyDescent="0.45">
      <c r="A2996" t="s">
        <v>9</v>
      </c>
      <c r="B2996" t="s">
        <v>51</v>
      </c>
      <c r="C2996" t="str">
        <f t="shared" si="92"/>
        <v>Alabama St.Oklahoma</v>
      </c>
      <c r="D2996" t="s">
        <v>51</v>
      </c>
      <c r="E2996">
        <v>1.7</v>
      </c>
      <c r="F2996" s="1">
        <v>26.667924528301899</v>
      </c>
      <c r="G2996" s="2">
        <v>5843.7978878391896</v>
      </c>
      <c r="H2996" s="1">
        <v>138.81604696999801</v>
      </c>
      <c r="I2996" s="1">
        <f t="shared" si="93"/>
        <v>139.31595933448162</v>
      </c>
    </row>
    <row r="2997" spans="1:9" x14ac:dyDescent="0.45">
      <c r="A2997" t="s">
        <v>10</v>
      </c>
      <c r="B2997" t="s">
        <v>51</v>
      </c>
      <c r="C2997" t="str">
        <f t="shared" si="92"/>
        <v>AmericanOklahoma</v>
      </c>
      <c r="D2997" t="s">
        <v>51</v>
      </c>
      <c r="E2997">
        <v>1.9</v>
      </c>
      <c r="F2997" s="1">
        <v>25.909433962264199</v>
      </c>
      <c r="G2997" s="2">
        <v>5206.5364963870097</v>
      </c>
      <c r="H2997" s="1">
        <v>138.57933648975899</v>
      </c>
      <c r="I2997" s="1">
        <f t="shared" si="93"/>
        <v>135.99213809353913</v>
      </c>
    </row>
    <row r="2998" spans="1:9" x14ac:dyDescent="0.45">
      <c r="A2998" t="s">
        <v>11</v>
      </c>
      <c r="B2998" t="s">
        <v>51</v>
      </c>
      <c r="C2998" t="str">
        <f t="shared" si="92"/>
        <v>ArizonaOklahoma</v>
      </c>
      <c r="D2998" t="s">
        <v>11</v>
      </c>
      <c r="E2998">
        <v>84.7</v>
      </c>
      <c r="F2998" s="1">
        <v>-11.2339622641509</v>
      </c>
      <c r="G2998" s="2">
        <v>-555.09977585517595</v>
      </c>
      <c r="H2998" s="1">
        <v>140.04737573834799</v>
      </c>
      <c r="I2998" s="1">
        <f t="shared" si="93"/>
        <v>156.60592769875714</v>
      </c>
    </row>
    <row r="2999" spans="1:9" x14ac:dyDescent="0.45">
      <c r="A2999" t="s">
        <v>12</v>
      </c>
      <c r="B2999" t="s">
        <v>51</v>
      </c>
      <c r="C2999" t="str">
        <f t="shared" si="92"/>
        <v>ArkansasOklahoma</v>
      </c>
      <c r="D2999" t="s">
        <v>51</v>
      </c>
      <c r="E2999">
        <v>26.6</v>
      </c>
      <c r="F2999" s="1">
        <v>6.6641509433962298</v>
      </c>
      <c r="G2999" s="2">
        <v>276.39396245793898</v>
      </c>
      <c r="H2999" s="1">
        <v>138.37329971613801</v>
      </c>
      <c r="I2999" s="1">
        <f t="shared" si="93"/>
        <v>133.09902831705125</v>
      </c>
    </row>
    <row r="3000" spans="1:9" x14ac:dyDescent="0.45">
      <c r="A3000" t="s">
        <v>13</v>
      </c>
      <c r="B3000" t="s">
        <v>51</v>
      </c>
      <c r="C3000" t="str">
        <f t="shared" si="92"/>
        <v>AuburnOklahoma</v>
      </c>
      <c r="D3000" t="s">
        <v>13</v>
      </c>
      <c r="E3000">
        <v>94.3</v>
      </c>
      <c r="F3000" s="1">
        <v>-18.430188679245301</v>
      </c>
      <c r="G3000" s="2">
        <v>-1663.5496139744</v>
      </c>
      <c r="H3000" s="1">
        <v>141.45911263152399</v>
      </c>
      <c r="I3000" s="1">
        <f t="shared" si="93"/>
        <v>176.4291356421582</v>
      </c>
    </row>
    <row r="3001" spans="1:9" x14ac:dyDescent="0.45">
      <c r="A3001" t="s">
        <v>14</v>
      </c>
      <c r="B3001" t="s">
        <v>51</v>
      </c>
      <c r="C3001" t="str">
        <f t="shared" si="92"/>
        <v>BaylorOklahoma</v>
      </c>
      <c r="D3001" t="s">
        <v>14</v>
      </c>
      <c r="E3001">
        <v>62.6</v>
      </c>
      <c r="F3001" s="1">
        <v>-3.3811320754717</v>
      </c>
      <c r="G3001" s="2">
        <v>-167.522657727129</v>
      </c>
      <c r="H3001" s="1">
        <v>139.92202999270401</v>
      </c>
      <c r="I3001" s="1">
        <f t="shared" si="93"/>
        <v>154.84585838787348</v>
      </c>
    </row>
    <row r="3002" spans="1:9" x14ac:dyDescent="0.45">
      <c r="A3002" t="s">
        <v>15</v>
      </c>
      <c r="B3002" t="s">
        <v>51</v>
      </c>
      <c r="C3002" t="str">
        <f t="shared" si="92"/>
        <v>BryantOklahoma</v>
      </c>
      <c r="D3002" t="s">
        <v>51</v>
      </c>
      <c r="E3002">
        <v>7.3</v>
      </c>
      <c r="F3002" s="1">
        <v>16.690566037735799</v>
      </c>
      <c r="G3002" s="2">
        <v>1275.37604782893</v>
      </c>
      <c r="H3002" s="1">
        <v>139.51434986835</v>
      </c>
      <c r="I3002" s="1">
        <f t="shared" si="93"/>
        <v>149.12133002956148</v>
      </c>
    </row>
    <row r="3003" spans="1:9" x14ac:dyDescent="0.45">
      <c r="A3003" t="s">
        <v>16</v>
      </c>
      <c r="B3003" t="s">
        <v>51</v>
      </c>
      <c r="C3003" t="str">
        <f t="shared" si="92"/>
        <v>BYUOklahoma</v>
      </c>
      <c r="D3003" t="s">
        <v>16</v>
      </c>
      <c r="E3003">
        <v>66.400000000000006</v>
      </c>
      <c r="F3003" s="1">
        <v>-4.4754716981132097</v>
      </c>
      <c r="G3003" s="2">
        <v>-197.962667182205</v>
      </c>
      <c r="H3003" s="1">
        <v>139.68439054279301</v>
      </c>
      <c r="I3003" s="1">
        <f t="shared" si="93"/>
        <v>151.50899281900439</v>
      </c>
    </row>
    <row r="3004" spans="1:9" x14ac:dyDescent="0.45">
      <c r="A3004" t="s">
        <v>17</v>
      </c>
      <c r="B3004" t="s">
        <v>51</v>
      </c>
      <c r="C3004" t="str">
        <f t="shared" si="92"/>
        <v>ClemsonOklahoma</v>
      </c>
      <c r="D3004" t="s">
        <v>17</v>
      </c>
      <c r="E3004">
        <v>73.5</v>
      </c>
      <c r="F3004" s="1">
        <v>-6.6792452830188704</v>
      </c>
      <c r="G3004" s="2">
        <v>-277.092303040194</v>
      </c>
      <c r="H3004" s="1">
        <v>140.03444076523601</v>
      </c>
      <c r="I3004" s="1">
        <f t="shared" si="93"/>
        <v>156.42429848514053</v>
      </c>
    </row>
    <row r="3005" spans="1:9" x14ac:dyDescent="0.45">
      <c r="A3005" t="s">
        <v>18</v>
      </c>
      <c r="B3005" t="s">
        <v>51</v>
      </c>
      <c r="C3005" t="str">
        <f t="shared" si="92"/>
        <v>Colorado St.Oklahoma</v>
      </c>
      <c r="D3005" t="s">
        <v>51</v>
      </c>
      <c r="E3005">
        <v>31.5</v>
      </c>
      <c r="F3005" s="1">
        <v>5.1018867924528299</v>
      </c>
      <c r="G3005" s="2">
        <v>217.740609694103</v>
      </c>
      <c r="H3005" s="1">
        <v>139.42405174003</v>
      </c>
      <c r="I3005" s="1">
        <f t="shared" si="93"/>
        <v>147.85338939328591</v>
      </c>
    </row>
    <row r="3006" spans="1:9" x14ac:dyDescent="0.45">
      <c r="A3006" t="s">
        <v>19</v>
      </c>
      <c r="B3006" t="s">
        <v>51</v>
      </c>
      <c r="C3006" t="str">
        <f t="shared" si="92"/>
        <v>ConnecticutOklahoma</v>
      </c>
      <c r="D3006" t="s">
        <v>19</v>
      </c>
      <c r="E3006">
        <v>81.2</v>
      </c>
      <c r="F3006" s="1">
        <v>-9.5735849056603808</v>
      </c>
      <c r="G3006" s="2">
        <v>-430.83481503440498</v>
      </c>
      <c r="H3006" s="1">
        <v>139.834691595984</v>
      </c>
      <c r="I3006" s="1">
        <f t="shared" si="93"/>
        <v>153.6194774609508</v>
      </c>
    </row>
    <row r="3007" spans="1:9" x14ac:dyDescent="0.45">
      <c r="A3007" t="s">
        <v>20</v>
      </c>
      <c r="B3007" t="s">
        <v>51</v>
      </c>
      <c r="C3007" t="str">
        <f t="shared" si="92"/>
        <v>CreightonOklahoma</v>
      </c>
      <c r="D3007" t="s">
        <v>20</v>
      </c>
      <c r="E3007">
        <v>57.1</v>
      </c>
      <c r="F3007" s="1">
        <v>-1.8679245283018899</v>
      </c>
      <c r="G3007" s="2">
        <v>-132.94687416999599</v>
      </c>
      <c r="H3007" s="1">
        <v>139.38398834882301</v>
      </c>
      <c r="I3007" s="1">
        <f t="shared" si="93"/>
        <v>147.29083064834356</v>
      </c>
    </row>
    <row r="3008" spans="1:9" x14ac:dyDescent="0.45">
      <c r="A3008" t="s">
        <v>21</v>
      </c>
      <c r="B3008" t="s">
        <v>51</v>
      </c>
      <c r="C3008" t="str">
        <f t="shared" si="92"/>
        <v>DrakeOklahoma</v>
      </c>
      <c r="D3008" t="s">
        <v>51</v>
      </c>
      <c r="E3008">
        <v>30.8</v>
      </c>
      <c r="F3008" s="1">
        <v>5.3056603773584898</v>
      </c>
      <c r="G3008" s="2">
        <v>224.651624145672</v>
      </c>
      <c r="H3008" s="1">
        <v>139.618664154497</v>
      </c>
      <c r="I3008" s="1">
        <f t="shared" si="93"/>
        <v>150.5860815677234</v>
      </c>
    </row>
    <row r="3009" spans="1:9" x14ac:dyDescent="0.45">
      <c r="A3009" t="s">
        <v>22</v>
      </c>
      <c r="B3009" t="s">
        <v>51</v>
      </c>
      <c r="C3009" t="str">
        <f t="shared" si="92"/>
        <v>DukeOklahoma</v>
      </c>
      <c r="D3009" t="s">
        <v>22</v>
      </c>
      <c r="E3009">
        <v>95.9</v>
      </c>
      <c r="F3009" s="1">
        <v>-20.6452830188679</v>
      </c>
      <c r="G3009" s="2">
        <v>-2332.0768790938801</v>
      </c>
      <c r="H3009" s="1">
        <v>141.69900404309999</v>
      </c>
      <c r="I3009" s="1">
        <f t="shared" si="93"/>
        <v>179.79762261624916</v>
      </c>
    </row>
    <row r="3010" spans="1:9" x14ac:dyDescent="0.45">
      <c r="A3010" t="s">
        <v>23</v>
      </c>
      <c r="B3010" t="s">
        <v>51</v>
      </c>
      <c r="C3010" t="str">
        <f t="shared" si="92"/>
        <v>FloridaOklahoma</v>
      </c>
      <c r="D3010" t="s">
        <v>23</v>
      </c>
      <c r="E3010">
        <v>92.8</v>
      </c>
      <c r="F3010" s="1">
        <v>-16.788679245282999</v>
      </c>
      <c r="G3010" s="2">
        <v>-1294.82388820237</v>
      </c>
      <c r="H3010" s="1">
        <v>141.433654570654</v>
      </c>
      <c r="I3010" s="1">
        <f t="shared" si="93"/>
        <v>176.07166079192154</v>
      </c>
    </row>
    <row r="3011" spans="1:9" x14ac:dyDescent="0.45">
      <c r="A3011" t="s">
        <v>24</v>
      </c>
      <c r="B3011" t="s">
        <v>51</v>
      </c>
      <c r="C3011" t="str">
        <f t="shared" ref="C3011:C3074" si="94">A3011&amp;B3011</f>
        <v>GeorgiaOklahoma</v>
      </c>
      <c r="D3011" t="s">
        <v>51</v>
      </c>
      <c r="E3011">
        <v>34.299999999999997</v>
      </c>
      <c r="F3011" s="1">
        <v>4.2716981132075498</v>
      </c>
      <c r="G3011" s="2">
        <v>191.91318578842399</v>
      </c>
      <c r="H3011" s="1">
        <v>138.69761286693901</v>
      </c>
      <c r="I3011" s="1">
        <f t="shared" ref="I3011:I3074" si="95">18*(H3011-AVERAGE($H$2:$H$4625))/_xlfn.STDEV.P($H$2:$H$4625)+AVERAGE($H$2:$H$4625)</f>
        <v>137.65294134304341</v>
      </c>
    </row>
    <row r="3012" spans="1:9" x14ac:dyDescent="0.45">
      <c r="A3012" t="s">
        <v>25</v>
      </c>
      <c r="B3012" t="s">
        <v>51</v>
      </c>
      <c r="C3012" t="str">
        <f t="shared" si="94"/>
        <v>GonzagaOklahoma</v>
      </c>
      <c r="D3012" t="s">
        <v>25</v>
      </c>
      <c r="E3012">
        <v>72.5</v>
      </c>
      <c r="F3012" s="1">
        <v>-6.35849056603774</v>
      </c>
      <c r="G3012" s="2">
        <v>-263.71451106998501</v>
      </c>
      <c r="H3012" s="1">
        <v>140.674574597445</v>
      </c>
      <c r="I3012" s="1">
        <f t="shared" si="95"/>
        <v>165.41287569724219</v>
      </c>
    </row>
    <row r="3013" spans="1:9" x14ac:dyDescent="0.45">
      <c r="A3013" t="s">
        <v>26</v>
      </c>
      <c r="B3013" t="s">
        <v>51</v>
      </c>
      <c r="C3013" t="str">
        <f t="shared" si="94"/>
        <v>Grand CanyonOklahoma</v>
      </c>
      <c r="D3013" t="s">
        <v>51</v>
      </c>
      <c r="E3013">
        <v>22.3</v>
      </c>
      <c r="F3013" s="1">
        <v>8.1924528301886799</v>
      </c>
      <c r="G3013" s="2">
        <v>349.01557432890399</v>
      </c>
      <c r="H3013" s="1">
        <v>139.492546314984</v>
      </c>
      <c r="I3013" s="1">
        <f t="shared" si="95"/>
        <v>148.81517073432136</v>
      </c>
    </row>
    <row r="3014" spans="1:9" x14ac:dyDescent="0.45">
      <c r="A3014" t="s">
        <v>27</v>
      </c>
      <c r="B3014" t="s">
        <v>51</v>
      </c>
      <c r="C3014" t="str">
        <f t="shared" si="94"/>
        <v>High PointOklahoma</v>
      </c>
      <c r="D3014" t="s">
        <v>51</v>
      </c>
      <c r="E3014">
        <v>15.2</v>
      </c>
      <c r="F3014" s="1">
        <v>11.2830188679245</v>
      </c>
      <c r="G3014" s="2">
        <v>559.14811920352804</v>
      </c>
      <c r="H3014" s="1">
        <v>139.683753448533</v>
      </c>
      <c r="I3014" s="1">
        <f t="shared" si="95"/>
        <v>151.50004692260055</v>
      </c>
    </row>
    <row r="3015" spans="1:9" x14ac:dyDescent="0.45">
      <c r="A3015" t="s">
        <v>28</v>
      </c>
      <c r="B3015" t="s">
        <v>51</v>
      </c>
      <c r="C3015" t="str">
        <f t="shared" si="94"/>
        <v>HoustonOklahoma</v>
      </c>
      <c r="D3015" t="s">
        <v>28</v>
      </c>
      <c r="E3015">
        <v>97.5</v>
      </c>
      <c r="F3015" s="1">
        <v>-24</v>
      </c>
      <c r="G3015" s="2">
        <v>-3890.2098021993302</v>
      </c>
      <c r="H3015" s="1">
        <v>141.79721580573599</v>
      </c>
      <c r="I3015" s="1">
        <f t="shared" si="95"/>
        <v>181.17668425488171</v>
      </c>
    </row>
    <row r="3016" spans="1:9" x14ac:dyDescent="0.45">
      <c r="A3016" t="s">
        <v>29</v>
      </c>
      <c r="B3016" t="s">
        <v>51</v>
      </c>
      <c r="C3016" t="str">
        <f t="shared" si="94"/>
        <v>IllinoisOklahoma</v>
      </c>
      <c r="D3016" t="s">
        <v>29</v>
      </c>
      <c r="E3016">
        <v>79.3</v>
      </c>
      <c r="F3016" s="1">
        <v>-8.8113207547169807</v>
      </c>
      <c r="G3016" s="2">
        <v>-383.49476853231499</v>
      </c>
      <c r="H3016" s="1">
        <v>139.855679580697</v>
      </c>
      <c r="I3016" s="1">
        <f t="shared" si="95"/>
        <v>153.91418477312055</v>
      </c>
    </row>
    <row r="3017" spans="1:9" x14ac:dyDescent="0.45">
      <c r="A3017" t="s">
        <v>30</v>
      </c>
      <c r="B3017" t="s">
        <v>51</v>
      </c>
      <c r="C3017" t="str">
        <f t="shared" si="94"/>
        <v>Iowa St.Oklahoma</v>
      </c>
      <c r="D3017" t="s">
        <v>30</v>
      </c>
      <c r="E3017">
        <v>89</v>
      </c>
      <c r="F3017" s="1">
        <v>-13.6716981132075</v>
      </c>
      <c r="G3017" s="2">
        <v>-805.036373235562</v>
      </c>
      <c r="H3017" s="1">
        <v>140.752221872284</v>
      </c>
      <c r="I3017" s="1">
        <f t="shared" si="95"/>
        <v>166.50317664695316</v>
      </c>
    </row>
    <row r="3018" spans="1:9" x14ac:dyDescent="0.45">
      <c r="A3018" t="s">
        <v>31</v>
      </c>
      <c r="B3018" t="s">
        <v>51</v>
      </c>
      <c r="C3018" t="str">
        <f t="shared" si="94"/>
        <v>KansasOklahoma</v>
      </c>
      <c r="D3018" t="s">
        <v>31</v>
      </c>
      <c r="E3018">
        <v>71.3</v>
      </c>
      <c r="F3018" s="1">
        <v>-5.9547169811320799</v>
      </c>
      <c r="G3018" s="2">
        <v>-248.09303232975</v>
      </c>
      <c r="H3018" s="1">
        <v>139.80280976113701</v>
      </c>
      <c r="I3018" s="1">
        <f t="shared" si="95"/>
        <v>153.17180180350792</v>
      </c>
    </row>
    <row r="3019" spans="1:9" x14ac:dyDescent="0.45">
      <c r="A3019" t="s">
        <v>32</v>
      </c>
      <c r="B3019" t="s">
        <v>51</v>
      </c>
      <c r="C3019" t="str">
        <f t="shared" si="94"/>
        <v>KentuckyOklahoma</v>
      </c>
      <c r="D3019" t="s">
        <v>32</v>
      </c>
      <c r="E3019">
        <v>80.599999999999994</v>
      </c>
      <c r="F3019" s="1">
        <v>-9.3207547169811296</v>
      </c>
      <c r="G3019" s="2">
        <v>-414.47707086576798</v>
      </c>
      <c r="H3019" s="1">
        <v>139.73709209326299</v>
      </c>
      <c r="I3019" s="1">
        <f t="shared" si="95"/>
        <v>152.24901300191232</v>
      </c>
    </row>
    <row r="3020" spans="1:9" x14ac:dyDescent="0.45">
      <c r="A3020" t="s">
        <v>33</v>
      </c>
      <c r="B3020" t="s">
        <v>51</v>
      </c>
      <c r="C3020" t="str">
        <f t="shared" si="94"/>
        <v>LibertyOklahoma</v>
      </c>
      <c r="D3020" t="s">
        <v>51</v>
      </c>
      <c r="E3020">
        <v>11.1</v>
      </c>
      <c r="F3020" s="1">
        <v>13.6641509433962</v>
      </c>
      <c r="G3020" s="2">
        <v>804.13211084609202</v>
      </c>
      <c r="H3020" s="1">
        <v>139.08209313698001</v>
      </c>
      <c r="I3020" s="1">
        <f t="shared" si="95"/>
        <v>143.05170394533764</v>
      </c>
    </row>
    <row r="3021" spans="1:9" x14ac:dyDescent="0.45">
      <c r="A3021" t="s">
        <v>34</v>
      </c>
      <c r="B3021" t="s">
        <v>51</v>
      </c>
      <c r="C3021" t="str">
        <f t="shared" si="94"/>
        <v>LipscombOklahoma</v>
      </c>
      <c r="D3021" t="s">
        <v>51</v>
      </c>
      <c r="E3021">
        <v>8.6</v>
      </c>
      <c r="F3021" s="1">
        <v>15.5320754716981</v>
      </c>
      <c r="G3021" s="2">
        <v>1068.8720121615199</v>
      </c>
      <c r="H3021" s="1">
        <v>139.48841133457199</v>
      </c>
      <c r="I3021" s="1">
        <f t="shared" si="95"/>
        <v>148.75710851540134</v>
      </c>
    </row>
    <row r="3022" spans="1:9" x14ac:dyDescent="0.45">
      <c r="A3022" t="s">
        <v>35</v>
      </c>
      <c r="B3022" t="s">
        <v>51</v>
      </c>
      <c r="C3022" t="str">
        <f t="shared" si="94"/>
        <v>LouisvilleOklahoma</v>
      </c>
      <c r="D3022" t="s">
        <v>51</v>
      </c>
      <c r="E3022">
        <v>19.100000000000001</v>
      </c>
      <c r="F3022" s="1">
        <v>9.48301886792453</v>
      </c>
      <c r="G3022" s="2">
        <v>424.803288858374</v>
      </c>
      <c r="H3022" s="1">
        <v>138.73377334039</v>
      </c>
      <c r="I3022" s="1">
        <f t="shared" si="95"/>
        <v>138.16069642688072</v>
      </c>
    </row>
    <row r="3023" spans="1:9" x14ac:dyDescent="0.45">
      <c r="A3023" t="s">
        <v>36</v>
      </c>
      <c r="B3023" t="s">
        <v>51</v>
      </c>
      <c r="C3023" t="str">
        <f t="shared" si="94"/>
        <v>MarquetteOklahoma</v>
      </c>
      <c r="D3023" t="s">
        <v>36</v>
      </c>
      <c r="E3023">
        <v>76.099999999999994</v>
      </c>
      <c r="F3023" s="1">
        <v>-7.5849056603773599</v>
      </c>
      <c r="G3023" s="2">
        <v>-318.09396311548301</v>
      </c>
      <c r="H3023" s="1">
        <v>139.99590718385201</v>
      </c>
      <c r="I3023" s="1">
        <f t="shared" si="95"/>
        <v>155.88322089464094</v>
      </c>
    </row>
    <row r="3024" spans="1:9" x14ac:dyDescent="0.45">
      <c r="A3024" t="s">
        <v>37</v>
      </c>
      <c r="B3024" t="s">
        <v>51</v>
      </c>
      <c r="C3024" t="str">
        <f t="shared" si="94"/>
        <v>MarylandOklahoma</v>
      </c>
      <c r="D3024" t="s">
        <v>37</v>
      </c>
      <c r="E3024">
        <v>66.2</v>
      </c>
      <c r="F3024" s="1">
        <v>-4.4188679245282998</v>
      </c>
      <c r="G3024" s="2">
        <v>-196.210206712847</v>
      </c>
      <c r="H3024" s="1">
        <v>139.454276782395</v>
      </c>
      <c r="I3024" s="1">
        <f t="shared" si="95"/>
        <v>148.2778008419034</v>
      </c>
    </row>
    <row r="3025" spans="1:9" x14ac:dyDescent="0.45">
      <c r="A3025" t="s">
        <v>38</v>
      </c>
      <c r="B3025" t="s">
        <v>51</v>
      </c>
      <c r="C3025" t="str">
        <f t="shared" si="94"/>
        <v>McNeese St.Oklahoma</v>
      </c>
      <c r="D3025" t="s">
        <v>51</v>
      </c>
      <c r="E3025">
        <v>31.4</v>
      </c>
      <c r="F3025" s="1">
        <v>5.1207547169811303</v>
      </c>
      <c r="G3025" s="2">
        <v>218.44800272305599</v>
      </c>
      <c r="H3025" s="1">
        <v>140.04751219535899</v>
      </c>
      <c r="I3025" s="1">
        <f t="shared" si="95"/>
        <v>156.60784378929594</v>
      </c>
    </row>
    <row r="3026" spans="1:9" x14ac:dyDescent="0.45">
      <c r="A3026" t="s">
        <v>39</v>
      </c>
      <c r="B3026" t="s">
        <v>51</v>
      </c>
      <c r="C3026" t="str">
        <f t="shared" si="94"/>
        <v>MemphisOklahoma</v>
      </c>
      <c r="D3026" t="s">
        <v>39</v>
      </c>
      <c r="E3026">
        <v>52.5</v>
      </c>
      <c r="F3026" s="1">
        <v>-0.65283018867924503</v>
      </c>
      <c r="G3026" s="2">
        <v>-110.489556071086</v>
      </c>
      <c r="H3026" s="1">
        <v>138.581794021885</v>
      </c>
      <c r="I3026" s="1">
        <f t="shared" si="95"/>
        <v>136.02664606070857</v>
      </c>
    </row>
    <row r="3027" spans="1:9" x14ac:dyDescent="0.45">
      <c r="A3027" t="s">
        <v>40</v>
      </c>
      <c r="B3027" t="s">
        <v>51</v>
      </c>
      <c r="C3027" t="str">
        <f t="shared" si="94"/>
        <v>MichiganOklahoma</v>
      </c>
      <c r="D3027" t="s">
        <v>51</v>
      </c>
      <c r="E3027">
        <v>35.299999999999997</v>
      </c>
      <c r="F3027" s="1">
        <v>3.9698113207547201</v>
      </c>
      <c r="G3027" s="2">
        <v>183.26241509449301</v>
      </c>
      <c r="H3027" s="1">
        <v>138.14441531880101</v>
      </c>
      <c r="I3027" s="1">
        <f t="shared" si="95"/>
        <v>129.88509870641118</v>
      </c>
    </row>
    <row r="3028" spans="1:9" x14ac:dyDescent="0.45">
      <c r="A3028" t="s">
        <v>41</v>
      </c>
      <c r="B3028" t="s">
        <v>51</v>
      </c>
      <c r="C3028" t="str">
        <f t="shared" si="94"/>
        <v>Michigan St.Oklahoma</v>
      </c>
      <c r="D3028" t="s">
        <v>41</v>
      </c>
      <c r="E3028">
        <v>83.8</v>
      </c>
      <c r="F3028" s="1">
        <v>-10.777358490566</v>
      </c>
      <c r="G3028" s="2">
        <v>-517.46589997145202</v>
      </c>
      <c r="H3028" s="1">
        <v>139.791495028008</v>
      </c>
      <c r="I3028" s="1">
        <f t="shared" si="95"/>
        <v>153.01292353892146</v>
      </c>
    </row>
    <row r="3029" spans="1:9" x14ac:dyDescent="0.45">
      <c r="A3029" t="s">
        <v>42</v>
      </c>
      <c r="B3029" t="s">
        <v>51</v>
      </c>
      <c r="C3029" t="str">
        <f t="shared" si="94"/>
        <v>MississippiOklahoma</v>
      </c>
      <c r="D3029" t="s">
        <v>42</v>
      </c>
      <c r="E3029">
        <v>58.6</v>
      </c>
      <c r="F3029" s="1">
        <v>-2.2792452830188701</v>
      </c>
      <c r="G3029" s="2">
        <v>-141.58274258704299</v>
      </c>
      <c r="H3029" s="1">
        <v>139.05918637789799</v>
      </c>
      <c r="I3029" s="1">
        <f t="shared" si="95"/>
        <v>142.73005374919472</v>
      </c>
    </row>
    <row r="3030" spans="1:9" x14ac:dyDescent="0.45">
      <c r="A3030" t="s">
        <v>43</v>
      </c>
      <c r="B3030" t="s">
        <v>51</v>
      </c>
      <c r="C3030" t="str">
        <f t="shared" si="94"/>
        <v>Mississippi St.Oklahoma</v>
      </c>
      <c r="D3030" t="s">
        <v>43</v>
      </c>
      <c r="E3030">
        <v>52.1</v>
      </c>
      <c r="F3030" s="1">
        <v>-0.55471698113207502</v>
      </c>
      <c r="G3030" s="2">
        <v>-108.851145751929</v>
      </c>
      <c r="H3030" s="1">
        <v>139.19893285057501</v>
      </c>
      <c r="I3030" s="1">
        <f t="shared" si="95"/>
        <v>144.69233397338093</v>
      </c>
    </row>
    <row r="3031" spans="1:9" x14ac:dyDescent="0.45">
      <c r="A3031" t="s">
        <v>44</v>
      </c>
      <c r="B3031" t="s">
        <v>51</v>
      </c>
      <c r="C3031" t="str">
        <f t="shared" si="94"/>
        <v>MissouriOklahoma</v>
      </c>
      <c r="D3031" t="s">
        <v>51</v>
      </c>
      <c r="E3031">
        <v>33.9</v>
      </c>
      <c r="F3031" s="1">
        <v>4.3773584905660403</v>
      </c>
      <c r="G3031" s="2">
        <v>195.00478904535601</v>
      </c>
      <c r="H3031" s="1">
        <v>138.61659474922001</v>
      </c>
      <c r="I3031" s="1">
        <f t="shared" si="95"/>
        <v>136.51530797630923</v>
      </c>
    </row>
    <row r="3032" spans="1:9" x14ac:dyDescent="0.45">
      <c r="A3032" t="s">
        <v>45</v>
      </c>
      <c r="B3032" t="s">
        <v>51</v>
      </c>
      <c r="C3032" t="str">
        <f t="shared" si="94"/>
        <v>MontanaOklahoma</v>
      </c>
      <c r="D3032" t="s">
        <v>51</v>
      </c>
      <c r="E3032">
        <v>4.4000000000000004</v>
      </c>
      <c r="F3032" s="1">
        <v>20.1849056603774</v>
      </c>
      <c r="G3032" s="2">
        <v>2173.65702843487</v>
      </c>
      <c r="H3032" s="1">
        <v>137.75330631262599</v>
      </c>
      <c r="I3032" s="1">
        <f t="shared" si="95"/>
        <v>124.39325727659478</v>
      </c>
    </row>
    <row r="3033" spans="1:9" x14ac:dyDescent="0.45">
      <c r="A3033" t="s">
        <v>46</v>
      </c>
      <c r="B3033" t="s">
        <v>51</v>
      </c>
      <c r="C3033" t="str">
        <f t="shared" si="94"/>
        <v>Mount St. Mary'sOklahoma</v>
      </c>
      <c r="D3033" t="s">
        <v>51</v>
      </c>
      <c r="E3033">
        <v>1.7</v>
      </c>
      <c r="F3033" s="1">
        <v>26.5169811320755</v>
      </c>
      <c r="G3033" s="2">
        <v>5712.3545923924203</v>
      </c>
      <c r="H3033" s="1">
        <v>139.05659426677701</v>
      </c>
      <c r="I3033" s="1">
        <f t="shared" si="95"/>
        <v>142.69365606205355</v>
      </c>
    </row>
    <row r="3034" spans="1:9" x14ac:dyDescent="0.45">
      <c r="A3034" t="s">
        <v>47</v>
      </c>
      <c r="B3034" t="s">
        <v>51</v>
      </c>
      <c r="C3034" t="str">
        <f t="shared" si="94"/>
        <v>Nebraska OmahaOklahoma</v>
      </c>
      <c r="D3034" t="s">
        <v>51</v>
      </c>
      <c r="E3034">
        <v>2.4</v>
      </c>
      <c r="F3034" s="1">
        <v>24.328301886792499</v>
      </c>
      <c r="G3034" s="2">
        <v>4089.8995054185498</v>
      </c>
      <c r="H3034" s="1">
        <v>138.47437039888001</v>
      </c>
      <c r="I3034" s="1">
        <f t="shared" si="95"/>
        <v>134.51823409870994</v>
      </c>
    </row>
    <row r="3035" spans="1:9" x14ac:dyDescent="0.45">
      <c r="A3035" t="s">
        <v>48</v>
      </c>
      <c r="B3035" t="s">
        <v>51</v>
      </c>
      <c r="C3035" t="str">
        <f t="shared" si="94"/>
        <v>New MexicoOklahoma</v>
      </c>
      <c r="D3035" t="s">
        <v>51</v>
      </c>
      <c r="E3035">
        <v>37</v>
      </c>
      <c r="F3035" s="1">
        <v>3.4981132075471701</v>
      </c>
      <c r="G3035" s="2">
        <v>170.46273146702501</v>
      </c>
      <c r="H3035" s="1">
        <v>139.24436033069699</v>
      </c>
      <c r="I3035" s="1">
        <f t="shared" si="95"/>
        <v>145.33021372927297</v>
      </c>
    </row>
    <row r="3036" spans="1:9" x14ac:dyDescent="0.45">
      <c r="A3036" t="s">
        <v>49</v>
      </c>
      <c r="B3036" t="s">
        <v>51</v>
      </c>
      <c r="C3036" t="str">
        <f t="shared" si="94"/>
        <v>Norfolk St.Oklahoma</v>
      </c>
      <c r="D3036" t="s">
        <v>51</v>
      </c>
      <c r="E3036">
        <v>3.3</v>
      </c>
      <c r="F3036" s="1">
        <v>22.0641509433962</v>
      </c>
      <c r="G3036" s="2">
        <v>2895.07487612246</v>
      </c>
      <c r="H3036" s="1">
        <v>138.280486094661</v>
      </c>
      <c r="I3036" s="1">
        <f t="shared" si="95"/>
        <v>131.7957658412937</v>
      </c>
    </row>
    <row r="3037" spans="1:9" x14ac:dyDescent="0.45">
      <c r="A3037" t="s">
        <v>50</v>
      </c>
      <c r="B3037" t="s">
        <v>51</v>
      </c>
      <c r="C3037" t="str">
        <f t="shared" si="94"/>
        <v>North CarolinaOklahoma</v>
      </c>
      <c r="D3037" t="s">
        <v>50</v>
      </c>
      <c r="E3037">
        <v>66.7</v>
      </c>
      <c r="F3037" s="1">
        <v>-4.5547169811320796</v>
      </c>
      <c r="G3037" s="2">
        <v>-200.32149901104401</v>
      </c>
      <c r="H3037" s="1">
        <v>140.354092049131</v>
      </c>
      <c r="I3037" s="1">
        <f t="shared" si="95"/>
        <v>160.91275090191493</v>
      </c>
    </row>
    <row r="3038" spans="1:9" x14ac:dyDescent="0.45">
      <c r="A3038" t="s">
        <v>51</v>
      </c>
      <c r="B3038" t="s">
        <v>51</v>
      </c>
      <c r="C3038" t="str">
        <f t="shared" si="94"/>
        <v>OklahomaOklahoma</v>
      </c>
      <c r="D3038" t="s">
        <v>51</v>
      </c>
      <c r="E3038">
        <v>41.2</v>
      </c>
      <c r="F3038" s="1">
        <v>2.3283018867924499</v>
      </c>
      <c r="G3038" s="2">
        <v>142.64273539779199</v>
      </c>
      <c r="H3038" s="1">
        <v>138.77771517530499</v>
      </c>
      <c r="I3038" s="1">
        <f t="shared" si="95"/>
        <v>138.77771517530684</v>
      </c>
    </row>
    <row r="3039" spans="1:9" x14ac:dyDescent="0.45">
      <c r="A3039" t="s">
        <v>52</v>
      </c>
      <c r="B3039" t="s">
        <v>51</v>
      </c>
      <c r="C3039" t="str">
        <f t="shared" si="94"/>
        <v>OregonOklahoma</v>
      </c>
      <c r="D3039" t="s">
        <v>52</v>
      </c>
      <c r="E3039">
        <v>66.3</v>
      </c>
      <c r="F3039" s="1">
        <v>-4.4377358490566001</v>
      </c>
      <c r="G3039" s="2">
        <v>-196.79614519408699</v>
      </c>
      <c r="H3039" s="1">
        <v>139.06843256683399</v>
      </c>
      <c r="I3039" s="1">
        <f t="shared" si="95"/>
        <v>142.85988610453541</v>
      </c>
    </row>
    <row r="3040" spans="1:9" x14ac:dyDescent="0.45">
      <c r="A3040" t="s">
        <v>53</v>
      </c>
      <c r="B3040" t="s">
        <v>51</v>
      </c>
      <c r="C3040" t="str">
        <f t="shared" si="94"/>
        <v>PurdueOklahoma</v>
      </c>
      <c r="D3040" t="s">
        <v>53</v>
      </c>
      <c r="E3040">
        <v>91.8</v>
      </c>
      <c r="F3040" s="1">
        <v>-15.811320754717</v>
      </c>
      <c r="G3040" s="2">
        <v>-1115.3629324891799</v>
      </c>
      <c r="H3040" s="1">
        <v>140.55651976663199</v>
      </c>
      <c r="I3040" s="1">
        <f t="shared" si="95"/>
        <v>163.75518333881379</v>
      </c>
    </row>
    <row r="3041" spans="1:9" x14ac:dyDescent="0.45">
      <c r="A3041" t="s">
        <v>54</v>
      </c>
      <c r="B3041" t="s">
        <v>51</v>
      </c>
      <c r="C3041" t="str">
        <f t="shared" si="94"/>
        <v>Robert MorrisOklahoma</v>
      </c>
      <c r="D3041" t="s">
        <v>51</v>
      </c>
      <c r="E3041">
        <v>1.4</v>
      </c>
      <c r="F3041" s="1">
        <v>28.079245283018899</v>
      </c>
      <c r="G3041" s="2">
        <v>7248.0084879306596</v>
      </c>
      <c r="H3041" s="1">
        <v>137.639485095319</v>
      </c>
      <c r="I3041" s="1">
        <f t="shared" si="95"/>
        <v>122.79501211494039</v>
      </c>
    </row>
    <row r="3042" spans="1:9" x14ac:dyDescent="0.45">
      <c r="A3042" t="s">
        <v>55</v>
      </c>
      <c r="B3042" t="s">
        <v>51</v>
      </c>
      <c r="C3042" t="str">
        <f t="shared" si="94"/>
        <v>Saint FrancisOklahoma</v>
      </c>
      <c r="D3042" t="s">
        <v>51</v>
      </c>
      <c r="E3042">
        <v>0.8</v>
      </c>
      <c r="F3042" s="1">
        <v>31.441509433962299</v>
      </c>
      <c r="G3042" s="2">
        <v>12106.006080638201</v>
      </c>
      <c r="H3042" s="1">
        <v>138.34633297736301</v>
      </c>
      <c r="I3042" s="1">
        <f t="shared" si="95"/>
        <v>132.72036904075392</v>
      </c>
    </row>
    <row r="3043" spans="1:9" x14ac:dyDescent="0.45">
      <c r="A3043" t="s">
        <v>56</v>
      </c>
      <c r="B3043" t="s">
        <v>51</v>
      </c>
      <c r="C3043" t="str">
        <f t="shared" si="94"/>
        <v>Saint Mary'sOklahoma</v>
      </c>
      <c r="D3043" t="s">
        <v>56</v>
      </c>
      <c r="E3043">
        <v>65.8</v>
      </c>
      <c r="F3043" s="1">
        <v>-4.2943396226415098</v>
      </c>
      <c r="G3043" s="2">
        <v>-192.514429745683</v>
      </c>
      <c r="H3043" s="1">
        <v>140.075539093305</v>
      </c>
      <c r="I3043" s="1">
        <f t="shared" si="95"/>
        <v>157.00138951915378</v>
      </c>
    </row>
    <row r="3044" spans="1:9" x14ac:dyDescent="0.45">
      <c r="A3044" t="s">
        <v>57</v>
      </c>
      <c r="B3044" t="s">
        <v>51</v>
      </c>
      <c r="C3044" t="str">
        <f t="shared" si="94"/>
        <v>San Diego St.Oklahoma</v>
      </c>
      <c r="D3044" t="s">
        <v>51</v>
      </c>
      <c r="E3044">
        <v>37.4</v>
      </c>
      <c r="F3044" s="1">
        <v>3.3811320754717</v>
      </c>
      <c r="G3044" s="2">
        <v>167.469714070652</v>
      </c>
      <c r="H3044" s="1">
        <v>139.290238256333</v>
      </c>
      <c r="I3044" s="1">
        <f t="shared" si="95"/>
        <v>145.9744185129621</v>
      </c>
    </row>
    <row r="3045" spans="1:9" x14ac:dyDescent="0.45">
      <c r="A3045" t="s">
        <v>58</v>
      </c>
      <c r="B3045" t="s">
        <v>51</v>
      </c>
      <c r="C3045" t="str">
        <f t="shared" si="94"/>
        <v>SIU EdwardsvilleOklahoma</v>
      </c>
      <c r="D3045" t="s">
        <v>51</v>
      </c>
      <c r="E3045">
        <v>2.8</v>
      </c>
      <c r="F3045" s="1">
        <v>23.3547169811321</v>
      </c>
      <c r="G3045" s="2">
        <v>3525.4662239150198</v>
      </c>
      <c r="H3045" s="1">
        <v>139.349496436517</v>
      </c>
      <c r="I3045" s="1">
        <f t="shared" si="95"/>
        <v>146.80650502555036</v>
      </c>
    </row>
    <row r="3046" spans="1:9" x14ac:dyDescent="0.45">
      <c r="A3046" t="s">
        <v>59</v>
      </c>
      <c r="B3046" t="s">
        <v>51</v>
      </c>
      <c r="C3046" t="str">
        <f t="shared" si="94"/>
        <v>St. John'sOklahoma</v>
      </c>
      <c r="D3046" t="s">
        <v>59</v>
      </c>
      <c r="E3046">
        <v>84.8</v>
      </c>
      <c r="F3046" s="1">
        <v>-11.275471698113201</v>
      </c>
      <c r="G3046" s="2">
        <v>-558.61544155541503</v>
      </c>
      <c r="H3046" s="1">
        <v>140.168952885072</v>
      </c>
      <c r="I3046" s="1">
        <f t="shared" si="95"/>
        <v>158.31307941542968</v>
      </c>
    </row>
    <row r="3047" spans="1:9" x14ac:dyDescent="0.45">
      <c r="A3047" t="s">
        <v>60</v>
      </c>
      <c r="B3047" t="s">
        <v>51</v>
      </c>
      <c r="C3047" t="str">
        <f t="shared" si="94"/>
        <v>TennesseeOklahoma</v>
      </c>
      <c r="D3047" t="s">
        <v>60</v>
      </c>
      <c r="E3047">
        <v>92.5</v>
      </c>
      <c r="F3047" s="1">
        <v>-16.494339622641501</v>
      </c>
      <c r="G3047" s="2">
        <v>-1237.8568636201401</v>
      </c>
      <c r="H3047" s="1">
        <v>140.962185259206</v>
      </c>
      <c r="I3047" s="1">
        <f t="shared" si="95"/>
        <v>169.45142281065009</v>
      </c>
    </row>
    <row r="3048" spans="1:9" x14ac:dyDescent="0.45">
      <c r="A3048" t="s">
        <v>61</v>
      </c>
      <c r="B3048" t="s">
        <v>51</v>
      </c>
      <c r="C3048" t="str">
        <f t="shared" si="94"/>
        <v>TexasOklahoma</v>
      </c>
      <c r="D3048" t="s">
        <v>51</v>
      </c>
      <c r="E3048">
        <v>33.1</v>
      </c>
      <c r="F3048" s="1">
        <v>4.6037735849056602</v>
      </c>
      <c r="G3048" s="2">
        <v>201.824736687175</v>
      </c>
      <c r="H3048" s="1">
        <v>138.66206708684399</v>
      </c>
      <c r="I3048" s="1">
        <f t="shared" si="95"/>
        <v>137.15381760848632</v>
      </c>
    </row>
    <row r="3049" spans="1:9" x14ac:dyDescent="0.45">
      <c r="A3049" t="s">
        <v>62</v>
      </c>
      <c r="B3049" t="s">
        <v>51</v>
      </c>
      <c r="C3049" t="str">
        <f t="shared" si="94"/>
        <v>Texas A&amp;MOklahoma</v>
      </c>
      <c r="D3049" t="s">
        <v>62</v>
      </c>
      <c r="E3049">
        <v>73.8</v>
      </c>
      <c r="F3049" s="1">
        <v>-6.8</v>
      </c>
      <c r="G3049" s="2">
        <v>-282.08492963322101</v>
      </c>
      <c r="H3049" s="1">
        <v>139.44904239624199</v>
      </c>
      <c r="I3049" s="1">
        <f t="shared" si="95"/>
        <v>148.20430108024902</v>
      </c>
    </row>
    <row r="3050" spans="1:9" x14ac:dyDescent="0.45">
      <c r="A3050" t="s">
        <v>63</v>
      </c>
      <c r="B3050" t="s">
        <v>51</v>
      </c>
      <c r="C3050" t="str">
        <f t="shared" si="94"/>
        <v>Texas TechOklahoma</v>
      </c>
      <c r="D3050" t="s">
        <v>63</v>
      </c>
      <c r="E3050">
        <v>84.5</v>
      </c>
      <c r="F3050" s="1">
        <v>-11.1320754716981</v>
      </c>
      <c r="G3050" s="2">
        <v>-546.38066970044804</v>
      </c>
      <c r="H3050" s="1">
        <v>140.43955500148101</v>
      </c>
      <c r="I3050" s="1">
        <f t="shared" si="95"/>
        <v>162.11279737238718</v>
      </c>
    </row>
    <row r="3051" spans="1:9" x14ac:dyDescent="0.45">
      <c r="A3051" t="s">
        <v>64</v>
      </c>
      <c r="B3051" t="s">
        <v>51</v>
      </c>
      <c r="C3051" t="str">
        <f t="shared" si="94"/>
        <v>TroyOklahoma</v>
      </c>
      <c r="D3051" t="s">
        <v>51</v>
      </c>
      <c r="E3051">
        <v>7.3</v>
      </c>
      <c r="F3051" s="1">
        <v>16.675471698113199</v>
      </c>
      <c r="G3051" s="2">
        <v>1273.05139712295</v>
      </c>
      <c r="H3051" s="1">
        <v>139.20585959604</v>
      </c>
      <c r="I3051" s="1">
        <f t="shared" si="95"/>
        <v>144.78959736317213</v>
      </c>
    </row>
    <row r="3052" spans="1:9" x14ac:dyDescent="0.45">
      <c r="A3052" t="s">
        <v>65</v>
      </c>
      <c r="B3052" t="s">
        <v>51</v>
      </c>
      <c r="C3052" t="str">
        <f t="shared" si="94"/>
        <v>UC San DiegoOklahoma</v>
      </c>
      <c r="D3052" t="s">
        <v>51</v>
      </c>
      <c r="E3052">
        <v>16.8</v>
      </c>
      <c r="F3052" s="1">
        <v>10.494339622641499</v>
      </c>
      <c r="G3052" s="2">
        <v>495.813132162258</v>
      </c>
      <c r="H3052" s="1">
        <v>139.27597982570299</v>
      </c>
      <c r="I3052" s="1">
        <f t="shared" si="95"/>
        <v>145.77420568528049</v>
      </c>
    </row>
    <row r="3053" spans="1:9" x14ac:dyDescent="0.45">
      <c r="A3053" t="s">
        <v>66</v>
      </c>
      <c r="B3053" t="s">
        <v>51</v>
      </c>
      <c r="C3053" t="str">
        <f t="shared" si="94"/>
        <v>UCLAOklahoma</v>
      </c>
      <c r="D3053" t="s">
        <v>51</v>
      </c>
      <c r="E3053">
        <v>41</v>
      </c>
      <c r="F3053" s="1">
        <v>2.3962264150943402</v>
      </c>
      <c r="G3053" s="2">
        <v>144.08758879023699</v>
      </c>
      <c r="H3053" s="1">
        <v>138.49723840491501</v>
      </c>
      <c r="I3053" s="1">
        <f t="shared" si="95"/>
        <v>134.83934013558832</v>
      </c>
    </row>
    <row r="3054" spans="1:9" x14ac:dyDescent="0.45">
      <c r="A3054" t="s">
        <v>67</v>
      </c>
      <c r="B3054" t="s">
        <v>51</v>
      </c>
      <c r="C3054" t="str">
        <f t="shared" si="94"/>
        <v>UNC WilmingtonOklahoma</v>
      </c>
      <c r="D3054" t="s">
        <v>51</v>
      </c>
      <c r="E3054">
        <v>10.4</v>
      </c>
      <c r="F3054" s="1">
        <v>14.086792452830201</v>
      </c>
      <c r="G3054" s="2">
        <v>857.59258092680705</v>
      </c>
      <c r="H3054" s="1">
        <v>139.812648296367</v>
      </c>
      <c r="I3054" s="1">
        <f t="shared" si="95"/>
        <v>153.30995171704015</v>
      </c>
    </row>
    <row r="3055" spans="1:9" x14ac:dyDescent="0.45">
      <c r="A3055" t="s">
        <v>68</v>
      </c>
      <c r="B3055" t="s">
        <v>51</v>
      </c>
      <c r="C3055" t="str">
        <f t="shared" si="94"/>
        <v>Utah St.Oklahoma</v>
      </c>
      <c r="D3055" t="s">
        <v>51</v>
      </c>
      <c r="E3055">
        <v>39.6</v>
      </c>
      <c r="F3055" s="1">
        <v>2.7584905660377399</v>
      </c>
      <c r="G3055" s="2">
        <v>152.35012920723</v>
      </c>
      <c r="H3055" s="1">
        <v>139.35983479494601</v>
      </c>
      <c r="I3055" s="1">
        <f t="shared" si="95"/>
        <v>146.95167331428911</v>
      </c>
    </row>
    <row r="3056" spans="1:9" x14ac:dyDescent="0.45">
      <c r="A3056" t="s">
        <v>69</v>
      </c>
      <c r="B3056" t="s">
        <v>51</v>
      </c>
      <c r="C3056" t="str">
        <f t="shared" si="94"/>
        <v>VanderbiltOklahoma</v>
      </c>
      <c r="D3056" t="s">
        <v>51</v>
      </c>
      <c r="E3056">
        <v>11.5</v>
      </c>
      <c r="F3056" s="1">
        <v>13.4075471698113</v>
      </c>
      <c r="G3056" s="2">
        <v>773.146502230686</v>
      </c>
      <c r="H3056" s="1">
        <v>137.793872676229</v>
      </c>
      <c r="I3056" s="1">
        <f t="shared" si="95"/>
        <v>124.9628786168722</v>
      </c>
    </row>
    <row r="3057" spans="1:9" x14ac:dyDescent="0.45">
      <c r="A3057" t="s">
        <v>70</v>
      </c>
      <c r="B3057" t="s">
        <v>51</v>
      </c>
      <c r="C3057" t="str">
        <f t="shared" si="94"/>
        <v>VCUOklahoma</v>
      </c>
      <c r="D3057" t="s">
        <v>51</v>
      </c>
      <c r="E3057">
        <v>29.3</v>
      </c>
      <c r="F3057" s="1">
        <v>5.7622641509434001</v>
      </c>
      <c r="G3057" s="2">
        <v>240.846336954794</v>
      </c>
      <c r="H3057" s="1">
        <v>139.71904580542201</v>
      </c>
      <c r="I3057" s="1">
        <f t="shared" si="95"/>
        <v>151.99561216057472</v>
      </c>
    </row>
    <row r="3058" spans="1:9" x14ac:dyDescent="0.45">
      <c r="A3058" t="s">
        <v>71</v>
      </c>
      <c r="B3058" t="s">
        <v>51</v>
      </c>
      <c r="C3058" t="str">
        <f t="shared" si="94"/>
        <v>WisconsinOklahoma</v>
      </c>
      <c r="D3058" t="s">
        <v>71</v>
      </c>
      <c r="E3058">
        <v>82.6</v>
      </c>
      <c r="F3058" s="1">
        <v>-10.192452830188699</v>
      </c>
      <c r="G3058" s="2">
        <v>-473.309905256859</v>
      </c>
      <c r="H3058" s="1">
        <v>140.372301413754</v>
      </c>
      <c r="I3058" s="1">
        <f t="shared" si="95"/>
        <v>161.1684416210453</v>
      </c>
    </row>
    <row r="3059" spans="1:9" x14ac:dyDescent="0.45">
      <c r="A3059" t="s">
        <v>80</v>
      </c>
      <c r="B3059" t="s">
        <v>51</v>
      </c>
      <c r="C3059" t="str">
        <f t="shared" si="94"/>
        <v>WoffordOklahoma</v>
      </c>
      <c r="D3059" t="s">
        <v>51</v>
      </c>
      <c r="E3059">
        <v>3.9</v>
      </c>
      <c r="F3059" s="1">
        <v>20.9849056603774</v>
      </c>
      <c r="G3059" s="2">
        <v>2455.5031195004099</v>
      </c>
      <c r="H3059" s="1">
        <v>138.46994984298101</v>
      </c>
      <c r="I3059" s="1">
        <f t="shared" si="95"/>
        <v>134.45616191002171</v>
      </c>
    </row>
    <row r="3060" spans="1:9" x14ac:dyDescent="0.45">
      <c r="A3060" t="s">
        <v>72</v>
      </c>
      <c r="B3060" t="s">
        <v>51</v>
      </c>
      <c r="C3060" t="str">
        <f t="shared" si="94"/>
        <v>XavierOklahoma</v>
      </c>
      <c r="D3060" t="s">
        <v>51</v>
      </c>
      <c r="E3060">
        <v>29.1</v>
      </c>
      <c r="F3060" s="1">
        <v>5.8339622641509399</v>
      </c>
      <c r="G3060" s="2">
        <v>243.54882063551199</v>
      </c>
      <c r="H3060" s="1">
        <v>139.212752013602</v>
      </c>
      <c r="I3060" s="1">
        <f t="shared" si="95"/>
        <v>144.88637873031266</v>
      </c>
    </row>
    <row r="3061" spans="1:9" x14ac:dyDescent="0.45">
      <c r="A3061" t="s">
        <v>73</v>
      </c>
      <c r="B3061" t="s">
        <v>51</v>
      </c>
      <c r="C3061" t="str">
        <f t="shared" si="94"/>
        <v>YaleOklahoma</v>
      </c>
      <c r="D3061" t="s">
        <v>51</v>
      </c>
      <c r="E3061">
        <v>17.7</v>
      </c>
      <c r="F3061" s="1">
        <v>10.086792452830201</v>
      </c>
      <c r="G3061" s="2">
        <v>465.72711360069701</v>
      </c>
      <c r="H3061" s="1">
        <v>139.81245814999599</v>
      </c>
      <c r="I3061" s="1">
        <f t="shared" si="95"/>
        <v>153.30728173577774</v>
      </c>
    </row>
    <row r="3062" spans="1:9" x14ac:dyDescent="0.45">
      <c r="A3062" t="s">
        <v>7</v>
      </c>
      <c r="B3062" t="s">
        <v>52</v>
      </c>
      <c r="C3062" t="str">
        <f t="shared" si="94"/>
        <v>AkronOregon</v>
      </c>
      <c r="D3062" t="s">
        <v>52</v>
      </c>
      <c r="E3062">
        <v>3.8</v>
      </c>
      <c r="F3062" s="1">
        <v>21.1132075471698</v>
      </c>
      <c r="G3062" s="2">
        <v>2505.3690922450901</v>
      </c>
      <c r="H3062" s="1">
        <v>138.338567819047</v>
      </c>
      <c r="I3062" s="1">
        <f t="shared" si="95"/>
        <v>132.61133289616095</v>
      </c>
    </row>
    <row r="3063" spans="1:9" x14ac:dyDescent="0.45">
      <c r="A3063" t="s">
        <v>8</v>
      </c>
      <c r="B3063" t="s">
        <v>52</v>
      </c>
      <c r="C3063" t="str">
        <f t="shared" si="94"/>
        <v>AlabamaOregon</v>
      </c>
      <c r="D3063" t="s">
        <v>8</v>
      </c>
      <c r="E3063">
        <v>75.099999999999994</v>
      </c>
      <c r="F3063" s="1">
        <v>-7.2264150943396199</v>
      </c>
      <c r="G3063" s="2">
        <v>-301.06411193051599</v>
      </c>
      <c r="H3063" s="1">
        <v>140.146179006642</v>
      </c>
      <c r="I3063" s="1">
        <f t="shared" si="95"/>
        <v>157.99329509160995</v>
      </c>
    </row>
    <row r="3064" spans="1:9" x14ac:dyDescent="0.45">
      <c r="A3064" t="s">
        <v>9</v>
      </c>
      <c r="B3064" t="s">
        <v>52</v>
      </c>
      <c r="C3064" t="str">
        <f t="shared" si="94"/>
        <v>Alabama St.Oregon</v>
      </c>
      <c r="D3064" t="s">
        <v>52</v>
      </c>
      <c r="E3064">
        <v>0.6</v>
      </c>
      <c r="F3064" s="1">
        <v>33.4339622641509</v>
      </c>
      <c r="G3064" s="2">
        <v>16404.440888492201</v>
      </c>
      <c r="H3064" s="1">
        <v>138.52532957846901</v>
      </c>
      <c r="I3064" s="1">
        <f t="shared" si="95"/>
        <v>135.23378840525305</v>
      </c>
    </row>
    <row r="3065" spans="1:9" x14ac:dyDescent="0.45">
      <c r="A3065" t="s">
        <v>10</v>
      </c>
      <c r="B3065" t="s">
        <v>52</v>
      </c>
      <c r="C3065" t="str">
        <f t="shared" si="94"/>
        <v>AmericanOregon</v>
      </c>
      <c r="D3065" t="s">
        <v>52</v>
      </c>
      <c r="E3065">
        <v>0.7</v>
      </c>
      <c r="F3065" s="1">
        <v>32.675471698113199</v>
      </c>
      <c r="G3065" s="2">
        <v>14615.549994720899</v>
      </c>
      <c r="H3065" s="1">
        <v>138.28861909822999</v>
      </c>
      <c r="I3065" s="1">
        <f t="shared" si="95"/>
        <v>131.90996716431056</v>
      </c>
    </row>
    <row r="3066" spans="1:9" x14ac:dyDescent="0.45">
      <c r="A3066" t="s">
        <v>11</v>
      </c>
      <c r="B3066" t="s">
        <v>52</v>
      </c>
      <c r="C3066" t="str">
        <f t="shared" si="94"/>
        <v>ArizonaOregon</v>
      </c>
      <c r="D3066" t="s">
        <v>11</v>
      </c>
      <c r="E3066">
        <v>66.400000000000006</v>
      </c>
      <c r="F3066" s="1">
        <v>-4.4679245283018902</v>
      </c>
      <c r="G3066" s="2">
        <v>-197.74467900080001</v>
      </c>
      <c r="H3066" s="1">
        <v>139.75665834681999</v>
      </c>
      <c r="I3066" s="1">
        <f t="shared" si="95"/>
        <v>152.52375676954253</v>
      </c>
    </row>
    <row r="3067" spans="1:9" x14ac:dyDescent="0.45">
      <c r="A3067" t="s">
        <v>12</v>
      </c>
      <c r="B3067" t="s">
        <v>52</v>
      </c>
      <c r="C3067" t="str">
        <f t="shared" si="94"/>
        <v>ArkansasOregon</v>
      </c>
      <c r="D3067" t="s">
        <v>52</v>
      </c>
      <c r="E3067">
        <v>11.4</v>
      </c>
      <c r="F3067" s="1">
        <v>13.430188679245299</v>
      </c>
      <c r="G3067" s="2">
        <v>775.88043017585005</v>
      </c>
      <c r="H3067" s="1">
        <v>138.08258232460901</v>
      </c>
      <c r="I3067" s="1">
        <f t="shared" si="95"/>
        <v>129.01685738782268</v>
      </c>
    </row>
    <row r="3068" spans="1:9" x14ac:dyDescent="0.45">
      <c r="A3068" t="s">
        <v>13</v>
      </c>
      <c r="B3068" t="s">
        <v>52</v>
      </c>
      <c r="C3068" t="str">
        <f t="shared" si="94"/>
        <v>AuburnOregon</v>
      </c>
      <c r="D3068" t="s">
        <v>13</v>
      </c>
      <c r="E3068">
        <v>85.6</v>
      </c>
      <c r="F3068" s="1">
        <v>-11.6641509433962</v>
      </c>
      <c r="G3068" s="2">
        <v>-592.61073184633699</v>
      </c>
      <c r="H3068" s="1">
        <v>141.16839523999499</v>
      </c>
      <c r="I3068" s="1">
        <f t="shared" si="95"/>
        <v>172.34696471292963</v>
      </c>
    </row>
    <row r="3069" spans="1:9" x14ac:dyDescent="0.45">
      <c r="A3069" t="s">
        <v>14</v>
      </c>
      <c r="B3069" t="s">
        <v>52</v>
      </c>
      <c r="C3069" t="str">
        <f t="shared" si="94"/>
        <v>BaylorOregon</v>
      </c>
      <c r="D3069" t="s">
        <v>52</v>
      </c>
      <c r="E3069">
        <v>37.4</v>
      </c>
      <c r="F3069" s="1">
        <v>3.3849056603773602</v>
      </c>
      <c r="G3069" s="2">
        <v>167.56861935625599</v>
      </c>
      <c r="H3069" s="1">
        <v>139.63131260117501</v>
      </c>
      <c r="I3069" s="1">
        <f t="shared" si="95"/>
        <v>150.76368745864491</v>
      </c>
    </row>
    <row r="3070" spans="1:9" x14ac:dyDescent="0.45">
      <c r="A3070" t="s">
        <v>15</v>
      </c>
      <c r="B3070" t="s">
        <v>52</v>
      </c>
      <c r="C3070" t="str">
        <f t="shared" si="94"/>
        <v>BryantOregon</v>
      </c>
      <c r="D3070" t="s">
        <v>52</v>
      </c>
      <c r="E3070">
        <v>2.7</v>
      </c>
      <c r="F3070" s="1">
        <v>23.456603773584899</v>
      </c>
      <c r="G3070" s="2">
        <v>3580.1770336284799</v>
      </c>
      <c r="H3070" s="1">
        <v>139.223632476821</v>
      </c>
      <c r="I3070" s="1">
        <f t="shared" si="95"/>
        <v>145.03915910033291</v>
      </c>
    </row>
    <row r="3071" spans="1:9" x14ac:dyDescent="0.45">
      <c r="A3071" t="s">
        <v>16</v>
      </c>
      <c r="B3071" t="s">
        <v>52</v>
      </c>
      <c r="C3071" t="str">
        <f t="shared" si="94"/>
        <v>BYUOregon</v>
      </c>
      <c r="D3071" t="s">
        <v>52</v>
      </c>
      <c r="E3071">
        <v>41.4</v>
      </c>
      <c r="F3071" s="1">
        <v>2.2905660377358501</v>
      </c>
      <c r="G3071" s="2">
        <v>141.802193644868</v>
      </c>
      <c r="H3071" s="1">
        <v>139.39367315126501</v>
      </c>
      <c r="I3071" s="1">
        <f t="shared" si="95"/>
        <v>147.42682188978978</v>
      </c>
    </row>
    <row r="3072" spans="1:9" x14ac:dyDescent="0.45">
      <c r="A3072" t="s">
        <v>17</v>
      </c>
      <c r="B3072" t="s">
        <v>52</v>
      </c>
      <c r="C3072" t="str">
        <f t="shared" si="94"/>
        <v>ClemsonOregon</v>
      </c>
      <c r="D3072" t="s">
        <v>52</v>
      </c>
      <c r="E3072">
        <v>49.7</v>
      </c>
      <c r="F3072" s="1">
        <v>8.6792452830188702E-2</v>
      </c>
      <c r="G3072" s="2">
        <v>101.307543220187</v>
      </c>
      <c r="H3072" s="1">
        <v>139.74372337370701</v>
      </c>
      <c r="I3072" s="1">
        <f t="shared" si="95"/>
        <v>152.34212755591196</v>
      </c>
    </row>
    <row r="3073" spans="1:9" x14ac:dyDescent="0.45">
      <c r="A3073" t="s">
        <v>18</v>
      </c>
      <c r="B3073" t="s">
        <v>52</v>
      </c>
      <c r="C3073" t="str">
        <f t="shared" si="94"/>
        <v>Colorado St.Oregon</v>
      </c>
      <c r="D3073" t="s">
        <v>52</v>
      </c>
      <c r="E3073">
        <v>14.1</v>
      </c>
      <c r="F3073" s="1">
        <v>11.8679245283019</v>
      </c>
      <c r="G3073" s="2">
        <v>611.23143361686505</v>
      </c>
      <c r="H3073" s="1">
        <v>139.13333434850099</v>
      </c>
      <c r="I3073" s="1">
        <f t="shared" si="95"/>
        <v>143.77121846405734</v>
      </c>
    </row>
    <row r="3074" spans="1:9" x14ac:dyDescent="0.45">
      <c r="A3074" t="s">
        <v>19</v>
      </c>
      <c r="B3074" t="s">
        <v>52</v>
      </c>
      <c r="C3074" t="str">
        <f t="shared" si="94"/>
        <v>ConnecticutOregon</v>
      </c>
      <c r="D3074" t="s">
        <v>19</v>
      </c>
      <c r="E3074">
        <v>60.5</v>
      </c>
      <c r="F3074" s="1">
        <v>-2.8075471698113201</v>
      </c>
      <c r="G3074" s="2">
        <v>-153.47743938483401</v>
      </c>
      <c r="H3074" s="1">
        <v>139.543974204455</v>
      </c>
      <c r="I3074" s="1">
        <f t="shared" si="95"/>
        <v>149.53730653172224</v>
      </c>
    </row>
    <row r="3075" spans="1:9" x14ac:dyDescent="0.45">
      <c r="A3075" t="s">
        <v>20</v>
      </c>
      <c r="B3075" t="s">
        <v>52</v>
      </c>
      <c r="C3075" t="str">
        <f t="shared" ref="C3075:C3138" si="96">A3075&amp;B3075</f>
        <v>CreightonOregon</v>
      </c>
      <c r="D3075" t="s">
        <v>52</v>
      </c>
      <c r="E3075">
        <v>32.1</v>
      </c>
      <c r="F3075" s="1">
        <v>4.8981132075471701</v>
      </c>
      <c r="G3075" s="2">
        <v>211.14855570301901</v>
      </c>
      <c r="H3075" s="1">
        <v>139.09327095729401</v>
      </c>
      <c r="I3075" s="1">
        <f t="shared" ref="I3075:I3138" si="97">18*(H3075-AVERAGE($H$2:$H$4625))/_xlfn.STDEV.P($H$2:$H$4625)+AVERAGE($H$2:$H$4625)</f>
        <v>143.20865971911499</v>
      </c>
    </row>
    <row r="3076" spans="1:9" x14ac:dyDescent="0.45">
      <c r="A3076" t="s">
        <v>21</v>
      </c>
      <c r="B3076" t="s">
        <v>52</v>
      </c>
      <c r="C3076" t="str">
        <f t="shared" si="96"/>
        <v>DrakeOregon</v>
      </c>
      <c r="D3076" t="s">
        <v>52</v>
      </c>
      <c r="E3076">
        <v>13.7</v>
      </c>
      <c r="F3076" s="1">
        <v>12.0716981132075</v>
      </c>
      <c r="G3076" s="2">
        <v>630.63171580085395</v>
      </c>
      <c r="H3076" s="1">
        <v>139.327946762968</v>
      </c>
      <c r="I3076" s="1">
        <f t="shared" si="97"/>
        <v>146.50391063849483</v>
      </c>
    </row>
    <row r="3077" spans="1:9" x14ac:dyDescent="0.45">
      <c r="A3077" t="s">
        <v>22</v>
      </c>
      <c r="B3077" t="s">
        <v>52</v>
      </c>
      <c r="C3077" t="str">
        <f t="shared" si="96"/>
        <v>DukeOregon</v>
      </c>
      <c r="D3077" t="s">
        <v>22</v>
      </c>
      <c r="E3077">
        <v>89.3</v>
      </c>
      <c r="F3077" s="1">
        <v>-13.8792452830189</v>
      </c>
      <c r="G3077" s="2">
        <v>-830.76198896163896</v>
      </c>
      <c r="H3077" s="1">
        <v>141.40828665157099</v>
      </c>
      <c r="I3077" s="1">
        <f t="shared" si="97"/>
        <v>175.71545168702059</v>
      </c>
    </row>
    <row r="3078" spans="1:9" x14ac:dyDescent="0.45">
      <c r="A3078" t="s">
        <v>23</v>
      </c>
      <c r="B3078" t="s">
        <v>52</v>
      </c>
      <c r="C3078" t="str">
        <f t="shared" si="96"/>
        <v>FloridaOregon</v>
      </c>
      <c r="D3078" t="s">
        <v>23</v>
      </c>
      <c r="E3078">
        <v>82.2</v>
      </c>
      <c r="F3078" s="1">
        <v>-10.022641509433999</v>
      </c>
      <c r="G3078" s="2">
        <v>-461.25857957821802</v>
      </c>
      <c r="H3078" s="1">
        <v>141.142937179125</v>
      </c>
      <c r="I3078" s="1">
        <f t="shared" si="97"/>
        <v>171.98948986269298</v>
      </c>
    </row>
    <row r="3079" spans="1:9" x14ac:dyDescent="0.45">
      <c r="A3079" t="s">
        <v>24</v>
      </c>
      <c r="B3079" t="s">
        <v>52</v>
      </c>
      <c r="C3079" t="str">
        <f t="shared" si="96"/>
        <v>GeorgiaOregon</v>
      </c>
      <c r="D3079" t="s">
        <v>52</v>
      </c>
      <c r="E3079">
        <v>15.7</v>
      </c>
      <c r="F3079" s="1">
        <v>11.037735849056601</v>
      </c>
      <c r="G3079" s="2">
        <v>538.72987608620303</v>
      </c>
      <c r="H3079" s="1">
        <v>138.40689547541001</v>
      </c>
      <c r="I3079" s="1">
        <f t="shared" si="97"/>
        <v>133.57077041381484</v>
      </c>
    </row>
    <row r="3080" spans="1:9" x14ac:dyDescent="0.45">
      <c r="A3080" t="s">
        <v>25</v>
      </c>
      <c r="B3080" t="s">
        <v>52</v>
      </c>
      <c r="C3080" t="str">
        <f t="shared" si="96"/>
        <v>GonzagaOregon</v>
      </c>
      <c r="D3080" t="s">
        <v>52</v>
      </c>
      <c r="E3080">
        <v>48.4</v>
      </c>
      <c r="F3080" s="1">
        <v>0.41132075471698099</v>
      </c>
      <c r="G3080" s="2">
        <v>106.44670387052</v>
      </c>
      <c r="H3080" s="1">
        <v>140.383857205916</v>
      </c>
      <c r="I3080" s="1">
        <f t="shared" si="97"/>
        <v>161.33070476801362</v>
      </c>
    </row>
    <row r="3081" spans="1:9" x14ac:dyDescent="0.45">
      <c r="A3081" t="s">
        <v>26</v>
      </c>
      <c r="B3081" t="s">
        <v>52</v>
      </c>
      <c r="C3081" t="str">
        <f t="shared" si="96"/>
        <v>Grand CanyonOregon</v>
      </c>
      <c r="D3081" t="s">
        <v>52</v>
      </c>
      <c r="E3081">
        <v>9.3000000000000007</v>
      </c>
      <c r="F3081" s="1">
        <v>14.9584905660377</v>
      </c>
      <c r="G3081" s="2">
        <v>979.740481811682</v>
      </c>
      <c r="H3081" s="1">
        <v>139.20182892345599</v>
      </c>
      <c r="I3081" s="1">
        <f t="shared" si="97"/>
        <v>144.73299980510677</v>
      </c>
    </row>
    <row r="3082" spans="1:9" x14ac:dyDescent="0.45">
      <c r="A3082" t="s">
        <v>27</v>
      </c>
      <c r="B3082" t="s">
        <v>52</v>
      </c>
      <c r="C3082" t="str">
        <f t="shared" si="96"/>
        <v>High PointOregon</v>
      </c>
      <c r="D3082" t="s">
        <v>52</v>
      </c>
      <c r="E3082">
        <v>6</v>
      </c>
      <c r="F3082" s="1">
        <v>18.0490566037736</v>
      </c>
      <c r="G3082" s="2">
        <v>1569.6149054835801</v>
      </c>
      <c r="H3082" s="1">
        <v>139.393036057004</v>
      </c>
      <c r="I3082" s="1">
        <f t="shared" si="97"/>
        <v>147.41787599337198</v>
      </c>
    </row>
    <row r="3083" spans="1:9" x14ac:dyDescent="0.45">
      <c r="A3083" t="s">
        <v>28</v>
      </c>
      <c r="B3083" t="s">
        <v>52</v>
      </c>
      <c r="C3083" t="str">
        <f t="shared" si="96"/>
        <v>HoustonOregon</v>
      </c>
      <c r="D3083" t="s">
        <v>28</v>
      </c>
      <c r="E3083">
        <v>93.3</v>
      </c>
      <c r="F3083" s="1">
        <v>-17.2339622641509</v>
      </c>
      <c r="G3083" s="2">
        <v>-1385.81985084853</v>
      </c>
      <c r="H3083" s="1">
        <v>141.50649841420699</v>
      </c>
      <c r="I3083" s="1">
        <f t="shared" si="97"/>
        <v>177.09451332565317</v>
      </c>
    </row>
    <row r="3084" spans="1:9" x14ac:dyDescent="0.45">
      <c r="A3084" t="s">
        <v>29</v>
      </c>
      <c r="B3084" t="s">
        <v>52</v>
      </c>
      <c r="C3084" t="str">
        <f t="shared" si="96"/>
        <v>IllinoisOregon</v>
      </c>
      <c r="D3084" t="s">
        <v>29</v>
      </c>
      <c r="E3084">
        <v>57.7</v>
      </c>
      <c r="F3084" s="1">
        <v>-2.0452830188679201</v>
      </c>
      <c r="G3084" s="2">
        <v>-136.61336790323901</v>
      </c>
      <c r="H3084" s="1">
        <v>139.56496218916899</v>
      </c>
      <c r="I3084" s="1">
        <f t="shared" si="97"/>
        <v>149.83201384390597</v>
      </c>
    </row>
    <row r="3085" spans="1:9" x14ac:dyDescent="0.45">
      <c r="A3085" t="s">
        <v>30</v>
      </c>
      <c r="B3085" t="s">
        <v>52</v>
      </c>
      <c r="C3085" t="str">
        <f t="shared" si="96"/>
        <v>Iowa St.Oregon</v>
      </c>
      <c r="D3085" t="s">
        <v>30</v>
      </c>
      <c r="E3085">
        <v>74.099999999999994</v>
      </c>
      <c r="F3085" s="1">
        <v>-6.9056603773584904</v>
      </c>
      <c r="G3085" s="2">
        <v>-286.78026209646202</v>
      </c>
      <c r="H3085" s="1">
        <v>140.461504480755</v>
      </c>
      <c r="I3085" s="1">
        <f t="shared" si="97"/>
        <v>162.4210057177246</v>
      </c>
    </row>
    <row r="3086" spans="1:9" x14ac:dyDescent="0.45">
      <c r="A3086" t="s">
        <v>31</v>
      </c>
      <c r="B3086" t="s">
        <v>52</v>
      </c>
      <c r="C3086" t="str">
        <f t="shared" si="96"/>
        <v>KansasOregon</v>
      </c>
      <c r="D3086" t="s">
        <v>52</v>
      </c>
      <c r="E3086">
        <v>46.9</v>
      </c>
      <c r="F3086" s="1">
        <v>0.81132075471698095</v>
      </c>
      <c r="G3086" s="2">
        <v>113.14924970933799</v>
      </c>
      <c r="H3086" s="1">
        <v>139.51209236960901</v>
      </c>
      <c r="I3086" s="1">
        <f t="shared" si="97"/>
        <v>149.08963087429331</v>
      </c>
    </row>
    <row r="3087" spans="1:9" x14ac:dyDescent="0.45">
      <c r="A3087" t="s">
        <v>32</v>
      </c>
      <c r="B3087" t="s">
        <v>52</v>
      </c>
      <c r="C3087" t="str">
        <f t="shared" si="96"/>
        <v>KentuckyOregon</v>
      </c>
      <c r="D3087" t="s">
        <v>32</v>
      </c>
      <c r="E3087">
        <v>59.6</v>
      </c>
      <c r="F3087" s="1">
        <v>-2.55471698113208</v>
      </c>
      <c r="G3087" s="2">
        <v>-147.65027639450301</v>
      </c>
      <c r="H3087" s="1">
        <v>139.44637470173399</v>
      </c>
      <c r="I3087" s="1">
        <f t="shared" si="97"/>
        <v>148.16684207268375</v>
      </c>
    </row>
    <row r="3088" spans="1:9" x14ac:dyDescent="0.45">
      <c r="A3088" t="s">
        <v>33</v>
      </c>
      <c r="B3088" t="s">
        <v>52</v>
      </c>
      <c r="C3088" t="str">
        <f t="shared" si="96"/>
        <v>LibertyOregon</v>
      </c>
      <c r="D3088" t="s">
        <v>52</v>
      </c>
      <c r="E3088">
        <v>4.2</v>
      </c>
      <c r="F3088" s="1">
        <v>20.430188679245301</v>
      </c>
      <c r="G3088" s="2">
        <v>2257.3227089807501</v>
      </c>
      <c r="H3088" s="1">
        <v>138.791375745452</v>
      </c>
      <c r="I3088" s="1">
        <f t="shared" si="97"/>
        <v>138.96953301612305</v>
      </c>
    </row>
    <row r="3089" spans="1:9" x14ac:dyDescent="0.45">
      <c r="A3089" t="s">
        <v>34</v>
      </c>
      <c r="B3089" t="s">
        <v>52</v>
      </c>
      <c r="C3089" t="str">
        <f t="shared" si="96"/>
        <v>LipscombOregon</v>
      </c>
      <c r="D3089" t="s">
        <v>52</v>
      </c>
      <c r="E3089">
        <v>3.2</v>
      </c>
      <c r="F3089" s="1">
        <v>22.2981132075472</v>
      </c>
      <c r="G3089" s="2">
        <v>3000.4883942608199</v>
      </c>
      <c r="H3089" s="1">
        <v>139.19769394304299</v>
      </c>
      <c r="I3089" s="1">
        <f t="shared" si="97"/>
        <v>144.67493758617277</v>
      </c>
    </row>
    <row r="3090" spans="1:9" x14ac:dyDescent="0.45">
      <c r="A3090" t="s">
        <v>35</v>
      </c>
      <c r="B3090" t="s">
        <v>52</v>
      </c>
      <c r="C3090" t="str">
        <f t="shared" si="96"/>
        <v>LouisvilleOregon</v>
      </c>
      <c r="D3090" t="s">
        <v>52</v>
      </c>
      <c r="E3090">
        <v>7.7</v>
      </c>
      <c r="F3090" s="1">
        <v>16.2490566037736</v>
      </c>
      <c r="G3090" s="2">
        <v>1192.4882713373599</v>
      </c>
      <c r="H3090" s="1">
        <v>138.443055948861</v>
      </c>
      <c r="I3090" s="1">
        <f t="shared" si="97"/>
        <v>134.07852549765215</v>
      </c>
    </row>
    <row r="3091" spans="1:9" x14ac:dyDescent="0.45">
      <c r="A3091" t="s">
        <v>36</v>
      </c>
      <c r="B3091" t="s">
        <v>52</v>
      </c>
      <c r="C3091" t="str">
        <f t="shared" si="96"/>
        <v>MarquetteOregon</v>
      </c>
      <c r="D3091" t="s">
        <v>36</v>
      </c>
      <c r="E3091">
        <v>53.1</v>
      </c>
      <c r="F3091" s="1">
        <v>-0.81886792452830204</v>
      </c>
      <c r="G3091" s="2">
        <v>-113.315463929811</v>
      </c>
      <c r="H3091" s="1">
        <v>139.70518979232301</v>
      </c>
      <c r="I3091" s="1">
        <f t="shared" si="97"/>
        <v>151.80104996541237</v>
      </c>
    </row>
    <row r="3092" spans="1:9" x14ac:dyDescent="0.45">
      <c r="A3092" t="s">
        <v>37</v>
      </c>
      <c r="B3092" t="s">
        <v>52</v>
      </c>
      <c r="C3092" t="str">
        <f t="shared" si="96"/>
        <v>MarylandOregon</v>
      </c>
      <c r="D3092" t="s">
        <v>52</v>
      </c>
      <c r="E3092">
        <v>41.1</v>
      </c>
      <c r="F3092" s="1">
        <v>2.3471698113207502</v>
      </c>
      <c r="G3092" s="2">
        <v>143.06870644761301</v>
      </c>
      <c r="H3092" s="1">
        <v>139.163559390866</v>
      </c>
      <c r="I3092" s="1">
        <f t="shared" si="97"/>
        <v>144.19562991267483</v>
      </c>
    </row>
    <row r="3093" spans="1:9" x14ac:dyDescent="0.45">
      <c r="A3093" t="s">
        <v>38</v>
      </c>
      <c r="B3093" t="s">
        <v>52</v>
      </c>
      <c r="C3093" t="str">
        <f t="shared" si="96"/>
        <v>McNeese St.Oregon</v>
      </c>
      <c r="D3093" t="s">
        <v>52</v>
      </c>
      <c r="E3093">
        <v>14</v>
      </c>
      <c r="F3093" s="1">
        <v>11.8867924528302</v>
      </c>
      <c r="G3093" s="2">
        <v>613.21719482064395</v>
      </c>
      <c r="H3093" s="1">
        <v>139.75679480382999</v>
      </c>
      <c r="I3093" s="1">
        <f t="shared" si="97"/>
        <v>152.52567286006737</v>
      </c>
    </row>
    <row r="3094" spans="1:9" x14ac:dyDescent="0.45">
      <c r="A3094" t="s">
        <v>39</v>
      </c>
      <c r="B3094" t="s">
        <v>52</v>
      </c>
      <c r="C3094" t="str">
        <f t="shared" si="96"/>
        <v>MemphisOregon</v>
      </c>
      <c r="D3094" t="s">
        <v>52</v>
      </c>
      <c r="E3094">
        <v>28.2</v>
      </c>
      <c r="F3094" s="1">
        <v>6.11320754716981</v>
      </c>
      <c r="G3094" s="2">
        <v>254.065103204553</v>
      </c>
      <c r="H3094" s="1">
        <v>138.291076630356</v>
      </c>
      <c r="I3094" s="1">
        <f t="shared" si="97"/>
        <v>131.94447513148</v>
      </c>
    </row>
    <row r="3095" spans="1:9" x14ac:dyDescent="0.45">
      <c r="A3095" t="s">
        <v>40</v>
      </c>
      <c r="B3095" t="s">
        <v>52</v>
      </c>
      <c r="C3095" t="str">
        <f t="shared" si="96"/>
        <v>MichiganOregon</v>
      </c>
      <c r="D3095" t="s">
        <v>52</v>
      </c>
      <c r="E3095">
        <v>16.3</v>
      </c>
      <c r="F3095" s="1">
        <v>10.735849056603801</v>
      </c>
      <c r="G3095" s="2">
        <v>514.44583012633097</v>
      </c>
      <c r="H3095" s="1">
        <v>137.853697927273</v>
      </c>
      <c r="I3095" s="1">
        <f t="shared" si="97"/>
        <v>125.80292777719659</v>
      </c>
    </row>
    <row r="3096" spans="1:9" x14ac:dyDescent="0.45">
      <c r="A3096" t="s">
        <v>41</v>
      </c>
      <c r="B3096" t="s">
        <v>52</v>
      </c>
      <c r="C3096" t="str">
        <f t="shared" si="96"/>
        <v>Michigan St.Oregon</v>
      </c>
      <c r="D3096" t="s">
        <v>41</v>
      </c>
      <c r="E3096">
        <v>64.8</v>
      </c>
      <c r="F3096" s="1">
        <v>-4.0075471698113203</v>
      </c>
      <c r="G3096" s="2">
        <v>-184.33826265930901</v>
      </c>
      <c r="H3096" s="1">
        <v>139.50077763648</v>
      </c>
      <c r="I3096" s="1">
        <f t="shared" si="97"/>
        <v>148.93075260970684</v>
      </c>
    </row>
    <row r="3097" spans="1:9" x14ac:dyDescent="0.45">
      <c r="A3097" t="s">
        <v>42</v>
      </c>
      <c r="B3097" t="s">
        <v>52</v>
      </c>
      <c r="C3097" t="str">
        <f t="shared" si="96"/>
        <v>MississippiOregon</v>
      </c>
      <c r="D3097" t="s">
        <v>52</v>
      </c>
      <c r="E3097">
        <v>33.5</v>
      </c>
      <c r="F3097" s="1">
        <v>4.4867924528301897</v>
      </c>
      <c r="G3097" s="2">
        <v>198.269506249801</v>
      </c>
      <c r="H3097" s="1">
        <v>138.76846898636899</v>
      </c>
      <c r="I3097" s="1">
        <f t="shared" si="97"/>
        <v>138.64788281996616</v>
      </c>
    </row>
    <row r="3098" spans="1:9" x14ac:dyDescent="0.45">
      <c r="A3098" t="s">
        <v>43</v>
      </c>
      <c r="B3098" t="s">
        <v>52</v>
      </c>
      <c r="C3098" t="str">
        <f t="shared" si="96"/>
        <v>Mississippi St.Oregon</v>
      </c>
      <c r="D3098" t="s">
        <v>52</v>
      </c>
      <c r="E3098">
        <v>27.9</v>
      </c>
      <c r="F3098" s="1">
        <v>6.2113207547169802</v>
      </c>
      <c r="G3098" s="2">
        <v>257.889251163241</v>
      </c>
      <c r="H3098" s="1">
        <v>138.908215459046</v>
      </c>
      <c r="I3098" s="1">
        <f t="shared" si="97"/>
        <v>140.61016304415239</v>
      </c>
    </row>
    <row r="3099" spans="1:9" x14ac:dyDescent="0.45">
      <c r="A3099" t="s">
        <v>44</v>
      </c>
      <c r="B3099" t="s">
        <v>52</v>
      </c>
      <c r="C3099" t="str">
        <f t="shared" si="96"/>
        <v>MissouriOregon</v>
      </c>
      <c r="D3099" t="s">
        <v>52</v>
      </c>
      <c r="E3099">
        <v>15.4</v>
      </c>
      <c r="F3099" s="1">
        <v>11.143396226415099</v>
      </c>
      <c r="G3099" s="2">
        <v>547.40848267945103</v>
      </c>
      <c r="H3099" s="1">
        <v>138.32587735769101</v>
      </c>
      <c r="I3099" s="1">
        <f t="shared" si="97"/>
        <v>132.43313704708066</v>
      </c>
    </row>
    <row r="3100" spans="1:9" x14ac:dyDescent="0.45">
      <c r="A3100" t="s">
        <v>45</v>
      </c>
      <c r="B3100" t="s">
        <v>52</v>
      </c>
      <c r="C3100" t="str">
        <f t="shared" si="96"/>
        <v>MontanaOregon</v>
      </c>
      <c r="D3100" t="s">
        <v>52</v>
      </c>
      <c r="E3100">
        <v>1.6</v>
      </c>
      <c r="F3100" s="1">
        <v>26.9509433962264</v>
      </c>
      <c r="G3100" s="2">
        <v>6101.79012334053</v>
      </c>
      <c r="H3100" s="1">
        <v>137.46258892109799</v>
      </c>
      <c r="I3100" s="1">
        <f t="shared" si="97"/>
        <v>120.31108634738018</v>
      </c>
    </row>
    <row r="3101" spans="1:9" x14ac:dyDescent="0.45">
      <c r="A3101" t="s">
        <v>46</v>
      </c>
      <c r="B3101" t="s">
        <v>52</v>
      </c>
      <c r="C3101" t="str">
        <f t="shared" si="96"/>
        <v>Mount St. Mary'sOregon</v>
      </c>
      <c r="D3101" t="s">
        <v>52</v>
      </c>
      <c r="E3101">
        <v>0.6</v>
      </c>
      <c r="F3101" s="1">
        <v>33.283018867924497</v>
      </c>
      <c r="G3101" s="2">
        <v>16035.4593097774</v>
      </c>
      <c r="H3101" s="1">
        <v>138.76587687524801</v>
      </c>
      <c r="I3101" s="1">
        <f t="shared" si="97"/>
        <v>138.61148513282498</v>
      </c>
    </row>
    <row r="3102" spans="1:9" x14ac:dyDescent="0.45">
      <c r="A3102" t="s">
        <v>47</v>
      </c>
      <c r="B3102" t="s">
        <v>52</v>
      </c>
      <c r="C3102" t="str">
        <f t="shared" si="96"/>
        <v>Nebraska OmahaOregon</v>
      </c>
      <c r="D3102" t="s">
        <v>52</v>
      </c>
      <c r="E3102">
        <v>0.9</v>
      </c>
      <c r="F3102" s="1">
        <v>31.094339622641499</v>
      </c>
      <c r="G3102" s="2">
        <v>11480.9779469153</v>
      </c>
      <c r="H3102" s="1">
        <v>138.18365300735201</v>
      </c>
      <c r="I3102" s="1">
        <f t="shared" si="97"/>
        <v>130.43606316949536</v>
      </c>
    </row>
    <row r="3103" spans="1:9" x14ac:dyDescent="0.45">
      <c r="A3103" t="s">
        <v>48</v>
      </c>
      <c r="B3103" t="s">
        <v>52</v>
      </c>
      <c r="C3103" t="str">
        <f t="shared" si="96"/>
        <v>New MexicoOregon</v>
      </c>
      <c r="D3103" t="s">
        <v>52</v>
      </c>
      <c r="E3103">
        <v>17.3</v>
      </c>
      <c r="F3103" s="1">
        <v>10.264150943396199</v>
      </c>
      <c r="G3103" s="2">
        <v>478.51514643599501</v>
      </c>
      <c r="H3103" s="1">
        <v>138.95364293916899</v>
      </c>
      <c r="I3103" s="1">
        <f t="shared" si="97"/>
        <v>141.24804280005836</v>
      </c>
    </row>
    <row r="3104" spans="1:9" x14ac:dyDescent="0.45">
      <c r="A3104" t="s">
        <v>49</v>
      </c>
      <c r="B3104" t="s">
        <v>52</v>
      </c>
      <c r="C3104" t="str">
        <f t="shared" si="96"/>
        <v>Norfolk St.Oregon</v>
      </c>
      <c r="D3104" t="s">
        <v>52</v>
      </c>
      <c r="E3104">
        <v>1.2</v>
      </c>
      <c r="F3104" s="1">
        <v>28.8301886792453</v>
      </c>
      <c r="G3104" s="2">
        <v>8126.9211537824804</v>
      </c>
      <c r="H3104" s="1">
        <v>137.989768703133</v>
      </c>
      <c r="I3104" s="1">
        <f t="shared" si="97"/>
        <v>127.7135949120791</v>
      </c>
    </row>
    <row r="3105" spans="1:9" x14ac:dyDescent="0.45">
      <c r="A3105" t="s">
        <v>50</v>
      </c>
      <c r="B3105" t="s">
        <v>52</v>
      </c>
      <c r="C3105" t="str">
        <f t="shared" si="96"/>
        <v>North CarolinaOregon</v>
      </c>
      <c r="D3105" t="s">
        <v>52</v>
      </c>
      <c r="E3105">
        <v>41.6</v>
      </c>
      <c r="F3105" s="1">
        <v>2.2113207547169802</v>
      </c>
      <c r="G3105" s="2">
        <v>140.132440126549</v>
      </c>
      <c r="H3105" s="1">
        <v>140.063374657602</v>
      </c>
      <c r="I3105" s="1">
        <f t="shared" si="97"/>
        <v>156.83057997268637</v>
      </c>
    </row>
    <row r="3106" spans="1:9" x14ac:dyDescent="0.45">
      <c r="A3106" t="s">
        <v>51</v>
      </c>
      <c r="B3106" t="s">
        <v>52</v>
      </c>
      <c r="C3106" t="str">
        <f t="shared" si="96"/>
        <v>OklahomaOregon</v>
      </c>
      <c r="D3106" t="s">
        <v>52</v>
      </c>
      <c r="E3106">
        <v>20</v>
      </c>
      <c r="F3106" s="1">
        <v>9.0943396226415096</v>
      </c>
      <c r="G3106" s="2">
        <v>400.42013189322302</v>
      </c>
      <c r="H3106" s="1">
        <v>138.48699778377701</v>
      </c>
      <c r="I3106" s="1">
        <f t="shared" si="97"/>
        <v>134.69554424609265</v>
      </c>
    </row>
    <row r="3107" spans="1:9" x14ac:dyDescent="0.45">
      <c r="A3107" t="s">
        <v>52</v>
      </c>
      <c r="B3107" t="s">
        <v>52</v>
      </c>
      <c r="C3107" t="str">
        <f t="shared" si="96"/>
        <v>OregonOregon</v>
      </c>
      <c r="D3107" t="s">
        <v>52</v>
      </c>
      <c r="E3107">
        <v>41.2</v>
      </c>
      <c r="F3107" s="1">
        <v>2.3283018867924499</v>
      </c>
      <c r="G3107" s="2">
        <v>142.64273539779199</v>
      </c>
      <c r="H3107" s="1">
        <v>138.77771517530499</v>
      </c>
      <c r="I3107" s="1">
        <f t="shared" si="97"/>
        <v>138.77771517530684</v>
      </c>
    </row>
    <row r="3108" spans="1:9" x14ac:dyDescent="0.45">
      <c r="A3108" t="s">
        <v>53</v>
      </c>
      <c r="B3108" t="s">
        <v>52</v>
      </c>
      <c r="C3108" t="str">
        <f t="shared" si="96"/>
        <v>PurdueOregon</v>
      </c>
      <c r="D3108" t="s">
        <v>53</v>
      </c>
      <c r="E3108">
        <v>79.900000000000006</v>
      </c>
      <c r="F3108" s="1">
        <v>-9.0452830188679201</v>
      </c>
      <c r="G3108" s="2">
        <v>-397.32872295738002</v>
      </c>
      <c r="H3108" s="1">
        <v>140.26580237510399</v>
      </c>
      <c r="I3108" s="1">
        <f t="shared" si="97"/>
        <v>159.67301240959921</v>
      </c>
    </row>
    <row r="3109" spans="1:9" x14ac:dyDescent="0.45">
      <c r="A3109" t="s">
        <v>54</v>
      </c>
      <c r="B3109" t="s">
        <v>52</v>
      </c>
      <c r="C3109" t="str">
        <f t="shared" si="96"/>
        <v>Robert MorrisOregon</v>
      </c>
      <c r="D3109" t="s">
        <v>52</v>
      </c>
      <c r="E3109">
        <v>0.5</v>
      </c>
      <c r="F3109" s="1">
        <v>34.845283018867903</v>
      </c>
      <c r="G3109" s="2">
        <v>20346.276356849201</v>
      </c>
      <c r="H3109" s="1">
        <v>137.348767703791</v>
      </c>
      <c r="I3109" s="1">
        <f t="shared" si="97"/>
        <v>118.71284118572579</v>
      </c>
    </row>
    <row r="3110" spans="1:9" x14ac:dyDescent="0.45">
      <c r="A3110" t="s">
        <v>55</v>
      </c>
      <c r="B3110" t="s">
        <v>52</v>
      </c>
      <c r="C3110" t="str">
        <f t="shared" si="96"/>
        <v>Saint FrancisOregon</v>
      </c>
      <c r="D3110" t="s">
        <v>52</v>
      </c>
      <c r="E3110">
        <v>0.3</v>
      </c>
      <c r="F3110" s="1">
        <v>38.207547169811299</v>
      </c>
      <c r="G3110" s="2">
        <v>33983.423957701001</v>
      </c>
      <c r="H3110" s="1">
        <v>138.055615585834</v>
      </c>
      <c r="I3110" s="1">
        <f t="shared" si="97"/>
        <v>128.63819811152536</v>
      </c>
    </row>
    <row r="3111" spans="1:9" x14ac:dyDescent="0.45">
      <c r="A3111" t="s">
        <v>56</v>
      </c>
      <c r="B3111" t="s">
        <v>52</v>
      </c>
      <c r="C3111" t="str">
        <f t="shared" si="96"/>
        <v>Saint Mary'sOregon</v>
      </c>
      <c r="D3111" t="s">
        <v>52</v>
      </c>
      <c r="E3111">
        <v>40.700000000000003</v>
      </c>
      <c r="F3111" s="1">
        <v>2.47169811320755</v>
      </c>
      <c r="G3111" s="2">
        <v>145.81525396984</v>
      </c>
      <c r="H3111" s="1">
        <v>139.784821701776</v>
      </c>
      <c r="I3111" s="1">
        <f t="shared" si="97"/>
        <v>152.91921858992521</v>
      </c>
    </row>
    <row r="3112" spans="1:9" x14ac:dyDescent="0.45">
      <c r="A3112" t="s">
        <v>57</v>
      </c>
      <c r="B3112" t="s">
        <v>52</v>
      </c>
      <c r="C3112" t="str">
        <f t="shared" si="96"/>
        <v>San Diego St.Oregon</v>
      </c>
      <c r="D3112" t="s">
        <v>52</v>
      </c>
      <c r="E3112">
        <v>17.5</v>
      </c>
      <c r="F3112" s="1">
        <v>10.147169811320801</v>
      </c>
      <c r="G3112" s="2">
        <v>470.11328554015398</v>
      </c>
      <c r="H3112" s="1">
        <v>138.999520864804</v>
      </c>
      <c r="I3112" s="1">
        <f t="shared" si="97"/>
        <v>141.89224758373354</v>
      </c>
    </row>
    <row r="3113" spans="1:9" x14ac:dyDescent="0.45">
      <c r="A3113" t="s">
        <v>58</v>
      </c>
      <c r="B3113" t="s">
        <v>52</v>
      </c>
      <c r="C3113" t="str">
        <f t="shared" si="96"/>
        <v>SIU EdwardsvilleOregon</v>
      </c>
      <c r="D3113" t="s">
        <v>52</v>
      </c>
      <c r="E3113">
        <v>1</v>
      </c>
      <c r="F3113" s="1">
        <v>30.1207547169811</v>
      </c>
      <c r="G3113" s="2">
        <v>9896.5267766942197</v>
      </c>
      <c r="H3113" s="1">
        <v>139.058779044988</v>
      </c>
      <c r="I3113" s="1">
        <f t="shared" si="97"/>
        <v>142.7243340963218</v>
      </c>
    </row>
    <row r="3114" spans="1:9" x14ac:dyDescent="0.45">
      <c r="A3114" t="s">
        <v>59</v>
      </c>
      <c r="B3114" t="s">
        <v>52</v>
      </c>
      <c r="C3114" t="str">
        <f t="shared" si="96"/>
        <v>St. John'sOregon</v>
      </c>
      <c r="D3114" t="s">
        <v>59</v>
      </c>
      <c r="E3114">
        <v>66.599999999999994</v>
      </c>
      <c r="F3114" s="1">
        <v>-4.5094339622641497</v>
      </c>
      <c r="G3114" s="2">
        <v>-198.99707400365699</v>
      </c>
      <c r="H3114" s="1">
        <v>139.878235493543</v>
      </c>
      <c r="I3114" s="1">
        <f t="shared" si="97"/>
        <v>154.23090848620112</v>
      </c>
    </row>
    <row r="3115" spans="1:9" x14ac:dyDescent="0.45">
      <c r="A3115" t="s">
        <v>60</v>
      </c>
      <c r="B3115" t="s">
        <v>52</v>
      </c>
      <c r="C3115" t="str">
        <f t="shared" si="96"/>
        <v>TennesseeOregon</v>
      </c>
      <c r="D3115" t="s">
        <v>60</v>
      </c>
      <c r="E3115">
        <v>81.5</v>
      </c>
      <c r="F3115" s="1">
        <v>-9.7283018867924493</v>
      </c>
      <c r="G3115" s="2">
        <v>-440.96506392638702</v>
      </c>
      <c r="H3115" s="1">
        <v>140.67146786767699</v>
      </c>
      <c r="I3115" s="1">
        <f t="shared" si="97"/>
        <v>165.36925188142152</v>
      </c>
    </row>
    <row r="3116" spans="1:9" x14ac:dyDescent="0.45">
      <c r="A3116" t="s">
        <v>61</v>
      </c>
      <c r="B3116" t="s">
        <v>52</v>
      </c>
      <c r="C3116" t="str">
        <f t="shared" si="96"/>
        <v>TexasOregon</v>
      </c>
      <c r="D3116" t="s">
        <v>52</v>
      </c>
      <c r="E3116">
        <v>15</v>
      </c>
      <c r="F3116" s="1">
        <v>11.3698113207547</v>
      </c>
      <c r="G3116" s="2">
        <v>566.55312629993705</v>
      </c>
      <c r="H3116" s="1">
        <v>138.37134969531499</v>
      </c>
      <c r="I3116" s="1">
        <f t="shared" si="97"/>
        <v>133.07164667925775</v>
      </c>
    </row>
    <row r="3117" spans="1:9" x14ac:dyDescent="0.45">
      <c r="A3117" t="s">
        <v>62</v>
      </c>
      <c r="B3117" t="s">
        <v>52</v>
      </c>
      <c r="C3117" t="str">
        <f t="shared" si="96"/>
        <v>Texas A&amp;MOregon</v>
      </c>
      <c r="D3117" t="s">
        <v>62</v>
      </c>
      <c r="E3117">
        <v>50.1</v>
      </c>
      <c r="F3117" s="1">
        <v>-3.0188679245282998E-2</v>
      </c>
      <c r="G3117" s="2">
        <v>-100.48786954624499</v>
      </c>
      <c r="H3117" s="1">
        <v>139.15832500471299</v>
      </c>
      <c r="I3117" s="1">
        <f t="shared" si="97"/>
        <v>144.12213015102046</v>
      </c>
    </row>
    <row r="3118" spans="1:9" x14ac:dyDescent="0.45">
      <c r="A3118" t="s">
        <v>63</v>
      </c>
      <c r="B3118" t="s">
        <v>52</v>
      </c>
      <c r="C3118" t="str">
        <f t="shared" si="96"/>
        <v>Texas TechOregon</v>
      </c>
      <c r="D3118" t="s">
        <v>63</v>
      </c>
      <c r="E3118">
        <v>66.099999999999994</v>
      </c>
      <c r="F3118" s="1">
        <v>-4.3660377358490603</v>
      </c>
      <c r="G3118" s="2">
        <v>-194.638648476676</v>
      </c>
      <c r="H3118" s="1">
        <v>140.14883760995201</v>
      </c>
      <c r="I3118" s="1">
        <f t="shared" si="97"/>
        <v>158.03062644315861</v>
      </c>
    </row>
    <row r="3119" spans="1:9" x14ac:dyDescent="0.45">
      <c r="A3119" t="s">
        <v>64</v>
      </c>
      <c r="B3119" t="s">
        <v>52</v>
      </c>
      <c r="C3119" t="str">
        <f t="shared" si="96"/>
        <v>TroyOregon</v>
      </c>
      <c r="D3119" t="s">
        <v>52</v>
      </c>
      <c r="E3119">
        <v>2.7</v>
      </c>
      <c r="F3119" s="1">
        <v>23.441509433962299</v>
      </c>
      <c r="G3119" s="2">
        <v>3573.6513809922099</v>
      </c>
      <c r="H3119" s="1">
        <v>138.915142204511</v>
      </c>
      <c r="I3119" s="1">
        <f t="shared" si="97"/>
        <v>140.70742643394357</v>
      </c>
    </row>
    <row r="3120" spans="1:9" x14ac:dyDescent="0.45">
      <c r="A3120" t="s">
        <v>65</v>
      </c>
      <c r="B3120" t="s">
        <v>52</v>
      </c>
      <c r="C3120" t="str">
        <f t="shared" si="96"/>
        <v>UC San DiegoOregon</v>
      </c>
      <c r="D3120" t="s">
        <v>52</v>
      </c>
      <c r="E3120">
        <v>6.7</v>
      </c>
      <c r="F3120" s="1">
        <v>17.260377358490601</v>
      </c>
      <c r="G3120" s="2">
        <v>1391.82384031789</v>
      </c>
      <c r="H3120" s="1">
        <v>138.98526243417399</v>
      </c>
      <c r="I3120" s="1">
        <f t="shared" si="97"/>
        <v>141.69203475605195</v>
      </c>
    </row>
    <row r="3121" spans="1:9" x14ac:dyDescent="0.45">
      <c r="A3121" t="s">
        <v>66</v>
      </c>
      <c r="B3121" t="s">
        <v>52</v>
      </c>
      <c r="C3121" t="str">
        <f t="shared" si="96"/>
        <v>UCLAOregon</v>
      </c>
      <c r="D3121" t="s">
        <v>52</v>
      </c>
      <c r="E3121">
        <v>19.8</v>
      </c>
      <c r="F3121" s="1">
        <v>9.1622641509434004</v>
      </c>
      <c r="G3121" s="2">
        <v>404.47605794060098</v>
      </c>
      <c r="H3121" s="1">
        <v>138.20652101338601</v>
      </c>
      <c r="I3121" s="1">
        <f t="shared" si="97"/>
        <v>130.75716920635975</v>
      </c>
    </row>
    <row r="3122" spans="1:9" x14ac:dyDescent="0.45">
      <c r="A3122" t="s">
        <v>67</v>
      </c>
      <c r="B3122" t="s">
        <v>52</v>
      </c>
      <c r="C3122" t="str">
        <f t="shared" si="96"/>
        <v>UNC WilmingtonOregon</v>
      </c>
      <c r="D3122" t="s">
        <v>52</v>
      </c>
      <c r="E3122">
        <v>4</v>
      </c>
      <c r="F3122" s="1">
        <v>20.852830188679199</v>
      </c>
      <c r="G3122" s="2">
        <v>2407.3944839021801</v>
      </c>
      <c r="H3122" s="1">
        <v>139.521930904839</v>
      </c>
      <c r="I3122" s="1">
        <f t="shared" si="97"/>
        <v>149.22778078782557</v>
      </c>
    </row>
    <row r="3123" spans="1:9" x14ac:dyDescent="0.45">
      <c r="A3123" t="s">
        <v>68</v>
      </c>
      <c r="B3123" t="s">
        <v>52</v>
      </c>
      <c r="C3123" t="str">
        <f t="shared" si="96"/>
        <v>Utah St.Oregon</v>
      </c>
      <c r="D3123" t="s">
        <v>52</v>
      </c>
      <c r="E3123">
        <v>19</v>
      </c>
      <c r="F3123" s="1">
        <v>9.5245283018867894</v>
      </c>
      <c r="G3123" s="2">
        <v>427.67028170754799</v>
      </c>
      <c r="H3123" s="1">
        <v>139.06911740341801</v>
      </c>
      <c r="I3123" s="1">
        <f t="shared" si="97"/>
        <v>142.8695023850745</v>
      </c>
    </row>
    <row r="3124" spans="1:9" x14ac:dyDescent="0.45">
      <c r="A3124" t="s">
        <v>69</v>
      </c>
      <c r="B3124" t="s">
        <v>52</v>
      </c>
      <c r="C3124" t="str">
        <f t="shared" si="96"/>
        <v>VanderbiltOregon</v>
      </c>
      <c r="D3124" t="s">
        <v>52</v>
      </c>
      <c r="E3124">
        <v>4.4000000000000004</v>
      </c>
      <c r="F3124" s="1">
        <v>20.173584905660402</v>
      </c>
      <c r="G3124" s="2">
        <v>2170.3413323689501</v>
      </c>
      <c r="H3124" s="1">
        <v>137.5031552847</v>
      </c>
      <c r="I3124" s="1">
        <f t="shared" si="97"/>
        <v>120.88070768764364</v>
      </c>
    </row>
    <row r="3125" spans="1:9" x14ac:dyDescent="0.45">
      <c r="A3125" t="s">
        <v>70</v>
      </c>
      <c r="B3125" t="s">
        <v>52</v>
      </c>
      <c r="C3125" t="str">
        <f t="shared" si="96"/>
        <v>VCUOregon</v>
      </c>
      <c r="D3125" t="s">
        <v>52</v>
      </c>
      <c r="E3125">
        <v>12.9</v>
      </c>
      <c r="F3125" s="1">
        <v>12.5283018867925</v>
      </c>
      <c r="G3125" s="2">
        <v>676.09276939687095</v>
      </c>
      <c r="H3125" s="1">
        <v>139.42832841389401</v>
      </c>
      <c r="I3125" s="1">
        <f t="shared" si="97"/>
        <v>147.91344123136014</v>
      </c>
    </row>
    <row r="3126" spans="1:9" x14ac:dyDescent="0.45">
      <c r="A3126" t="s">
        <v>71</v>
      </c>
      <c r="B3126" t="s">
        <v>52</v>
      </c>
      <c r="C3126" t="str">
        <f t="shared" si="96"/>
        <v>WisconsinOregon</v>
      </c>
      <c r="D3126" t="s">
        <v>71</v>
      </c>
      <c r="E3126">
        <v>62.8</v>
      </c>
      <c r="F3126" s="1">
        <v>-3.4264150943396201</v>
      </c>
      <c r="G3126" s="2">
        <v>-168.60845446879699</v>
      </c>
      <c r="H3126" s="1">
        <v>140.081584022225</v>
      </c>
      <c r="I3126" s="1">
        <f t="shared" si="97"/>
        <v>157.08627069181674</v>
      </c>
    </row>
    <row r="3127" spans="1:9" x14ac:dyDescent="0.45">
      <c r="A3127" t="s">
        <v>80</v>
      </c>
      <c r="B3127" t="s">
        <v>52</v>
      </c>
      <c r="C3127" t="str">
        <f t="shared" si="96"/>
        <v>WoffordOregon</v>
      </c>
      <c r="D3127" t="s">
        <v>52</v>
      </c>
      <c r="E3127">
        <v>1.4</v>
      </c>
      <c r="F3127" s="1">
        <v>27.7509433962264</v>
      </c>
      <c r="G3127" s="2">
        <v>6892.9755183999096</v>
      </c>
      <c r="H3127" s="1">
        <v>138.17923245145201</v>
      </c>
      <c r="I3127" s="1">
        <f t="shared" si="97"/>
        <v>130.37399098079314</v>
      </c>
    </row>
    <row r="3128" spans="1:9" x14ac:dyDescent="0.45">
      <c r="A3128" t="s">
        <v>72</v>
      </c>
      <c r="B3128" t="s">
        <v>52</v>
      </c>
      <c r="C3128" t="str">
        <f t="shared" si="96"/>
        <v>XavierOregon</v>
      </c>
      <c r="D3128" t="s">
        <v>52</v>
      </c>
      <c r="E3128">
        <v>12.8</v>
      </c>
      <c r="F3128" s="1">
        <v>12.6</v>
      </c>
      <c r="G3128" s="2">
        <v>683.67905739713296</v>
      </c>
      <c r="H3128" s="1">
        <v>138.92203462207399</v>
      </c>
      <c r="I3128" s="1">
        <f t="shared" si="97"/>
        <v>140.80420780109804</v>
      </c>
    </row>
    <row r="3129" spans="1:9" x14ac:dyDescent="0.45">
      <c r="A3129" t="s">
        <v>73</v>
      </c>
      <c r="B3129" t="s">
        <v>52</v>
      </c>
      <c r="C3129" t="str">
        <f t="shared" si="96"/>
        <v>YaleOregon</v>
      </c>
      <c r="D3129" t="s">
        <v>52</v>
      </c>
      <c r="E3129">
        <v>7.1</v>
      </c>
      <c r="F3129" s="1">
        <v>16.852830188679199</v>
      </c>
      <c r="G3129" s="2">
        <v>1307.3677515660399</v>
      </c>
      <c r="H3129" s="1">
        <v>139.52174075846801</v>
      </c>
      <c r="I3129" s="1">
        <f t="shared" si="97"/>
        <v>149.22511080656355</v>
      </c>
    </row>
    <row r="3130" spans="1:9" x14ac:dyDescent="0.45">
      <c r="A3130" t="s">
        <v>7</v>
      </c>
      <c r="B3130" t="s">
        <v>53</v>
      </c>
      <c r="C3130" t="str">
        <f t="shared" si="96"/>
        <v>AkronPurdue</v>
      </c>
      <c r="D3130" t="s">
        <v>53</v>
      </c>
      <c r="E3130">
        <v>0.7</v>
      </c>
      <c r="F3130" s="1">
        <v>32.486792452830201</v>
      </c>
      <c r="G3130" s="2">
        <v>14199.4438709067</v>
      </c>
      <c r="H3130" s="1">
        <v>136.850480619249</v>
      </c>
      <c r="I3130" s="1">
        <f t="shared" si="97"/>
        <v>111.71603566188256</v>
      </c>
    </row>
    <row r="3131" spans="1:9" x14ac:dyDescent="0.45">
      <c r="A3131" t="s">
        <v>8</v>
      </c>
      <c r="B3131" t="s">
        <v>53</v>
      </c>
      <c r="C3131" t="str">
        <f t="shared" si="96"/>
        <v>AlabamaPurdue</v>
      </c>
      <c r="D3131" t="s">
        <v>53</v>
      </c>
      <c r="E3131">
        <v>34.700000000000003</v>
      </c>
      <c r="F3131" s="1">
        <v>4.1471698113207598</v>
      </c>
      <c r="G3131" s="2">
        <v>188.25244739842299</v>
      </c>
      <c r="H3131" s="1">
        <v>138.658091806844</v>
      </c>
      <c r="I3131" s="1">
        <f t="shared" si="97"/>
        <v>137.09799785733156</v>
      </c>
    </row>
    <row r="3132" spans="1:9" x14ac:dyDescent="0.45">
      <c r="A3132" t="s">
        <v>9</v>
      </c>
      <c r="B3132" t="s">
        <v>53</v>
      </c>
      <c r="C3132" t="str">
        <f t="shared" si="96"/>
        <v>Alabama St.Purdue</v>
      </c>
      <c r="D3132" t="s">
        <v>53</v>
      </c>
      <c r="E3132">
        <v>0.1</v>
      </c>
      <c r="F3132" s="1">
        <v>44.803773584905699</v>
      </c>
      <c r="G3132" s="2">
        <v>92973.900871834005</v>
      </c>
      <c r="H3132" s="1">
        <v>137.03724237866999</v>
      </c>
      <c r="I3132" s="1">
        <f t="shared" si="97"/>
        <v>114.33849117096031</v>
      </c>
    </row>
    <row r="3133" spans="1:9" x14ac:dyDescent="0.45">
      <c r="A3133" t="s">
        <v>10</v>
      </c>
      <c r="B3133" t="s">
        <v>53</v>
      </c>
      <c r="C3133" t="str">
        <f t="shared" si="96"/>
        <v>AmericanPurdue</v>
      </c>
      <c r="D3133" t="s">
        <v>53</v>
      </c>
      <c r="E3133">
        <v>0.1</v>
      </c>
      <c r="F3133" s="1">
        <v>44.0490566037736</v>
      </c>
      <c r="G3133" s="2">
        <v>82835.172843334702</v>
      </c>
      <c r="H3133" s="1">
        <v>136.80053189843201</v>
      </c>
      <c r="I3133" s="1">
        <f t="shared" si="97"/>
        <v>111.01466993003258</v>
      </c>
    </row>
    <row r="3134" spans="1:9" x14ac:dyDescent="0.45">
      <c r="A3134" t="s">
        <v>11</v>
      </c>
      <c r="B3134" t="s">
        <v>53</v>
      </c>
      <c r="C3134" t="str">
        <f t="shared" si="96"/>
        <v>ArizonaPurdue</v>
      </c>
      <c r="D3134" t="s">
        <v>53</v>
      </c>
      <c r="E3134">
        <v>25.9</v>
      </c>
      <c r="F3134" s="1">
        <v>6.9018867924528298</v>
      </c>
      <c r="G3134" s="2">
        <v>286.61229308993398</v>
      </c>
      <c r="H3134" s="1">
        <v>138.26857114702099</v>
      </c>
      <c r="I3134" s="1">
        <f t="shared" si="97"/>
        <v>131.62845953525019</v>
      </c>
    </row>
    <row r="3135" spans="1:9" x14ac:dyDescent="0.45">
      <c r="A3135" t="s">
        <v>12</v>
      </c>
      <c r="B3135" t="s">
        <v>53</v>
      </c>
      <c r="C3135" t="str">
        <f t="shared" si="96"/>
        <v>ArkansasPurdue</v>
      </c>
      <c r="D3135" t="s">
        <v>53</v>
      </c>
      <c r="E3135">
        <v>2.2000000000000002</v>
      </c>
      <c r="F3135" s="1">
        <v>24.803773584905699</v>
      </c>
      <c r="G3135" s="2">
        <v>4397.3842628290804</v>
      </c>
      <c r="H3135" s="1">
        <v>136.59449512481001</v>
      </c>
      <c r="I3135" s="1">
        <f t="shared" si="97"/>
        <v>108.12156015353031</v>
      </c>
    </row>
    <row r="3136" spans="1:9" x14ac:dyDescent="0.45">
      <c r="A3136" t="s">
        <v>13</v>
      </c>
      <c r="B3136" t="s">
        <v>53</v>
      </c>
      <c r="C3136" t="str">
        <f t="shared" si="96"/>
        <v>AuburnPurdue</v>
      </c>
      <c r="D3136" t="s">
        <v>13</v>
      </c>
      <c r="E3136">
        <v>51.1</v>
      </c>
      <c r="F3136" s="1">
        <v>-0.29056603773584899</v>
      </c>
      <c r="G3136" s="2">
        <v>-104.56103948849599</v>
      </c>
      <c r="H3136" s="1">
        <v>139.68030804019699</v>
      </c>
      <c r="I3136" s="1">
        <f t="shared" si="97"/>
        <v>151.45166747865125</v>
      </c>
    </row>
    <row r="3137" spans="1:9" x14ac:dyDescent="0.45">
      <c r="A3137" t="s">
        <v>14</v>
      </c>
      <c r="B3137" t="s">
        <v>53</v>
      </c>
      <c r="C3137" t="str">
        <f t="shared" si="96"/>
        <v>BaylorPurdue</v>
      </c>
      <c r="D3137" t="s">
        <v>53</v>
      </c>
      <c r="E3137">
        <v>9.5</v>
      </c>
      <c r="F3137" s="1">
        <v>14.7547169811321</v>
      </c>
      <c r="G3137" s="2">
        <v>949.71284368416002</v>
      </c>
      <c r="H3137" s="1">
        <v>138.14322540137701</v>
      </c>
      <c r="I3137" s="1">
        <f t="shared" si="97"/>
        <v>129.86839022436652</v>
      </c>
    </row>
    <row r="3138" spans="1:9" x14ac:dyDescent="0.45">
      <c r="A3138" t="s">
        <v>15</v>
      </c>
      <c r="B3138" t="s">
        <v>53</v>
      </c>
      <c r="C3138" t="str">
        <f t="shared" si="96"/>
        <v>BryantPurdue</v>
      </c>
      <c r="D3138" t="s">
        <v>53</v>
      </c>
      <c r="E3138">
        <v>0.5</v>
      </c>
      <c r="F3138" s="1">
        <v>34.826415094339602</v>
      </c>
      <c r="G3138" s="2">
        <v>20291.031367103598</v>
      </c>
      <c r="H3138" s="1">
        <v>137.73554527702299</v>
      </c>
      <c r="I3138" s="1">
        <f t="shared" si="97"/>
        <v>124.14386186605452</v>
      </c>
    </row>
    <row r="3139" spans="1:9" x14ac:dyDescent="0.45">
      <c r="A3139" t="s">
        <v>16</v>
      </c>
      <c r="B3139" t="s">
        <v>53</v>
      </c>
      <c r="C3139" t="str">
        <f t="shared" ref="C3139:C3202" si="98">A3139&amp;B3139</f>
        <v>BYUPurdue</v>
      </c>
      <c r="D3139" t="s">
        <v>53</v>
      </c>
      <c r="E3139">
        <v>11.1</v>
      </c>
      <c r="F3139" s="1">
        <v>13.660377358490599</v>
      </c>
      <c r="G3139" s="2">
        <v>803.678905301501</v>
      </c>
      <c r="H3139" s="1">
        <v>137.90558595146601</v>
      </c>
      <c r="I3139" s="1">
        <f t="shared" ref="I3139:I3202" si="99">18*(H3139-AVERAGE($H$2:$H$4625))/_xlfn.STDEV.P($H$2:$H$4625)+AVERAGE($H$2:$H$4625)</f>
        <v>126.53152465549742</v>
      </c>
    </row>
    <row r="3140" spans="1:9" x14ac:dyDescent="0.45">
      <c r="A3140" t="s">
        <v>17</v>
      </c>
      <c r="B3140" t="s">
        <v>53</v>
      </c>
      <c r="C3140" t="str">
        <f t="shared" si="98"/>
        <v>ClemsonPurdue</v>
      </c>
      <c r="D3140" t="s">
        <v>53</v>
      </c>
      <c r="E3140">
        <v>14.8</v>
      </c>
      <c r="F3140" s="1">
        <v>11.4566037735849</v>
      </c>
      <c r="G3140" s="2">
        <v>574.17119821073595</v>
      </c>
      <c r="H3140" s="1">
        <v>138.25563617390799</v>
      </c>
      <c r="I3140" s="1">
        <f t="shared" si="99"/>
        <v>131.44683032161922</v>
      </c>
    </row>
    <row r="3141" spans="1:9" x14ac:dyDescent="0.45">
      <c r="A3141" t="s">
        <v>18</v>
      </c>
      <c r="B3141" t="s">
        <v>53</v>
      </c>
      <c r="C3141" t="str">
        <f t="shared" si="98"/>
        <v>Colorado St.Purdue</v>
      </c>
      <c r="D3141" t="s">
        <v>53</v>
      </c>
      <c r="E3141">
        <v>2.8</v>
      </c>
      <c r="F3141" s="1">
        <v>23.237735849056602</v>
      </c>
      <c r="G3141" s="2">
        <v>3464.2186896298899</v>
      </c>
      <c r="H3141" s="1">
        <v>137.64524714870299</v>
      </c>
      <c r="I3141" s="1">
        <f t="shared" si="99"/>
        <v>122.87592122977895</v>
      </c>
    </row>
    <row r="3142" spans="1:9" x14ac:dyDescent="0.45">
      <c r="A3142" t="s">
        <v>19</v>
      </c>
      <c r="B3142" t="s">
        <v>53</v>
      </c>
      <c r="C3142" t="str">
        <f t="shared" si="98"/>
        <v>ConnecticutPurdue</v>
      </c>
      <c r="D3142" t="s">
        <v>53</v>
      </c>
      <c r="E3142">
        <v>21.3</v>
      </c>
      <c r="F3142" s="1">
        <v>8.5622641509434008</v>
      </c>
      <c r="G3142" s="2">
        <v>369.27939456066201</v>
      </c>
      <c r="H3142" s="1">
        <v>138.055887004657</v>
      </c>
      <c r="I3142" s="1">
        <f t="shared" si="99"/>
        <v>128.64200929744385</v>
      </c>
    </row>
    <row r="3143" spans="1:9" x14ac:dyDescent="0.45">
      <c r="A3143" t="s">
        <v>20</v>
      </c>
      <c r="B3143" t="s">
        <v>53</v>
      </c>
      <c r="C3143" t="str">
        <f t="shared" si="98"/>
        <v>CreightonPurdue</v>
      </c>
      <c r="D3143" t="s">
        <v>53</v>
      </c>
      <c r="E3143">
        <v>7.7</v>
      </c>
      <c r="F3143" s="1">
        <v>16.271698113207499</v>
      </c>
      <c r="G3143" s="2">
        <v>1196.7067345120499</v>
      </c>
      <c r="H3143" s="1">
        <v>137.60518375749601</v>
      </c>
      <c r="I3143" s="1">
        <f t="shared" si="99"/>
        <v>122.3133624848366</v>
      </c>
    </row>
    <row r="3144" spans="1:9" x14ac:dyDescent="0.45">
      <c r="A3144" t="s">
        <v>21</v>
      </c>
      <c r="B3144" t="s">
        <v>53</v>
      </c>
      <c r="C3144" t="str">
        <f t="shared" si="98"/>
        <v>DrakePurdue</v>
      </c>
      <c r="D3144" t="s">
        <v>53</v>
      </c>
      <c r="E3144">
        <v>2.7</v>
      </c>
      <c r="F3144" s="1">
        <v>23.445283018867901</v>
      </c>
      <c r="G3144" s="2">
        <v>3574.1718373732701</v>
      </c>
      <c r="H3144" s="1">
        <v>137.83985956316999</v>
      </c>
      <c r="I3144" s="1">
        <f t="shared" si="99"/>
        <v>125.60861340421643</v>
      </c>
    </row>
    <row r="3145" spans="1:9" x14ac:dyDescent="0.45">
      <c r="A3145" t="s">
        <v>22</v>
      </c>
      <c r="B3145" t="s">
        <v>53</v>
      </c>
      <c r="C3145" t="str">
        <f t="shared" si="98"/>
        <v>DukePurdue</v>
      </c>
      <c r="D3145" t="s">
        <v>22</v>
      </c>
      <c r="E3145">
        <v>59.4</v>
      </c>
      <c r="F3145" s="1">
        <v>-2.50566037735849</v>
      </c>
      <c r="G3145" s="2">
        <v>-146.58076957655101</v>
      </c>
      <c r="H3145" s="1">
        <v>139.92019945177299</v>
      </c>
      <c r="I3145" s="1">
        <f t="shared" si="99"/>
        <v>154.8201544527422</v>
      </c>
    </row>
    <row r="3146" spans="1:9" x14ac:dyDescent="0.45">
      <c r="A3146" t="s">
        <v>23</v>
      </c>
      <c r="B3146" t="s">
        <v>53</v>
      </c>
      <c r="C3146" t="str">
        <f t="shared" si="98"/>
        <v>FloridaPurdue</v>
      </c>
      <c r="D3146" t="s">
        <v>53</v>
      </c>
      <c r="E3146">
        <v>44.9</v>
      </c>
      <c r="F3146" s="1">
        <v>1.3509433962264199</v>
      </c>
      <c r="G3146" s="2">
        <v>122.87263241060499</v>
      </c>
      <c r="H3146" s="1">
        <v>139.654849979327</v>
      </c>
      <c r="I3146" s="1">
        <f t="shared" si="99"/>
        <v>151.09419262841459</v>
      </c>
    </row>
    <row r="3147" spans="1:9" x14ac:dyDescent="0.45">
      <c r="A3147" t="s">
        <v>24</v>
      </c>
      <c r="B3147" t="s">
        <v>53</v>
      </c>
      <c r="C3147" t="str">
        <f t="shared" si="98"/>
        <v>GeorgiaPurdue</v>
      </c>
      <c r="D3147" t="s">
        <v>53</v>
      </c>
      <c r="E3147">
        <v>3.2</v>
      </c>
      <c r="F3147" s="1">
        <v>22.411320754717</v>
      </c>
      <c r="G3147" s="2">
        <v>3053.3084569234502</v>
      </c>
      <c r="H3147" s="1">
        <v>136.91880827561201</v>
      </c>
      <c r="I3147" s="1">
        <f t="shared" si="99"/>
        <v>112.67547317953645</v>
      </c>
    </row>
    <row r="3148" spans="1:9" x14ac:dyDescent="0.45">
      <c r="A3148" t="s">
        <v>25</v>
      </c>
      <c r="B3148" t="s">
        <v>53</v>
      </c>
      <c r="C3148" t="str">
        <f t="shared" si="98"/>
        <v>GonzagaPurdue</v>
      </c>
      <c r="D3148" t="s">
        <v>53</v>
      </c>
      <c r="E3148">
        <v>14.2</v>
      </c>
      <c r="F3148" s="1">
        <v>11.781132075471699</v>
      </c>
      <c r="G3148" s="2">
        <v>603.29793383777303</v>
      </c>
      <c r="H3148" s="1">
        <v>138.895770006118</v>
      </c>
      <c r="I3148" s="1">
        <f t="shared" si="99"/>
        <v>140.43540753373523</v>
      </c>
    </row>
    <row r="3149" spans="1:9" x14ac:dyDescent="0.45">
      <c r="A3149" t="s">
        <v>26</v>
      </c>
      <c r="B3149" t="s">
        <v>53</v>
      </c>
      <c r="C3149" t="str">
        <f t="shared" si="98"/>
        <v>Grand CanyonPurdue</v>
      </c>
      <c r="D3149" t="s">
        <v>53</v>
      </c>
      <c r="E3149">
        <v>1.8</v>
      </c>
      <c r="F3149" s="1">
        <v>26.332075471698101</v>
      </c>
      <c r="G3149" s="2">
        <v>5552.7826309510301</v>
      </c>
      <c r="H3149" s="1">
        <v>137.71374172365699</v>
      </c>
      <c r="I3149" s="1">
        <f t="shared" si="99"/>
        <v>123.83770257081441</v>
      </c>
    </row>
    <row r="3150" spans="1:9" x14ac:dyDescent="0.45">
      <c r="A3150" t="s">
        <v>27</v>
      </c>
      <c r="B3150" t="s">
        <v>53</v>
      </c>
      <c r="C3150" t="str">
        <f t="shared" si="98"/>
        <v>High PointPurdue</v>
      </c>
      <c r="D3150" t="s">
        <v>53</v>
      </c>
      <c r="E3150">
        <v>1.1000000000000001</v>
      </c>
      <c r="F3150" s="1">
        <v>29.422641509434001</v>
      </c>
      <c r="G3150" s="2">
        <v>8895.9582116423408</v>
      </c>
      <c r="H3150" s="1">
        <v>137.90494885720599</v>
      </c>
      <c r="I3150" s="1">
        <f t="shared" si="99"/>
        <v>126.52257875909361</v>
      </c>
    </row>
    <row r="3151" spans="1:9" x14ac:dyDescent="0.45">
      <c r="A3151" t="s">
        <v>28</v>
      </c>
      <c r="B3151" t="s">
        <v>53</v>
      </c>
      <c r="C3151" t="str">
        <f t="shared" si="98"/>
        <v>HoustonPurdue</v>
      </c>
      <c r="D3151" t="s">
        <v>28</v>
      </c>
      <c r="E3151">
        <v>71</v>
      </c>
      <c r="F3151" s="1">
        <v>-5.8603773584905703</v>
      </c>
      <c r="G3151" s="2">
        <v>-244.51592987027999</v>
      </c>
      <c r="H3151" s="1">
        <v>140.01841121440901</v>
      </c>
      <c r="I3151" s="1">
        <f t="shared" si="99"/>
        <v>156.19921609137518</v>
      </c>
    </row>
    <row r="3152" spans="1:9" x14ac:dyDescent="0.45">
      <c r="A3152" t="s">
        <v>29</v>
      </c>
      <c r="B3152" t="s">
        <v>53</v>
      </c>
      <c r="C3152" t="str">
        <f t="shared" si="98"/>
        <v>IllinoisPurdue</v>
      </c>
      <c r="D3152" t="s">
        <v>53</v>
      </c>
      <c r="E3152">
        <v>19.399999999999999</v>
      </c>
      <c r="F3152" s="1">
        <v>9.3283018867924508</v>
      </c>
      <c r="G3152" s="2">
        <v>414.86464146681999</v>
      </c>
      <c r="H3152" s="1">
        <v>138.07687498937</v>
      </c>
      <c r="I3152" s="1">
        <f t="shared" si="99"/>
        <v>128.9367166096136</v>
      </c>
    </row>
    <row r="3153" spans="1:9" x14ac:dyDescent="0.45">
      <c r="A3153" t="s">
        <v>30</v>
      </c>
      <c r="B3153" t="s">
        <v>53</v>
      </c>
      <c r="C3153" t="str">
        <f t="shared" si="98"/>
        <v>Iowa St.Purdue</v>
      </c>
      <c r="D3153" t="s">
        <v>53</v>
      </c>
      <c r="E3153">
        <v>33.6</v>
      </c>
      <c r="F3153" s="1">
        <v>4.4641509433962296</v>
      </c>
      <c r="G3153" s="2">
        <v>197.62885869630901</v>
      </c>
      <c r="H3153" s="1">
        <v>138.973417280956</v>
      </c>
      <c r="I3153" s="1">
        <f t="shared" si="99"/>
        <v>141.52570848343225</v>
      </c>
    </row>
    <row r="3154" spans="1:9" x14ac:dyDescent="0.45">
      <c r="A3154" t="s">
        <v>31</v>
      </c>
      <c r="B3154" t="s">
        <v>53</v>
      </c>
      <c r="C3154" t="str">
        <f t="shared" si="98"/>
        <v>KansasPurdue</v>
      </c>
      <c r="D3154" t="s">
        <v>53</v>
      </c>
      <c r="E3154">
        <v>13.5</v>
      </c>
      <c r="F3154" s="1">
        <v>12.1811320754717</v>
      </c>
      <c r="G3154" s="2">
        <v>641.28532009756896</v>
      </c>
      <c r="H3154" s="1">
        <v>138.02400516981001</v>
      </c>
      <c r="I3154" s="1">
        <f t="shared" si="99"/>
        <v>128.19433364000096</v>
      </c>
    </row>
    <row r="3155" spans="1:9" x14ac:dyDescent="0.45">
      <c r="A3155" t="s">
        <v>32</v>
      </c>
      <c r="B3155" t="s">
        <v>53</v>
      </c>
      <c r="C3155" t="str">
        <f t="shared" si="98"/>
        <v>KentuckyPurdue</v>
      </c>
      <c r="D3155" t="s">
        <v>53</v>
      </c>
      <c r="E3155">
        <v>20.7</v>
      </c>
      <c r="F3155" s="1">
        <v>8.8188679245283002</v>
      </c>
      <c r="G3155" s="2">
        <v>383.85336809882398</v>
      </c>
      <c r="H3155" s="1">
        <v>137.95828750193601</v>
      </c>
      <c r="I3155" s="1">
        <f t="shared" si="99"/>
        <v>127.27154483840576</v>
      </c>
    </row>
    <row r="3156" spans="1:9" x14ac:dyDescent="0.45">
      <c r="A3156" t="s">
        <v>33</v>
      </c>
      <c r="B3156" t="s">
        <v>53</v>
      </c>
      <c r="C3156" t="str">
        <f t="shared" si="98"/>
        <v>LibertyPurdue</v>
      </c>
      <c r="D3156" t="s">
        <v>53</v>
      </c>
      <c r="E3156">
        <v>0.8</v>
      </c>
      <c r="F3156" s="1">
        <v>31.803773584905699</v>
      </c>
      <c r="G3156" s="2">
        <v>12793.614802668601</v>
      </c>
      <c r="H3156" s="1">
        <v>137.303288545653</v>
      </c>
      <c r="I3156" s="1">
        <f t="shared" si="99"/>
        <v>118.07423578183069</v>
      </c>
    </row>
    <row r="3157" spans="1:9" x14ac:dyDescent="0.45">
      <c r="A3157" t="s">
        <v>34</v>
      </c>
      <c r="B3157" t="s">
        <v>53</v>
      </c>
      <c r="C3157" t="str">
        <f t="shared" si="98"/>
        <v>LipscombPurdue</v>
      </c>
      <c r="D3157" t="s">
        <v>53</v>
      </c>
      <c r="E3157">
        <v>0.6</v>
      </c>
      <c r="F3157" s="1">
        <v>33.667924528301903</v>
      </c>
      <c r="G3157" s="2">
        <v>17005.584794468101</v>
      </c>
      <c r="H3157" s="1">
        <v>137.70960674324499</v>
      </c>
      <c r="I3157" s="1">
        <f t="shared" si="99"/>
        <v>123.77964035189439</v>
      </c>
    </row>
    <row r="3158" spans="1:9" x14ac:dyDescent="0.45">
      <c r="A3158" t="s">
        <v>35</v>
      </c>
      <c r="B3158" t="s">
        <v>53</v>
      </c>
      <c r="C3158" t="str">
        <f t="shared" si="98"/>
        <v>LouisvillePurdue</v>
      </c>
      <c r="D3158" t="s">
        <v>53</v>
      </c>
      <c r="E3158">
        <v>1.5</v>
      </c>
      <c r="F3158" s="1">
        <v>27.618867924528299</v>
      </c>
      <c r="G3158" s="2">
        <v>6758.5531920152498</v>
      </c>
      <c r="H3158" s="1">
        <v>136.954968749063</v>
      </c>
      <c r="I3158" s="1">
        <f t="shared" si="99"/>
        <v>113.18322826337378</v>
      </c>
    </row>
    <row r="3159" spans="1:9" x14ac:dyDescent="0.45">
      <c r="A3159" t="s">
        <v>36</v>
      </c>
      <c r="B3159" t="s">
        <v>53</v>
      </c>
      <c r="C3159" t="str">
        <f t="shared" si="98"/>
        <v>MarquettePurdue</v>
      </c>
      <c r="D3159" t="s">
        <v>53</v>
      </c>
      <c r="E3159">
        <v>16.7</v>
      </c>
      <c r="F3159" s="1">
        <v>10.550943396226399</v>
      </c>
      <c r="G3159" s="2">
        <v>500.16170723051403</v>
      </c>
      <c r="H3159" s="1">
        <v>138.21710259252501</v>
      </c>
      <c r="I3159" s="1">
        <f t="shared" si="99"/>
        <v>130.90575273113399</v>
      </c>
    </row>
    <row r="3160" spans="1:9" x14ac:dyDescent="0.45">
      <c r="A3160" t="s">
        <v>37</v>
      </c>
      <c r="B3160" t="s">
        <v>53</v>
      </c>
      <c r="C3160" t="str">
        <f t="shared" si="98"/>
        <v>MarylandPurdue</v>
      </c>
      <c r="D3160" t="s">
        <v>53</v>
      </c>
      <c r="E3160">
        <v>11</v>
      </c>
      <c r="F3160" s="1">
        <v>13.7207547169811</v>
      </c>
      <c r="G3160" s="2">
        <v>810.85700034147806</v>
      </c>
      <c r="H3160" s="1">
        <v>137.675472191068</v>
      </c>
      <c r="I3160" s="1">
        <f t="shared" si="99"/>
        <v>123.30033267839643</v>
      </c>
    </row>
    <row r="3161" spans="1:9" x14ac:dyDescent="0.45">
      <c r="A3161" t="s">
        <v>38</v>
      </c>
      <c r="B3161" t="s">
        <v>53</v>
      </c>
      <c r="C3161" t="str">
        <f t="shared" si="98"/>
        <v>McNeese St.Purdue</v>
      </c>
      <c r="D3161" t="s">
        <v>53</v>
      </c>
      <c r="E3161">
        <v>2.8</v>
      </c>
      <c r="F3161" s="1">
        <v>23.260377358490601</v>
      </c>
      <c r="G3161" s="2">
        <v>3475.47320092779</v>
      </c>
      <c r="H3161" s="1">
        <v>138.26870760403199</v>
      </c>
      <c r="I3161" s="1">
        <f t="shared" si="99"/>
        <v>131.63037562578899</v>
      </c>
    </row>
    <row r="3162" spans="1:9" x14ac:dyDescent="0.45">
      <c r="A3162" t="s">
        <v>39</v>
      </c>
      <c r="B3162" t="s">
        <v>53</v>
      </c>
      <c r="C3162" t="str">
        <f t="shared" si="98"/>
        <v>MemphisPurdue</v>
      </c>
      <c r="D3162" t="s">
        <v>53</v>
      </c>
      <c r="E3162">
        <v>6.5</v>
      </c>
      <c r="F3162" s="1">
        <v>17.4830188679245</v>
      </c>
      <c r="G3162" s="2">
        <v>1439.9407990127199</v>
      </c>
      <c r="H3162" s="1">
        <v>136.802989430558</v>
      </c>
      <c r="I3162" s="1">
        <f t="shared" si="99"/>
        <v>111.04917789720162</v>
      </c>
    </row>
    <row r="3163" spans="1:9" x14ac:dyDescent="0.45">
      <c r="A3163" t="s">
        <v>40</v>
      </c>
      <c r="B3163" t="s">
        <v>53</v>
      </c>
      <c r="C3163" t="str">
        <f t="shared" si="98"/>
        <v>MichiganPurdue</v>
      </c>
      <c r="D3163" t="s">
        <v>53</v>
      </c>
      <c r="E3163">
        <v>3.3</v>
      </c>
      <c r="F3163" s="1">
        <v>22.109433962264099</v>
      </c>
      <c r="G3163" s="2">
        <v>2915.67606230621</v>
      </c>
      <c r="H3163" s="1">
        <v>136.36561072747401</v>
      </c>
      <c r="I3163" s="1">
        <f t="shared" si="99"/>
        <v>104.90763054290423</v>
      </c>
    </row>
    <row r="3164" spans="1:9" x14ac:dyDescent="0.45">
      <c r="A3164" t="s">
        <v>41</v>
      </c>
      <c r="B3164" t="s">
        <v>53</v>
      </c>
      <c r="C3164" t="str">
        <f t="shared" si="98"/>
        <v>Michigan St.Purdue</v>
      </c>
      <c r="D3164" t="s">
        <v>53</v>
      </c>
      <c r="E3164">
        <v>24.5</v>
      </c>
      <c r="F3164" s="1">
        <v>7.3622641509433997</v>
      </c>
      <c r="G3164" s="2">
        <v>307.45681920361801</v>
      </c>
      <c r="H3164" s="1">
        <v>138.012690436681</v>
      </c>
      <c r="I3164" s="1">
        <f t="shared" si="99"/>
        <v>128.0354553754145</v>
      </c>
    </row>
    <row r="3165" spans="1:9" x14ac:dyDescent="0.45">
      <c r="A3165" t="s">
        <v>42</v>
      </c>
      <c r="B3165" t="s">
        <v>53</v>
      </c>
      <c r="C3165" t="str">
        <f t="shared" si="98"/>
        <v>MississippiPurdue</v>
      </c>
      <c r="D3165" t="s">
        <v>53</v>
      </c>
      <c r="E3165">
        <v>8.1999999999999993</v>
      </c>
      <c r="F3165" s="1">
        <v>15.8603773584906</v>
      </c>
      <c r="G3165" s="2">
        <v>1123.71336184386</v>
      </c>
      <c r="H3165" s="1">
        <v>137.28038178656999</v>
      </c>
      <c r="I3165" s="1">
        <f t="shared" si="99"/>
        <v>117.75258558567381</v>
      </c>
    </row>
    <row r="3166" spans="1:9" x14ac:dyDescent="0.45">
      <c r="A3166" t="s">
        <v>43</v>
      </c>
      <c r="B3166" t="s">
        <v>53</v>
      </c>
      <c r="C3166" t="str">
        <f t="shared" si="98"/>
        <v>Mississippi St.Purdue</v>
      </c>
      <c r="D3166" t="s">
        <v>53</v>
      </c>
      <c r="E3166">
        <v>6.4</v>
      </c>
      <c r="F3166" s="1">
        <v>17.5811320754717</v>
      </c>
      <c r="G3166" s="2">
        <v>1461.6145613583601</v>
      </c>
      <c r="H3166" s="1">
        <v>137.42012825924701</v>
      </c>
      <c r="I3166" s="1">
        <f t="shared" si="99"/>
        <v>119.71486580986002</v>
      </c>
    </row>
    <row r="3167" spans="1:9" x14ac:dyDescent="0.45">
      <c r="A3167" t="s">
        <v>44</v>
      </c>
      <c r="B3167" t="s">
        <v>53</v>
      </c>
      <c r="C3167" t="str">
        <f t="shared" si="98"/>
        <v>MissouriPurdue</v>
      </c>
      <c r="D3167" t="s">
        <v>53</v>
      </c>
      <c r="E3167">
        <v>3.1</v>
      </c>
      <c r="F3167" s="1">
        <v>22.5169811320755</v>
      </c>
      <c r="G3167" s="2">
        <v>3102.4953761602001</v>
      </c>
      <c r="H3167" s="1">
        <v>136.83779015789301</v>
      </c>
      <c r="I3167" s="1">
        <f t="shared" si="99"/>
        <v>111.53783981280229</v>
      </c>
    </row>
    <row r="3168" spans="1:9" x14ac:dyDescent="0.45">
      <c r="A3168" t="s">
        <v>45</v>
      </c>
      <c r="B3168" t="s">
        <v>53</v>
      </c>
      <c r="C3168" t="str">
        <f t="shared" si="98"/>
        <v>MontanaPurdue</v>
      </c>
      <c r="D3168" t="s">
        <v>53</v>
      </c>
      <c r="E3168">
        <v>0.3</v>
      </c>
      <c r="F3168" s="1">
        <v>38.320754716981099</v>
      </c>
      <c r="G3168" s="2">
        <v>34582.539808849397</v>
      </c>
      <c r="H3168" s="1">
        <v>135.97450172129899</v>
      </c>
      <c r="I3168" s="1">
        <f t="shared" si="99"/>
        <v>99.415789113087826</v>
      </c>
    </row>
    <row r="3169" spans="1:9" x14ac:dyDescent="0.45">
      <c r="A3169" t="s">
        <v>46</v>
      </c>
      <c r="B3169" t="s">
        <v>53</v>
      </c>
      <c r="C3169" t="str">
        <f t="shared" si="98"/>
        <v>Mount St. Mary'sPurdue</v>
      </c>
      <c r="D3169" t="s">
        <v>53</v>
      </c>
      <c r="E3169">
        <v>0.1</v>
      </c>
      <c r="F3169" s="1">
        <v>44.656603773584898</v>
      </c>
      <c r="G3169" s="2">
        <v>90882.658813896705</v>
      </c>
      <c r="H3169" s="1">
        <v>137.27778967545001</v>
      </c>
      <c r="I3169" s="1">
        <f t="shared" si="99"/>
        <v>117.71618789854658</v>
      </c>
    </row>
    <row r="3170" spans="1:9" x14ac:dyDescent="0.45">
      <c r="A3170" t="s">
        <v>47</v>
      </c>
      <c r="B3170" t="s">
        <v>53</v>
      </c>
      <c r="C3170" t="str">
        <f t="shared" si="98"/>
        <v>Nebraska OmahaPurdue</v>
      </c>
      <c r="D3170" t="s">
        <v>53</v>
      </c>
      <c r="E3170">
        <v>0.2</v>
      </c>
      <c r="F3170" s="1">
        <v>42.4679245283019</v>
      </c>
      <c r="G3170" s="2">
        <v>65069.654784578903</v>
      </c>
      <c r="H3170" s="1">
        <v>136.69556580755301</v>
      </c>
      <c r="I3170" s="1">
        <f t="shared" si="99"/>
        <v>109.540765935203</v>
      </c>
    </row>
    <row r="3171" spans="1:9" x14ac:dyDescent="0.45">
      <c r="A3171" t="s">
        <v>48</v>
      </c>
      <c r="B3171" t="s">
        <v>53</v>
      </c>
      <c r="C3171" t="str">
        <f t="shared" si="98"/>
        <v>New MexicoPurdue</v>
      </c>
      <c r="D3171" t="s">
        <v>53</v>
      </c>
      <c r="E3171">
        <v>3.6</v>
      </c>
      <c r="F3171" s="1">
        <v>21.633962264150899</v>
      </c>
      <c r="G3171" s="2">
        <v>2712.0351185892</v>
      </c>
      <c r="H3171" s="1">
        <v>137.46555573936999</v>
      </c>
      <c r="I3171" s="1">
        <f t="shared" si="99"/>
        <v>120.352745565766</v>
      </c>
    </row>
    <row r="3172" spans="1:9" x14ac:dyDescent="0.45">
      <c r="A3172" t="s">
        <v>49</v>
      </c>
      <c r="B3172" t="s">
        <v>53</v>
      </c>
      <c r="C3172" t="str">
        <f t="shared" si="98"/>
        <v>Norfolk St.Purdue</v>
      </c>
      <c r="D3172" t="s">
        <v>53</v>
      </c>
      <c r="E3172">
        <v>0.2</v>
      </c>
      <c r="F3172" s="1">
        <v>40.200000000000003</v>
      </c>
      <c r="G3172" s="2">
        <v>46060.183756401901</v>
      </c>
      <c r="H3172" s="1">
        <v>136.501681503334</v>
      </c>
      <c r="I3172" s="1">
        <f t="shared" si="99"/>
        <v>106.81829767778675</v>
      </c>
    </row>
    <row r="3173" spans="1:9" x14ac:dyDescent="0.45">
      <c r="A3173" t="s">
        <v>50</v>
      </c>
      <c r="B3173" t="s">
        <v>53</v>
      </c>
      <c r="C3173" t="str">
        <f t="shared" si="98"/>
        <v>North CarolinaPurdue</v>
      </c>
      <c r="D3173" t="s">
        <v>53</v>
      </c>
      <c r="E3173">
        <v>11.2</v>
      </c>
      <c r="F3173" s="1">
        <v>13.5849056603774</v>
      </c>
      <c r="G3173" s="2">
        <v>794.21540092802798</v>
      </c>
      <c r="H3173" s="1">
        <v>138.575287457804</v>
      </c>
      <c r="I3173" s="1">
        <f t="shared" si="99"/>
        <v>135.93528273840798</v>
      </c>
    </row>
    <row r="3174" spans="1:9" x14ac:dyDescent="0.45">
      <c r="A3174" t="s">
        <v>51</v>
      </c>
      <c r="B3174" t="s">
        <v>53</v>
      </c>
      <c r="C3174" t="str">
        <f t="shared" si="98"/>
        <v>OklahomaPurdue</v>
      </c>
      <c r="D3174" t="s">
        <v>53</v>
      </c>
      <c r="E3174">
        <v>4.2</v>
      </c>
      <c r="F3174" s="1">
        <v>20.4679245283019</v>
      </c>
      <c r="G3174" s="2">
        <v>2269.4233776564301</v>
      </c>
      <c r="H3174" s="1">
        <v>136.99891058397799</v>
      </c>
      <c r="I3174" s="1">
        <f t="shared" si="99"/>
        <v>113.80024701179988</v>
      </c>
    </row>
    <row r="3175" spans="1:9" x14ac:dyDescent="0.45">
      <c r="A3175" t="s">
        <v>52</v>
      </c>
      <c r="B3175" t="s">
        <v>53</v>
      </c>
      <c r="C3175" t="str">
        <f t="shared" si="98"/>
        <v>OregonPurdue</v>
      </c>
      <c r="D3175" t="s">
        <v>53</v>
      </c>
      <c r="E3175">
        <v>11</v>
      </c>
      <c r="F3175" s="1">
        <v>13.7018867924528</v>
      </c>
      <c r="G3175" s="2">
        <v>808.44276443855904</v>
      </c>
      <c r="H3175" s="1">
        <v>137.28962797550699</v>
      </c>
      <c r="I3175" s="1">
        <f t="shared" si="99"/>
        <v>117.88241794102845</v>
      </c>
    </row>
    <row r="3176" spans="1:9" x14ac:dyDescent="0.45">
      <c r="A3176" t="s">
        <v>53</v>
      </c>
      <c r="B3176" t="s">
        <v>53</v>
      </c>
      <c r="C3176" t="str">
        <f t="shared" si="98"/>
        <v>PurduePurdue</v>
      </c>
      <c r="D3176" t="s">
        <v>53</v>
      </c>
      <c r="E3176">
        <v>41.2</v>
      </c>
      <c r="F3176" s="1">
        <v>2.3283018867924499</v>
      </c>
      <c r="G3176" s="2">
        <v>142.64273539779199</v>
      </c>
      <c r="H3176" s="1">
        <v>138.77771517530499</v>
      </c>
      <c r="I3176" s="1">
        <f t="shared" si="99"/>
        <v>138.77771517530684</v>
      </c>
    </row>
    <row r="3177" spans="1:9" x14ac:dyDescent="0.45">
      <c r="A3177" t="s">
        <v>54</v>
      </c>
      <c r="B3177" t="s">
        <v>53</v>
      </c>
      <c r="C3177" t="str">
        <f t="shared" si="98"/>
        <v>Robert MorrisPurdue</v>
      </c>
      <c r="D3177" t="s">
        <v>53</v>
      </c>
      <c r="E3177">
        <v>0.1</v>
      </c>
      <c r="F3177" s="1">
        <v>46.218867924528297</v>
      </c>
      <c r="G3177" s="2">
        <v>115314.669605086</v>
      </c>
      <c r="H3177" s="1">
        <v>135.860680503992</v>
      </c>
      <c r="I3177" s="1">
        <f t="shared" si="99"/>
        <v>97.817543951433436</v>
      </c>
    </row>
    <row r="3178" spans="1:9" x14ac:dyDescent="0.45">
      <c r="A3178" t="s">
        <v>55</v>
      </c>
      <c r="B3178" t="s">
        <v>53</v>
      </c>
      <c r="C3178" t="str">
        <f t="shared" si="98"/>
        <v>Saint FrancisPurdue</v>
      </c>
      <c r="D3178" t="s">
        <v>53</v>
      </c>
      <c r="E3178">
        <v>0.1</v>
      </c>
      <c r="F3178" s="1">
        <v>49.5811320754717</v>
      </c>
      <c r="G3178" s="2">
        <v>192604.643572172</v>
      </c>
      <c r="H3178" s="1">
        <v>136.567528386036</v>
      </c>
      <c r="I3178" s="1">
        <f t="shared" si="99"/>
        <v>107.74290087724697</v>
      </c>
    </row>
    <row r="3179" spans="1:9" x14ac:dyDescent="0.45">
      <c r="A3179" t="s">
        <v>56</v>
      </c>
      <c r="B3179" t="s">
        <v>53</v>
      </c>
      <c r="C3179" t="str">
        <f t="shared" si="98"/>
        <v>Saint Mary'sPurdue</v>
      </c>
      <c r="D3179" t="s">
        <v>53</v>
      </c>
      <c r="E3179">
        <v>10.8</v>
      </c>
      <c r="F3179" s="1">
        <v>13.845283018867899</v>
      </c>
      <c r="G3179" s="2">
        <v>826.42334843021104</v>
      </c>
      <c r="H3179" s="1">
        <v>138.29673450197799</v>
      </c>
      <c r="I3179" s="1">
        <f t="shared" si="99"/>
        <v>132.02392135564682</v>
      </c>
    </row>
    <row r="3180" spans="1:9" x14ac:dyDescent="0.45">
      <c r="A3180" t="s">
        <v>57</v>
      </c>
      <c r="B3180" t="s">
        <v>53</v>
      </c>
      <c r="C3180" t="str">
        <f t="shared" si="98"/>
        <v>San Diego St.Purdue</v>
      </c>
      <c r="D3180" t="s">
        <v>53</v>
      </c>
      <c r="E3180">
        <v>3.6</v>
      </c>
      <c r="F3180" s="1">
        <v>21.5169811320755</v>
      </c>
      <c r="G3180" s="2">
        <v>2664.4166848139298</v>
      </c>
      <c r="H3180" s="1">
        <v>137.511433665006</v>
      </c>
      <c r="I3180" s="1">
        <f t="shared" si="99"/>
        <v>120.99695034945515</v>
      </c>
    </row>
    <row r="3181" spans="1:9" x14ac:dyDescent="0.45">
      <c r="A3181" t="s">
        <v>58</v>
      </c>
      <c r="B3181" t="s">
        <v>53</v>
      </c>
      <c r="C3181" t="str">
        <f t="shared" si="98"/>
        <v>SIU EdwardsvillePurdue</v>
      </c>
      <c r="D3181" t="s">
        <v>53</v>
      </c>
      <c r="E3181">
        <v>0.2</v>
      </c>
      <c r="F3181" s="1">
        <v>41.494339622641498</v>
      </c>
      <c r="G3181" s="2">
        <v>56089.610475983303</v>
      </c>
      <c r="H3181" s="1">
        <v>137.57069184519</v>
      </c>
      <c r="I3181" s="1">
        <f t="shared" si="99"/>
        <v>121.82903686204342</v>
      </c>
    </row>
    <row r="3182" spans="1:9" x14ac:dyDescent="0.45">
      <c r="A3182" t="s">
        <v>59</v>
      </c>
      <c r="B3182" t="s">
        <v>53</v>
      </c>
      <c r="C3182" t="str">
        <f t="shared" si="98"/>
        <v>St. John'sPurdue</v>
      </c>
      <c r="D3182" t="s">
        <v>53</v>
      </c>
      <c r="E3182">
        <v>26</v>
      </c>
      <c r="F3182" s="1">
        <v>6.8603773584905703</v>
      </c>
      <c r="G3182" s="2">
        <v>284.808488660043</v>
      </c>
      <c r="H3182" s="1">
        <v>138.390148293745</v>
      </c>
      <c r="I3182" s="1">
        <f t="shared" si="99"/>
        <v>133.33561125192273</v>
      </c>
    </row>
    <row r="3183" spans="1:9" x14ac:dyDescent="0.45">
      <c r="A3183" t="s">
        <v>60</v>
      </c>
      <c r="B3183" t="s">
        <v>53</v>
      </c>
      <c r="C3183" t="str">
        <f t="shared" si="98"/>
        <v>TennesseePurdue</v>
      </c>
      <c r="D3183" t="s">
        <v>53</v>
      </c>
      <c r="E3183">
        <v>43.8</v>
      </c>
      <c r="F3183" s="1">
        <v>1.6452830188679199</v>
      </c>
      <c r="G3183" s="2">
        <v>128.52731549775001</v>
      </c>
      <c r="H3183" s="1">
        <v>139.18338066787899</v>
      </c>
      <c r="I3183" s="1">
        <f t="shared" si="99"/>
        <v>144.47395464714313</v>
      </c>
    </row>
    <row r="3184" spans="1:9" x14ac:dyDescent="0.45">
      <c r="A3184" t="s">
        <v>61</v>
      </c>
      <c r="B3184" t="s">
        <v>53</v>
      </c>
      <c r="C3184" t="str">
        <f t="shared" si="98"/>
        <v>TexasPurdue</v>
      </c>
      <c r="D3184" t="s">
        <v>53</v>
      </c>
      <c r="E3184">
        <v>3</v>
      </c>
      <c r="F3184" s="1">
        <v>22.743396226415101</v>
      </c>
      <c r="G3184" s="2">
        <v>3210.9996653521798</v>
      </c>
      <c r="H3184" s="1">
        <v>136.88326249551699</v>
      </c>
      <c r="I3184" s="1">
        <f t="shared" si="99"/>
        <v>112.17634944497938</v>
      </c>
    </row>
    <row r="3185" spans="1:9" x14ac:dyDescent="0.45">
      <c r="A3185" t="s">
        <v>62</v>
      </c>
      <c r="B3185" t="s">
        <v>53</v>
      </c>
      <c r="C3185" t="str">
        <f t="shared" si="98"/>
        <v>Texas A&amp;MPurdue</v>
      </c>
      <c r="D3185" t="s">
        <v>53</v>
      </c>
      <c r="E3185">
        <v>15.1</v>
      </c>
      <c r="F3185" s="1">
        <v>11.339622641509401</v>
      </c>
      <c r="G3185" s="2">
        <v>564.008931134416</v>
      </c>
      <c r="H3185" s="1">
        <v>137.67023780491499</v>
      </c>
      <c r="I3185" s="1">
        <f t="shared" si="99"/>
        <v>123.22683291674207</v>
      </c>
    </row>
    <row r="3186" spans="1:9" x14ac:dyDescent="0.45">
      <c r="A3186" t="s">
        <v>63</v>
      </c>
      <c r="B3186" t="s">
        <v>53</v>
      </c>
      <c r="C3186" t="str">
        <f t="shared" si="98"/>
        <v>Texas TechPurdue</v>
      </c>
      <c r="D3186" t="s">
        <v>53</v>
      </c>
      <c r="E3186">
        <v>25.6</v>
      </c>
      <c r="F3186" s="1">
        <v>7.0075471698113203</v>
      </c>
      <c r="G3186" s="2">
        <v>291.18603287847901</v>
      </c>
      <c r="H3186" s="1">
        <v>138.66075041015401</v>
      </c>
      <c r="I3186" s="1">
        <f t="shared" si="99"/>
        <v>137.13532920888022</v>
      </c>
    </row>
    <row r="3187" spans="1:9" x14ac:dyDescent="0.45">
      <c r="A3187" t="s">
        <v>64</v>
      </c>
      <c r="B3187" t="s">
        <v>53</v>
      </c>
      <c r="C3187" t="str">
        <f t="shared" si="98"/>
        <v>TroyPurdue</v>
      </c>
      <c r="D3187" t="s">
        <v>53</v>
      </c>
      <c r="E3187">
        <v>0.5</v>
      </c>
      <c r="F3187" s="1">
        <v>34.815094339622597</v>
      </c>
      <c r="G3187" s="2">
        <v>20254.046541747299</v>
      </c>
      <c r="H3187" s="1">
        <v>137.427055004713</v>
      </c>
      <c r="I3187" s="1">
        <f t="shared" si="99"/>
        <v>119.81212919966519</v>
      </c>
    </row>
    <row r="3188" spans="1:9" x14ac:dyDescent="0.45">
      <c r="A3188" t="s">
        <v>65</v>
      </c>
      <c r="B3188" t="s">
        <v>53</v>
      </c>
      <c r="C3188" t="str">
        <f t="shared" si="98"/>
        <v>UC San DiegoPurdue</v>
      </c>
      <c r="D3188" t="s">
        <v>53</v>
      </c>
      <c r="E3188">
        <v>1.3</v>
      </c>
      <c r="F3188" s="1">
        <v>28.633962264150899</v>
      </c>
      <c r="G3188" s="2">
        <v>7888.3085769505296</v>
      </c>
      <c r="H3188" s="1">
        <v>137.49717523437599</v>
      </c>
      <c r="I3188" s="1">
        <f t="shared" si="99"/>
        <v>120.79673752177355</v>
      </c>
    </row>
    <row r="3189" spans="1:9" x14ac:dyDescent="0.45">
      <c r="A3189" t="s">
        <v>66</v>
      </c>
      <c r="B3189" t="s">
        <v>53</v>
      </c>
      <c r="C3189" t="str">
        <f t="shared" si="98"/>
        <v>UCLAPurdue</v>
      </c>
      <c r="D3189" t="s">
        <v>53</v>
      </c>
      <c r="E3189">
        <v>4.2</v>
      </c>
      <c r="F3189" s="1">
        <v>20.5320754716981</v>
      </c>
      <c r="G3189" s="2">
        <v>2292.4107667930498</v>
      </c>
      <c r="H3189" s="1">
        <v>136.71843381358801</v>
      </c>
      <c r="I3189" s="1">
        <f t="shared" si="99"/>
        <v>109.86187197208135</v>
      </c>
    </row>
    <row r="3190" spans="1:9" x14ac:dyDescent="0.45">
      <c r="A3190" t="s">
        <v>67</v>
      </c>
      <c r="B3190" t="s">
        <v>53</v>
      </c>
      <c r="C3190" t="str">
        <f t="shared" si="98"/>
        <v>UNC WilmingtonPurdue</v>
      </c>
      <c r="D3190" t="s">
        <v>53</v>
      </c>
      <c r="E3190">
        <v>0.7</v>
      </c>
      <c r="F3190" s="1">
        <v>32.2264150943396</v>
      </c>
      <c r="G3190" s="2">
        <v>13644.162433035801</v>
      </c>
      <c r="H3190" s="1">
        <v>138.03384370504</v>
      </c>
      <c r="I3190" s="1">
        <f t="shared" si="99"/>
        <v>128.33248355353319</v>
      </c>
    </row>
    <row r="3191" spans="1:9" x14ac:dyDescent="0.45">
      <c r="A3191" t="s">
        <v>68</v>
      </c>
      <c r="B3191" t="s">
        <v>53</v>
      </c>
      <c r="C3191" t="str">
        <f t="shared" si="98"/>
        <v>Utah St.Purdue</v>
      </c>
      <c r="D3191" t="s">
        <v>53</v>
      </c>
      <c r="E3191">
        <v>4</v>
      </c>
      <c r="F3191" s="1">
        <v>20.898113207547201</v>
      </c>
      <c r="G3191" s="2">
        <v>2423.8664790581402</v>
      </c>
      <c r="H3191" s="1">
        <v>137.58103020361901</v>
      </c>
      <c r="I3191" s="1">
        <f t="shared" si="99"/>
        <v>121.97420515078214</v>
      </c>
    </row>
    <row r="3192" spans="1:9" x14ac:dyDescent="0.45">
      <c r="A3192" t="s">
        <v>69</v>
      </c>
      <c r="B3192" t="s">
        <v>53</v>
      </c>
      <c r="C3192" t="str">
        <f t="shared" si="98"/>
        <v>VanderbiltPurdue</v>
      </c>
      <c r="D3192" t="s">
        <v>53</v>
      </c>
      <c r="E3192">
        <v>0.8</v>
      </c>
      <c r="F3192" s="1">
        <v>31.547169811320799</v>
      </c>
      <c r="G3192" s="2">
        <v>12300.6386664034</v>
      </c>
      <c r="H3192" s="1">
        <v>136.015068084902</v>
      </c>
      <c r="I3192" s="1">
        <f t="shared" si="99"/>
        <v>99.985410453365247</v>
      </c>
    </row>
    <row r="3193" spans="1:9" x14ac:dyDescent="0.45">
      <c r="A3193" t="s">
        <v>70</v>
      </c>
      <c r="B3193" t="s">
        <v>53</v>
      </c>
      <c r="C3193" t="str">
        <f t="shared" si="98"/>
        <v>VCUPurdue</v>
      </c>
      <c r="D3193" t="s">
        <v>53</v>
      </c>
      <c r="E3193">
        <v>2.5</v>
      </c>
      <c r="F3193" s="1">
        <v>23.9018867924528</v>
      </c>
      <c r="G3193" s="2">
        <v>3831.8271588374801</v>
      </c>
      <c r="H3193" s="1">
        <v>137.94024121409501</v>
      </c>
      <c r="I3193" s="1">
        <f t="shared" si="99"/>
        <v>127.01814399706778</v>
      </c>
    </row>
    <row r="3194" spans="1:9" x14ac:dyDescent="0.45">
      <c r="A3194" t="s">
        <v>71</v>
      </c>
      <c r="B3194" t="s">
        <v>53</v>
      </c>
      <c r="C3194" t="str">
        <f t="shared" si="98"/>
        <v>WisconsinPurdue</v>
      </c>
      <c r="D3194" t="s">
        <v>53</v>
      </c>
      <c r="E3194">
        <v>22.9</v>
      </c>
      <c r="F3194" s="1">
        <v>7.9471698113207498</v>
      </c>
      <c r="G3194" s="2">
        <v>336.14005936600802</v>
      </c>
      <c r="H3194" s="1">
        <v>138.593496822427</v>
      </c>
      <c r="I3194" s="1">
        <f t="shared" si="99"/>
        <v>136.19097345753835</v>
      </c>
    </row>
    <row r="3195" spans="1:9" x14ac:dyDescent="0.45">
      <c r="A3195" t="s">
        <v>80</v>
      </c>
      <c r="B3195" t="s">
        <v>53</v>
      </c>
      <c r="C3195" t="str">
        <f t="shared" si="98"/>
        <v>WoffordPurdue</v>
      </c>
      <c r="D3195" t="s">
        <v>53</v>
      </c>
      <c r="E3195">
        <v>0.3</v>
      </c>
      <c r="F3195" s="1">
        <v>39.120754716981097</v>
      </c>
      <c r="G3195" s="2">
        <v>39066.666576199197</v>
      </c>
      <c r="H3195" s="1">
        <v>136.69114525165401</v>
      </c>
      <c r="I3195" s="1">
        <f t="shared" si="99"/>
        <v>109.47869374651476</v>
      </c>
    </row>
    <row r="3196" spans="1:9" x14ac:dyDescent="0.45">
      <c r="A3196" t="s">
        <v>72</v>
      </c>
      <c r="B3196" t="s">
        <v>53</v>
      </c>
      <c r="C3196" t="str">
        <f t="shared" si="98"/>
        <v>XavierPurdue</v>
      </c>
      <c r="D3196" t="s">
        <v>53</v>
      </c>
      <c r="E3196">
        <v>2.5</v>
      </c>
      <c r="F3196" s="1">
        <v>23.973584905660399</v>
      </c>
      <c r="G3196" s="2">
        <v>3874.8232471111301</v>
      </c>
      <c r="H3196" s="1">
        <v>137.433947422275</v>
      </c>
      <c r="I3196" s="1">
        <f t="shared" si="99"/>
        <v>119.9089105668057</v>
      </c>
    </row>
    <row r="3197" spans="1:9" x14ac:dyDescent="0.45">
      <c r="A3197" t="s">
        <v>73</v>
      </c>
      <c r="B3197" t="s">
        <v>53</v>
      </c>
      <c r="C3197" t="str">
        <f t="shared" si="98"/>
        <v>YalePurdue</v>
      </c>
      <c r="D3197" t="s">
        <v>53</v>
      </c>
      <c r="E3197">
        <v>1.3</v>
      </c>
      <c r="F3197" s="1">
        <v>28.222641509433998</v>
      </c>
      <c r="G3197" s="2">
        <v>7409.6447762753496</v>
      </c>
      <c r="H3197" s="1">
        <v>138.03365355866899</v>
      </c>
      <c r="I3197" s="1">
        <f t="shared" si="99"/>
        <v>128.32981357227078</v>
      </c>
    </row>
    <row r="3198" spans="1:9" x14ac:dyDescent="0.45">
      <c r="A3198" t="s">
        <v>7</v>
      </c>
      <c r="B3198" t="s">
        <v>54</v>
      </c>
      <c r="C3198" t="str">
        <f t="shared" si="98"/>
        <v>AkronRobert Morris</v>
      </c>
      <c r="D3198" t="s">
        <v>7</v>
      </c>
      <c r="E3198">
        <v>85.1</v>
      </c>
      <c r="F3198" s="1">
        <v>-11.4</v>
      </c>
      <c r="G3198" s="2">
        <v>-569.32933960664002</v>
      </c>
      <c r="H3198" s="1">
        <v>139.76751529056199</v>
      </c>
      <c r="I3198" s="1">
        <f t="shared" si="99"/>
        <v>152.67620688575596</v>
      </c>
    </row>
    <row r="3199" spans="1:9" x14ac:dyDescent="0.45">
      <c r="A3199" t="s">
        <v>8</v>
      </c>
      <c r="B3199" t="s">
        <v>54</v>
      </c>
      <c r="C3199" t="str">
        <f t="shared" si="98"/>
        <v>AlabamaRobert Morris</v>
      </c>
      <c r="D3199" t="s">
        <v>8</v>
      </c>
      <c r="E3199">
        <v>99.8</v>
      </c>
      <c r="F3199" s="1">
        <v>-39.743396226415101</v>
      </c>
      <c r="G3199" s="2">
        <v>-42943.186734222603</v>
      </c>
      <c r="H3199" s="1">
        <v>141.57512647815699</v>
      </c>
      <c r="I3199" s="1">
        <f t="shared" si="99"/>
        <v>178.05816908120499</v>
      </c>
    </row>
    <row r="3200" spans="1:9" x14ac:dyDescent="0.45">
      <c r="A3200" t="s">
        <v>9</v>
      </c>
      <c r="B3200" t="s">
        <v>54</v>
      </c>
      <c r="C3200" t="str">
        <f t="shared" si="98"/>
        <v>Alabama St.Robert Morris</v>
      </c>
      <c r="D3200" t="s">
        <v>54</v>
      </c>
      <c r="E3200">
        <v>46.5</v>
      </c>
      <c r="F3200" s="1">
        <v>0.91698113207547205</v>
      </c>
      <c r="G3200" s="2">
        <v>115.007497193372</v>
      </c>
      <c r="H3200" s="1">
        <v>139.95427704998301</v>
      </c>
      <c r="I3200" s="1">
        <f t="shared" si="99"/>
        <v>155.29866239483411</v>
      </c>
    </row>
    <row r="3201" spans="1:9" x14ac:dyDescent="0.45">
      <c r="A3201" t="s">
        <v>10</v>
      </c>
      <c r="B3201" t="s">
        <v>54</v>
      </c>
      <c r="C3201" t="str">
        <f t="shared" si="98"/>
        <v>AmericanRobert Morris</v>
      </c>
      <c r="D3201" t="s">
        <v>54</v>
      </c>
      <c r="E3201">
        <v>49.4</v>
      </c>
      <c r="F3201" s="1">
        <v>0.15849056603773601</v>
      </c>
      <c r="G3201" s="2">
        <v>102.46602346420801</v>
      </c>
      <c r="H3201" s="1">
        <v>139.717566569745</v>
      </c>
      <c r="I3201" s="1">
        <f t="shared" si="99"/>
        <v>151.974841153906</v>
      </c>
    </row>
    <row r="3202" spans="1:9" x14ac:dyDescent="0.45">
      <c r="A3202" t="s">
        <v>11</v>
      </c>
      <c r="B3202" t="s">
        <v>54</v>
      </c>
      <c r="C3202" t="str">
        <f t="shared" si="98"/>
        <v>ArizonaRobert Morris</v>
      </c>
      <c r="D3202" t="s">
        <v>11</v>
      </c>
      <c r="E3202">
        <v>99.6</v>
      </c>
      <c r="F3202" s="1">
        <v>-36.9849056603774</v>
      </c>
      <c r="G3202" s="2">
        <v>-28205.908109001201</v>
      </c>
      <c r="H3202" s="1">
        <v>141.18560581833401</v>
      </c>
      <c r="I3202" s="1">
        <f t="shared" si="99"/>
        <v>172.58863075912399</v>
      </c>
    </row>
    <row r="3203" spans="1:9" x14ac:dyDescent="0.45">
      <c r="A3203" t="s">
        <v>12</v>
      </c>
      <c r="B3203" t="s">
        <v>54</v>
      </c>
      <c r="C3203" t="str">
        <f t="shared" ref="C3203:C3266" si="100">A3203&amp;B3203</f>
        <v>ArkansasRobert Morris</v>
      </c>
      <c r="D3203" t="s">
        <v>12</v>
      </c>
      <c r="E3203">
        <v>94.8</v>
      </c>
      <c r="F3203" s="1">
        <v>-19.086792452830199</v>
      </c>
      <c r="G3203" s="2">
        <v>-1838.4019950541899</v>
      </c>
      <c r="H3203" s="1">
        <v>139.511529796123</v>
      </c>
      <c r="I3203" s="1">
        <f t="shared" ref="I3203:I3266" si="101">18*(H3203-AVERAGE($H$2:$H$4625))/_xlfn.STDEV.P($H$2:$H$4625)+AVERAGE($H$2:$H$4625)</f>
        <v>149.08173137740371</v>
      </c>
    </row>
    <row r="3204" spans="1:9" x14ac:dyDescent="0.45">
      <c r="A3204" t="s">
        <v>13</v>
      </c>
      <c r="B3204" t="s">
        <v>54</v>
      </c>
      <c r="C3204" t="str">
        <f t="shared" si="100"/>
        <v>AuburnRobert Morris</v>
      </c>
      <c r="D3204" t="s">
        <v>13</v>
      </c>
      <c r="E3204">
        <v>99.9</v>
      </c>
      <c r="F3204" s="1">
        <v>-44.181132075471702</v>
      </c>
      <c r="G3204" s="2">
        <v>-84528.817317999594</v>
      </c>
      <c r="H3204" s="1">
        <v>142.59734271151001</v>
      </c>
      <c r="I3204" s="1">
        <f t="shared" si="101"/>
        <v>192.41183870252505</v>
      </c>
    </row>
    <row r="3205" spans="1:9" x14ac:dyDescent="0.45">
      <c r="A3205" t="s">
        <v>14</v>
      </c>
      <c r="B3205" t="s">
        <v>54</v>
      </c>
      <c r="C3205" t="str">
        <f t="shared" si="100"/>
        <v>BaylorRobert Morris</v>
      </c>
      <c r="D3205" t="s">
        <v>14</v>
      </c>
      <c r="E3205">
        <v>98.8</v>
      </c>
      <c r="F3205" s="1">
        <v>-29.132075471698101</v>
      </c>
      <c r="G3205" s="2">
        <v>-8512.2150927689709</v>
      </c>
      <c r="H3205" s="1">
        <v>141.06026007269</v>
      </c>
      <c r="I3205" s="1">
        <f t="shared" si="101"/>
        <v>170.82856144823992</v>
      </c>
    </row>
    <row r="3206" spans="1:9" x14ac:dyDescent="0.45">
      <c r="A3206" t="s">
        <v>15</v>
      </c>
      <c r="B3206" t="s">
        <v>54</v>
      </c>
      <c r="C3206" t="str">
        <f t="shared" si="100"/>
        <v>BryantRobert Morris</v>
      </c>
      <c r="D3206" t="s">
        <v>15</v>
      </c>
      <c r="E3206">
        <v>79.900000000000006</v>
      </c>
      <c r="F3206" s="1">
        <v>-9.0603773584905696</v>
      </c>
      <c r="G3206" s="2">
        <v>-398.41050243070202</v>
      </c>
      <c r="H3206" s="1">
        <v>140.65257994833601</v>
      </c>
      <c r="I3206" s="1">
        <f t="shared" si="101"/>
        <v>165.10403308992832</v>
      </c>
    </row>
    <row r="3207" spans="1:9" x14ac:dyDescent="0.45">
      <c r="A3207" t="s">
        <v>16</v>
      </c>
      <c r="B3207" t="s">
        <v>54</v>
      </c>
      <c r="C3207" t="str">
        <f t="shared" si="100"/>
        <v>BYURobert Morris</v>
      </c>
      <c r="D3207" t="s">
        <v>16</v>
      </c>
      <c r="E3207">
        <v>99</v>
      </c>
      <c r="F3207" s="1">
        <v>-30.2264150943396</v>
      </c>
      <c r="G3207" s="2">
        <v>-10058.9426305422</v>
      </c>
      <c r="H3207" s="1">
        <v>140.822620622779</v>
      </c>
      <c r="I3207" s="1">
        <f t="shared" si="101"/>
        <v>167.49169587937084</v>
      </c>
    </row>
    <row r="3208" spans="1:9" x14ac:dyDescent="0.45">
      <c r="A3208" t="s">
        <v>17</v>
      </c>
      <c r="B3208" t="s">
        <v>54</v>
      </c>
      <c r="C3208" t="str">
        <f t="shared" si="100"/>
        <v>ClemsonRobert Morris</v>
      </c>
      <c r="D3208" t="s">
        <v>17</v>
      </c>
      <c r="E3208">
        <v>99.3</v>
      </c>
      <c r="F3208" s="1">
        <v>-32.430188679245298</v>
      </c>
      <c r="G3208" s="2">
        <v>-14079.703104226101</v>
      </c>
      <c r="H3208" s="1">
        <v>141.17267084522101</v>
      </c>
      <c r="I3208" s="1">
        <f t="shared" si="101"/>
        <v>172.40700154549302</v>
      </c>
    </row>
    <row r="3209" spans="1:9" x14ac:dyDescent="0.45">
      <c r="A3209" t="s">
        <v>18</v>
      </c>
      <c r="B3209" t="s">
        <v>54</v>
      </c>
      <c r="C3209" t="str">
        <f t="shared" si="100"/>
        <v>Colorado St.Robert Morris</v>
      </c>
      <c r="D3209" t="s">
        <v>18</v>
      </c>
      <c r="E3209">
        <v>95.9</v>
      </c>
      <c r="F3209" s="1">
        <v>-20.649056603773602</v>
      </c>
      <c r="G3209" s="2">
        <v>-2333.6171085286001</v>
      </c>
      <c r="H3209" s="1">
        <v>140.56228182001601</v>
      </c>
      <c r="I3209" s="1">
        <f t="shared" si="101"/>
        <v>163.83609245365275</v>
      </c>
    </row>
    <row r="3210" spans="1:9" x14ac:dyDescent="0.45">
      <c r="A3210" t="s">
        <v>19</v>
      </c>
      <c r="B3210" t="s">
        <v>54</v>
      </c>
      <c r="C3210" t="str">
        <f t="shared" si="100"/>
        <v>ConnecticutRobert Morris</v>
      </c>
      <c r="D3210" t="s">
        <v>19</v>
      </c>
      <c r="E3210">
        <v>99.5</v>
      </c>
      <c r="F3210" s="1">
        <v>-35.324528301886801</v>
      </c>
      <c r="G3210" s="2">
        <v>-21891.7170058261</v>
      </c>
      <c r="H3210" s="1">
        <v>140.97292167597001</v>
      </c>
      <c r="I3210" s="1">
        <f t="shared" si="101"/>
        <v>169.60218052131765</v>
      </c>
    </row>
    <row r="3211" spans="1:9" x14ac:dyDescent="0.45">
      <c r="A3211" t="s">
        <v>20</v>
      </c>
      <c r="B3211" t="s">
        <v>54</v>
      </c>
      <c r="C3211" t="str">
        <f t="shared" si="100"/>
        <v>CreightonRobert Morris</v>
      </c>
      <c r="D3211" t="s">
        <v>20</v>
      </c>
      <c r="E3211">
        <v>98.5</v>
      </c>
      <c r="F3211" s="1">
        <v>-27.618867924528299</v>
      </c>
      <c r="G3211" s="2">
        <v>-6755.3392729098396</v>
      </c>
      <c r="H3211" s="1">
        <v>140.522218428809</v>
      </c>
      <c r="I3211" s="1">
        <f t="shared" si="101"/>
        <v>163.27353370871</v>
      </c>
    </row>
    <row r="3212" spans="1:9" x14ac:dyDescent="0.45">
      <c r="A3212" t="s">
        <v>21</v>
      </c>
      <c r="B3212" t="s">
        <v>54</v>
      </c>
      <c r="C3212" t="str">
        <f t="shared" si="100"/>
        <v>DrakeRobert Morris</v>
      </c>
      <c r="D3212" t="s">
        <v>21</v>
      </c>
      <c r="E3212">
        <v>95.8</v>
      </c>
      <c r="F3212" s="1">
        <v>-20.445283018867901</v>
      </c>
      <c r="G3212" s="2">
        <v>-2261.8274581185401</v>
      </c>
      <c r="H3212" s="1">
        <v>140.75689423448301</v>
      </c>
      <c r="I3212" s="1">
        <f t="shared" si="101"/>
        <v>166.56878462809024</v>
      </c>
    </row>
    <row r="3213" spans="1:9" x14ac:dyDescent="0.45">
      <c r="A3213" t="s">
        <v>22</v>
      </c>
      <c r="B3213" t="s">
        <v>54</v>
      </c>
      <c r="C3213" t="str">
        <f t="shared" si="100"/>
        <v>DukeRobert Morris</v>
      </c>
      <c r="D3213" t="s">
        <v>22</v>
      </c>
      <c r="E3213">
        <v>99.9</v>
      </c>
      <c r="F3213" s="1">
        <v>-46.396226415094297</v>
      </c>
      <c r="G3213" s="2">
        <v>-118498.23944445699</v>
      </c>
      <c r="H3213" s="1">
        <v>142.83723412308601</v>
      </c>
      <c r="I3213" s="1">
        <f t="shared" si="101"/>
        <v>195.780325676616</v>
      </c>
    </row>
    <row r="3214" spans="1:9" x14ac:dyDescent="0.45">
      <c r="A3214" t="s">
        <v>23</v>
      </c>
      <c r="B3214" t="s">
        <v>54</v>
      </c>
      <c r="C3214" t="str">
        <f t="shared" si="100"/>
        <v>FloridaRobert Morris</v>
      </c>
      <c r="D3214" t="s">
        <v>23</v>
      </c>
      <c r="E3214">
        <v>99.8</v>
      </c>
      <c r="F3214" s="1">
        <v>-42.539622641509403</v>
      </c>
      <c r="G3214" s="2">
        <v>-65793.007305231993</v>
      </c>
      <c r="H3214" s="1">
        <v>142.57188465063999</v>
      </c>
      <c r="I3214" s="1">
        <f t="shared" si="101"/>
        <v>192.05436385228799</v>
      </c>
    </row>
    <row r="3215" spans="1:9" x14ac:dyDescent="0.45">
      <c r="A3215" t="s">
        <v>24</v>
      </c>
      <c r="B3215" t="s">
        <v>54</v>
      </c>
      <c r="C3215" t="str">
        <f t="shared" si="100"/>
        <v>GeorgiaRobert Morris</v>
      </c>
      <c r="D3215" t="s">
        <v>24</v>
      </c>
      <c r="E3215">
        <v>96.4</v>
      </c>
      <c r="F3215" s="1">
        <v>-21.4754716981132</v>
      </c>
      <c r="G3215" s="2">
        <v>-2647.6722269817901</v>
      </c>
      <c r="H3215" s="1">
        <v>139.835842946925</v>
      </c>
      <c r="I3215" s="1">
        <f t="shared" si="101"/>
        <v>153.63564440340986</v>
      </c>
    </row>
    <row r="3216" spans="1:9" x14ac:dyDescent="0.45">
      <c r="A3216" t="s">
        <v>25</v>
      </c>
      <c r="B3216" t="s">
        <v>54</v>
      </c>
      <c r="C3216" t="str">
        <f t="shared" si="100"/>
        <v>GonzagaRobert Morris</v>
      </c>
      <c r="D3216" t="s">
        <v>25</v>
      </c>
      <c r="E3216">
        <v>99.3</v>
      </c>
      <c r="F3216" s="1">
        <v>-32.105660377358497</v>
      </c>
      <c r="G3216" s="2">
        <v>-13399.9464416841</v>
      </c>
      <c r="H3216" s="1">
        <v>141.81280467743099</v>
      </c>
      <c r="I3216" s="1">
        <f t="shared" si="101"/>
        <v>181.39557875760863</v>
      </c>
    </row>
    <row r="3217" spans="1:9" x14ac:dyDescent="0.45">
      <c r="A3217" t="s">
        <v>26</v>
      </c>
      <c r="B3217" t="s">
        <v>54</v>
      </c>
      <c r="C3217" t="str">
        <f t="shared" si="100"/>
        <v>Grand CanyonRobert Morris</v>
      </c>
      <c r="D3217" t="s">
        <v>26</v>
      </c>
      <c r="E3217">
        <v>93.6</v>
      </c>
      <c r="F3217" s="1">
        <v>-17.554716981132099</v>
      </c>
      <c r="G3217" s="2">
        <v>-1455.8754662471399</v>
      </c>
      <c r="H3217" s="1">
        <v>140.63077639497001</v>
      </c>
      <c r="I3217" s="1">
        <f t="shared" si="101"/>
        <v>164.7978737946882</v>
      </c>
    </row>
    <row r="3218" spans="1:9" x14ac:dyDescent="0.45">
      <c r="A3218" t="s">
        <v>27</v>
      </c>
      <c r="B3218" t="s">
        <v>54</v>
      </c>
      <c r="C3218" t="str">
        <f t="shared" si="100"/>
        <v>High PointRobert Morris</v>
      </c>
      <c r="D3218" t="s">
        <v>27</v>
      </c>
      <c r="E3218">
        <v>90.1</v>
      </c>
      <c r="F3218" s="1">
        <v>-14.4679245283019</v>
      </c>
      <c r="G3218" s="2">
        <v>-908.74527616653302</v>
      </c>
      <c r="H3218" s="1">
        <v>140.82198352851901</v>
      </c>
      <c r="I3218" s="1">
        <f t="shared" si="101"/>
        <v>167.48274998296739</v>
      </c>
    </row>
    <row r="3219" spans="1:9" x14ac:dyDescent="0.45">
      <c r="A3219" t="s">
        <v>28</v>
      </c>
      <c r="B3219" t="s">
        <v>54</v>
      </c>
      <c r="C3219" t="str">
        <f t="shared" si="100"/>
        <v>HoustonRobert Morris</v>
      </c>
      <c r="D3219" t="s">
        <v>28</v>
      </c>
      <c r="E3219">
        <v>99.9</v>
      </c>
      <c r="F3219" s="1">
        <v>-49.750943396226397</v>
      </c>
      <c r="G3219" s="2">
        <v>-197670.590006079</v>
      </c>
      <c r="H3219" s="1">
        <v>142.935445885722</v>
      </c>
      <c r="I3219" s="1">
        <f t="shared" si="101"/>
        <v>197.15938731524858</v>
      </c>
    </row>
    <row r="3220" spans="1:9" x14ac:dyDescent="0.45">
      <c r="A3220" t="s">
        <v>29</v>
      </c>
      <c r="B3220" t="s">
        <v>54</v>
      </c>
      <c r="C3220" t="str">
        <f t="shared" si="100"/>
        <v>IllinoisRobert Morris</v>
      </c>
      <c r="D3220" t="s">
        <v>29</v>
      </c>
      <c r="E3220">
        <v>99.5</v>
      </c>
      <c r="F3220" s="1">
        <v>-34.562264150943399</v>
      </c>
      <c r="G3220" s="2">
        <v>-19486.259357321698</v>
      </c>
      <c r="H3220" s="1">
        <v>140.99390966068299</v>
      </c>
      <c r="I3220" s="1">
        <f t="shared" si="101"/>
        <v>169.896887833487</v>
      </c>
    </row>
    <row r="3221" spans="1:9" x14ac:dyDescent="0.45">
      <c r="A3221" t="s">
        <v>30</v>
      </c>
      <c r="B3221" t="s">
        <v>54</v>
      </c>
      <c r="C3221" t="str">
        <f t="shared" si="100"/>
        <v>Iowa St.Robert Morris</v>
      </c>
      <c r="D3221" t="s">
        <v>30</v>
      </c>
      <c r="E3221">
        <v>99.8</v>
      </c>
      <c r="F3221" s="1">
        <v>-39.422641509434001</v>
      </c>
      <c r="G3221" s="2">
        <v>-40905.766774819698</v>
      </c>
      <c r="H3221" s="1">
        <v>141.89045195226899</v>
      </c>
      <c r="I3221" s="1">
        <f t="shared" si="101"/>
        <v>182.48587970730566</v>
      </c>
    </row>
    <row r="3222" spans="1:9" x14ac:dyDescent="0.45">
      <c r="A3222" t="s">
        <v>31</v>
      </c>
      <c r="B3222" t="s">
        <v>54</v>
      </c>
      <c r="C3222" t="str">
        <f t="shared" si="100"/>
        <v>KansasRobert Morris</v>
      </c>
      <c r="D3222" t="s">
        <v>31</v>
      </c>
      <c r="E3222">
        <v>99.2</v>
      </c>
      <c r="F3222" s="1">
        <v>-31.705660377358502</v>
      </c>
      <c r="G3222" s="2">
        <v>-12606.1828463108</v>
      </c>
      <c r="H3222" s="1">
        <v>140.941039841123</v>
      </c>
      <c r="I3222" s="1">
        <f t="shared" si="101"/>
        <v>169.15450486387437</v>
      </c>
    </row>
    <row r="3223" spans="1:9" x14ac:dyDescent="0.45">
      <c r="A3223" t="s">
        <v>32</v>
      </c>
      <c r="B3223" t="s">
        <v>54</v>
      </c>
      <c r="C3223" t="str">
        <f t="shared" si="100"/>
        <v>KentuckyRobert Morris</v>
      </c>
      <c r="D3223" t="s">
        <v>32</v>
      </c>
      <c r="E3223">
        <v>99.5</v>
      </c>
      <c r="F3223" s="1">
        <v>-35.071698113207503</v>
      </c>
      <c r="G3223" s="2">
        <v>-21060.542055016402</v>
      </c>
      <c r="H3223" s="1">
        <v>140.875322173249</v>
      </c>
      <c r="I3223" s="1">
        <f t="shared" si="101"/>
        <v>168.23171606227916</v>
      </c>
    </row>
    <row r="3224" spans="1:9" x14ac:dyDescent="0.45">
      <c r="A3224" t="s">
        <v>33</v>
      </c>
      <c r="B3224" t="s">
        <v>54</v>
      </c>
      <c r="C3224" t="str">
        <f t="shared" si="100"/>
        <v>LibertyRobert Morris</v>
      </c>
      <c r="D3224" t="s">
        <v>33</v>
      </c>
      <c r="E3224">
        <v>86.3</v>
      </c>
      <c r="F3224" s="1">
        <v>-12.086792452830201</v>
      </c>
      <c r="G3224" s="2">
        <v>-631.89021449344898</v>
      </c>
      <c r="H3224" s="1">
        <v>140.22032321696599</v>
      </c>
      <c r="I3224" s="1">
        <f t="shared" si="101"/>
        <v>159.03440700570411</v>
      </c>
    </row>
    <row r="3225" spans="1:9" x14ac:dyDescent="0.45">
      <c r="A3225" t="s">
        <v>34</v>
      </c>
      <c r="B3225" t="s">
        <v>54</v>
      </c>
      <c r="C3225" t="str">
        <f t="shared" si="100"/>
        <v>LipscombRobert Morris</v>
      </c>
      <c r="D3225" t="s">
        <v>34</v>
      </c>
      <c r="E3225">
        <v>82.6</v>
      </c>
      <c r="F3225" s="1">
        <v>-10.218867924528301</v>
      </c>
      <c r="G3225" s="2">
        <v>-475.38265219991803</v>
      </c>
      <c r="H3225" s="1">
        <v>140.62664141455801</v>
      </c>
      <c r="I3225" s="1">
        <f t="shared" si="101"/>
        <v>164.73981157576819</v>
      </c>
    </row>
    <row r="3226" spans="1:9" x14ac:dyDescent="0.45">
      <c r="A3226" t="s">
        <v>35</v>
      </c>
      <c r="B3226" t="s">
        <v>54</v>
      </c>
      <c r="C3226" t="str">
        <f t="shared" si="100"/>
        <v>LouisvilleRobert Morris</v>
      </c>
      <c r="D3226" t="s">
        <v>35</v>
      </c>
      <c r="E3226">
        <v>92.3</v>
      </c>
      <c r="F3226" s="1">
        <v>-16.267924528301901</v>
      </c>
      <c r="G3226" s="2">
        <v>-1196.13766025482</v>
      </c>
      <c r="H3226" s="1">
        <v>139.87200342037599</v>
      </c>
      <c r="I3226" s="1">
        <f t="shared" si="101"/>
        <v>154.14339948724719</v>
      </c>
    </row>
    <row r="3227" spans="1:9" x14ac:dyDescent="0.45">
      <c r="A3227" t="s">
        <v>36</v>
      </c>
      <c r="B3227" t="s">
        <v>54</v>
      </c>
      <c r="C3227" t="str">
        <f t="shared" si="100"/>
        <v>MarquetteRobert Morris</v>
      </c>
      <c r="D3227" t="s">
        <v>36</v>
      </c>
      <c r="E3227">
        <v>99.4</v>
      </c>
      <c r="F3227" s="1">
        <v>-33.335849056603799</v>
      </c>
      <c r="G3227" s="2">
        <v>-16163.092625720001</v>
      </c>
      <c r="H3227" s="1">
        <v>141.134137263838</v>
      </c>
      <c r="I3227" s="1">
        <f t="shared" si="101"/>
        <v>171.86592395500742</v>
      </c>
    </row>
    <row r="3228" spans="1:9" x14ac:dyDescent="0.45">
      <c r="A3228" t="s">
        <v>37</v>
      </c>
      <c r="B3228" t="s">
        <v>54</v>
      </c>
      <c r="C3228" t="str">
        <f t="shared" si="100"/>
        <v>MarylandRobert Morris</v>
      </c>
      <c r="D3228" t="s">
        <v>37</v>
      </c>
      <c r="E3228">
        <v>99</v>
      </c>
      <c r="F3228" s="1">
        <v>-30.1698113207547</v>
      </c>
      <c r="G3228" s="2">
        <v>-9969.8960462822997</v>
      </c>
      <c r="H3228" s="1">
        <v>140.59250686238099</v>
      </c>
      <c r="I3228" s="1">
        <f t="shared" si="101"/>
        <v>164.26050390226985</v>
      </c>
    </row>
    <row r="3229" spans="1:9" x14ac:dyDescent="0.45">
      <c r="A3229" t="s">
        <v>38</v>
      </c>
      <c r="B3229" t="s">
        <v>54</v>
      </c>
      <c r="C3229" t="str">
        <f t="shared" si="100"/>
        <v>McNeese St.Robert Morris</v>
      </c>
      <c r="D3229" t="s">
        <v>38</v>
      </c>
      <c r="E3229">
        <v>95.9</v>
      </c>
      <c r="F3229" s="1">
        <v>-20.626415094339599</v>
      </c>
      <c r="G3229" s="2">
        <v>-2326.06023250208</v>
      </c>
      <c r="H3229" s="1">
        <v>141.18574227534501</v>
      </c>
      <c r="I3229" s="1">
        <f t="shared" si="101"/>
        <v>172.59054684966281</v>
      </c>
    </row>
    <row r="3230" spans="1:9" x14ac:dyDescent="0.45">
      <c r="A3230" t="s">
        <v>39</v>
      </c>
      <c r="B3230" t="s">
        <v>54</v>
      </c>
      <c r="C3230" t="str">
        <f t="shared" si="100"/>
        <v>MemphisRobert Morris</v>
      </c>
      <c r="D3230" t="s">
        <v>39</v>
      </c>
      <c r="E3230">
        <v>98.2</v>
      </c>
      <c r="F3230" s="1">
        <v>-26.4037735849057</v>
      </c>
      <c r="G3230" s="2">
        <v>-5614.2308123692701</v>
      </c>
      <c r="H3230" s="1">
        <v>139.72002410187099</v>
      </c>
      <c r="I3230" s="1">
        <f t="shared" si="101"/>
        <v>152.00934912107502</v>
      </c>
    </row>
    <row r="3231" spans="1:9" x14ac:dyDescent="0.45">
      <c r="A3231" t="s">
        <v>40</v>
      </c>
      <c r="B3231" t="s">
        <v>54</v>
      </c>
      <c r="C3231" t="str">
        <f t="shared" si="100"/>
        <v>MichiganRobert Morris</v>
      </c>
      <c r="D3231" t="s">
        <v>40</v>
      </c>
      <c r="E3231">
        <v>96.5</v>
      </c>
      <c r="F3231" s="1">
        <v>-21.781132075471699</v>
      </c>
      <c r="G3231" s="2">
        <v>-2772.6536930205398</v>
      </c>
      <c r="H3231" s="1">
        <v>139.282645398787</v>
      </c>
      <c r="I3231" s="1">
        <f t="shared" si="101"/>
        <v>145.86780176677763</v>
      </c>
    </row>
    <row r="3232" spans="1:9" x14ac:dyDescent="0.45">
      <c r="A3232" t="s">
        <v>41</v>
      </c>
      <c r="B3232" t="s">
        <v>54</v>
      </c>
      <c r="C3232" t="str">
        <f t="shared" si="100"/>
        <v>Michigan St.Robert Morris</v>
      </c>
      <c r="D3232" t="s">
        <v>41</v>
      </c>
      <c r="E3232">
        <v>99.6</v>
      </c>
      <c r="F3232" s="1">
        <v>-36.524528301886797</v>
      </c>
      <c r="G3232" s="2">
        <v>-26293.643519583198</v>
      </c>
      <c r="H3232" s="1">
        <v>140.92972510799399</v>
      </c>
      <c r="I3232" s="1">
        <f t="shared" si="101"/>
        <v>168.9956265992879</v>
      </c>
    </row>
    <row r="3233" spans="1:9" x14ac:dyDescent="0.45">
      <c r="A3233" t="s">
        <v>42</v>
      </c>
      <c r="B3233" t="s">
        <v>54</v>
      </c>
      <c r="C3233" t="str">
        <f t="shared" si="100"/>
        <v>MississippiRobert Morris</v>
      </c>
      <c r="D3233" t="s">
        <v>42</v>
      </c>
      <c r="E3233">
        <v>98.6</v>
      </c>
      <c r="F3233" s="1">
        <v>-28.030188679245299</v>
      </c>
      <c r="G3233" s="2">
        <v>-7194.1477927608403</v>
      </c>
      <c r="H3233" s="1">
        <v>140.19741645788301</v>
      </c>
      <c r="I3233" s="1">
        <f t="shared" si="101"/>
        <v>158.71275680954761</v>
      </c>
    </row>
    <row r="3234" spans="1:9" x14ac:dyDescent="0.45">
      <c r="A3234" t="s">
        <v>43</v>
      </c>
      <c r="B3234" t="s">
        <v>54</v>
      </c>
      <c r="C3234" t="str">
        <f t="shared" si="100"/>
        <v>Mississippi St.Robert Morris</v>
      </c>
      <c r="D3234" t="s">
        <v>43</v>
      </c>
      <c r="E3234">
        <v>98.2</v>
      </c>
      <c r="F3234" s="1">
        <v>-26.3056603773585</v>
      </c>
      <c r="G3234" s="2">
        <v>-5530.9793809742896</v>
      </c>
      <c r="H3234" s="1">
        <v>140.33716293056</v>
      </c>
      <c r="I3234" s="1">
        <f t="shared" si="101"/>
        <v>160.67503703373342</v>
      </c>
    </row>
    <row r="3235" spans="1:9" x14ac:dyDescent="0.45">
      <c r="A3235" t="s">
        <v>44</v>
      </c>
      <c r="B3235" t="s">
        <v>54</v>
      </c>
      <c r="C3235" t="str">
        <f t="shared" si="100"/>
        <v>MissouriRobert Morris</v>
      </c>
      <c r="D3235" t="s">
        <v>44</v>
      </c>
      <c r="E3235">
        <v>96.3</v>
      </c>
      <c r="F3235" s="1">
        <v>-21.373584905660401</v>
      </c>
      <c r="G3235" s="2">
        <v>-2605.6960677279699</v>
      </c>
      <c r="H3235" s="1">
        <v>139.754824829206</v>
      </c>
      <c r="I3235" s="1">
        <f t="shared" si="101"/>
        <v>152.49801103667571</v>
      </c>
    </row>
    <row r="3236" spans="1:9" x14ac:dyDescent="0.45">
      <c r="A3236" t="s">
        <v>45</v>
      </c>
      <c r="B3236" t="s">
        <v>54</v>
      </c>
      <c r="C3236" t="str">
        <f t="shared" si="100"/>
        <v>MontanaRobert Morris</v>
      </c>
      <c r="D3236" t="s">
        <v>45</v>
      </c>
      <c r="E3236">
        <v>70</v>
      </c>
      <c r="F3236" s="1">
        <v>-5.5660377358490596</v>
      </c>
      <c r="G3236" s="2">
        <v>-233.76420721233899</v>
      </c>
      <c r="H3236" s="1">
        <v>138.89153639261201</v>
      </c>
      <c r="I3236" s="1">
        <f t="shared" si="101"/>
        <v>140.37596033696164</v>
      </c>
    </row>
    <row r="3237" spans="1:9" x14ac:dyDescent="0.45">
      <c r="A3237" t="s">
        <v>46</v>
      </c>
      <c r="B3237" t="s">
        <v>54</v>
      </c>
      <c r="C3237" t="str">
        <f t="shared" si="100"/>
        <v>Mount St. Mary'sRobert Morris</v>
      </c>
      <c r="D3237" t="s">
        <v>54</v>
      </c>
      <c r="E3237">
        <v>47.1</v>
      </c>
      <c r="F3237" s="1">
        <v>0.76603773584905699</v>
      </c>
      <c r="G3237" s="2">
        <v>112.42065816808</v>
      </c>
      <c r="H3237" s="1">
        <v>140.194824346763</v>
      </c>
      <c r="I3237" s="1">
        <f t="shared" si="101"/>
        <v>158.67635912242</v>
      </c>
    </row>
    <row r="3238" spans="1:9" x14ac:dyDescent="0.45">
      <c r="A3238" t="s">
        <v>47</v>
      </c>
      <c r="B3238" t="s">
        <v>54</v>
      </c>
      <c r="C3238" t="str">
        <f t="shared" si="100"/>
        <v>Nebraska OmahaRobert Morris</v>
      </c>
      <c r="D3238" t="s">
        <v>47</v>
      </c>
      <c r="E3238">
        <v>55.4</v>
      </c>
      <c r="F3238" s="1">
        <v>-1.4226415094339599</v>
      </c>
      <c r="G3238" s="2">
        <v>-124.23855679838</v>
      </c>
      <c r="H3238" s="1">
        <v>139.612600478866</v>
      </c>
      <c r="I3238" s="1">
        <f t="shared" si="101"/>
        <v>150.50093715907641</v>
      </c>
    </row>
    <row r="3239" spans="1:9" x14ac:dyDescent="0.45">
      <c r="A3239" t="s">
        <v>48</v>
      </c>
      <c r="B3239" t="s">
        <v>54</v>
      </c>
      <c r="C3239" t="str">
        <f t="shared" si="100"/>
        <v>New MexicoRobert Morris</v>
      </c>
      <c r="D3239" t="s">
        <v>48</v>
      </c>
      <c r="E3239">
        <v>96.8</v>
      </c>
      <c r="F3239" s="1">
        <v>-22.252830188679201</v>
      </c>
      <c r="G3239" s="2">
        <v>-2980.8463564477202</v>
      </c>
      <c r="H3239" s="1">
        <v>140.38259041068301</v>
      </c>
      <c r="I3239" s="1">
        <f t="shared" si="101"/>
        <v>161.31291678963981</v>
      </c>
    </row>
    <row r="3240" spans="1:9" x14ac:dyDescent="0.45">
      <c r="A3240" t="s">
        <v>49</v>
      </c>
      <c r="B3240" t="s">
        <v>54</v>
      </c>
      <c r="C3240" t="str">
        <f t="shared" si="100"/>
        <v>Norfolk St.Robert Morris</v>
      </c>
      <c r="D3240" t="s">
        <v>49</v>
      </c>
      <c r="E3240">
        <v>63.7</v>
      </c>
      <c r="F3240" s="1">
        <v>-3.6867924528301899</v>
      </c>
      <c r="G3240" s="2">
        <v>-175.512977641589</v>
      </c>
      <c r="H3240" s="1">
        <v>139.41871617464699</v>
      </c>
      <c r="I3240" s="1">
        <f t="shared" si="101"/>
        <v>147.77846890166015</v>
      </c>
    </row>
    <row r="3241" spans="1:9" x14ac:dyDescent="0.45">
      <c r="A3241" t="s">
        <v>50</v>
      </c>
      <c r="B3241" t="s">
        <v>54</v>
      </c>
      <c r="C3241" t="str">
        <f t="shared" si="100"/>
        <v>North CarolinaRobert Morris</v>
      </c>
      <c r="D3241" t="s">
        <v>50</v>
      </c>
      <c r="E3241">
        <v>99</v>
      </c>
      <c r="F3241" s="1">
        <v>-30.3056603773585</v>
      </c>
      <c r="G3241" s="2">
        <v>-10178.8003510869</v>
      </c>
      <c r="H3241" s="1">
        <v>141.49232212911701</v>
      </c>
      <c r="I3241" s="1">
        <f t="shared" si="101"/>
        <v>176.89545396228178</v>
      </c>
    </row>
    <row r="3242" spans="1:9" x14ac:dyDescent="0.45">
      <c r="A3242" t="s">
        <v>51</v>
      </c>
      <c r="B3242" t="s">
        <v>54</v>
      </c>
      <c r="C3242" t="str">
        <f t="shared" si="100"/>
        <v>OklahomaRobert Morris</v>
      </c>
      <c r="D3242" t="s">
        <v>51</v>
      </c>
      <c r="E3242">
        <v>97.3</v>
      </c>
      <c r="F3242" s="1">
        <v>-23.422641509434001</v>
      </c>
      <c r="G3242" s="2">
        <v>-3562.2088330442498</v>
      </c>
      <c r="H3242" s="1">
        <v>139.91594525529101</v>
      </c>
      <c r="I3242" s="1">
        <f t="shared" si="101"/>
        <v>154.76041823567368</v>
      </c>
    </row>
    <row r="3243" spans="1:9" x14ac:dyDescent="0.45">
      <c r="A3243" t="s">
        <v>52</v>
      </c>
      <c r="B3243" t="s">
        <v>54</v>
      </c>
      <c r="C3243" t="str">
        <f t="shared" si="100"/>
        <v>OregonRobert Morris</v>
      </c>
      <c r="D3243" t="s">
        <v>52</v>
      </c>
      <c r="E3243">
        <v>99</v>
      </c>
      <c r="F3243" s="1">
        <v>-30.188679245283002</v>
      </c>
      <c r="G3243" s="2">
        <v>-9999.6689405948291</v>
      </c>
      <c r="H3243" s="1">
        <v>140.20666264682001</v>
      </c>
      <c r="I3243" s="1">
        <f t="shared" si="101"/>
        <v>158.84258916490225</v>
      </c>
    </row>
    <row r="3244" spans="1:9" x14ac:dyDescent="0.45">
      <c r="A3244" t="s">
        <v>53</v>
      </c>
      <c r="B3244" t="s">
        <v>54</v>
      </c>
      <c r="C3244" t="str">
        <f t="shared" si="100"/>
        <v>PurdueRobert Morris</v>
      </c>
      <c r="D3244" t="s">
        <v>53</v>
      </c>
      <c r="E3244">
        <v>99.8</v>
      </c>
      <c r="F3244" s="1">
        <v>-41.562264150943399</v>
      </c>
      <c r="G3244" s="2">
        <v>-56674.179580618198</v>
      </c>
      <c r="H3244" s="1">
        <v>141.69474984661801</v>
      </c>
      <c r="I3244" s="1">
        <f t="shared" si="101"/>
        <v>179.73788639918064</v>
      </c>
    </row>
    <row r="3245" spans="1:9" x14ac:dyDescent="0.45">
      <c r="A3245" t="s">
        <v>54</v>
      </c>
      <c r="B3245" t="s">
        <v>54</v>
      </c>
      <c r="C3245" t="str">
        <f t="shared" si="100"/>
        <v>Robert MorrisRobert Morris</v>
      </c>
      <c r="D3245" t="s">
        <v>54</v>
      </c>
      <c r="E3245">
        <v>41.2</v>
      </c>
      <c r="F3245" s="1">
        <v>2.3283018867924499</v>
      </c>
      <c r="G3245" s="2">
        <v>142.64273539779199</v>
      </c>
      <c r="H3245" s="1">
        <v>138.77771517530499</v>
      </c>
      <c r="I3245" s="1">
        <f t="shared" si="101"/>
        <v>138.77771517530684</v>
      </c>
    </row>
    <row r="3246" spans="1:9" x14ac:dyDescent="0.45">
      <c r="A3246" t="s">
        <v>55</v>
      </c>
      <c r="B3246" t="s">
        <v>54</v>
      </c>
      <c r="C3246" t="str">
        <f t="shared" si="100"/>
        <v>Saint FrancisRobert Morris</v>
      </c>
      <c r="D3246" t="s">
        <v>54</v>
      </c>
      <c r="E3246">
        <v>29.6</v>
      </c>
      <c r="F3246" s="1">
        <v>5.6905660377358496</v>
      </c>
      <c r="G3246" s="2">
        <v>238.24942050772299</v>
      </c>
      <c r="H3246" s="1">
        <v>139.48456305734899</v>
      </c>
      <c r="I3246" s="1">
        <f t="shared" si="101"/>
        <v>148.70307210112037</v>
      </c>
    </row>
    <row r="3247" spans="1:9" x14ac:dyDescent="0.45">
      <c r="A3247" t="s">
        <v>56</v>
      </c>
      <c r="B3247" t="s">
        <v>54</v>
      </c>
      <c r="C3247" t="str">
        <f t="shared" si="100"/>
        <v>Saint Mary'sRobert Morris</v>
      </c>
      <c r="D3247" t="s">
        <v>56</v>
      </c>
      <c r="E3247">
        <v>99</v>
      </c>
      <c r="F3247" s="1">
        <v>-30.045283018867899</v>
      </c>
      <c r="G3247" s="2">
        <v>-9782.1050399418891</v>
      </c>
      <c r="H3247" s="1">
        <v>141.21376917329101</v>
      </c>
      <c r="I3247" s="1">
        <f t="shared" si="101"/>
        <v>172.98409257952062</v>
      </c>
    </row>
    <row r="3248" spans="1:9" x14ac:dyDescent="0.45">
      <c r="A3248" t="s">
        <v>57</v>
      </c>
      <c r="B3248" t="s">
        <v>54</v>
      </c>
      <c r="C3248" t="str">
        <f t="shared" si="100"/>
        <v>San Diego St.Robert Morris</v>
      </c>
      <c r="D3248" t="s">
        <v>57</v>
      </c>
      <c r="E3248">
        <v>96.8</v>
      </c>
      <c r="F3248" s="1">
        <v>-22.3698113207547</v>
      </c>
      <c r="G3248" s="2">
        <v>-3034.1200187948102</v>
      </c>
      <c r="H3248" s="1">
        <v>140.42846833631901</v>
      </c>
      <c r="I3248" s="1">
        <f t="shared" si="101"/>
        <v>161.95712157332895</v>
      </c>
    </row>
    <row r="3249" spans="1:9" x14ac:dyDescent="0.45">
      <c r="A3249" t="s">
        <v>58</v>
      </c>
      <c r="B3249" t="s">
        <v>54</v>
      </c>
      <c r="C3249" t="str">
        <f t="shared" si="100"/>
        <v>SIU EdwardsvilleRobert Morris</v>
      </c>
      <c r="D3249" t="s">
        <v>58</v>
      </c>
      <c r="E3249">
        <v>59</v>
      </c>
      <c r="F3249" s="1">
        <v>-2.3962264150943402</v>
      </c>
      <c r="G3249" s="2">
        <v>-144.12936608405201</v>
      </c>
      <c r="H3249" s="1">
        <v>140.48772651650299</v>
      </c>
      <c r="I3249" s="1">
        <f t="shared" si="101"/>
        <v>162.78920808591684</v>
      </c>
    </row>
    <row r="3250" spans="1:9" x14ac:dyDescent="0.45">
      <c r="A3250" t="s">
        <v>59</v>
      </c>
      <c r="B3250" t="s">
        <v>54</v>
      </c>
      <c r="C3250" t="str">
        <f t="shared" si="100"/>
        <v>St. John'sRobert Morris</v>
      </c>
      <c r="D3250" t="s">
        <v>59</v>
      </c>
      <c r="E3250">
        <v>99.6</v>
      </c>
      <c r="F3250" s="1">
        <v>-37.026415094339598</v>
      </c>
      <c r="G3250" s="2">
        <v>-28384.547243794899</v>
      </c>
      <c r="H3250" s="1">
        <v>141.30718296505799</v>
      </c>
      <c r="I3250" s="1">
        <f t="shared" si="101"/>
        <v>174.29578247579616</v>
      </c>
    </row>
    <row r="3251" spans="1:9" x14ac:dyDescent="0.45">
      <c r="A3251" t="s">
        <v>60</v>
      </c>
      <c r="B3251" t="s">
        <v>54</v>
      </c>
      <c r="C3251" t="str">
        <f t="shared" si="100"/>
        <v>TennesseeRobert Morris</v>
      </c>
      <c r="D3251" t="s">
        <v>60</v>
      </c>
      <c r="E3251">
        <v>99.8</v>
      </c>
      <c r="F3251" s="1">
        <v>-42.245283018867902</v>
      </c>
      <c r="G3251" s="2">
        <v>-62898.380554336101</v>
      </c>
      <c r="H3251" s="1">
        <v>142.10041533919201</v>
      </c>
      <c r="I3251" s="1">
        <f t="shared" si="101"/>
        <v>185.43412587101693</v>
      </c>
    </row>
    <row r="3252" spans="1:9" x14ac:dyDescent="0.45">
      <c r="A3252" t="s">
        <v>61</v>
      </c>
      <c r="B3252" t="s">
        <v>54</v>
      </c>
      <c r="C3252" t="str">
        <f t="shared" si="100"/>
        <v>TexasRobert Morris</v>
      </c>
      <c r="D3252" t="s">
        <v>61</v>
      </c>
      <c r="E3252">
        <v>96.2</v>
      </c>
      <c r="F3252" s="1">
        <v>-21.147169811320801</v>
      </c>
      <c r="G3252" s="2">
        <v>-2517.6458562222201</v>
      </c>
      <c r="H3252" s="1">
        <v>139.80029716683001</v>
      </c>
      <c r="I3252" s="1">
        <f t="shared" si="101"/>
        <v>153.13652066885319</v>
      </c>
    </row>
    <row r="3253" spans="1:9" x14ac:dyDescent="0.45">
      <c r="A3253" t="s">
        <v>62</v>
      </c>
      <c r="B3253" t="s">
        <v>54</v>
      </c>
      <c r="C3253" t="str">
        <f t="shared" si="100"/>
        <v>Texas A&amp;MRobert Morris</v>
      </c>
      <c r="D3253" t="s">
        <v>62</v>
      </c>
      <c r="E3253">
        <v>99.3</v>
      </c>
      <c r="F3253" s="1">
        <v>-32.547169811320799</v>
      </c>
      <c r="G3253" s="2">
        <v>-14333.390050304501</v>
      </c>
      <c r="H3253" s="1">
        <v>140.58727247622801</v>
      </c>
      <c r="I3253" s="1">
        <f t="shared" si="101"/>
        <v>164.18700414061587</v>
      </c>
    </row>
    <row r="3254" spans="1:9" x14ac:dyDescent="0.45">
      <c r="A3254" t="s">
        <v>63</v>
      </c>
      <c r="B3254" t="s">
        <v>54</v>
      </c>
      <c r="C3254" t="str">
        <f t="shared" si="100"/>
        <v>Texas TechRobert Morris</v>
      </c>
      <c r="D3254" t="s">
        <v>63</v>
      </c>
      <c r="E3254">
        <v>99.6</v>
      </c>
      <c r="F3254" s="1">
        <v>-36.883018867924498</v>
      </c>
      <c r="G3254" s="2">
        <v>-27762.870086486899</v>
      </c>
      <c r="H3254" s="1">
        <v>141.577785081467</v>
      </c>
      <c r="I3254" s="1">
        <f t="shared" si="101"/>
        <v>178.09550043275362</v>
      </c>
    </row>
    <row r="3255" spans="1:9" x14ac:dyDescent="0.45">
      <c r="A3255" t="s">
        <v>64</v>
      </c>
      <c r="B3255" t="s">
        <v>54</v>
      </c>
      <c r="C3255" t="str">
        <f t="shared" si="100"/>
        <v>TroyRobert Morris</v>
      </c>
      <c r="D3255" t="s">
        <v>64</v>
      </c>
      <c r="E3255">
        <v>80</v>
      </c>
      <c r="F3255" s="1">
        <v>-9.0716981132075496</v>
      </c>
      <c r="G3255" s="2">
        <v>-399.138018427178</v>
      </c>
      <c r="H3255" s="1">
        <v>140.34408967602599</v>
      </c>
      <c r="I3255" s="1">
        <f t="shared" si="101"/>
        <v>160.77230042353858</v>
      </c>
    </row>
    <row r="3256" spans="1:9" x14ac:dyDescent="0.45">
      <c r="A3256" t="s">
        <v>65</v>
      </c>
      <c r="B3256" t="s">
        <v>54</v>
      </c>
      <c r="C3256" t="str">
        <f t="shared" si="100"/>
        <v>UC San DiegoRobert Morris</v>
      </c>
      <c r="D3256" t="s">
        <v>65</v>
      </c>
      <c r="E3256">
        <v>91.1</v>
      </c>
      <c r="F3256" s="1">
        <v>-15.256603773584899</v>
      </c>
      <c r="G3256" s="2">
        <v>-1024.8280633222901</v>
      </c>
      <c r="H3256" s="1">
        <v>140.41420990568901</v>
      </c>
      <c r="I3256" s="1">
        <f t="shared" si="101"/>
        <v>161.75690874564737</v>
      </c>
    </row>
    <row r="3257" spans="1:9" x14ac:dyDescent="0.45">
      <c r="A3257" t="s">
        <v>66</v>
      </c>
      <c r="B3257" t="s">
        <v>54</v>
      </c>
      <c r="C3257" t="str">
        <f t="shared" si="100"/>
        <v>UCLARobert Morris</v>
      </c>
      <c r="D3257" t="s">
        <v>66</v>
      </c>
      <c r="E3257">
        <v>97.2</v>
      </c>
      <c r="F3257" s="1">
        <v>-23.3547169811321</v>
      </c>
      <c r="G3257" s="2">
        <v>-3526.4884107633702</v>
      </c>
      <c r="H3257" s="1">
        <v>139.635468484901</v>
      </c>
      <c r="I3257" s="1">
        <f t="shared" si="101"/>
        <v>150.82204319595476</v>
      </c>
    </row>
    <row r="3258" spans="1:9" x14ac:dyDescent="0.45">
      <c r="A3258" t="s">
        <v>67</v>
      </c>
      <c r="B3258" t="s">
        <v>54</v>
      </c>
      <c r="C3258" t="str">
        <f t="shared" si="100"/>
        <v>UNC WilmingtonRobert Morris</v>
      </c>
      <c r="D3258" t="s">
        <v>67</v>
      </c>
      <c r="E3258">
        <v>85.6</v>
      </c>
      <c r="F3258" s="1">
        <v>-11.6641509433962</v>
      </c>
      <c r="G3258" s="2">
        <v>-592.49954267849898</v>
      </c>
      <c r="H3258" s="1">
        <v>140.95087837635299</v>
      </c>
      <c r="I3258" s="1">
        <f t="shared" si="101"/>
        <v>169.2926547774066</v>
      </c>
    </row>
    <row r="3259" spans="1:9" x14ac:dyDescent="0.45">
      <c r="A3259" t="s">
        <v>68</v>
      </c>
      <c r="B3259" t="s">
        <v>54</v>
      </c>
      <c r="C3259" t="str">
        <f t="shared" si="100"/>
        <v>Utah St.Robert Morris</v>
      </c>
      <c r="D3259" t="s">
        <v>68</v>
      </c>
      <c r="E3259">
        <v>97.1</v>
      </c>
      <c r="F3259" s="1">
        <v>-22.9924528301887</v>
      </c>
      <c r="G3259" s="2">
        <v>-3335.2332200023602</v>
      </c>
      <c r="H3259" s="1">
        <v>140.498064874932</v>
      </c>
      <c r="I3259" s="1">
        <f t="shared" si="101"/>
        <v>162.93437637465556</v>
      </c>
    </row>
    <row r="3260" spans="1:9" x14ac:dyDescent="0.45">
      <c r="A3260" t="s">
        <v>69</v>
      </c>
      <c r="B3260" t="s">
        <v>54</v>
      </c>
      <c r="C3260" t="str">
        <f t="shared" si="100"/>
        <v>VanderbiltRobert Morris</v>
      </c>
      <c r="D3260" t="s">
        <v>69</v>
      </c>
      <c r="E3260">
        <v>86.8</v>
      </c>
      <c r="F3260" s="1">
        <v>-12.3433962264151</v>
      </c>
      <c r="G3260" s="2">
        <v>-657.21465535647906</v>
      </c>
      <c r="H3260" s="1">
        <v>138.93210275621499</v>
      </c>
      <c r="I3260" s="1">
        <f t="shared" si="101"/>
        <v>140.94558167723866</v>
      </c>
    </row>
    <row r="3261" spans="1:9" x14ac:dyDescent="0.45">
      <c r="A3261" t="s">
        <v>70</v>
      </c>
      <c r="B3261" t="s">
        <v>54</v>
      </c>
      <c r="C3261" t="str">
        <f t="shared" si="100"/>
        <v>VCURobert Morris</v>
      </c>
      <c r="D3261" t="s">
        <v>70</v>
      </c>
      <c r="E3261">
        <v>95.5</v>
      </c>
      <c r="F3261" s="1">
        <v>-19.988679245282999</v>
      </c>
      <c r="G3261" s="2">
        <v>-2109.7402535915699</v>
      </c>
      <c r="H3261" s="1">
        <v>140.857275885408</v>
      </c>
      <c r="I3261" s="1">
        <f t="shared" si="101"/>
        <v>167.97831522094117</v>
      </c>
    </row>
    <row r="3262" spans="1:9" x14ac:dyDescent="0.45">
      <c r="A3262" t="s">
        <v>71</v>
      </c>
      <c r="B3262" t="s">
        <v>54</v>
      </c>
      <c r="C3262" t="str">
        <f t="shared" si="100"/>
        <v>WisconsinRobert Morris</v>
      </c>
      <c r="D3262" t="s">
        <v>71</v>
      </c>
      <c r="E3262">
        <v>99.6</v>
      </c>
      <c r="F3262" s="1">
        <v>-35.939622641509402</v>
      </c>
      <c r="G3262" s="2">
        <v>-24049.974933224399</v>
      </c>
      <c r="H3262" s="1">
        <v>141.51053149373999</v>
      </c>
      <c r="I3262" s="1">
        <f t="shared" si="101"/>
        <v>177.15114468141175</v>
      </c>
    </row>
    <row r="3263" spans="1:9" x14ac:dyDescent="0.45">
      <c r="A3263" t="s">
        <v>80</v>
      </c>
      <c r="B3263" t="s">
        <v>54</v>
      </c>
      <c r="C3263" t="str">
        <f t="shared" si="100"/>
        <v>WoffordRobert Morris</v>
      </c>
      <c r="D3263" t="s">
        <v>80</v>
      </c>
      <c r="E3263">
        <v>67.400000000000006</v>
      </c>
      <c r="F3263" s="1">
        <v>-4.7660377358490598</v>
      </c>
      <c r="G3263" s="2">
        <v>-206.932423733588</v>
      </c>
      <c r="H3263" s="1">
        <v>139.608179922967</v>
      </c>
      <c r="I3263" s="1">
        <f t="shared" si="101"/>
        <v>150.43886497038818</v>
      </c>
    </row>
    <row r="3264" spans="1:9" x14ac:dyDescent="0.45">
      <c r="A3264" t="s">
        <v>72</v>
      </c>
      <c r="B3264" t="s">
        <v>54</v>
      </c>
      <c r="C3264" t="str">
        <f t="shared" si="100"/>
        <v>XavierRobert Morris</v>
      </c>
      <c r="D3264" t="s">
        <v>72</v>
      </c>
      <c r="E3264">
        <v>95.4</v>
      </c>
      <c r="F3264" s="1">
        <v>-19.916981132075499</v>
      </c>
      <c r="G3264" s="2">
        <v>-2086.3300042994201</v>
      </c>
      <c r="H3264" s="1">
        <v>140.35098209358799</v>
      </c>
      <c r="I3264" s="1">
        <f t="shared" si="101"/>
        <v>160.8690817906791</v>
      </c>
    </row>
    <row r="3265" spans="1:9" x14ac:dyDescent="0.45">
      <c r="A3265" t="s">
        <v>73</v>
      </c>
      <c r="B3265" t="s">
        <v>54</v>
      </c>
      <c r="C3265" t="str">
        <f t="shared" si="100"/>
        <v>YaleRobert Morris</v>
      </c>
      <c r="D3265" t="s">
        <v>73</v>
      </c>
      <c r="E3265">
        <v>91.6</v>
      </c>
      <c r="F3265" s="1">
        <v>-15.6641509433962</v>
      </c>
      <c r="G3265" s="2">
        <v>-1091.0320596864799</v>
      </c>
      <c r="H3265" s="1">
        <v>140.95068822998201</v>
      </c>
      <c r="I3265" s="1">
        <f t="shared" si="101"/>
        <v>169.28998479614461</v>
      </c>
    </row>
    <row r="3266" spans="1:9" x14ac:dyDescent="0.45">
      <c r="A3266" t="s">
        <v>7</v>
      </c>
      <c r="B3266" t="s">
        <v>55</v>
      </c>
      <c r="C3266" t="str">
        <f t="shared" si="100"/>
        <v>AkronSaint Francis</v>
      </c>
      <c r="D3266" t="s">
        <v>7</v>
      </c>
      <c r="E3266">
        <v>90.5</v>
      </c>
      <c r="F3266" s="1">
        <v>-14.7660377358491</v>
      </c>
      <c r="G3266" s="2">
        <v>-950.92389290668598</v>
      </c>
      <c r="H3266" s="1">
        <v>139.06066740851901</v>
      </c>
      <c r="I3266" s="1">
        <f t="shared" si="101"/>
        <v>142.75084995995678</v>
      </c>
    </row>
    <row r="3267" spans="1:9" x14ac:dyDescent="0.45">
      <c r="A3267" t="s">
        <v>8</v>
      </c>
      <c r="B3267" t="s">
        <v>55</v>
      </c>
      <c r="C3267" t="str">
        <f t="shared" ref="C3267:C3330" si="102">A3267&amp;B3267</f>
        <v>AlabamaSaint Francis</v>
      </c>
      <c r="D3267" t="s">
        <v>8</v>
      </c>
      <c r="E3267">
        <v>99.9</v>
      </c>
      <c r="F3267" s="1">
        <v>-43.105660377358497</v>
      </c>
      <c r="G3267" s="2">
        <v>-71725.975568624199</v>
      </c>
      <c r="H3267" s="1">
        <v>140.86827859611401</v>
      </c>
      <c r="I3267" s="1">
        <f t="shared" ref="I3267:I3330" si="103">18*(H3267-AVERAGE($H$2:$H$4625))/_xlfn.STDEV.P($H$2:$H$4625)+AVERAGE($H$2:$H$4625)</f>
        <v>168.13281215540582</v>
      </c>
    </row>
    <row r="3268" spans="1:9" x14ac:dyDescent="0.45">
      <c r="A3268" t="s">
        <v>9</v>
      </c>
      <c r="B3268" t="s">
        <v>55</v>
      </c>
      <c r="C3268" t="str">
        <f t="shared" si="102"/>
        <v>Alabama St.Saint Francis</v>
      </c>
      <c r="D3268" t="s">
        <v>9</v>
      </c>
      <c r="E3268">
        <v>59.2</v>
      </c>
      <c r="F3268" s="1">
        <v>-2.44528301886792</v>
      </c>
      <c r="G3268" s="2">
        <v>-145.22990125418201</v>
      </c>
      <c r="H3268" s="1">
        <v>139.24742916794</v>
      </c>
      <c r="I3268" s="1">
        <f t="shared" si="103"/>
        <v>145.37330546903453</v>
      </c>
    </row>
    <row r="3269" spans="1:9" x14ac:dyDescent="0.45">
      <c r="A3269" t="s">
        <v>10</v>
      </c>
      <c r="B3269" t="s">
        <v>55</v>
      </c>
      <c r="C3269" t="str">
        <f t="shared" si="102"/>
        <v>AmericanSaint Francis</v>
      </c>
      <c r="D3269" t="s">
        <v>10</v>
      </c>
      <c r="E3269">
        <v>62</v>
      </c>
      <c r="F3269" s="1">
        <v>-3.2037735849056599</v>
      </c>
      <c r="G3269" s="2">
        <v>-163.00552023196599</v>
      </c>
      <c r="H3269" s="1">
        <v>139.010718687702</v>
      </c>
      <c r="I3269" s="1">
        <f t="shared" si="103"/>
        <v>142.04948422810642</v>
      </c>
    </row>
    <row r="3270" spans="1:9" x14ac:dyDescent="0.45">
      <c r="A3270" t="s">
        <v>11</v>
      </c>
      <c r="B3270" t="s">
        <v>55</v>
      </c>
      <c r="C3270" t="str">
        <f t="shared" si="102"/>
        <v>ArizonaSaint Francis</v>
      </c>
      <c r="D3270" t="s">
        <v>11</v>
      </c>
      <c r="E3270">
        <v>99.8</v>
      </c>
      <c r="F3270" s="1">
        <v>-40.347169811320803</v>
      </c>
      <c r="G3270" s="2">
        <v>-47110.9954749756</v>
      </c>
      <c r="H3270" s="1">
        <v>140.478757936291</v>
      </c>
      <c r="I3270" s="1">
        <f t="shared" si="103"/>
        <v>162.66327383332441</v>
      </c>
    </row>
    <row r="3271" spans="1:9" x14ac:dyDescent="0.45">
      <c r="A3271" t="s">
        <v>12</v>
      </c>
      <c r="B3271" t="s">
        <v>55</v>
      </c>
      <c r="C3271" t="str">
        <f t="shared" si="102"/>
        <v>ArkansasSaint Francis</v>
      </c>
      <c r="D3271" t="s">
        <v>12</v>
      </c>
      <c r="E3271">
        <v>96.8</v>
      </c>
      <c r="F3271" s="1">
        <v>-22.449056603773599</v>
      </c>
      <c r="G3271" s="2">
        <v>-3070.5959806536398</v>
      </c>
      <c r="H3271" s="1">
        <v>138.80468191407999</v>
      </c>
      <c r="I3271" s="1">
        <f t="shared" si="103"/>
        <v>139.15637445160417</v>
      </c>
    </row>
    <row r="3272" spans="1:9" x14ac:dyDescent="0.45">
      <c r="A3272" t="s">
        <v>13</v>
      </c>
      <c r="B3272" t="s">
        <v>55</v>
      </c>
      <c r="C3272" t="str">
        <f t="shared" si="102"/>
        <v>AuburnSaint Francis</v>
      </c>
      <c r="D3272" t="s">
        <v>13</v>
      </c>
      <c r="E3272">
        <v>99.9</v>
      </c>
      <c r="F3272" s="1">
        <v>-47.543396226415098</v>
      </c>
      <c r="G3272" s="2">
        <v>-141184.48924900699</v>
      </c>
      <c r="H3272" s="1">
        <v>141.89049482946601</v>
      </c>
      <c r="I3272" s="1">
        <f t="shared" si="103"/>
        <v>182.48648177671151</v>
      </c>
    </row>
    <row r="3273" spans="1:9" x14ac:dyDescent="0.45">
      <c r="A3273" t="s">
        <v>14</v>
      </c>
      <c r="B3273" t="s">
        <v>55</v>
      </c>
      <c r="C3273" t="str">
        <f t="shared" si="102"/>
        <v>BaylorSaint Francis</v>
      </c>
      <c r="D3273" t="s">
        <v>14</v>
      </c>
      <c r="E3273">
        <v>99.3</v>
      </c>
      <c r="F3273" s="1">
        <v>-32.494339622641498</v>
      </c>
      <c r="G3273" s="2">
        <v>-14217.5506339925</v>
      </c>
      <c r="H3273" s="1">
        <v>140.35341219064699</v>
      </c>
      <c r="I3273" s="1">
        <f t="shared" si="103"/>
        <v>160.90320452244035</v>
      </c>
    </row>
    <row r="3274" spans="1:9" x14ac:dyDescent="0.45">
      <c r="A3274" t="s">
        <v>15</v>
      </c>
      <c r="B3274" t="s">
        <v>55</v>
      </c>
      <c r="C3274" t="str">
        <f t="shared" si="102"/>
        <v>BryantSaint Francis</v>
      </c>
      <c r="D3274" t="s">
        <v>15</v>
      </c>
      <c r="E3274">
        <v>86.9</v>
      </c>
      <c r="F3274" s="1">
        <v>-12.422641509433999</v>
      </c>
      <c r="G3274" s="2">
        <v>-665.44623575533899</v>
      </c>
      <c r="H3274" s="1">
        <v>139.94573206629201</v>
      </c>
      <c r="I3274" s="1">
        <f t="shared" si="103"/>
        <v>155.17867616411479</v>
      </c>
    </row>
    <row r="3275" spans="1:9" x14ac:dyDescent="0.45">
      <c r="A3275" t="s">
        <v>16</v>
      </c>
      <c r="B3275" t="s">
        <v>55</v>
      </c>
      <c r="C3275" t="str">
        <f t="shared" si="102"/>
        <v>BYUSaint Francis</v>
      </c>
      <c r="D3275" t="s">
        <v>16</v>
      </c>
      <c r="E3275">
        <v>99.4</v>
      </c>
      <c r="F3275" s="1">
        <v>-33.588679245282997</v>
      </c>
      <c r="G3275" s="2">
        <v>-16800.976551408901</v>
      </c>
      <c r="H3275" s="1">
        <v>140.11577274073599</v>
      </c>
      <c r="I3275" s="1">
        <f t="shared" si="103"/>
        <v>157.56633895357126</v>
      </c>
    </row>
    <row r="3276" spans="1:9" x14ac:dyDescent="0.45">
      <c r="A3276" t="s">
        <v>17</v>
      </c>
      <c r="B3276" t="s">
        <v>55</v>
      </c>
      <c r="C3276" t="str">
        <f t="shared" si="102"/>
        <v>ClemsonSaint Francis</v>
      </c>
      <c r="D3276" t="s">
        <v>17</v>
      </c>
      <c r="E3276">
        <v>99.6</v>
      </c>
      <c r="F3276" s="1">
        <v>-35.796226415094303</v>
      </c>
      <c r="G3276" s="2">
        <v>-23516.662773942899</v>
      </c>
      <c r="H3276" s="1">
        <v>140.465822963178</v>
      </c>
      <c r="I3276" s="1">
        <f t="shared" si="103"/>
        <v>162.48164461969344</v>
      </c>
    </row>
    <row r="3277" spans="1:9" x14ac:dyDescent="0.45">
      <c r="A3277" t="s">
        <v>18</v>
      </c>
      <c r="B3277" t="s">
        <v>55</v>
      </c>
      <c r="C3277" t="str">
        <f t="shared" si="102"/>
        <v>Colorado St.Saint Francis</v>
      </c>
      <c r="D3277" t="s">
        <v>18</v>
      </c>
      <c r="E3277">
        <v>97.5</v>
      </c>
      <c r="F3277" s="1">
        <v>-24.011320754717001</v>
      </c>
      <c r="G3277" s="2">
        <v>-3897.7303838387702</v>
      </c>
      <c r="H3277" s="1">
        <v>139.85543393797201</v>
      </c>
      <c r="I3277" s="1">
        <f t="shared" si="103"/>
        <v>153.91073552783922</v>
      </c>
    </row>
    <row r="3278" spans="1:9" x14ac:dyDescent="0.45">
      <c r="A3278" t="s">
        <v>19</v>
      </c>
      <c r="B3278" t="s">
        <v>55</v>
      </c>
      <c r="C3278" t="str">
        <f t="shared" si="102"/>
        <v>ConnecticutSaint Francis</v>
      </c>
      <c r="D3278" t="s">
        <v>19</v>
      </c>
      <c r="E3278">
        <v>99.7</v>
      </c>
      <c r="F3278" s="1">
        <v>-38.686792452830197</v>
      </c>
      <c r="G3278" s="2">
        <v>-36564.700445570597</v>
      </c>
      <c r="H3278" s="1">
        <v>140.26607379392601</v>
      </c>
      <c r="I3278" s="1">
        <f t="shared" si="103"/>
        <v>159.67682359550412</v>
      </c>
    </row>
    <row r="3279" spans="1:9" x14ac:dyDescent="0.45">
      <c r="A3279" t="s">
        <v>20</v>
      </c>
      <c r="B3279" t="s">
        <v>55</v>
      </c>
      <c r="C3279" t="str">
        <f t="shared" si="102"/>
        <v>CreightonSaint Francis</v>
      </c>
      <c r="D3279" t="s">
        <v>20</v>
      </c>
      <c r="E3279">
        <v>99.1</v>
      </c>
      <c r="F3279" s="1">
        <v>-30.981132075471699</v>
      </c>
      <c r="G3279" s="2">
        <v>-11283.123971336599</v>
      </c>
      <c r="H3279" s="1">
        <v>139.815370546765</v>
      </c>
      <c r="I3279" s="1">
        <f t="shared" si="103"/>
        <v>153.34817678289647</v>
      </c>
    </row>
    <row r="3280" spans="1:9" x14ac:dyDescent="0.45">
      <c r="A3280" t="s">
        <v>21</v>
      </c>
      <c r="B3280" t="s">
        <v>55</v>
      </c>
      <c r="C3280" t="str">
        <f t="shared" si="102"/>
        <v>DrakeSaint Francis</v>
      </c>
      <c r="D3280" t="s">
        <v>21</v>
      </c>
      <c r="E3280">
        <v>97.4</v>
      </c>
      <c r="F3280" s="1">
        <v>-23.807547169811301</v>
      </c>
      <c r="G3280" s="2">
        <v>-3777.8235231006402</v>
      </c>
      <c r="H3280" s="1">
        <v>140.05004635244001</v>
      </c>
      <c r="I3280" s="1">
        <f t="shared" si="103"/>
        <v>156.64342770229067</v>
      </c>
    </row>
    <row r="3281" spans="1:9" x14ac:dyDescent="0.45">
      <c r="A3281" t="s">
        <v>22</v>
      </c>
      <c r="B3281" t="s">
        <v>55</v>
      </c>
      <c r="C3281" t="str">
        <f t="shared" si="102"/>
        <v>DukeSaint Francis</v>
      </c>
      <c r="D3281" t="s">
        <v>22</v>
      </c>
      <c r="E3281">
        <v>99.9</v>
      </c>
      <c r="F3281" s="1">
        <v>-49.7584905660377</v>
      </c>
      <c r="G3281" s="2">
        <v>-197922.00983875699</v>
      </c>
      <c r="H3281" s="1">
        <v>142.130386241042</v>
      </c>
      <c r="I3281" s="1">
        <f t="shared" si="103"/>
        <v>185.85496875080247</v>
      </c>
    </row>
    <row r="3282" spans="1:9" x14ac:dyDescent="0.45">
      <c r="A3282" t="s">
        <v>23</v>
      </c>
      <c r="B3282" t="s">
        <v>55</v>
      </c>
      <c r="C3282" t="str">
        <f t="shared" si="102"/>
        <v>FloridaSaint Francis</v>
      </c>
      <c r="D3282" t="s">
        <v>23</v>
      </c>
      <c r="E3282">
        <v>99.9</v>
      </c>
      <c r="F3282" s="1">
        <v>-45.9018867924528</v>
      </c>
      <c r="G3282" s="2">
        <v>-109890.951124994</v>
      </c>
      <c r="H3282" s="1">
        <v>141.86503676859701</v>
      </c>
      <c r="I3282" s="1">
        <f t="shared" si="103"/>
        <v>182.12900692648884</v>
      </c>
    </row>
    <row r="3283" spans="1:9" x14ac:dyDescent="0.45">
      <c r="A3283" t="s">
        <v>24</v>
      </c>
      <c r="B3283" t="s">
        <v>55</v>
      </c>
      <c r="C3283" t="str">
        <f t="shared" si="102"/>
        <v>GeorgiaSaint Francis</v>
      </c>
      <c r="D3283" t="s">
        <v>24</v>
      </c>
      <c r="E3283">
        <v>97.8</v>
      </c>
      <c r="F3283" s="1">
        <v>-24.841509433962301</v>
      </c>
      <c r="G3283" s="2">
        <v>-4422.2818078583196</v>
      </c>
      <c r="H3283" s="1">
        <v>139.128995064881</v>
      </c>
      <c r="I3283" s="1">
        <f t="shared" si="103"/>
        <v>143.71028747759632</v>
      </c>
    </row>
    <row r="3284" spans="1:9" x14ac:dyDescent="0.45">
      <c r="A3284" t="s">
        <v>25</v>
      </c>
      <c r="B3284" t="s">
        <v>55</v>
      </c>
      <c r="C3284" t="str">
        <f t="shared" si="102"/>
        <v>GonzagaSaint Francis</v>
      </c>
      <c r="D3284" t="s">
        <v>25</v>
      </c>
      <c r="E3284">
        <v>99.6</v>
      </c>
      <c r="F3284" s="1">
        <v>-35.471698113207502</v>
      </c>
      <c r="G3284" s="2">
        <v>-22381.297341660498</v>
      </c>
      <c r="H3284" s="1">
        <v>141.10595679538699</v>
      </c>
      <c r="I3284" s="1">
        <f t="shared" si="103"/>
        <v>171.47022183179513</v>
      </c>
    </row>
    <row r="3285" spans="1:9" x14ac:dyDescent="0.45">
      <c r="A3285" t="s">
        <v>26</v>
      </c>
      <c r="B3285" t="s">
        <v>55</v>
      </c>
      <c r="C3285" t="str">
        <f t="shared" si="102"/>
        <v>Grand CanyonSaint Francis</v>
      </c>
      <c r="D3285" t="s">
        <v>26</v>
      </c>
      <c r="E3285">
        <v>96.1</v>
      </c>
      <c r="F3285" s="1">
        <v>-20.920754716981101</v>
      </c>
      <c r="G3285" s="2">
        <v>-2431.6799954620201</v>
      </c>
      <c r="H3285" s="1">
        <v>139.92392851292701</v>
      </c>
      <c r="I3285" s="1">
        <f t="shared" si="103"/>
        <v>154.87251686888865</v>
      </c>
    </row>
    <row r="3286" spans="1:9" x14ac:dyDescent="0.45">
      <c r="A3286" t="s">
        <v>27</v>
      </c>
      <c r="B3286" t="s">
        <v>55</v>
      </c>
      <c r="C3286" t="str">
        <f t="shared" si="102"/>
        <v>High PointSaint Francis</v>
      </c>
      <c r="D3286" t="s">
        <v>27</v>
      </c>
      <c r="E3286">
        <v>93.8</v>
      </c>
      <c r="F3286" s="1">
        <v>-17.8301886792453</v>
      </c>
      <c r="G3286" s="2">
        <v>-1517.83429301201</v>
      </c>
      <c r="H3286" s="1">
        <v>140.11513564647501</v>
      </c>
      <c r="I3286" s="1">
        <f t="shared" si="103"/>
        <v>157.55739305715386</v>
      </c>
    </row>
    <row r="3287" spans="1:9" x14ac:dyDescent="0.45">
      <c r="A3287" t="s">
        <v>28</v>
      </c>
      <c r="B3287" t="s">
        <v>55</v>
      </c>
      <c r="C3287" t="str">
        <f t="shared" si="102"/>
        <v>HoustonSaint Francis</v>
      </c>
      <c r="D3287" t="s">
        <v>28</v>
      </c>
      <c r="E3287">
        <v>100</v>
      </c>
      <c r="F3287" s="1">
        <v>-53.1132075471698</v>
      </c>
      <c r="G3287" s="2">
        <v>-330159.84577849699</v>
      </c>
      <c r="H3287" s="1">
        <v>142.228598003678</v>
      </c>
      <c r="I3287" s="1">
        <f t="shared" si="103"/>
        <v>187.23403038943502</v>
      </c>
    </row>
    <row r="3288" spans="1:9" x14ac:dyDescent="0.45">
      <c r="A3288" t="s">
        <v>29</v>
      </c>
      <c r="B3288" t="s">
        <v>55</v>
      </c>
      <c r="C3288" t="str">
        <f t="shared" si="102"/>
        <v>IllinoisSaint Francis</v>
      </c>
      <c r="D3288" t="s">
        <v>29</v>
      </c>
      <c r="E3288">
        <v>99.7</v>
      </c>
      <c r="F3288" s="1">
        <v>-37.924528301886802</v>
      </c>
      <c r="G3288" s="2">
        <v>-32546.978202557799</v>
      </c>
      <c r="H3288" s="1">
        <v>140.28706177864001</v>
      </c>
      <c r="I3288" s="1">
        <f t="shared" si="103"/>
        <v>159.97153090768785</v>
      </c>
    </row>
    <row r="3289" spans="1:9" x14ac:dyDescent="0.45">
      <c r="A3289" t="s">
        <v>30</v>
      </c>
      <c r="B3289" t="s">
        <v>55</v>
      </c>
      <c r="C3289" t="str">
        <f t="shared" si="102"/>
        <v>Iowa St.Saint Francis</v>
      </c>
      <c r="D3289" t="s">
        <v>30</v>
      </c>
      <c r="E3289">
        <v>99.9</v>
      </c>
      <c r="F3289" s="1">
        <v>-42.784905660377397</v>
      </c>
      <c r="G3289" s="2">
        <v>-68322.969286491701</v>
      </c>
      <c r="H3289" s="1">
        <v>141.18360407022601</v>
      </c>
      <c r="I3289" s="1">
        <f t="shared" si="103"/>
        <v>172.56052278150648</v>
      </c>
    </row>
    <row r="3290" spans="1:9" x14ac:dyDescent="0.45">
      <c r="A3290" t="s">
        <v>31</v>
      </c>
      <c r="B3290" t="s">
        <v>55</v>
      </c>
      <c r="C3290" t="str">
        <f t="shared" si="102"/>
        <v>KansasSaint Francis</v>
      </c>
      <c r="D3290" t="s">
        <v>31</v>
      </c>
      <c r="E3290">
        <v>99.5</v>
      </c>
      <c r="F3290" s="1">
        <v>-35.067924528301901</v>
      </c>
      <c r="G3290" s="2">
        <v>-21055.511516742899</v>
      </c>
      <c r="H3290" s="1">
        <v>140.23419195907999</v>
      </c>
      <c r="I3290" s="1">
        <f t="shared" si="103"/>
        <v>159.22914793807479</v>
      </c>
    </row>
    <row r="3291" spans="1:9" x14ac:dyDescent="0.45">
      <c r="A3291" t="s">
        <v>32</v>
      </c>
      <c r="B3291" t="s">
        <v>55</v>
      </c>
      <c r="C3291" t="str">
        <f t="shared" si="102"/>
        <v>KentuckySaint Francis</v>
      </c>
      <c r="D3291" t="s">
        <v>32</v>
      </c>
      <c r="E3291">
        <v>99.7</v>
      </c>
      <c r="F3291" s="1">
        <v>-38.4339622641509</v>
      </c>
      <c r="G3291" s="2">
        <v>-35176.428201500203</v>
      </c>
      <c r="H3291" s="1">
        <v>140.168474291205</v>
      </c>
      <c r="I3291" s="1">
        <f t="shared" si="103"/>
        <v>158.30635913646563</v>
      </c>
    </row>
    <row r="3292" spans="1:9" x14ac:dyDescent="0.45">
      <c r="A3292" t="s">
        <v>33</v>
      </c>
      <c r="B3292" t="s">
        <v>55</v>
      </c>
      <c r="C3292" t="str">
        <f t="shared" si="102"/>
        <v>LibertySaint Francis</v>
      </c>
      <c r="D3292" t="s">
        <v>33</v>
      </c>
      <c r="E3292">
        <v>91.3</v>
      </c>
      <c r="F3292" s="1">
        <v>-15.449056603773601</v>
      </c>
      <c r="G3292" s="2">
        <v>-1055.4163659840699</v>
      </c>
      <c r="H3292" s="1">
        <v>139.51347533492299</v>
      </c>
      <c r="I3292" s="1">
        <f t="shared" si="103"/>
        <v>149.10905007990453</v>
      </c>
    </row>
    <row r="3293" spans="1:9" x14ac:dyDescent="0.45">
      <c r="A3293" t="s">
        <v>34</v>
      </c>
      <c r="B3293" t="s">
        <v>55</v>
      </c>
      <c r="C3293" t="str">
        <f t="shared" si="102"/>
        <v>LipscombSaint Francis</v>
      </c>
      <c r="D3293" t="s">
        <v>34</v>
      </c>
      <c r="E3293">
        <v>88.8</v>
      </c>
      <c r="F3293" s="1">
        <v>-13.5811320754717</v>
      </c>
      <c r="G3293" s="2">
        <v>-794.00918027969999</v>
      </c>
      <c r="H3293" s="1">
        <v>139.919793532515</v>
      </c>
      <c r="I3293" s="1">
        <f t="shared" si="103"/>
        <v>154.81445464996864</v>
      </c>
    </row>
    <row r="3294" spans="1:9" x14ac:dyDescent="0.45">
      <c r="A3294" t="s">
        <v>35</v>
      </c>
      <c r="B3294" t="s">
        <v>55</v>
      </c>
      <c r="C3294" t="str">
        <f t="shared" si="102"/>
        <v>LouisvilleSaint Francis</v>
      </c>
      <c r="D3294" t="s">
        <v>35</v>
      </c>
      <c r="E3294">
        <v>95.2</v>
      </c>
      <c r="F3294" s="1">
        <v>-19.6301886792453</v>
      </c>
      <c r="G3294" s="2">
        <v>-1997.85221174036</v>
      </c>
      <c r="H3294" s="1">
        <v>139.16515553833199</v>
      </c>
      <c r="I3294" s="1">
        <f t="shared" si="103"/>
        <v>144.21804256143363</v>
      </c>
    </row>
    <row r="3295" spans="1:9" x14ac:dyDescent="0.45">
      <c r="A3295" t="s">
        <v>36</v>
      </c>
      <c r="B3295" t="s">
        <v>55</v>
      </c>
      <c r="C3295" t="str">
        <f t="shared" si="102"/>
        <v>MarquetteSaint Francis</v>
      </c>
      <c r="D3295" t="s">
        <v>36</v>
      </c>
      <c r="E3295">
        <v>99.6</v>
      </c>
      <c r="F3295" s="1">
        <v>-36.698113207547202</v>
      </c>
      <c r="G3295" s="2">
        <v>-26996.449843389499</v>
      </c>
      <c r="H3295" s="1">
        <v>140.427289381794</v>
      </c>
      <c r="I3295" s="1">
        <f t="shared" si="103"/>
        <v>161.94056702919386</v>
      </c>
    </row>
    <row r="3296" spans="1:9" x14ac:dyDescent="0.45">
      <c r="A3296" t="s">
        <v>37</v>
      </c>
      <c r="B3296" t="s">
        <v>55</v>
      </c>
      <c r="C3296" t="str">
        <f t="shared" si="102"/>
        <v>MarylandSaint Francis</v>
      </c>
      <c r="D3296" t="s">
        <v>37</v>
      </c>
      <c r="E3296">
        <v>99.4</v>
      </c>
      <c r="F3296" s="1">
        <v>-33.5320754716981</v>
      </c>
      <c r="G3296" s="2">
        <v>-16652.246249519001</v>
      </c>
      <c r="H3296" s="1">
        <v>139.88565898033701</v>
      </c>
      <c r="I3296" s="1">
        <f t="shared" si="103"/>
        <v>154.33514697645671</v>
      </c>
    </row>
    <row r="3297" spans="1:9" x14ac:dyDescent="0.45">
      <c r="A3297" t="s">
        <v>38</v>
      </c>
      <c r="B3297" t="s">
        <v>55</v>
      </c>
      <c r="C3297" t="str">
        <f t="shared" si="102"/>
        <v>McNeese St.Saint Francis</v>
      </c>
      <c r="D3297" t="s">
        <v>38</v>
      </c>
      <c r="E3297">
        <v>97.5</v>
      </c>
      <c r="F3297" s="1">
        <v>-23.9924528301887</v>
      </c>
      <c r="G3297" s="2">
        <v>-3885.1084909036399</v>
      </c>
      <c r="H3297" s="1">
        <v>140.478894393302</v>
      </c>
      <c r="I3297" s="1">
        <f t="shared" si="103"/>
        <v>162.66518992386324</v>
      </c>
    </row>
    <row r="3298" spans="1:9" x14ac:dyDescent="0.45">
      <c r="A3298" t="s">
        <v>39</v>
      </c>
      <c r="B3298" t="s">
        <v>55</v>
      </c>
      <c r="C3298" t="str">
        <f t="shared" si="102"/>
        <v>MemphisSaint Francis</v>
      </c>
      <c r="D3298" t="s">
        <v>39</v>
      </c>
      <c r="E3298">
        <v>98.9</v>
      </c>
      <c r="F3298" s="1">
        <v>-29.7660377358491</v>
      </c>
      <c r="G3298" s="2">
        <v>-9377.1844315339094</v>
      </c>
      <c r="H3298" s="1">
        <v>139.01317621982699</v>
      </c>
      <c r="I3298" s="1">
        <f t="shared" si="103"/>
        <v>142.08399219526149</v>
      </c>
    </row>
    <row r="3299" spans="1:9" x14ac:dyDescent="0.45">
      <c r="A3299" t="s">
        <v>40</v>
      </c>
      <c r="B3299" t="s">
        <v>55</v>
      </c>
      <c r="C3299" t="str">
        <f t="shared" si="102"/>
        <v>MichiganSaint Francis</v>
      </c>
      <c r="D3299" t="s">
        <v>40</v>
      </c>
      <c r="E3299">
        <v>97.9</v>
      </c>
      <c r="F3299" s="1">
        <v>-25.143396226415099</v>
      </c>
      <c r="G3299" s="2">
        <v>-4631.0324447196999</v>
      </c>
      <c r="H3299" s="1">
        <v>138.57579751674399</v>
      </c>
      <c r="I3299" s="1">
        <f t="shared" si="103"/>
        <v>135.94244484097806</v>
      </c>
    </row>
    <row r="3300" spans="1:9" x14ac:dyDescent="0.45">
      <c r="A3300" t="s">
        <v>41</v>
      </c>
      <c r="B3300" t="s">
        <v>55</v>
      </c>
      <c r="C3300" t="str">
        <f t="shared" si="102"/>
        <v>Michigan St.Saint Francis</v>
      </c>
      <c r="D3300" t="s">
        <v>41</v>
      </c>
      <c r="E3300">
        <v>99.8</v>
      </c>
      <c r="F3300" s="1">
        <v>-39.890566037735802</v>
      </c>
      <c r="G3300" s="2">
        <v>-43917.030293254</v>
      </c>
      <c r="H3300" s="1">
        <v>140.22287722595101</v>
      </c>
      <c r="I3300" s="1">
        <f t="shared" si="103"/>
        <v>159.07026967348872</v>
      </c>
    </row>
    <row r="3301" spans="1:9" x14ac:dyDescent="0.45">
      <c r="A3301" t="s">
        <v>42</v>
      </c>
      <c r="B3301" t="s">
        <v>55</v>
      </c>
      <c r="C3301" t="str">
        <f t="shared" si="102"/>
        <v>MississippiSaint Francis</v>
      </c>
      <c r="D3301" t="s">
        <v>42</v>
      </c>
      <c r="E3301">
        <v>99.2</v>
      </c>
      <c r="F3301" s="1">
        <v>-31.392452830188699</v>
      </c>
      <c r="G3301" s="2">
        <v>-12016.045106624601</v>
      </c>
      <c r="H3301" s="1">
        <v>139.49056857584</v>
      </c>
      <c r="I3301" s="1">
        <f t="shared" si="103"/>
        <v>148.78739988374804</v>
      </c>
    </row>
    <row r="3302" spans="1:9" x14ac:dyDescent="0.45">
      <c r="A3302" t="s">
        <v>43</v>
      </c>
      <c r="B3302" t="s">
        <v>55</v>
      </c>
      <c r="C3302" t="str">
        <f t="shared" si="102"/>
        <v>Mississippi St.Saint Francis</v>
      </c>
      <c r="D3302" t="s">
        <v>43</v>
      </c>
      <c r="E3302">
        <v>98.9</v>
      </c>
      <c r="F3302" s="1">
        <v>-29.667924528301899</v>
      </c>
      <c r="G3302" s="2">
        <v>-9238.1334996306705</v>
      </c>
      <c r="H3302" s="1">
        <v>139.63031504851699</v>
      </c>
      <c r="I3302" s="1">
        <f t="shared" si="103"/>
        <v>150.74968010793387</v>
      </c>
    </row>
    <row r="3303" spans="1:9" x14ac:dyDescent="0.45">
      <c r="A3303" t="s">
        <v>44</v>
      </c>
      <c r="B3303" t="s">
        <v>55</v>
      </c>
      <c r="C3303" t="str">
        <f t="shared" si="102"/>
        <v>MissouriSaint Francis</v>
      </c>
      <c r="D3303" t="s">
        <v>44</v>
      </c>
      <c r="E3303">
        <v>97.8</v>
      </c>
      <c r="F3303" s="1">
        <v>-24.735849056603801</v>
      </c>
      <c r="G3303" s="2">
        <v>-4352.1710125944001</v>
      </c>
      <c r="H3303" s="1">
        <v>139.04797694716299</v>
      </c>
      <c r="I3303" s="1">
        <f t="shared" si="103"/>
        <v>142.57265411087613</v>
      </c>
    </row>
    <row r="3304" spans="1:9" x14ac:dyDescent="0.45">
      <c r="A3304" t="s">
        <v>45</v>
      </c>
      <c r="B3304" t="s">
        <v>55</v>
      </c>
      <c r="C3304" t="str">
        <f t="shared" si="102"/>
        <v>MontanaSaint Francis</v>
      </c>
      <c r="D3304" t="s">
        <v>45</v>
      </c>
      <c r="E3304">
        <v>79.599999999999994</v>
      </c>
      <c r="F3304" s="1">
        <v>-8.9283018867924504</v>
      </c>
      <c r="G3304" s="2">
        <v>-390.44530903358799</v>
      </c>
      <c r="H3304" s="1">
        <v>138.184688510569</v>
      </c>
      <c r="I3304" s="1">
        <f t="shared" si="103"/>
        <v>130.45060341116206</v>
      </c>
    </row>
    <row r="3305" spans="1:9" x14ac:dyDescent="0.45">
      <c r="A3305" t="s">
        <v>46</v>
      </c>
      <c r="B3305" t="s">
        <v>55</v>
      </c>
      <c r="C3305" t="str">
        <f t="shared" si="102"/>
        <v>Mount St. Mary'sSaint Francis</v>
      </c>
      <c r="D3305" t="s">
        <v>46</v>
      </c>
      <c r="E3305">
        <v>59.8</v>
      </c>
      <c r="F3305" s="1">
        <v>-2.5962264150943399</v>
      </c>
      <c r="G3305" s="2">
        <v>-148.57169254348401</v>
      </c>
      <c r="H3305" s="1">
        <v>139.48797646471999</v>
      </c>
      <c r="I3305" s="1">
        <f t="shared" si="103"/>
        <v>148.75100219662042</v>
      </c>
    </row>
    <row r="3306" spans="1:9" x14ac:dyDescent="0.45">
      <c r="A3306" t="s">
        <v>47</v>
      </c>
      <c r="B3306" t="s">
        <v>55</v>
      </c>
      <c r="C3306" t="str">
        <f t="shared" si="102"/>
        <v>Nebraska OmahaSaint Francis</v>
      </c>
      <c r="D3306" t="s">
        <v>47</v>
      </c>
      <c r="E3306">
        <v>67.5</v>
      </c>
      <c r="F3306" s="1">
        <v>-4.7849056603773601</v>
      </c>
      <c r="G3306" s="2">
        <v>-207.509790662554</v>
      </c>
      <c r="H3306" s="1">
        <v>138.90575259682299</v>
      </c>
      <c r="I3306" s="1">
        <f t="shared" si="103"/>
        <v>140.57558023327684</v>
      </c>
    </row>
    <row r="3307" spans="1:9" x14ac:dyDescent="0.45">
      <c r="A3307" t="s">
        <v>48</v>
      </c>
      <c r="B3307" t="s">
        <v>55</v>
      </c>
      <c r="C3307" t="str">
        <f t="shared" si="102"/>
        <v>New MexicoSaint Francis</v>
      </c>
      <c r="D3307" t="s">
        <v>48</v>
      </c>
      <c r="E3307">
        <v>98</v>
      </c>
      <c r="F3307" s="1">
        <v>-25.615094339622601</v>
      </c>
      <c r="G3307" s="2">
        <v>-4978.7668125243899</v>
      </c>
      <c r="H3307" s="1">
        <v>139.67574252864</v>
      </c>
      <c r="I3307" s="1">
        <f t="shared" si="103"/>
        <v>151.38755986384024</v>
      </c>
    </row>
    <row r="3308" spans="1:9" x14ac:dyDescent="0.45">
      <c r="A3308" t="s">
        <v>49</v>
      </c>
      <c r="B3308" t="s">
        <v>55</v>
      </c>
      <c r="C3308" t="str">
        <f t="shared" si="102"/>
        <v>Norfolk St.Saint Francis</v>
      </c>
      <c r="D3308" t="s">
        <v>49</v>
      </c>
      <c r="E3308">
        <v>74.599999999999994</v>
      </c>
      <c r="F3308" s="1">
        <v>-7.0490566037735896</v>
      </c>
      <c r="G3308" s="2">
        <v>-293.15103288001598</v>
      </c>
      <c r="H3308" s="1">
        <v>138.71186829260401</v>
      </c>
      <c r="I3308" s="1">
        <f t="shared" si="103"/>
        <v>137.85311197586097</v>
      </c>
    </row>
    <row r="3309" spans="1:9" x14ac:dyDescent="0.45">
      <c r="A3309" t="s">
        <v>50</v>
      </c>
      <c r="B3309" t="s">
        <v>55</v>
      </c>
      <c r="C3309" t="str">
        <f t="shared" si="102"/>
        <v>North CarolinaSaint Francis</v>
      </c>
      <c r="D3309" t="s">
        <v>50</v>
      </c>
      <c r="E3309">
        <v>99.4</v>
      </c>
      <c r="F3309" s="1">
        <v>-33.667924528301903</v>
      </c>
      <c r="G3309" s="2">
        <v>-17001.169238288301</v>
      </c>
      <c r="H3309" s="1">
        <v>140.78547424707301</v>
      </c>
      <c r="I3309" s="1">
        <f t="shared" si="103"/>
        <v>166.97009703646825</v>
      </c>
    </row>
    <row r="3310" spans="1:9" x14ac:dyDescent="0.45">
      <c r="A3310" t="s">
        <v>51</v>
      </c>
      <c r="B3310" t="s">
        <v>55</v>
      </c>
      <c r="C3310" t="str">
        <f t="shared" si="102"/>
        <v>OklahomaSaint Francis</v>
      </c>
      <c r="D3310" t="s">
        <v>51</v>
      </c>
      <c r="E3310">
        <v>98.3</v>
      </c>
      <c r="F3310" s="1">
        <v>-26.784905660377401</v>
      </c>
      <c r="G3310" s="2">
        <v>-5949.7890855325104</v>
      </c>
      <c r="H3310" s="1">
        <v>139.209097373248</v>
      </c>
      <c r="I3310" s="1">
        <f t="shared" si="103"/>
        <v>144.83506130987413</v>
      </c>
    </row>
    <row r="3311" spans="1:9" x14ac:dyDescent="0.45">
      <c r="A3311" t="s">
        <v>52</v>
      </c>
      <c r="B3311" t="s">
        <v>55</v>
      </c>
      <c r="C3311" t="str">
        <f t="shared" si="102"/>
        <v>OregonSaint Francis</v>
      </c>
      <c r="D3311" t="s">
        <v>52</v>
      </c>
      <c r="E3311">
        <v>99.4</v>
      </c>
      <c r="F3311" s="1">
        <v>-33.550943396226401</v>
      </c>
      <c r="G3311" s="2">
        <v>-16701.974508003001</v>
      </c>
      <c r="H3311" s="1">
        <v>139.499814764777</v>
      </c>
      <c r="I3311" s="1">
        <f t="shared" si="103"/>
        <v>148.9172322391027</v>
      </c>
    </row>
    <row r="3312" spans="1:9" x14ac:dyDescent="0.45">
      <c r="A3312" t="s">
        <v>53</v>
      </c>
      <c r="B3312" t="s">
        <v>55</v>
      </c>
      <c r="C3312" t="str">
        <f t="shared" si="102"/>
        <v>PurdueSaint Francis</v>
      </c>
      <c r="D3312" t="s">
        <v>53</v>
      </c>
      <c r="E3312">
        <v>99.9</v>
      </c>
      <c r="F3312" s="1">
        <v>-44.924528301886802</v>
      </c>
      <c r="G3312" s="2">
        <v>-94660.204076829803</v>
      </c>
      <c r="H3312" s="1">
        <v>140.987901964575</v>
      </c>
      <c r="I3312" s="1">
        <f t="shared" si="103"/>
        <v>169.81252947338109</v>
      </c>
    </row>
    <row r="3313" spans="1:9" x14ac:dyDescent="0.45">
      <c r="A3313" t="s">
        <v>54</v>
      </c>
      <c r="B3313" t="s">
        <v>55</v>
      </c>
      <c r="C3313" t="str">
        <f t="shared" si="102"/>
        <v>Robert MorrisSaint Francis</v>
      </c>
      <c r="D3313" t="s">
        <v>54</v>
      </c>
      <c r="E3313">
        <v>53.9</v>
      </c>
      <c r="F3313" s="1">
        <v>-1.0339622641509401</v>
      </c>
      <c r="G3313" s="2">
        <v>-117.093432163266</v>
      </c>
      <c r="H3313" s="1">
        <v>138.07086729326201</v>
      </c>
      <c r="I3313" s="1">
        <f t="shared" si="103"/>
        <v>128.85235824950769</v>
      </c>
    </row>
    <row r="3314" spans="1:9" x14ac:dyDescent="0.45">
      <c r="A3314" t="s">
        <v>55</v>
      </c>
      <c r="B3314" t="s">
        <v>55</v>
      </c>
      <c r="C3314" t="str">
        <f t="shared" si="102"/>
        <v>Saint FrancisSaint Francis</v>
      </c>
      <c r="D3314" t="s">
        <v>55</v>
      </c>
      <c r="E3314">
        <v>41.2</v>
      </c>
      <c r="F3314" s="1">
        <v>2.3283018867924499</v>
      </c>
      <c r="G3314" s="2">
        <v>142.64273539779199</v>
      </c>
      <c r="H3314" s="1">
        <v>138.77771517530499</v>
      </c>
      <c r="I3314" s="1">
        <f t="shared" si="103"/>
        <v>138.77771517530684</v>
      </c>
    </row>
    <row r="3315" spans="1:9" x14ac:dyDescent="0.45">
      <c r="A3315" t="s">
        <v>56</v>
      </c>
      <c r="B3315" t="s">
        <v>55</v>
      </c>
      <c r="C3315" t="str">
        <f t="shared" si="102"/>
        <v>Saint Mary'sSaint Francis</v>
      </c>
      <c r="D3315" t="s">
        <v>56</v>
      </c>
      <c r="E3315">
        <v>99.4</v>
      </c>
      <c r="F3315" s="1">
        <v>-33.407547169811302</v>
      </c>
      <c r="G3315" s="2">
        <v>-16338.5878054883</v>
      </c>
      <c r="H3315" s="1">
        <v>140.50692129124701</v>
      </c>
      <c r="I3315" s="1">
        <f t="shared" si="103"/>
        <v>163.05873565370709</v>
      </c>
    </row>
    <row r="3316" spans="1:9" x14ac:dyDescent="0.45">
      <c r="A3316" t="s">
        <v>57</v>
      </c>
      <c r="B3316" t="s">
        <v>55</v>
      </c>
      <c r="C3316" t="str">
        <f t="shared" si="102"/>
        <v>San Diego St.Saint Francis</v>
      </c>
      <c r="D3316" t="s">
        <v>57</v>
      </c>
      <c r="E3316">
        <v>98.1</v>
      </c>
      <c r="F3316" s="1">
        <v>-25.732075471698099</v>
      </c>
      <c r="G3316" s="2">
        <v>-5067.7472933538402</v>
      </c>
      <c r="H3316" s="1">
        <v>139.72162045427601</v>
      </c>
      <c r="I3316" s="1">
        <f t="shared" si="103"/>
        <v>152.0317646475294</v>
      </c>
    </row>
    <row r="3317" spans="1:9" x14ac:dyDescent="0.45">
      <c r="A3317" t="s">
        <v>58</v>
      </c>
      <c r="B3317" t="s">
        <v>55</v>
      </c>
      <c r="C3317" t="str">
        <f t="shared" si="102"/>
        <v>SIU EdwardsvilleSaint Francis</v>
      </c>
      <c r="D3317" t="s">
        <v>58</v>
      </c>
      <c r="E3317">
        <v>70.7</v>
      </c>
      <c r="F3317" s="1">
        <v>-5.7584905660377403</v>
      </c>
      <c r="G3317" s="2">
        <v>-240.732469493868</v>
      </c>
      <c r="H3317" s="1">
        <v>139.78087863446001</v>
      </c>
      <c r="I3317" s="1">
        <f t="shared" si="103"/>
        <v>152.86385116011766</v>
      </c>
    </row>
    <row r="3318" spans="1:9" x14ac:dyDescent="0.45">
      <c r="A3318" t="s">
        <v>59</v>
      </c>
      <c r="B3318" t="s">
        <v>55</v>
      </c>
      <c r="C3318" t="str">
        <f t="shared" si="102"/>
        <v>St. John'sSaint Francis</v>
      </c>
      <c r="D3318" t="s">
        <v>59</v>
      </c>
      <c r="E3318">
        <v>99.8</v>
      </c>
      <c r="F3318" s="1">
        <v>-40.388679245283001</v>
      </c>
      <c r="G3318" s="2">
        <v>-47409.367980425399</v>
      </c>
      <c r="H3318" s="1">
        <v>140.60033508301399</v>
      </c>
      <c r="I3318" s="1">
        <f t="shared" si="103"/>
        <v>164.3704255499826</v>
      </c>
    </row>
    <row r="3319" spans="1:9" x14ac:dyDescent="0.45">
      <c r="A3319" t="s">
        <v>60</v>
      </c>
      <c r="B3319" t="s">
        <v>55</v>
      </c>
      <c r="C3319" t="str">
        <f t="shared" si="102"/>
        <v>TennesseeSaint Francis</v>
      </c>
      <c r="D3319" t="s">
        <v>60</v>
      </c>
      <c r="E3319">
        <v>99.9</v>
      </c>
      <c r="F3319" s="1">
        <v>-45.607547169811298</v>
      </c>
      <c r="G3319" s="2">
        <v>-105056.192845388</v>
      </c>
      <c r="H3319" s="1">
        <v>141.39356745714801</v>
      </c>
      <c r="I3319" s="1">
        <f t="shared" si="103"/>
        <v>175.5087689452034</v>
      </c>
    </row>
    <row r="3320" spans="1:9" x14ac:dyDescent="0.45">
      <c r="A3320" t="s">
        <v>61</v>
      </c>
      <c r="B3320" t="s">
        <v>55</v>
      </c>
      <c r="C3320" t="str">
        <f t="shared" si="102"/>
        <v>TexasSaint Francis</v>
      </c>
      <c r="D3320" t="s">
        <v>61</v>
      </c>
      <c r="E3320">
        <v>97.7</v>
      </c>
      <c r="F3320" s="1">
        <v>-24.5094339622642</v>
      </c>
      <c r="G3320" s="2">
        <v>-4205.1049050332604</v>
      </c>
      <c r="H3320" s="1">
        <v>139.093449284787</v>
      </c>
      <c r="I3320" s="1">
        <f t="shared" si="103"/>
        <v>143.21116374305362</v>
      </c>
    </row>
    <row r="3321" spans="1:9" x14ac:dyDescent="0.45">
      <c r="A3321" t="s">
        <v>62</v>
      </c>
      <c r="B3321" t="s">
        <v>55</v>
      </c>
      <c r="C3321" t="str">
        <f t="shared" si="102"/>
        <v>Texas A&amp;MSaint Francis</v>
      </c>
      <c r="D3321" t="s">
        <v>62</v>
      </c>
      <c r="E3321">
        <v>99.6</v>
      </c>
      <c r="F3321" s="1">
        <v>-35.913207547169797</v>
      </c>
      <c r="G3321" s="2">
        <v>-23940.384092277302</v>
      </c>
      <c r="H3321" s="1">
        <v>139.88042459418401</v>
      </c>
      <c r="I3321" s="1">
        <f t="shared" si="103"/>
        <v>154.26164721480234</v>
      </c>
    </row>
    <row r="3322" spans="1:9" x14ac:dyDescent="0.45">
      <c r="A3322" t="s">
        <v>63</v>
      </c>
      <c r="B3322" t="s">
        <v>55</v>
      </c>
      <c r="C3322" t="str">
        <f t="shared" si="102"/>
        <v>Texas TechSaint Francis</v>
      </c>
      <c r="D3322" t="s">
        <v>63</v>
      </c>
      <c r="E3322">
        <v>99.8</v>
      </c>
      <c r="F3322" s="1">
        <v>-40.245283018867902</v>
      </c>
      <c r="G3322" s="2">
        <v>-46371.010001251198</v>
      </c>
      <c r="H3322" s="1">
        <v>140.87093719942399</v>
      </c>
      <c r="I3322" s="1">
        <f t="shared" si="103"/>
        <v>168.17014350695405</v>
      </c>
    </row>
    <row r="3323" spans="1:9" x14ac:dyDescent="0.45">
      <c r="A3323" t="s">
        <v>64</v>
      </c>
      <c r="B3323" t="s">
        <v>55</v>
      </c>
      <c r="C3323" t="str">
        <f t="shared" si="102"/>
        <v>TroySaint Francis</v>
      </c>
      <c r="D3323" t="s">
        <v>64</v>
      </c>
      <c r="E3323">
        <v>87</v>
      </c>
      <c r="F3323" s="1">
        <v>-12.437735849056599</v>
      </c>
      <c r="G3323" s="2">
        <v>-666.66137134627695</v>
      </c>
      <c r="H3323" s="1">
        <v>139.63724179398201</v>
      </c>
      <c r="I3323" s="1">
        <f t="shared" si="103"/>
        <v>150.84694349772545</v>
      </c>
    </row>
    <row r="3324" spans="1:9" x14ac:dyDescent="0.45">
      <c r="A3324" t="s">
        <v>65</v>
      </c>
      <c r="B3324" t="s">
        <v>55</v>
      </c>
      <c r="C3324" t="str">
        <f t="shared" si="102"/>
        <v>UC San DiegoSaint Francis</v>
      </c>
      <c r="D3324" t="s">
        <v>65</v>
      </c>
      <c r="E3324">
        <v>94.5</v>
      </c>
      <c r="F3324" s="1">
        <v>-18.618867924528299</v>
      </c>
      <c r="G3324" s="2">
        <v>-1711.72188703252</v>
      </c>
      <c r="H3324" s="1">
        <v>139.707362023645</v>
      </c>
      <c r="I3324" s="1">
        <f t="shared" si="103"/>
        <v>151.83155181983383</v>
      </c>
    </row>
    <row r="3325" spans="1:9" x14ac:dyDescent="0.45">
      <c r="A3325" t="s">
        <v>66</v>
      </c>
      <c r="B3325" t="s">
        <v>55</v>
      </c>
      <c r="C3325" t="str">
        <f t="shared" si="102"/>
        <v>UCLASaint Francis</v>
      </c>
      <c r="D3325" t="s">
        <v>66</v>
      </c>
      <c r="E3325">
        <v>98.3</v>
      </c>
      <c r="F3325" s="1">
        <v>-26.7169811320755</v>
      </c>
      <c r="G3325" s="2">
        <v>-5890.1269521264403</v>
      </c>
      <c r="H3325" s="1">
        <v>138.92862060285799</v>
      </c>
      <c r="I3325" s="1">
        <f t="shared" si="103"/>
        <v>140.89668627015519</v>
      </c>
    </row>
    <row r="3326" spans="1:9" x14ac:dyDescent="0.45">
      <c r="A3326" t="s">
        <v>67</v>
      </c>
      <c r="B3326" t="s">
        <v>55</v>
      </c>
      <c r="C3326" t="str">
        <f t="shared" si="102"/>
        <v>UNC WilmingtonSaint Francis</v>
      </c>
      <c r="D3326" t="s">
        <v>67</v>
      </c>
      <c r="E3326">
        <v>90.8</v>
      </c>
      <c r="F3326" s="1">
        <v>-15.026415094339599</v>
      </c>
      <c r="G3326" s="2">
        <v>-989.62398821488705</v>
      </c>
      <c r="H3326" s="1">
        <v>140.24403049431001</v>
      </c>
      <c r="I3326" s="1">
        <f t="shared" si="103"/>
        <v>159.36729785160745</v>
      </c>
    </row>
    <row r="3327" spans="1:9" x14ac:dyDescent="0.45">
      <c r="A3327" t="s">
        <v>68</v>
      </c>
      <c r="B3327" t="s">
        <v>55</v>
      </c>
      <c r="C3327" t="str">
        <f t="shared" si="102"/>
        <v>Utah St.Saint Francis</v>
      </c>
      <c r="D3327" t="s">
        <v>68</v>
      </c>
      <c r="E3327">
        <v>98.2</v>
      </c>
      <c r="F3327" s="1">
        <v>-26.3547169811321</v>
      </c>
      <c r="G3327" s="2">
        <v>-5570.6824445541897</v>
      </c>
      <c r="H3327" s="1">
        <v>139.79121699288899</v>
      </c>
      <c r="I3327" s="1">
        <f t="shared" si="103"/>
        <v>153.00901944885598</v>
      </c>
    </row>
    <row r="3328" spans="1:9" x14ac:dyDescent="0.45">
      <c r="A3328" t="s">
        <v>69</v>
      </c>
      <c r="B3328" t="s">
        <v>55</v>
      </c>
      <c r="C3328" t="str">
        <f t="shared" si="102"/>
        <v>VanderbiltSaint Francis</v>
      </c>
      <c r="D3328" t="s">
        <v>69</v>
      </c>
      <c r="E3328">
        <v>91.7</v>
      </c>
      <c r="F3328" s="1">
        <v>-15.7056603773585</v>
      </c>
      <c r="G3328" s="2">
        <v>-1097.7145828787</v>
      </c>
      <c r="H3328" s="1">
        <v>138.22525487417201</v>
      </c>
      <c r="I3328" s="1">
        <f t="shared" si="103"/>
        <v>131.02022475143949</v>
      </c>
    </row>
    <row r="3329" spans="1:9" x14ac:dyDescent="0.45">
      <c r="A3329" t="s">
        <v>70</v>
      </c>
      <c r="B3329" t="s">
        <v>55</v>
      </c>
      <c r="C3329" t="str">
        <f t="shared" si="102"/>
        <v>VCUSaint Francis</v>
      </c>
      <c r="D3329" t="s">
        <v>70</v>
      </c>
      <c r="E3329">
        <v>97.2</v>
      </c>
      <c r="F3329" s="1">
        <v>-23.350943396226398</v>
      </c>
      <c r="G3329" s="2">
        <v>-3523.7994520945699</v>
      </c>
      <c r="H3329" s="1">
        <v>140.15042800336499</v>
      </c>
      <c r="I3329" s="1">
        <f t="shared" si="103"/>
        <v>158.05295829514162</v>
      </c>
    </row>
    <row r="3330" spans="1:9" x14ac:dyDescent="0.45">
      <c r="A3330" t="s">
        <v>71</v>
      </c>
      <c r="B3330" t="s">
        <v>55</v>
      </c>
      <c r="C3330" t="str">
        <f t="shared" si="102"/>
        <v>WisconsinSaint Francis</v>
      </c>
      <c r="D3330" t="s">
        <v>71</v>
      </c>
      <c r="E3330">
        <v>99.8</v>
      </c>
      <c r="F3330" s="1">
        <v>-39.3056603773585</v>
      </c>
      <c r="G3330" s="2">
        <v>-40169.536675572097</v>
      </c>
      <c r="H3330" s="1">
        <v>140.80368361169701</v>
      </c>
      <c r="I3330" s="1">
        <f t="shared" si="103"/>
        <v>167.22578775561257</v>
      </c>
    </row>
    <row r="3331" spans="1:9" x14ac:dyDescent="0.45">
      <c r="A3331" t="s">
        <v>80</v>
      </c>
      <c r="B3331" t="s">
        <v>55</v>
      </c>
      <c r="C3331" t="str">
        <f t="shared" ref="C3331:C3394" si="104">A3331&amp;B3331</f>
        <v>WoffordSaint Francis</v>
      </c>
      <c r="D3331" t="s">
        <v>80</v>
      </c>
      <c r="E3331">
        <v>77.599999999999994</v>
      </c>
      <c r="F3331" s="1">
        <v>-8.1283018867924497</v>
      </c>
      <c r="G3331" s="2">
        <v>-345.62944899575501</v>
      </c>
      <c r="H3331" s="1">
        <v>138.90133204092299</v>
      </c>
      <c r="I3331" s="1">
        <f t="shared" ref="I3331:I3394" si="105">18*(H3331-AVERAGE($H$2:$H$4625))/_xlfn.STDEV.P($H$2:$H$4625)+AVERAGE($H$2:$H$4625)</f>
        <v>140.51350804457462</v>
      </c>
    </row>
    <row r="3332" spans="1:9" x14ac:dyDescent="0.45">
      <c r="A3332" t="s">
        <v>72</v>
      </c>
      <c r="B3332" t="s">
        <v>55</v>
      </c>
      <c r="C3332" t="str">
        <f t="shared" si="104"/>
        <v>XavierSaint Francis</v>
      </c>
      <c r="D3332" t="s">
        <v>72</v>
      </c>
      <c r="E3332">
        <v>97.2</v>
      </c>
      <c r="F3332" s="1">
        <v>-23.279245283018899</v>
      </c>
      <c r="G3332" s="2">
        <v>-3484.69841892773</v>
      </c>
      <c r="H3332" s="1">
        <v>139.64413421154501</v>
      </c>
      <c r="I3332" s="1">
        <f t="shared" si="105"/>
        <v>150.94372486487993</v>
      </c>
    </row>
    <row r="3333" spans="1:9" x14ac:dyDescent="0.45">
      <c r="A3333" t="s">
        <v>73</v>
      </c>
      <c r="B3333" t="s">
        <v>55</v>
      </c>
      <c r="C3333" t="str">
        <f t="shared" si="104"/>
        <v>YaleSaint Francis</v>
      </c>
      <c r="D3333" t="s">
        <v>73</v>
      </c>
      <c r="E3333">
        <v>94.8</v>
      </c>
      <c r="F3333" s="1">
        <v>-19.026415094339601</v>
      </c>
      <c r="G3333" s="2">
        <v>-1822.2992937618301</v>
      </c>
      <c r="H3333" s="1">
        <v>140.243840347939</v>
      </c>
      <c r="I3333" s="1">
        <f t="shared" si="105"/>
        <v>159.36462787034503</v>
      </c>
    </row>
    <row r="3334" spans="1:9" x14ac:dyDescent="0.45">
      <c r="A3334" t="s">
        <v>7</v>
      </c>
      <c r="B3334" t="s">
        <v>56</v>
      </c>
      <c r="C3334" t="str">
        <f t="shared" si="104"/>
        <v>AkronSaint Mary's</v>
      </c>
      <c r="D3334" t="s">
        <v>56</v>
      </c>
      <c r="E3334">
        <v>3.9</v>
      </c>
      <c r="F3334" s="1">
        <v>20.969811320754701</v>
      </c>
      <c r="G3334" s="2">
        <v>2450.8595004253798</v>
      </c>
      <c r="H3334" s="1">
        <v>137.33146129257699</v>
      </c>
      <c r="I3334" s="1">
        <f t="shared" si="105"/>
        <v>118.46982948155654</v>
      </c>
    </row>
    <row r="3335" spans="1:9" x14ac:dyDescent="0.45">
      <c r="A3335" t="s">
        <v>8</v>
      </c>
      <c r="B3335" t="s">
        <v>56</v>
      </c>
      <c r="C3335" t="str">
        <f t="shared" si="104"/>
        <v>AlabamaSaint Mary's</v>
      </c>
      <c r="D3335" t="s">
        <v>8</v>
      </c>
      <c r="E3335">
        <v>75.5</v>
      </c>
      <c r="F3335" s="1">
        <v>-7.36981132075472</v>
      </c>
      <c r="G3335" s="2">
        <v>-307.760081997361</v>
      </c>
      <c r="H3335" s="1">
        <v>139.13907248017199</v>
      </c>
      <c r="I3335" s="1">
        <f t="shared" si="105"/>
        <v>143.85179167700556</v>
      </c>
    </row>
    <row r="3336" spans="1:9" x14ac:dyDescent="0.45">
      <c r="A3336" t="s">
        <v>9</v>
      </c>
      <c r="B3336" t="s">
        <v>56</v>
      </c>
      <c r="C3336" t="str">
        <f t="shared" si="104"/>
        <v>Alabama St.Saint Mary's</v>
      </c>
      <c r="D3336" t="s">
        <v>56</v>
      </c>
      <c r="E3336">
        <v>0.6</v>
      </c>
      <c r="F3336" s="1">
        <v>33.2905660377359</v>
      </c>
      <c r="G3336" s="2">
        <v>16047.527657770999</v>
      </c>
      <c r="H3336" s="1">
        <v>137.51822305199801</v>
      </c>
      <c r="I3336" s="1">
        <f t="shared" si="105"/>
        <v>121.0922849906347</v>
      </c>
    </row>
    <row r="3337" spans="1:9" x14ac:dyDescent="0.45">
      <c r="A3337" t="s">
        <v>10</v>
      </c>
      <c r="B3337" t="s">
        <v>56</v>
      </c>
      <c r="C3337" t="str">
        <f t="shared" si="104"/>
        <v>AmericanSaint Mary's</v>
      </c>
      <c r="D3337" t="s">
        <v>56</v>
      </c>
      <c r="E3337">
        <v>0.7</v>
      </c>
      <c r="F3337" s="1">
        <v>32.5320754716981</v>
      </c>
      <c r="G3337" s="2">
        <v>14297.5578605884</v>
      </c>
      <c r="H3337" s="1">
        <v>137.28151257176</v>
      </c>
      <c r="I3337" s="1">
        <f t="shared" si="105"/>
        <v>117.76846374970658</v>
      </c>
    </row>
    <row r="3338" spans="1:9" x14ac:dyDescent="0.45">
      <c r="A3338" t="s">
        <v>11</v>
      </c>
      <c r="B3338" t="s">
        <v>56</v>
      </c>
      <c r="C3338" t="str">
        <f t="shared" si="104"/>
        <v>ArizonaSaint Mary's</v>
      </c>
      <c r="D3338" t="s">
        <v>11</v>
      </c>
      <c r="E3338">
        <v>66.900000000000006</v>
      </c>
      <c r="F3338" s="1">
        <v>-4.6150943396226403</v>
      </c>
      <c r="G3338" s="2">
        <v>-202.14272047767</v>
      </c>
      <c r="H3338" s="1">
        <v>138.74955182034901</v>
      </c>
      <c r="I3338" s="1">
        <f t="shared" si="105"/>
        <v>138.38225335492459</v>
      </c>
    </row>
    <row r="3339" spans="1:9" x14ac:dyDescent="0.45">
      <c r="A3339" t="s">
        <v>12</v>
      </c>
      <c r="B3339" t="s">
        <v>56</v>
      </c>
      <c r="C3339" t="str">
        <f t="shared" si="104"/>
        <v>ArkansasSaint Mary's</v>
      </c>
      <c r="D3339" t="s">
        <v>56</v>
      </c>
      <c r="E3339">
        <v>11.6</v>
      </c>
      <c r="F3339" s="1">
        <v>13.2867924528302</v>
      </c>
      <c r="G3339" s="2">
        <v>758.99951403431601</v>
      </c>
      <c r="H3339" s="1">
        <v>137.075475798138</v>
      </c>
      <c r="I3339" s="1">
        <f t="shared" si="105"/>
        <v>114.87535397320431</v>
      </c>
    </row>
    <row r="3340" spans="1:9" x14ac:dyDescent="0.45">
      <c r="A3340" t="s">
        <v>13</v>
      </c>
      <c r="B3340" t="s">
        <v>56</v>
      </c>
      <c r="C3340" t="str">
        <f t="shared" si="104"/>
        <v>AuburnSaint Mary's</v>
      </c>
      <c r="D3340" t="s">
        <v>13</v>
      </c>
      <c r="E3340">
        <v>85.8</v>
      </c>
      <c r="F3340" s="1">
        <v>-11.807547169811301</v>
      </c>
      <c r="G3340" s="2">
        <v>-605.79099334044201</v>
      </c>
      <c r="H3340" s="1">
        <v>140.16128871352399</v>
      </c>
      <c r="I3340" s="1">
        <f t="shared" si="105"/>
        <v>158.20546129831126</v>
      </c>
    </row>
    <row r="3341" spans="1:9" x14ac:dyDescent="0.45">
      <c r="A3341" t="s">
        <v>14</v>
      </c>
      <c r="B3341" t="s">
        <v>56</v>
      </c>
      <c r="C3341" t="str">
        <f t="shared" si="104"/>
        <v>BaylorSaint Mary's</v>
      </c>
      <c r="D3341" t="s">
        <v>56</v>
      </c>
      <c r="E3341">
        <v>37.9</v>
      </c>
      <c r="F3341" s="1">
        <v>3.2415094339622601</v>
      </c>
      <c r="G3341" s="2">
        <v>163.92281041290499</v>
      </c>
      <c r="H3341" s="1">
        <v>138.624206074705</v>
      </c>
      <c r="I3341" s="1">
        <f t="shared" si="105"/>
        <v>136.62218404404052</v>
      </c>
    </row>
    <row r="3342" spans="1:9" x14ac:dyDescent="0.45">
      <c r="A3342" t="s">
        <v>15</v>
      </c>
      <c r="B3342" t="s">
        <v>56</v>
      </c>
      <c r="C3342" t="str">
        <f t="shared" si="104"/>
        <v>BryantSaint Mary's</v>
      </c>
      <c r="D3342" t="s">
        <v>56</v>
      </c>
      <c r="E3342">
        <v>2.8</v>
      </c>
      <c r="F3342" s="1">
        <v>23.309433962264201</v>
      </c>
      <c r="G3342" s="2">
        <v>3502.2827268177898</v>
      </c>
      <c r="H3342" s="1">
        <v>138.21652595035101</v>
      </c>
      <c r="I3342" s="1">
        <f t="shared" si="105"/>
        <v>130.89765568572892</v>
      </c>
    </row>
    <row r="3343" spans="1:9" x14ac:dyDescent="0.45">
      <c r="A3343" t="s">
        <v>16</v>
      </c>
      <c r="B3343" t="s">
        <v>56</v>
      </c>
      <c r="C3343" t="str">
        <f t="shared" si="104"/>
        <v>BYUSaint Mary's</v>
      </c>
      <c r="D3343" t="s">
        <v>56</v>
      </c>
      <c r="E3343">
        <v>41.9</v>
      </c>
      <c r="F3343" s="1">
        <v>2.14716981132075</v>
      </c>
      <c r="G3343" s="2">
        <v>138.716987669172</v>
      </c>
      <c r="H3343" s="1">
        <v>138.386566624794</v>
      </c>
      <c r="I3343" s="1">
        <f t="shared" si="105"/>
        <v>133.28531847517144</v>
      </c>
    </row>
    <row r="3344" spans="1:9" x14ac:dyDescent="0.45">
      <c r="A3344" t="s">
        <v>17</v>
      </c>
      <c r="B3344" t="s">
        <v>56</v>
      </c>
      <c r="C3344" t="str">
        <f t="shared" si="104"/>
        <v>ClemsonSaint Mary's</v>
      </c>
      <c r="D3344" t="s">
        <v>17</v>
      </c>
      <c r="E3344">
        <v>50.2</v>
      </c>
      <c r="F3344" s="1">
        <v>-6.0377358490565997E-2</v>
      </c>
      <c r="G3344" s="2">
        <v>-100.90472811608799</v>
      </c>
      <c r="H3344" s="1">
        <v>138.73661684723601</v>
      </c>
      <c r="I3344" s="1">
        <f t="shared" si="105"/>
        <v>138.20062414129362</v>
      </c>
    </row>
    <row r="3345" spans="1:9" x14ac:dyDescent="0.45">
      <c r="A3345" t="s">
        <v>18</v>
      </c>
      <c r="B3345" t="s">
        <v>56</v>
      </c>
      <c r="C3345" t="str">
        <f t="shared" si="104"/>
        <v>Colorado St.Saint Mary's</v>
      </c>
      <c r="D3345" t="s">
        <v>56</v>
      </c>
      <c r="E3345">
        <v>14.3</v>
      </c>
      <c r="F3345" s="1">
        <v>11.724528301886799</v>
      </c>
      <c r="G3345" s="2">
        <v>597.93280386328695</v>
      </c>
      <c r="H3345" s="1">
        <v>138.12622782202999</v>
      </c>
      <c r="I3345" s="1">
        <f t="shared" si="105"/>
        <v>129.62971504943897</v>
      </c>
    </row>
    <row r="3346" spans="1:9" x14ac:dyDescent="0.45">
      <c r="A3346" t="s">
        <v>19</v>
      </c>
      <c r="B3346" t="s">
        <v>56</v>
      </c>
      <c r="C3346" t="str">
        <f t="shared" si="104"/>
        <v>ConnecticutSaint Mary's</v>
      </c>
      <c r="D3346" t="s">
        <v>19</v>
      </c>
      <c r="E3346">
        <v>61.1</v>
      </c>
      <c r="F3346" s="1">
        <v>-2.9509433962264202</v>
      </c>
      <c r="G3346" s="2">
        <v>-156.89093272174199</v>
      </c>
      <c r="H3346" s="1">
        <v>138.53686767798399</v>
      </c>
      <c r="I3346" s="1">
        <f t="shared" si="105"/>
        <v>135.3958031171039</v>
      </c>
    </row>
    <row r="3347" spans="1:9" x14ac:dyDescent="0.45">
      <c r="A3347" t="s">
        <v>20</v>
      </c>
      <c r="B3347" t="s">
        <v>56</v>
      </c>
      <c r="C3347" t="str">
        <f t="shared" si="104"/>
        <v>CreightonSaint Mary's</v>
      </c>
      <c r="D3347" t="s">
        <v>56</v>
      </c>
      <c r="E3347">
        <v>32.6</v>
      </c>
      <c r="F3347" s="1">
        <v>4.7547169811320797</v>
      </c>
      <c r="G3347" s="2">
        <v>206.554573275313</v>
      </c>
      <c r="H3347" s="1">
        <v>138.086164430823</v>
      </c>
      <c r="I3347" s="1">
        <f t="shared" si="105"/>
        <v>129.06715630449662</v>
      </c>
    </row>
    <row r="3348" spans="1:9" x14ac:dyDescent="0.45">
      <c r="A3348" t="s">
        <v>21</v>
      </c>
      <c r="B3348" t="s">
        <v>56</v>
      </c>
      <c r="C3348" t="str">
        <f t="shared" si="104"/>
        <v>DrakeSaint Mary's</v>
      </c>
      <c r="D3348" t="s">
        <v>56</v>
      </c>
      <c r="E3348">
        <v>13.9</v>
      </c>
      <c r="F3348" s="1">
        <v>11.9283018867925</v>
      </c>
      <c r="G3348" s="2">
        <v>616.91099196688299</v>
      </c>
      <c r="H3348" s="1">
        <v>138.32084023649799</v>
      </c>
      <c r="I3348" s="1">
        <f t="shared" si="105"/>
        <v>132.36240722389044</v>
      </c>
    </row>
    <row r="3349" spans="1:9" x14ac:dyDescent="0.45">
      <c r="A3349" t="s">
        <v>22</v>
      </c>
      <c r="B3349" t="s">
        <v>56</v>
      </c>
      <c r="C3349" t="str">
        <f t="shared" si="104"/>
        <v>DukeSaint Mary's</v>
      </c>
      <c r="D3349" t="s">
        <v>22</v>
      </c>
      <c r="E3349">
        <v>89.5</v>
      </c>
      <c r="F3349" s="1">
        <v>-14.022641509433999</v>
      </c>
      <c r="G3349" s="2">
        <v>-849.23897505968603</v>
      </c>
      <c r="H3349" s="1">
        <v>140.40118012510001</v>
      </c>
      <c r="I3349" s="1">
        <f t="shared" si="105"/>
        <v>161.57394827240265</v>
      </c>
    </row>
    <row r="3350" spans="1:9" x14ac:dyDescent="0.45">
      <c r="A3350" t="s">
        <v>23</v>
      </c>
      <c r="B3350" t="s">
        <v>56</v>
      </c>
      <c r="C3350" t="str">
        <f t="shared" si="104"/>
        <v>FloridaSaint Mary's</v>
      </c>
      <c r="D3350" t="s">
        <v>23</v>
      </c>
      <c r="E3350">
        <v>82.5</v>
      </c>
      <c r="F3350" s="1">
        <v>-10.1660377358491</v>
      </c>
      <c r="G3350" s="2">
        <v>-471.51743647792199</v>
      </c>
      <c r="H3350" s="1">
        <v>140.13583065265499</v>
      </c>
      <c r="I3350" s="1">
        <f t="shared" si="105"/>
        <v>157.84798644808859</v>
      </c>
    </row>
    <row r="3351" spans="1:9" x14ac:dyDescent="0.45">
      <c r="A3351" t="s">
        <v>24</v>
      </c>
      <c r="B3351" t="s">
        <v>56</v>
      </c>
      <c r="C3351" t="str">
        <f t="shared" si="104"/>
        <v>GeorgiaSaint Mary's</v>
      </c>
      <c r="D3351" t="s">
        <v>56</v>
      </c>
      <c r="E3351">
        <v>15.9</v>
      </c>
      <c r="F3351" s="1">
        <v>10.8943396226415</v>
      </c>
      <c r="G3351" s="2">
        <v>527.00867072072003</v>
      </c>
      <c r="H3351" s="1">
        <v>137.39978894894</v>
      </c>
      <c r="I3351" s="1">
        <f t="shared" si="105"/>
        <v>119.42926699921044</v>
      </c>
    </row>
    <row r="3352" spans="1:9" x14ac:dyDescent="0.45">
      <c r="A3352" t="s">
        <v>25</v>
      </c>
      <c r="B3352" t="s">
        <v>56</v>
      </c>
      <c r="C3352" t="str">
        <f t="shared" si="104"/>
        <v>GonzagaSaint Mary's</v>
      </c>
      <c r="D3352" t="s">
        <v>56</v>
      </c>
      <c r="E3352">
        <v>49</v>
      </c>
      <c r="F3352" s="1">
        <v>0.26415094339622602</v>
      </c>
      <c r="G3352" s="2">
        <v>104.130731187495</v>
      </c>
      <c r="H3352" s="1">
        <v>139.37675067944599</v>
      </c>
      <c r="I3352" s="1">
        <f t="shared" si="105"/>
        <v>147.18920135340923</v>
      </c>
    </row>
    <row r="3353" spans="1:9" x14ac:dyDescent="0.45">
      <c r="A3353" t="s">
        <v>26</v>
      </c>
      <c r="B3353" t="s">
        <v>56</v>
      </c>
      <c r="C3353" t="str">
        <f t="shared" si="104"/>
        <v>Grand CanyonSaint Mary's</v>
      </c>
      <c r="D3353" t="s">
        <v>56</v>
      </c>
      <c r="E3353">
        <v>9.4</v>
      </c>
      <c r="F3353" s="1">
        <v>14.8150943396226</v>
      </c>
      <c r="G3353" s="2">
        <v>958.42416002975403</v>
      </c>
      <c r="H3353" s="1">
        <v>138.19472239698499</v>
      </c>
      <c r="I3353" s="1">
        <f t="shared" si="105"/>
        <v>130.5914963904884</v>
      </c>
    </row>
    <row r="3354" spans="1:9" x14ac:dyDescent="0.45">
      <c r="A3354" t="s">
        <v>27</v>
      </c>
      <c r="B3354" t="s">
        <v>56</v>
      </c>
      <c r="C3354" t="str">
        <f t="shared" si="104"/>
        <v>High PointSaint Mary's</v>
      </c>
      <c r="D3354" t="s">
        <v>56</v>
      </c>
      <c r="E3354">
        <v>6.1</v>
      </c>
      <c r="F3354" s="1">
        <v>17.905660377358501</v>
      </c>
      <c r="G3354" s="2">
        <v>1535.4646207702999</v>
      </c>
      <c r="H3354" s="1">
        <v>138.38592953053299</v>
      </c>
      <c r="I3354" s="1">
        <f t="shared" si="105"/>
        <v>133.27637257875364</v>
      </c>
    </row>
    <row r="3355" spans="1:9" x14ac:dyDescent="0.45">
      <c r="A3355" t="s">
        <v>28</v>
      </c>
      <c r="B3355" t="s">
        <v>56</v>
      </c>
      <c r="C3355" t="str">
        <f t="shared" si="104"/>
        <v>HoustonSaint Mary's</v>
      </c>
      <c r="D3355" t="s">
        <v>28</v>
      </c>
      <c r="E3355">
        <v>93.4</v>
      </c>
      <c r="F3355" s="1">
        <v>-17.377358490565999</v>
      </c>
      <c r="G3355" s="2">
        <v>-1416.6418846665799</v>
      </c>
      <c r="H3355" s="1">
        <v>140.499391887737</v>
      </c>
      <c r="I3355" s="1">
        <f t="shared" si="105"/>
        <v>162.95300991104915</v>
      </c>
    </row>
    <row r="3356" spans="1:9" x14ac:dyDescent="0.45">
      <c r="A3356" t="s">
        <v>29</v>
      </c>
      <c r="B3356" t="s">
        <v>56</v>
      </c>
      <c r="C3356" t="str">
        <f t="shared" si="104"/>
        <v>IllinoisSaint Mary's</v>
      </c>
      <c r="D3356" t="s">
        <v>29</v>
      </c>
      <c r="E3356">
        <v>58.3</v>
      </c>
      <c r="F3356" s="1">
        <v>-2.1886792452830202</v>
      </c>
      <c r="G3356" s="2">
        <v>-139.651787249688</v>
      </c>
      <c r="H3356" s="1">
        <v>138.55785566269799</v>
      </c>
      <c r="I3356" s="1">
        <f t="shared" si="105"/>
        <v>135.6905104292876</v>
      </c>
    </row>
    <row r="3357" spans="1:9" x14ac:dyDescent="0.45">
      <c r="A3357" t="s">
        <v>30</v>
      </c>
      <c r="B3357" t="s">
        <v>56</v>
      </c>
      <c r="C3357" t="str">
        <f t="shared" si="104"/>
        <v>Iowa St.Saint Mary's</v>
      </c>
      <c r="D3357" t="s">
        <v>30</v>
      </c>
      <c r="E3357">
        <v>74.599999999999994</v>
      </c>
      <c r="F3357" s="1">
        <v>-7.0490566037735896</v>
      </c>
      <c r="G3357" s="2">
        <v>-293.158544909537</v>
      </c>
      <c r="H3357" s="1">
        <v>139.45439795428399</v>
      </c>
      <c r="I3357" s="1">
        <f t="shared" si="105"/>
        <v>148.27950230310626</v>
      </c>
    </row>
    <row r="3358" spans="1:9" x14ac:dyDescent="0.45">
      <c r="A3358" t="s">
        <v>31</v>
      </c>
      <c r="B3358" t="s">
        <v>56</v>
      </c>
      <c r="C3358" t="str">
        <f t="shared" si="104"/>
        <v>KansasSaint Mary's</v>
      </c>
      <c r="D3358" t="s">
        <v>56</v>
      </c>
      <c r="E3358">
        <v>47.5</v>
      </c>
      <c r="F3358" s="1">
        <v>0.66415094339622605</v>
      </c>
      <c r="G3358" s="2">
        <v>110.687448996839</v>
      </c>
      <c r="H3358" s="1">
        <v>138.504985843138</v>
      </c>
      <c r="I3358" s="1">
        <f t="shared" si="105"/>
        <v>134.94812745967496</v>
      </c>
    </row>
    <row r="3359" spans="1:9" x14ac:dyDescent="0.45">
      <c r="A3359" t="s">
        <v>32</v>
      </c>
      <c r="B3359" t="s">
        <v>56</v>
      </c>
      <c r="C3359" t="str">
        <f t="shared" si="104"/>
        <v>KentuckySaint Mary's</v>
      </c>
      <c r="D3359" t="s">
        <v>32</v>
      </c>
      <c r="E3359">
        <v>60.1</v>
      </c>
      <c r="F3359" s="1">
        <v>-2.6981132075471699</v>
      </c>
      <c r="G3359" s="2">
        <v>-150.93416773830799</v>
      </c>
      <c r="H3359" s="1">
        <v>138.43926817526301</v>
      </c>
      <c r="I3359" s="1">
        <f t="shared" si="105"/>
        <v>134.02533865806578</v>
      </c>
    </row>
    <row r="3360" spans="1:9" x14ac:dyDescent="0.45">
      <c r="A3360" t="s">
        <v>33</v>
      </c>
      <c r="B3360" t="s">
        <v>56</v>
      </c>
      <c r="C3360" t="str">
        <f t="shared" si="104"/>
        <v>LibertySaint Mary's</v>
      </c>
      <c r="D3360" t="s">
        <v>56</v>
      </c>
      <c r="E3360">
        <v>4.3</v>
      </c>
      <c r="F3360" s="1">
        <v>20.286792452830198</v>
      </c>
      <c r="G3360" s="2">
        <v>2208.2098896948601</v>
      </c>
      <c r="H3360" s="1">
        <v>137.784269218981</v>
      </c>
      <c r="I3360" s="1">
        <f t="shared" si="105"/>
        <v>124.8280296015047</v>
      </c>
    </row>
    <row r="3361" spans="1:9" x14ac:dyDescent="0.45">
      <c r="A3361" t="s">
        <v>34</v>
      </c>
      <c r="B3361" t="s">
        <v>56</v>
      </c>
      <c r="C3361" t="str">
        <f t="shared" si="104"/>
        <v>LipscombSaint Mary's</v>
      </c>
      <c r="D3361" t="s">
        <v>56</v>
      </c>
      <c r="E3361">
        <v>3.3</v>
      </c>
      <c r="F3361" s="1">
        <v>22.154716981132101</v>
      </c>
      <c r="G3361" s="2">
        <v>2935.2064371483302</v>
      </c>
      <c r="H3361" s="1">
        <v>138.19058741657301</v>
      </c>
      <c r="I3361" s="1">
        <f t="shared" si="105"/>
        <v>130.53343417156879</v>
      </c>
    </row>
    <row r="3362" spans="1:9" x14ac:dyDescent="0.45">
      <c r="A3362" t="s">
        <v>35</v>
      </c>
      <c r="B3362" t="s">
        <v>56</v>
      </c>
      <c r="C3362" t="str">
        <f t="shared" si="104"/>
        <v>LouisvilleSaint Mary's</v>
      </c>
      <c r="D3362" t="s">
        <v>56</v>
      </c>
      <c r="E3362">
        <v>7.9</v>
      </c>
      <c r="F3362" s="1">
        <v>16.1056603773585</v>
      </c>
      <c r="G3362" s="2">
        <v>1166.54317242096</v>
      </c>
      <c r="H3362" s="1">
        <v>137.43594942239</v>
      </c>
      <c r="I3362" s="1">
        <f t="shared" si="105"/>
        <v>119.93702208303381</v>
      </c>
    </row>
    <row r="3363" spans="1:9" x14ac:dyDescent="0.45">
      <c r="A3363" t="s">
        <v>36</v>
      </c>
      <c r="B3363" t="s">
        <v>56</v>
      </c>
      <c r="C3363" t="str">
        <f t="shared" si="104"/>
        <v>MarquetteSaint Mary's</v>
      </c>
      <c r="D3363" t="s">
        <v>36</v>
      </c>
      <c r="E3363">
        <v>53.7</v>
      </c>
      <c r="F3363" s="1">
        <v>-0.96226415094339601</v>
      </c>
      <c r="G3363" s="2">
        <v>-115.83571434996099</v>
      </c>
      <c r="H3363" s="1">
        <v>138.698083265853</v>
      </c>
      <c r="I3363" s="1">
        <f t="shared" si="105"/>
        <v>137.65954655080799</v>
      </c>
    </row>
    <row r="3364" spans="1:9" x14ac:dyDescent="0.45">
      <c r="A3364" t="s">
        <v>37</v>
      </c>
      <c r="B3364" t="s">
        <v>56</v>
      </c>
      <c r="C3364" t="str">
        <f t="shared" si="104"/>
        <v>MarylandSaint Mary's</v>
      </c>
      <c r="D3364" t="s">
        <v>56</v>
      </c>
      <c r="E3364">
        <v>41.7</v>
      </c>
      <c r="F3364" s="1">
        <v>2.2037735849056599</v>
      </c>
      <c r="G3364" s="2">
        <v>139.95594481310101</v>
      </c>
      <c r="H3364" s="1">
        <v>138.15645286439499</v>
      </c>
      <c r="I3364" s="1">
        <f t="shared" si="105"/>
        <v>130.05412649805646</v>
      </c>
    </row>
    <row r="3365" spans="1:9" x14ac:dyDescent="0.45">
      <c r="A3365" t="s">
        <v>38</v>
      </c>
      <c r="B3365" t="s">
        <v>56</v>
      </c>
      <c r="C3365" t="str">
        <f t="shared" si="104"/>
        <v>McNeese St.Saint Mary's</v>
      </c>
      <c r="D3365" t="s">
        <v>56</v>
      </c>
      <c r="E3365">
        <v>14.3</v>
      </c>
      <c r="F3365" s="1">
        <v>11.743396226415101</v>
      </c>
      <c r="G3365" s="2">
        <v>599.87536064141602</v>
      </c>
      <c r="H3365" s="1">
        <v>138.74968827736001</v>
      </c>
      <c r="I3365" s="1">
        <f t="shared" si="105"/>
        <v>138.38416944546339</v>
      </c>
    </row>
    <row r="3366" spans="1:9" x14ac:dyDescent="0.45">
      <c r="A3366" t="s">
        <v>39</v>
      </c>
      <c r="B3366" t="s">
        <v>56</v>
      </c>
      <c r="C3366" t="str">
        <f t="shared" si="104"/>
        <v>MemphisSaint Mary's</v>
      </c>
      <c r="D3366" t="s">
        <v>56</v>
      </c>
      <c r="E3366">
        <v>28.7</v>
      </c>
      <c r="F3366" s="1">
        <v>5.9698113207547197</v>
      </c>
      <c r="G3366" s="2">
        <v>248.53738071680499</v>
      </c>
      <c r="H3366" s="1">
        <v>137.283970103885</v>
      </c>
      <c r="I3366" s="1">
        <f t="shared" si="105"/>
        <v>117.80297171686165</v>
      </c>
    </row>
    <row r="3367" spans="1:9" x14ac:dyDescent="0.45">
      <c r="A3367" t="s">
        <v>40</v>
      </c>
      <c r="B3367" t="s">
        <v>56</v>
      </c>
      <c r="C3367" t="str">
        <f t="shared" si="104"/>
        <v>MichiganSaint Mary's</v>
      </c>
      <c r="D3367" t="s">
        <v>56</v>
      </c>
      <c r="E3367">
        <v>16.600000000000001</v>
      </c>
      <c r="F3367" s="1">
        <v>10.5924528301887</v>
      </c>
      <c r="G3367" s="2">
        <v>503.25297542866099</v>
      </c>
      <c r="H3367" s="1">
        <v>136.846591400802</v>
      </c>
      <c r="I3367" s="1">
        <f t="shared" si="105"/>
        <v>111.66142436257823</v>
      </c>
    </row>
    <row r="3368" spans="1:9" x14ac:dyDescent="0.45">
      <c r="A3368" t="s">
        <v>41</v>
      </c>
      <c r="B3368" t="s">
        <v>56</v>
      </c>
      <c r="C3368" t="str">
        <f t="shared" si="104"/>
        <v>Michigan St.Saint Mary's</v>
      </c>
      <c r="D3368" t="s">
        <v>41</v>
      </c>
      <c r="E3368">
        <v>65.3</v>
      </c>
      <c r="F3368" s="1">
        <v>-4.1547169811320801</v>
      </c>
      <c r="G3368" s="2">
        <v>-188.438131889906</v>
      </c>
      <c r="H3368" s="1">
        <v>138.49367111000899</v>
      </c>
      <c r="I3368" s="1">
        <f t="shared" si="105"/>
        <v>134.7892491950885</v>
      </c>
    </row>
    <row r="3369" spans="1:9" x14ac:dyDescent="0.45">
      <c r="A3369" t="s">
        <v>42</v>
      </c>
      <c r="B3369" t="s">
        <v>56</v>
      </c>
      <c r="C3369" t="str">
        <f t="shared" si="104"/>
        <v>MississippiSaint Mary's</v>
      </c>
      <c r="D3369" t="s">
        <v>56</v>
      </c>
      <c r="E3369">
        <v>34</v>
      </c>
      <c r="F3369" s="1">
        <v>4.3433962264150896</v>
      </c>
      <c r="G3369" s="2">
        <v>193.95573472231499</v>
      </c>
      <c r="H3369" s="1">
        <v>137.76136245989801</v>
      </c>
      <c r="I3369" s="1">
        <f t="shared" si="105"/>
        <v>124.5063794053482</v>
      </c>
    </row>
    <row r="3370" spans="1:9" x14ac:dyDescent="0.45">
      <c r="A3370" t="s">
        <v>43</v>
      </c>
      <c r="B3370" t="s">
        <v>56</v>
      </c>
      <c r="C3370" t="str">
        <f t="shared" si="104"/>
        <v>Mississippi St.Saint Mary's</v>
      </c>
      <c r="D3370" t="s">
        <v>56</v>
      </c>
      <c r="E3370">
        <v>28.4</v>
      </c>
      <c r="F3370" s="1">
        <v>6.0679245283018899</v>
      </c>
      <c r="G3370" s="2">
        <v>252.27832626634299</v>
      </c>
      <c r="H3370" s="1">
        <v>137.901108932575</v>
      </c>
      <c r="I3370" s="1">
        <f t="shared" si="105"/>
        <v>126.46865962953402</v>
      </c>
    </row>
    <row r="3371" spans="1:9" x14ac:dyDescent="0.45">
      <c r="A3371" t="s">
        <v>44</v>
      </c>
      <c r="B3371" t="s">
        <v>56</v>
      </c>
      <c r="C3371" t="str">
        <f t="shared" si="104"/>
        <v>MissouriSaint Mary's</v>
      </c>
      <c r="D3371" t="s">
        <v>56</v>
      </c>
      <c r="E3371">
        <v>15.7</v>
      </c>
      <c r="F3371" s="1">
        <v>11</v>
      </c>
      <c r="G3371" s="2">
        <v>535.49845591259202</v>
      </c>
      <c r="H3371" s="1">
        <v>137.318770831221</v>
      </c>
      <c r="I3371" s="1">
        <f t="shared" si="105"/>
        <v>118.29163363247628</v>
      </c>
    </row>
    <row r="3372" spans="1:9" x14ac:dyDescent="0.45">
      <c r="A3372" t="s">
        <v>45</v>
      </c>
      <c r="B3372" t="s">
        <v>56</v>
      </c>
      <c r="C3372" t="str">
        <f t="shared" si="104"/>
        <v>MontanaSaint Mary's</v>
      </c>
      <c r="D3372" t="s">
        <v>56</v>
      </c>
      <c r="E3372">
        <v>1.6</v>
      </c>
      <c r="F3372" s="1">
        <v>26.807547169811301</v>
      </c>
      <c r="G3372" s="2">
        <v>5969.0328022646399</v>
      </c>
      <c r="H3372" s="1">
        <v>136.45548239462701</v>
      </c>
      <c r="I3372" s="1">
        <f t="shared" si="105"/>
        <v>106.16958293276222</v>
      </c>
    </row>
    <row r="3373" spans="1:9" x14ac:dyDescent="0.45">
      <c r="A3373" t="s">
        <v>46</v>
      </c>
      <c r="B3373" t="s">
        <v>56</v>
      </c>
      <c r="C3373" t="str">
        <f t="shared" si="104"/>
        <v>Mount St. Mary'sSaint Mary's</v>
      </c>
      <c r="D3373" t="s">
        <v>56</v>
      </c>
      <c r="E3373">
        <v>0.6</v>
      </c>
      <c r="F3373" s="1">
        <v>33.139622641509398</v>
      </c>
      <c r="G3373" s="2">
        <v>15686.5740519832</v>
      </c>
      <c r="H3373" s="1">
        <v>137.758770348778</v>
      </c>
      <c r="I3373" s="1">
        <f t="shared" si="105"/>
        <v>124.46998171822058</v>
      </c>
    </row>
    <row r="3374" spans="1:9" x14ac:dyDescent="0.45">
      <c r="A3374" t="s">
        <v>47</v>
      </c>
      <c r="B3374" t="s">
        <v>56</v>
      </c>
      <c r="C3374" t="str">
        <f t="shared" si="104"/>
        <v>Nebraska OmahaSaint Mary's</v>
      </c>
      <c r="D3374" t="s">
        <v>56</v>
      </c>
      <c r="E3374">
        <v>0.9</v>
      </c>
      <c r="F3374" s="1">
        <v>30.9509433962264</v>
      </c>
      <c r="G3374" s="2">
        <v>11231.1850427422</v>
      </c>
      <c r="H3374" s="1">
        <v>137.176546480881</v>
      </c>
      <c r="I3374" s="1">
        <f t="shared" si="105"/>
        <v>116.294559754877</v>
      </c>
    </row>
    <row r="3375" spans="1:9" x14ac:dyDescent="0.45">
      <c r="A3375" t="s">
        <v>48</v>
      </c>
      <c r="B3375" t="s">
        <v>56</v>
      </c>
      <c r="C3375" t="str">
        <f t="shared" si="104"/>
        <v>New MexicoSaint Mary's</v>
      </c>
      <c r="D3375" t="s">
        <v>56</v>
      </c>
      <c r="E3375">
        <v>17.600000000000001</v>
      </c>
      <c r="F3375" s="1">
        <v>10.1169811320755</v>
      </c>
      <c r="G3375" s="2">
        <v>468.10403958850202</v>
      </c>
      <c r="H3375" s="1">
        <v>137.94653641269801</v>
      </c>
      <c r="I3375" s="1">
        <f t="shared" si="105"/>
        <v>127.1065393854404</v>
      </c>
    </row>
    <row r="3376" spans="1:9" x14ac:dyDescent="0.45">
      <c r="A3376" t="s">
        <v>49</v>
      </c>
      <c r="B3376" t="s">
        <v>56</v>
      </c>
      <c r="C3376" t="str">
        <f t="shared" si="104"/>
        <v>Norfolk St.Saint Mary's</v>
      </c>
      <c r="D3376" t="s">
        <v>56</v>
      </c>
      <c r="E3376">
        <v>1.2</v>
      </c>
      <c r="F3376" s="1">
        <v>28.683018867924499</v>
      </c>
      <c r="G3376" s="2">
        <v>7950.1028333941604</v>
      </c>
      <c r="H3376" s="1">
        <v>136.98266217666199</v>
      </c>
      <c r="I3376" s="1">
        <f t="shared" si="105"/>
        <v>113.57209149746075</v>
      </c>
    </row>
    <row r="3377" spans="1:9" x14ac:dyDescent="0.45">
      <c r="A3377" t="s">
        <v>50</v>
      </c>
      <c r="B3377" t="s">
        <v>56</v>
      </c>
      <c r="C3377" t="str">
        <f t="shared" si="104"/>
        <v>North CarolinaSaint Mary's</v>
      </c>
      <c r="D3377" t="s">
        <v>56</v>
      </c>
      <c r="E3377">
        <v>42.2</v>
      </c>
      <c r="F3377" s="1">
        <v>2.0679245283018899</v>
      </c>
      <c r="G3377" s="2">
        <v>137.083563162416</v>
      </c>
      <c r="H3377" s="1">
        <v>139.05626813113199</v>
      </c>
      <c r="I3377" s="1">
        <f t="shared" si="105"/>
        <v>142.68907655808198</v>
      </c>
    </row>
    <row r="3378" spans="1:9" x14ac:dyDescent="0.45">
      <c r="A3378" t="s">
        <v>51</v>
      </c>
      <c r="B3378" t="s">
        <v>56</v>
      </c>
      <c r="C3378" t="str">
        <f t="shared" si="104"/>
        <v>OklahomaSaint Mary's</v>
      </c>
      <c r="D3378" t="s">
        <v>56</v>
      </c>
      <c r="E3378">
        <v>20.3</v>
      </c>
      <c r="F3378" s="1">
        <v>8.9509433962264104</v>
      </c>
      <c r="G3378" s="2">
        <v>391.70814689530403</v>
      </c>
      <c r="H3378" s="1">
        <v>137.47989125730601</v>
      </c>
      <c r="I3378" s="1">
        <f t="shared" si="105"/>
        <v>120.55404083147428</v>
      </c>
    </row>
    <row r="3379" spans="1:9" x14ac:dyDescent="0.45">
      <c r="A3379" t="s">
        <v>52</v>
      </c>
      <c r="B3379" t="s">
        <v>56</v>
      </c>
      <c r="C3379" t="str">
        <f t="shared" si="104"/>
        <v>OregonSaint Mary's</v>
      </c>
      <c r="D3379" t="s">
        <v>56</v>
      </c>
      <c r="E3379">
        <v>41.7</v>
      </c>
      <c r="F3379" s="1">
        <v>2.18490566037736</v>
      </c>
      <c r="G3379" s="2">
        <v>139.53924166241899</v>
      </c>
      <c r="H3379" s="1">
        <v>137.77060864883501</v>
      </c>
      <c r="I3379" s="1">
        <f t="shared" si="105"/>
        <v>124.63621176070285</v>
      </c>
    </row>
    <row r="3380" spans="1:9" x14ac:dyDescent="0.45">
      <c r="A3380" t="s">
        <v>53</v>
      </c>
      <c r="B3380" t="s">
        <v>56</v>
      </c>
      <c r="C3380" t="str">
        <f t="shared" si="104"/>
        <v>PurdueSaint Mary's</v>
      </c>
      <c r="D3380" t="s">
        <v>53</v>
      </c>
      <c r="E3380">
        <v>80.2</v>
      </c>
      <c r="F3380" s="1">
        <v>-9.1886792452830193</v>
      </c>
      <c r="G3380" s="2">
        <v>-406.16571524636799</v>
      </c>
      <c r="H3380" s="1">
        <v>139.25869584863301</v>
      </c>
      <c r="I3380" s="1">
        <f t="shared" si="105"/>
        <v>145.53150899498124</v>
      </c>
    </row>
    <row r="3381" spans="1:9" x14ac:dyDescent="0.45">
      <c r="A3381" t="s">
        <v>54</v>
      </c>
      <c r="B3381" t="s">
        <v>56</v>
      </c>
      <c r="C3381" t="str">
        <f t="shared" si="104"/>
        <v>Robert MorrisSaint Mary's</v>
      </c>
      <c r="D3381" t="s">
        <v>56</v>
      </c>
      <c r="E3381">
        <v>0.5</v>
      </c>
      <c r="F3381" s="1">
        <v>34.701886792452797</v>
      </c>
      <c r="G3381" s="2">
        <v>19903.600176842199</v>
      </c>
      <c r="H3381" s="1">
        <v>136.34166117731999</v>
      </c>
      <c r="I3381" s="1">
        <f t="shared" si="105"/>
        <v>104.57133777110744</v>
      </c>
    </row>
    <row r="3382" spans="1:9" x14ac:dyDescent="0.45">
      <c r="A3382" t="s">
        <v>55</v>
      </c>
      <c r="B3382" t="s">
        <v>56</v>
      </c>
      <c r="C3382" t="str">
        <f t="shared" si="104"/>
        <v>Saint FrancisSaint Mary's</v>
      </c>
      <c r="D3382" t="s">
        <v>56</v>
      </c>
      <c r="E3382">
        <v>0.3</v>
      </c>
      <c r="F3382" s="1">
        <v>38.0641509433962</v>
      </c>
      <c r="G3382" s="2">
        <v>33244.042852416402</v>
      </c>
      <c r="H3382" s="1">
        <v>137.048509059363</v>
      </c>
      <c r="I3382" s="1">
        <f t="shared" si="105"/>
        <v>114.496694696907</v>
      </c>
    </row>
    <row r="3383" spans="1:9" x14ac:dyDescent="0.45">
      <c r="A3383" t="s">
        <v>56</v>
      </c>
      <c r="B3383" t="s">
        <v>56</v>
      </c>
      <c r="C3383" t="str">
        <f t="shared" si="104"/>
        <v>Saint Mary'sSaint Mary's</v>
      </c>
      <c r="D3383" t="s">
        <v>56</v>
      </c>
      <c r="E3383">
        <v>41.2</v>
      </c>
      <c r="F3383" s="1">
        <v>2.3283018867924499</v>
      </c>
      <c r="G3383" s="2">
        <v>142.64273539779199</v>
      </c>
      <c r="H3383" s="1">
        <v>138.77771517530499</v>
      </c>
      <c r="I3383" s="1">
        <f t="shared" si="105"/>
        <v>138.77771517530684</v>
      </c>
    </row>
    <row r="3384" spans="1:9" x14ac:dyDescent="0.45">
      <c r="A3384" t="s">
        <v>57</v>
      </c>
      <c r="B3384" t="s">
        <v>56</v>
      </c>
      <c r="C3384" t="str">
        <f t="shared" si="104"/>
        <v>San Diego St.Saint Mary's</v>
      </c>
      <c r="D3384" t="s">
        <v>56</v>
      </c>
      <c r="E3384">
        <v>17.899999999999999</v>
      </c>
      <c r="F3384" s="1">
        <v>10.0037735849057</v>
      </c>
      <c r="G3384" s="2">
        <v>459.884978907358</v>
      </c>
      <c r="H3384" s="1">
        <v>137.99241433833399</v>
      </c>
      <c r="I3384" s="1">
        <f t="shared" si="105"/>
        <v>127.75074416912915</v>
      </c>
    </row>
    <row r="3385" spans="1:9" x14ac:dyDescent="0.45">
      <c r="A3385" t="s">
        <v>58</v>
      </c>
      <c r="B3385" t="s">
        <v>56</v>
      </c>
      <c r="C3385" t="str">
        <f t="shared" si="104"/>
        <v>SIU EdwardsvilleSaint Mary's</v>
      </c>
      <c r="D3385" t="s">
        <v>56</v>
      </c>
      <c r="E3385">
        <v>1</v>
      </c>
      <c r="F3385" s="1">
        <v>29.977358490566001</v>
      </c>
      <c r="G3385" s="2">
        <v>9681.2069514836003</v>
      </c>
      <c r="H3385" s="1">
        <v>138.05167251851799</v>
      </c>
      <c r="I3385" s="1">
        <f t="shared" si="105"/>
        <v>128.58283068171741</v>
      </c>
    </row>
    <row r="3386" spans="1:9" x14ac:dyDescent="0.45">
      <c r="A3386" t="s">
        <v>59</v>
      </c>
      <c r="B3386" t="s">
        <v>56</v>
      </c>
      <c r="C3386" t="str">
        <f t="shared" si="104"/>
        <v>St. John'sSaint Mary's</v>
      </c>
      <c r="D3386" t="s">
        <v>59</v>
      </c>
      <c r="E3386">
        <v>67</v>
      </c>
      <c r="F3386" s="1">
        <v>-4.6566037735849104</v>
      </c>
      <c r="G3386" s="2">
        <v>-203.42297001090299</v>
      </c>
      <c r="H3386" s="1">
        <v>138.871128967072</v>
      </c>
      <c r="I3386" s="1">
        <f t="shared" si="105"/>
        <v>140.08940507158277</v>
      </c>
    </row>
    <row r="3387" spans="1:9" x14ac:dyDescent="0.45">
      <c r="A3387" t="s">
        <v>60</v>
      </c>
      <c r="B3387" t="s">
        <v>56</v>
      </c>
      <c r="C3387" t="str">
        <f t="shared" si="104"/>
        <v>TennesseeSaint Mary's</v>
      </c>
      <c r="D3387" t="s">
        <v>60</v>
      </c>
      <c r="E3387">
        <v>81.8</v>
      </c>
      <c r="F3387" s="1">
        <v>-9.8716981132075503</v>
      </c>
      <c r="G3387" s="2">
        <v>-450.77257253192101</v>
      </c>
      <c r="H3387" s="1">
        <v>139.66436134120701</v>
      </c>
      <c r="I3387" s="1">
        <f t="shared" si="105"/>
        <v>151.22774846681753</v>
      </c>
    </row>
    <row r="3388" spans="1:9" x14ac:dyDescent="0.45">
      <c r="A3388" t="s">
        <v>61</v>
      </c>
      <c r="B3388" t="s">
        <v>56</v>
      </c>
      <c r="C3388" t="str">
        <f t="shared" si="104"/>
        <v>TexasSaint Mary's</v>
      </c>
      <c r="D3388" t="s">
        <v>56</v>
      </c>
      <c r="E3388">
        <v>15.3</v>
      </c>
      <c r="F3388" s="1">
        <v>11.2264150943396</v>
      </c>
      <c r="G3388" s="2">
        <v>554.22656740912203</v>
      </c>
      <c r="H3388" s="1">
        <v>137.36424316884501</v>
      </c>
      <c r="I3388" s="1">
        <f t="shared" si="105"/>
        <v>118.93014326465378</v>
      </c>
    </row>
    <row r="3389" spans="1:9" x14ac:dyDescent="0.45">
      <c r="A3389" t="s">
        <v>62</v>
      </c>
      <c r="B3389" t="s">
        <v>56</v>
      </c>
      <c r="C3389" t="str">
        <f t="shared" si="104"/>
        <v>Texas A&amp;MSaint Mary's</v>
      </c>
      <c r="D3389" t="s">
        <v>62</v>
      </c>
      <c r="E3389">
        <v>50.7</v>
      </c>
      <c r="F3389" s="1">
        <v>-0.177358490566038</v>
      </c>
      <c r="G3389" s="2">
        <v>-102.722821305351</v>
      </c>
      <c r="H3389" s="1">
        <v>138.15121847824199</v>
      </c>
      <c r="I3389" s="1">
        <f t="shared" si="105"/>
        <v>129.98062673640212</v>
      </c>
    </row>
    <row r="3390" spans="1:9" x14ac:dyDescent="0.45">
      <c r="A3390" t="s">
        <v>63</v>
      </c>
      <c r="B3390" t="s">
        <v>56</v>
      </c>
      <c r="C3390" t="str">
        <f t="shared" si="104"/>
        <v>Texas TechSaint Mary's</v>
      </c>
      <c r="D3390" t="s">
        <v>63</v>
      </c>
      <c r="E3390">
        <v>66.599999999999994</v>
      </c>
      <c r="F3390" s="1">
        <v>-4.5094339622641497</v>
      </c>
      <c r="G3390" s="2">
        <v>-198.96760869612601</v>
      </c>
      <c r="H3390" s="1">
        <v>139.141731083482</v>
      </c>
      <c r="I3390" s="1">
        <f t="shared" si="105"/>
        <v>143.88912302855422</v>
      </c>
    </row>
    <row r="3391" spans="1:9" x14ac:dyDescent="0.45">
      <c r="A3391" t="s">
        <v>64</v>
      </c>
      <c r="B3391" t="s">
        <v>56</v>
      </c>
      <c r="C3391" t="str">
        <f t="shared" si="104"/>
        <v>TroySaint Mary's</v>
      </c>
      <c r="D3391" t="s">
        <v>56</v>
      </c>
      <c r="E3391">
        <v>2.8</v>
      </c>
      <c r="F3391" s="1">
        <v>23.2981132075472</v>
      </c>
      <c r="G3391" s="2">
        <v>3495.89905352607</v>
      </c>
      <c r="H3391" s="1">
        <v>137.90803567804099</v>
      </c>
      <c r="I3391" s="1">
        <f t="shared" si="105"/>
        <v>126.56592301933918</v>
      </c>
    </row>
    <row r="3392" spans="1:9" x14ac:dyDescent="0.45">
      <c r="A3392" t="s">
        <v>65</v>
      </c>
      <c r="B3392" t="s">
        <v>56</v>
      </c>
      <c r="C3392" t="str">
        <f t="shared" si="104"/>
        <v>UC San DiegoSaint Mary's</v>
      </c>
      <c r="D3392" t="s">
        <v>56</v>
      </c>
      <c r="E3392">
        <v>6.8</v>
      </c>
      <c r="F3392" s="1">
        <v>17.116981132075502</v>
      </c>
      <c r="G3392" s="2">
        <v>1361.5417754295299</v>
      </c>
      <c r="H3392" s="1">
        <v>137.97815590770301</v>
      </c>
      <c r="I3392" s="1">
        <f t="shared" si="105"/>
        <v>127.55053134143398</v>
      </c>
    </row>
    <row r="3393" spans="1:9" x14ac:dyDescent="0.45">
      <c r="A3393" t="s">
        <v>66</v>
      </c>
      <c r="B3393" t="s">
        <v>56</v>
      </c>
      <c r="C3393" t="str">
        <f t="shared" si="104"/>
        <v>UCLASaint Mary's</v>
      </c>
      <c r="D3393" t="s">
        <v>56</v>
      </c>
      <c r="E3393">
        <v>20.2</v>
      </c>
      <c r="F3393" s="1">
        <v>9.0150943396226406</v>
      </c>
      <c r="G3393" s="2">
        <v>395.67582771207702</v>
      </c>
      <c r="H3393" s="1">
        <v>137.199414486916</v>
      </c>
      <c r="I3393" s="1">
        <f t="shared" si="105"/>
        <v>116.61566579175535</v>
      </c>
    </row>
    <row r="3394" spans="1:9" x14ac:dyDescent="0.45">
      <c r="A3394" t="s">
        <v>67</v>
      </c>
      <c r="B3394" t="s">
        <v>56</v>
      </c>
      <c r="C3394" t="str">
        <f t="shared" si="104"/>
        <v>UNC WilmingtonSaint Mary's</v>
      </c>
      <c r="D3394" t="s">
        <v>56</v>
      </c>
      <c r="E3394">
        <v>4.0999999999999996</v>
      </c>
      <c r="F3394" s="1">
        <v>20.7094339622641</v>
      </c>
      <c r="G3394" s="2">
        <v>2355.01653644817</v>
      </c>
      <c r="H3394" s="1">
        <v>138.51482437836799</v>
      </c>
      <c r="I3394" s="1">
        <f t="shared" si="105"/>
        <v>135.0862773732072</v>
      </c>
    </row>
    <row r="3395" spans="1:9" x14ac:dyDescent="0.45">
      <c r="A3395" t="s">
        <v>68</v>
      </c>
      <c r="B3395" t="s">
        <v>56</v>
      </c>
      <c r="C3395" t="str">
        <f t="shared" ref="C3395:C3458" si="106">A3395&amp;B3395</f>
        <v>Utah St.Saint Mary's</v>
      </c>
      <c r="D3395" t="s">
        <v>56</v>
      </c>
      <c r="E3395">
        <v>19.3</v>
      </c>
      <c r="F3395" s="1">
        <v>9.3811320754716991</v>
      </c>
      <c r="G3395" s="2">
        <v>418.36541219293099</v>
      </c>
      <c r="H3395" s="1">
        <v>138.062010876947</v>
      </c>
      <c r="I3395" s="1">
        <f t="shared" ref="I3395:I3458" si="107">18*(H3395-AVERAGE($H$2:$H$4625))/_xlfn.STDEV.P($H$2:$H$4625)+AVERAGE($H$2:$H$4625)</f>
        <v>128.72799897045613</v>
      </c>
    </row>
    <row r="3396" spans="1:9" x14ac:dyDescent="0.45">
      <c r="A3396" t="s">
        <v>69</v>
      </c>
      <c r="B3396" t="s">
        <v>56</v>
      </c>
      <c r="C3396" t="str">
        <f t="shared" si="106"/>
        <v>VanderbiltSaint Mary's</v>
      </c>
      <c r="D3396" t="s">
        <v>56</v>
      </c>
      <c r="E3396">
        <v>4.5</v>
      </c>
      <c r="F3396" s="1">
        <v>20.030188679245299</v>
      </c>
      <c r="G3396" s="2">
        <v>2123.1209764928299</v>
      </c>
      <c r="H3396" s="1">
        <v>136.49604875822999</v>
      </c>
      <c r="I3396" s="1">
        <f t="shared" si="107"/>
        <v>106.73920427303923</v>
      </c>
    </row>
    <row r="3397" spans="1:9" x14ac:dyDescent="0.45">
      <c r="A3397" t="s">
        <v>70</v>
      </c>
      <c r="B3397" t="s">
        <v>56</v>
      </c>
      <c r="C3397" t="str">
        <f t="shared" si="106"/>
        <v>VCUSaint Mary's</v>
      </c>
      <c r="D3397" t="s">
        <v>56</v>
      </c>
      <c r="E3397">
        <v>13.1</v>
      </c>
      <c r="F3397" s="1">
        <v>12.384905660377401</v>
      </c>
      <c r="G3397" s="2">
        <v>661.38294440296102</v>
      </c>
      <c r="H3397" s="1">
        <v>138.421221887423</v>
      </c>
      <c r="I3397" s="1">
        <f t="shared" si="107"/>
        <v>133.77193781674177</v>
      </c>
    </row>
    <row r="3398" spans="1:9" x14ac:dyDescent="0.45">
      <c r="A3398" t="s">
        <v>71</v>
      </c>
      <c r="B3398" t="s">
        <v>56</v>
      </c>
      <c r="C3398" t="str">
        <f t="shared" si="106"/>
        <v>WisconsinSaint Mary's</v>
      </c>
      <c r="D3398" t="s">
        <v>71</v>
      </c>
      <c r="E3398">
        <v>63.3</v>
      </c>
      <c r="F3398" s="1">
        <v>-3.5698113207547202</v>
      </c>
      <c r="G3398" s="2">
        <v>-172.35847687067201</v>
      </c>
      <c r="H3398" s="1">
        <v>139.07447749575499</v>
      </c>
      <c r="I3398" s="1">
        <f t="shared" si="107"/>
        <v>142.94476727721235</v>
      </c>
    </row>
    <row r="3399" spans="1:9" x14ac:dyDescent="0.45">
      <c r="A3399" t="s">
        <v>80</v>
      </c>
      <c r="B3399" t="s">
        <v>56</v>
      </c>
      <c r="C3399" t="str">
        <f t="shared" si="106"/>
        <v>WoffordSaint Mary's</v>
      </c>
      <c r="D3399" t="s">
        <v>56</v>
      </c>
      <c r="E3399">
        <v>1.5</v>
      </c>
      <c r="F3399" s="1">
        <v>27.603773584905699</v>
      </c>
      <c r="G3399" s="2">
        <v>6743.0042893725504</v>
      </c>
      <c r="H3399" s="1">
        <v>137.172125924982</v>
      </c>
      <c r="I3399" s="1">
        <f t="shared" si="107"/>
        <v>116.23248756618875</v>
      </c>
    </row>
    <row r="3400" spans="1:9" x14ac:dyDescent="0.45">
      <c r="A3400" t="s">
        <v>72</v>
      </c>
      <c r="B3400" t="s">
        <v>56</v>
      </c>
      <c r="C3400" t="str">
        <f t="shared" si="106"/>
        <v>XavierSaint Mary's</v>
      </c>
      <c r="D3400" t="s">
        <v>56</v>
      </c>
      <c r="E3400">
        <v>13</v>
      </c>
      <c r="F3400" s="1">
        <v>12.4566037735849</v>
      </c>
      <c r="G3400" s="2">
        <v>668.80417669801705</v>
      </c>
      <c r="H3400" s="1">
        <v>137.91492809560299</v>
      </c>
      <c r="I3400" s="1">
        <f t="shared" si="107"/>
        <v>126.6627043864797</v>
      </c>
    </row>
    <row r="3401" spans="1:9" x14ac:dyDescent="0.45">
      <c r="A3401" t="s">
        <v>73</v>
      </c>
      <c r="B3401" t="s">
        <v>56</v>
      </c>
      <c r="C3401" t="str">
        <f t="shared" si="106"/>
        <v>YaleSaint Mary's</v>
      </c>
      <c r="D3401" t="s">
        <v>56</v>
      </c>
      <c r="E3401">
        <v>7.3</v>
      </c>
      <c r="F3401" s="1">
        <v>16.705660377358502</v>
      </c>
      <c r="G3401" s="2">
        <v>1278.9232071208</v>
      </c>
      <c r="H3401" s="1">
        <v>138.51463423199701</v>
      </c>
      <c r="I3401" s="1">
        <f t="shared" si="107"/>
        <v>135.08360739194518</v>
      </c>
    </row>
    <row r="3402" spans="1:9" x14ac:dyDescent="0.45">
      <c r="A3402" t="s">
        <v>7</v>
      </c>
      <c r="B3402" t="s">
        <v>57</v>
      </c>
      <c r="C3402" t="str">
        <f t="shared" si="106"/>
        <v>AkronSan Diego St.</v>
      </c>
      <c r="D3402" t="s">
        <v>57</v>
      </c>
      <c r="E3402">
        <v>11.6</v>
      </c>
      <c r="F3402" s="1">
        <v>13.2981132075472</v>
      </c>
      <c r="G3402" s="2">
        <v>760.18421833857701</v>
      </c>
      <c r="H3402" s="1">
        <v>138.11676212954799</v>
      </c>
      <c r="I3402" s="1">
        <f t="shared" si="107"/>
        <v>129.49680048773425</v>
      </c>
    </row>
    <row r="3403" spans="1:9" x14ac:dyDescent="0.45">
      <c r="A3403" t="s">
        <v>8</v>
      </c>
      <c r="B3403" t="s">
        <v>57</v>
      </c>
      <c r="C3403" t="str">
        <f t="shared" si="106"/>
        <v>AlabamaSan Diego St.</v>
      </c>
      <c r="D3403" t="s">
        <v>8</v>
      </c>
      <c r="E3403">
        <v>90.8</v>
      </c>
      <c r="F3403" s="1">
        <v>-15.0415094339623</v>
      </c>
      <c r="G3403" s="2">
        <v>-992.22886060886799</v>
      </c>
      <c r="H3403" s="1">
        <v>139.92437331714299</v>
      </c>
      <c r="I3403" s="1">
        <f t="shared" si="107"/>
        <v>154.87876268318325</v>
      </c>
    </row>
    <row r="3404" spans="1:9" x14ac:dyDescent="0.45">
      <c r="A3404" t="s">
        <v>9</v>
      </c>
      <c r="B3404" t="s">
        <v>57</v>
      </c>
      <c r="C3404" t="str">
        <f t="shared" si="106"/>
        <v>Alabama St.San Diego St.</v>
      </c>
      <c r="D3404" t="s">
        <v>57</v>
      </c>
      <c r="E3404">
        <v>2</v>
      </c>
      <c r="F3404" s="1">
        <v>25.615094339622601</v>
      </c>
      <c r="G3404" s="2">
        <v>4977.4690334847901</v>
      </c>
      <c r="H3404" s="1">
        <v>138.30352388897001</v>
      </c>
      <c r="I3404" s="1">
        <f t="shared" si="107"/>
        <v>132.11925599682635</v>
      </c>
    </row>
    <row r="3405" spans="1:9" x14ac:dyDescent="0.45">
      <c r="A3405" t="s">
        <v>10</v>
      </c>
      <c r="B3405" t="s">
        <v>57</v>
      </c>
      <c r="C3405" t="str">
        <f t="shared" si="106"/>
        <v>AmericanSan Diego St.</v>
      </c>
      <c r="D3405" t="s">
        <v>57</v>
      </c>
      <c r="E3405">
        <v>2.2000000000000002</v>
      </c>
      <c r="F3405" s="1">
        <v>24.856603773584901</v>
      </c>
      <c r="G3405" s="2">
        <v>4434.6800967234103</v>
      </c>
      <c r="H3405" s="1">
        <v>138.06681340873101</v>
      </c>
      <c r="I3405" s="1">
        <f t="shared" si="107"/>
        <v>128.79543475588429</v>
      </c>
    </row>
    <row r="3406" spans="1:9" x14ac:dyDescent="0.45">
      <c r="A3406" t="s">
        <v>11</v>
      </c>
      <c r="B3406" t="s">
        <v>57</v>
      </c>
      <c r="C3406" t="str">
        <f t="shared" si="106"/>
        <v>ArizonaSan Diego St.</v>
      </c>
      <c r="D3406" t="s">
        <v>11</v>
      </c>
      <c r="E3406">
        <v>86.7</v>
      </c>
      <c r="F3406" s="1">
        <v>-12.2867924528302</v>
      </c>
      <c r="G3406" s="2">
        <v>-651.71493300308805</v>
      </c>
      <c r="H3406" s="1">
        <v>139.53485265732101</v>
      </c>
      <c r="I3406" s="1">
        <f t="shared" si="107"/>
        <v>149.40922436111623</v>
      </c>
    </row>
    <row r="3407" spans="1:9" x14ac:dyDescent="0.45">
      <c r="A3407" t="s">
        <v>12</v>
      </c>
      <c r="B3407" t="s">
        <v>57</v>
      </c>
      <c r="C3407" t="str">
        <f t="shared" si="106"/>
        <v>ArkansasSan Diego St.</v>
      </c>
      <c r="D3407" t="s">
        <v>57</v>
      </c>
      <c r="E3407">
        <v>29.8</v>
      </c>
      <c r="F3407" s="1">
        <v>5.6113207547169797</v>
      </c>
      <c r="G3407" s="2">
        <v>235.41922831373699</v>
      </c>
      <c r="H3407" s="1">
        <v>137.86077663511</v>
      </c>
      <c r="I3407" s="1">
        <f t="shared" si="107"/>
        <v>125.90232497939597</v>
      </c>
    </row>
    <row r="3408" spans="1:9" x14ac:dyDescent="0.45">
      <c r="A3408" t="s">
        <v>13</v>
      </c>
      <c r="B3408" t="s">
        <v>57</v>
      </c>
      <c r="C3408" t="str">
        <f t="shared" si="106"/>
        <v>AuburnSan Diego St.</v>
      </c>
      <c r="D3408" t="s">
        <v>13</v>
      </c>
      <c r="E3408">
        <v>95.1</v>
      </c>
      <c r="F3408" s="1">
        <v>-19.4830188679245</v>
      </c>
      <c r="G3408" s="2">
        <v>-1953.09054763787</v>
      </c>
      <c r="H3408" s="1">
        <v>140.94658955049599</v>
      </c>
      <c r="I3408" s="1">
        <f t="shared" si="107"/>
        <v>169.23243230450294</v>
      </c>
    </row>
    <row r="3409" spans="1:9" x14ac:dyDescent="0.45">
      <c r="A3409" t="s">
        <v>14</v>
      </c>
      <c r="B3409" t="s">
        <v>57</v>
      </c>
      <c r="C3409" t="str">
        <f t="shared" si="106"/>
        <v>BaylorSan Diego St.</v>
      </c>
      <c r="D3409" t="s">
        <v>14</v>
      </c>
      <c r="E3409">
        <v>66.3</v>
      </c>
      <c r="F3409" s="1">
        <v>-4.4339622641509404</v>
      </c>
      <c r="G3409" s="2">
        <v>-196.67998872624199</v>
      </c>
      <c r="H3409" s="1">
        <v>139.409506911677</v>
      </c>
      <c r="I3409" s="1">
        <f t="shared" si="107"/>
        <v>147.64915505023217</v>
      </c>
    </row>
    <row r="3410" spans="1:9" x14ac:dyDescent="0.45">
      <c r="A3410" t="s">
        <v>15</v>
      </c>
      <c r="B3410" t="s">
        <v>57</v>
      </c>
      <c r="C3410" t="str">
        <f t="shared" si="106"/>
        <v>BryantSan Diego St.</v>
      </c>
      <c r="D3410" t="s">
        <v>57</v>
      </c>
      <c r="E3410">
        <v>8.4</v>
      </c>
      <c r="F3410" s="1">
        <v>15.6377358490566</v>
      </c>
      <c r="G3410" s="2">
        <v>1086.3046439930899</v>
      </c>
      <c r="H3410" s="1">
        <v>139.00182678732199</v>
      </c>
      <c r="I3410" s="1">
        <f t="shared" si="107"/>
        <v>141.92462669190621</v>
      </c>
    </row>
    <row r="3411" spans="1:9" x14ac:dyDescent="0.45">
      <c r="A3411" t="s">
        <v>16</v>
      </c>
      <c r="B3411" t="s">
        <v>57</v>
      </c>
      <c r="C3411" t="str">
        <f t="shared" si="106"/>
        <v>BYUSan Diego St.</v>
      </c>
      <c r="D3411" t="s">
        <v>16</v>
      </c>
      <c r="E3411">
        <v>69.900000000000006</v>
      </c>
      <c r="F3411" s="1">
        <v>-5.52830188679245</v>
      </c>
      <c r="G3411" s="2">
        <v>-232.41808408408201</v>
      </c>
      <c r="H3411" s="1">
        <v>139.171867461766</v>
      </c>
      <c r="I3411" s="1">
        <f t="shared" si="107"/>
        <v>144.31228948136308</v>
      </c>
    </row>
    <row r="3412" spans="1:9" x14ac:dyDescent="0.45">
      <c r="A3412" t="s">
        <v>17</v>
      </c>
      <c r="B3412" t="s">
        <v>57</v>
      </c>
      <c r="C3412" t="str">
        <f t="shared" si="106"/>
        <v>ClemsonSan Diego St.</v>
      </c>
      <c r="D3412" t="s">
        <v>17</v>
      </c>
      <c r="E3412">
        <v>76.5</v>
      </c>
      <c r="F3412" s="1">
        <v>-7.7320754716981099</v>
      </c>
      <c r="G3412" s="2">
        <v>-325.32023893056902</v>
      </c>
      <c r="H3412" s="1">
        <v>139.52191768420801</v>
      </c>
      <c r="I3412" s="1">
        <f t="shared" si="107"/>
        <v>149.22759514748526</v>
      </c>
    </row>
    <row r="3413" spans="1:9" x14ac:dyDescent="0.45">
      <c r="A3413" t="s">
        <v>18</v>
      </c>
      <c r="B3413" t="s">
        <v>57</v>
      </c>
      <c r="C3413" t="str">
        <f t="shared" si="106"/>
        <v>Colorado St.San Diego St.</v>
      </c>
      <c r="D3413" t="s">
        <v>57</v>
      </c>
      <c r="E3413">
        <v>35</v>
      </c>
      <c r="F3413" s="1">
        <v>4.0490566037735896</v>
      </c>
      <c r="G3413" s="2">
        <v>185.461092749264</v>
      </c>
      <c r="H3413" s="1">
        <v>138.91152865900199</v>
      </c>
      <c r="I3413" s="1">
        <f t="shared" si="107"/>
        <v>140.65668605563064</v>
      </c>
    </row>
    <row r="3414" spans="1:9" x14ac:dyDescent="0.45">
      <c r="A3414" t="s">
        <v>19</v>
      </c>
      <c r="B3414" t="s">
        <v>57</v>
      </c>
      <c r="C3414" t="str">
        <f t="shared" si="106"/>
        <v>ConnecticutSan Diego St.</v>
      </c>
      <c r="D3414" t="s">
        <v>19</v>
      </c>
      <c r="E3414">
        <v>83.5</v>
      </c>
      <c r="F3414" s="1">
        <v>-10.626415094339601</v>
      </c>
      <c r="G3414" s="2">
        <v>-505.82164653728898</v>
      </c>
      <c r="H3414" s="1">
        <v>139.32216851495599</v>
      </c>
      <c r="I3414" s="1">
        <f t="shared" si="107"/>
        <v>146.42277412329554</v>
      </c>
    </row>
    <row r="3415" spans="1:9" x14ac:dyDescent="0.45">
      <c r="A3415" t="s">
        <v>20</v>
      </c>
      <c r="B3415" t="s">
        <v>57</v>
      </c>
      <c r="C3415" t="str">
        <f t="shared" si="106"/>
        <v>CreightonSan Diego St.</v>
      </c>
      <c r="D3415" t="s">
        <v>20</v>
      </c>
      <c r="E3415">
        <v>61</v>
      </c>
      <c r="F3415" s="1">
        <v>-2.9169811320754699</v>
      </c>
      <c r="G3415" s="2">
        <v>-156.08628747721599</v>
      </c>
      <c r="H3415" s="1">
        <v>138.871465267795</v>
      </c>
      <c r="I3415" s="1">
        <f t="shared" si="107"/>
        <v>140.09412731068829</v>
      </c>
    </row>
    <row r="3416" spans="1:9" x14ac:dyDescent="0.45">
      <c r="A3416" t="s">
        <v>21</v>
      </c>
      <c r="B3416" t="s">
        <v>57</v>
      </c>
      <c r="C3416" t="str">
        <f t="shared" si="106"/>
        <v>DrakeSan Diego St.</v>
      </c>
      <c r="D3416" t="s">
        <v>57</v>
      </c>
      <c r="E3416">
        <v>34.299999999999997</v>
      </c>
      <c r="F3416" s="1">
        <v>4.2528301886792503</v>
      </c>
      <c r="G3416" s="2">
        <v>191.34756608097001</v>
      </c>
      <c r="H3416" s="1">
        <v>139.10614107346899</v>
      </c>
      <c r="I3416" s="1">
        <f t="shared" si="107"/>
        <v>143.38937823006813</v>
      </c>
    </row>
    <row r="3417" spans="1:9" x14ac:dyDescent="0.45">
      <c r="A3417" t="s">
        <v>22</v>
      </c>
      <c r="B3417" t="s">
        <v>57</v>
      </c>
      <c r="C3417" t="str">
        <f t="shared" si="106"/>
        <v>DukeSan Diego St.</v>
      </c>
      <c r="D3417" t="s">
        <v>22</v>
      </c>
      <c r="E3417">
        <v>96.5</v>
      </c>
      <c r="F3417" s="1">
        <v>-21.698113207547198</v>
      </c>
      <c r="G3417" s="2">
        <v>-2737.9750328222699</v>
      </c>
      <c r="H3417" s="1">
        <v>141.18648096207201</v>
      </c>
      <c r="I3417" s="1">
        <f t="shared" si="107"/>
        <v>172.60091927859429</v>
      </c>
    </row>
    <row r="3418" spans="1:9" x14ac:dyDescent="0.45">
      <c r="A3418" t="s">
        <v>23</v>
      </c>
      <c r="B3418" t="s">
        <v>57</v>
      </c>
      <c r="C3418" t="str">
        <f t="shared" si="106"/>
        <v>FloridaSan Diego St.</v>
      </c>
      <c r="D3418" t="s">
        <v>23</v>
      </c>
      <c r="E3418">
        <v>93.8</v>
      </c>
      <c r="F3418" s="1">
        <v>-17.841509433962301</v>
      </c>
      <c r="G3418" s="2">
        <v>-1520.1880819544101</v>
      </c>
      <c r="H3418" s="1">
        <v>140.92113148962599</v>
      </c>
      <c r="I3418" s="1">
        <f t="shared" si="107"/>
        <v>168.87495745426628</v>
      </c>
    </row>
    <row r="3419" spans="1:9" x14ac:dyDescent="0.45">
      <c r="A3419" t="s">
        <v>24</v>
      </c>
      <c r="B3419" t="s">
        <v>57</v>
      </c>
      <c r="C3419" t="str">
        <f t="shared" si="106"/>
        <v>GeorgiaSan Diego St.</v>
      </c>
      <c r="D3419" t="s">
        <v>57</v>
      </c>
      <c r="E3419">
        <v>38</v>
      </c>
      <c r="F3419" s="1">
        <v>3.2226415094339602</v>
      </c>
      <c r="G3419" s="2">
        <v>163.46252175612199</v>
      </c>
      <c r="H3419" s="1">
        <v>138.185089785911</v>
      </c>
      <c r="I3419" s="1">
        <f t="shared" si="107"/>
        <v>130.45623800538814</v>
      </c>
    </row>
    <row r="3420" spans="1:9" x14ac:dyDescent="0.45">
      <c r="A3420" t="s">
        <v>25</v>
      </c>
      <c r="B3420" t="s">
        <v>57</v>
      </c>
      <c r="C3420" t="str">
        <f t="shared" si="106"/>
        <v>GonzagaSan Diego St.</v>
      </c>
      <c r="D3420" t="s">
        <v>25</v>
      </c>
      <c r="E3420">
        <v>75.599999999999994</v>
      </c>
      <c r="F3420" s="1">
        <v>-7.4075471698113198</v>
      </c>
      <c r="G3420" s="2">
        <v>-309.61404127599002</v>
      </c>
      <c r="H3420" s="1">
        <v>140.16205151641699</v>
      </c>
      <c r="I3420" s="1">
        <f t="shared" si="107"/>
        <v>158.21617235958692</v>
      </c>
    </row>
    <row r="3421" spans="1:9" x14ac:dyDescent="0.45">
      <c r="A3421" t="s">
        <v>26</v>
      </c>
      <c r="B3421" t="s">
        <v>57</v>
      </c>
      <c r="C3421" t="str">
        <f t="shared" si="106"/>
        <v>Grand CanyonSan Diego St.</v>
      </c>
      <c r="D3421" t="s">
        <v>57</v>
      </c>
      <c r="E3421">
        <v>25.2</v>
      </c>
      <c r="F3421" s="1">
        <v>7.1433962264150903</v>
      </c>
      <c r="G3421" s="2">
        <v>297.27486247276499</v>
      </c>
      <c r="H3421" s="1">
        <v>138.98002323395701</v>
      </c>
      <c r="I3421" s="1">
        <f t="shared" si="107"/>
        <v>141.61846739668047</v>
      </c>
    </row>
    <row r="3422" spans="1:9" x14ac:dyDescent="0.45">
      <c r="A3422" t="s">
        <v>27</v>
      </c>
      <c r="B3422" t="s">
        <v>57</v>
      </c>
      <c r="C3422" t="str">
        <f t="shared" si="106"/>
        <v>High PointSan Diego St.</v>
      </c>
      <c r="D3422" t="s">
        <v>57</v>
      </c>
      <c r="E3422">
        <v>17.399999999999999</v>
      </c>
      <c r="F3422" s="1">
        <v>10.2301886792453</v>
      </c>
      <c r="G3422" s="2">
        <v>476.25576754775801</v>
      </c>
      <c r="H3422" s="1">
        <v>139.17123036750499</v>
      </c>
      <c r="I3422" s="1">
        <f t="shared" si="107"/>
        <v>144.30334358494528</v>
      </c>
    </row>
    <row r="3423" spans="1:9" x14ac:dyDescent="0.45">
      <c r="A3423" t="s">
        <v>28</v>
      </c>
      <c r="B3423" t="s">
        <v>57</v>
      </c>
      <c r="C3423" t="str">
        <f t="shared" si="106"/>
        <v>HoustonSan Diego St.</v>
      </c>
      <c r="D3423" t="s">
        <v>28</v>
      </c>
      <c r="E3423">
        <v>97.9</v>
      </c>
      <c r="F3423" s="1">
        <v>-25.052830188679199</v>
      </c>
      <c r="G3423" s="2">
        <v>-4567.3011067288598</v>
      </c>
      <c r="H3423" s="1">
        <v>141.28469272470801</v>
      </c>
      <c r="I3423" s="1">
        <f t="shared" si="107"/>
        <v>173.97998091722684</v>
      </c>
    </row>
    <row r="3424" spans="1:9" x14ac:dyDescent="0.45">
      <c r="A3424" t="s">
        <v>29</v>
      </c>
      <c r="B3424" t="s">
        <v>57</v>
      </c>
      <c r="C3424" t="str">
        <f t="shared" si="106"/>
        <v>IllinoisSan Diego St.</v>
      </c>
      <c r="D3424" t="s">
        <v>29</v>
      </c>
      <c r="E3424">
        <v>81.8</v>
      </c>
      <c r="F3424" s="1">
        <v>-9.8641509433962309</v>
      </c>
      <c r="G3424" s="2">
        <v>-450.24206143127401</v>
      </c>
      <c r="H3424" s="1">
        <v>139.34315649966999</v>
      </c>
      <c r="I3424" s="1">
        <f t="shared" si="107"/>
        <v>146.71748143547927</v>
      </c>
    </row>
    <row r="3425" spans="1:9" x14ac:dyDescent="0.45">
      <c r="A3425" t="s">
        <v>30</v>
      </c>
      <c r="B3425" t="s">
        <v>57</v>
      </c>
      <c r="C3425" t="str">
        <f t="shared" si="106"/>
        <v>Iowa St.San Diego St.</v>
      </c>
      <c r="D3425" t="s">
        <v>30</v>
      </c>
      <c r="E3425">
        <v>90.4</v>
      </c>
      <c r="F3425" s="1">
        <v>-14.724528301886799</v>
      </c>
      <c r="G3425" s="2">
        <v>-945.15301369018198</v>
      </c>
      <c r="H3425" s="1">
        <v>140.23969879125599</v>
      </c>
      <c r="I3425" s="1">
        <f t="shared" si="107"/>
        <v>159.3064733092979</v>
      </c>
    </row>
    <row r="3426" spans="1:9" x14ac:dyDescent="0.45">
      <c r="A3426" t="s">
        <v>31</v>
      </c>
      <c r="B3426" t="s">
        <v>57</v>
      </c>
      <c r="C3426" t="str">
        <f t="shared" si="106"/>
        <v>KansasSan Diego St.</v>
      </c>
      <c r="D3426" t="s">
        <v>31</v>
      </c>
      <c r="E3426">
        <v>74.400000000000006</v>
      </c>
      <c r="F3426" s="1">
        <v>-7.0075471698113203</v>
      </c>
      <c r="G3426" s="2">
        <v>-291.27364300269397</v>
      </c>
      <c r="H3426" s="1">
        <v>139.29028668011</v>
      </c>
      <c r="I3426" s="1">
        <f t="shared" si="107"/>
        <v>145.97509846586661</v>
      </c>
    </row>
    <row r="3427" spans="1:9" x14ac:dyDescent="0.45">
      <c r="A3427" t="s">
        <v>32</v>
      </c>
      <c r="B3427" t="s">
        <v>57</v>
      </c>
      <c r="C3427" t="str">
        <f t="shared" si="106"/>
        <v>KentuckySan Diego St.</v>
      </c>
      <c r="D3427" t="s">
        <v>32</v>
      </c>
      <c r="E3427">
        <v>83</v>
      </c>
      <c r="F3427" s="1">
        <v>-10.373584905660399</v>
      </c>
      <c r="G3427" s="2">
        <v>-486.616835783184</v>
      </c>
      <c r="H3427" s="1">
        <v>139.22456901223501</v>
      </c>
      <c r="I3427" s="1">
        <f t="shared" si="107"/>
        <v>145.05230966425745</v>
      </c>
    </row>
    <row r="3428" spans="1:9" x14ac:dyDescent="0.45">
      <c r="A3428" t="s">
        <v>33</v>
      </c>
      <c r="B3428" t="s">
        <v>57</v>
      </c>
      <c r="C3428" t="str">
        <f t="shared" si="106"/>
        <v>LibertySan Diego St.</v>
      </c>
      <c r="D3428" t="s">
        <v>57</v>
      </c>
      <c r="E3428">
        <v>12.7</v>
      </c>
      <c r="F3428" s="1">
        <v>12.615094339622599</v>
      </c>
      <c r="G3428" s="2">
        <v>684.92147698954204</v>
      </c>
      <c r="H3428" s="1">
        <v>138.56957005595299</v>
      </c>
      <c r="I3428" s="1">
        <f t="shared" si="107"/>
        <v>135.85500060769635</v>
      </c>
    </row>
    <row r="3429" spans="1:9" x14ac:dyDescent="0.45">
      <c r="A3429" t="s">
        <v>34</v>
      </c>
      <c r="B3429" t="s">
        <v>57</v>
      </c>
      <c r="C3429" t="str">
        <f t="shared" si="106"/>
        <v>LipscombSan Diego St.</v>
      </c>
      <c r="D3429" t="s">
        <v>57</v>
      </c>
      <c r="E3429">
        <v>9.9</v>
      </c>
      <c r="F3429" s="1">
        <v>14.4792452830189</v>
      </c>
      <c r="G3429" s="2">
        <v>910.41433044149699</v>
      </c>
      <c r="H3429" s="1">
        <v>138.97588825354401</v>
      </c>
      <c r="I3429" s="1">
        <f t="shared" si="107"/>
        <v>141.56040517774647</v>
      </c>
    </row>
    <row r="3430" spans="1:9" x14ac:dyDescent="0.45">
      <c r="A3430" t="s">
        <v>35</v>
      </c>
      <c r="B3430" t="s">
        <v>57</v>
      </c>
      <c r="C3430" t="str">
        <f t="shared" si="106"/>
        <v>LouisvilleSan Diego St.</v>
      </c>
      <c r="D3430" t="s">
        <v>57</v>
      </c>
      <c r="E3430">
        <v>21.7</v>
      </c>
      <c r="F3430" s="1">
        <v>8.4301886792452798</v>
      </c>
      <c r="G3430" s="2">
        <v>361.82723225509898</v>
      </c>
      <c r="H3430" s="1">
        <v>138.22125025936199</v>
      </c>
      <c r="I3430" s="1">
        <f t="shared" si="107"/>
        <v>130.96399308922545</v>
      </c>
    </row>
    <row r="3431" spans="1:9" x14ac:dyDescent="0.45">
      <c r="A3431" t="s">
        <v>36</v>
      </c>
      <c r="B3431" t="s">
        <v>57</v>
      </c>
      <c r="C3431" t="str">
        <f t="shared" si="106"/>
        <v>MarquetteSan Diego St.</v>
      </c>
      <c r="D3431" t="s">
        <v>36</v>
      </c>
      <c r="E3431">
        <v>78.900000000000006</v>
      </c>
      <c r="F3431" s="1">
        <v>-8.6377358490566003</v>
      </c>
      <c r="G3431" s="2">
        <v>-373.45824098221101</v>
      </c>
      <c r="H3431" s="1">
        <v>139.483384102824</v>
      </c>
      <c r="I3431" s="1">
        <f t="shared" si="107"/>
        <v>148.68651755698568</v>
      </c>
    </row>
    <row r="3432" spans="1:9" x14ac:dyDescent="0.45">
      <c r="A3432" t="s">
        <v>37</v>
      </c>
      <c r="B3432" t="s">
        <v>57</v>
      </c>
      <c r="C3432" t="str">
        <f t="shared" si="106"/>
        <v>MarylandSan Diego St.</v>
      </c>
      <c r="D3432" t="s">
        <v>37</v>
      </c>
      <c r="E3432">
        <v>69.7</v>
      </c>
      <c r="F3432" s="1">
        <v>-5.47169811320755</v>
      </c>
      <c r="G3432" s="2">
        <v>-230.360607740088</v>
      </c>
      <c r="H3432" s="1">
        <v>138.94175370136699</v>
      </c>
      <c r="I3432" s="1">
        <f t="shared" si="107"/>
        <v>141.08109750424813</v>
      </c>
    </row>
    <row r="3433" spans="1:9" x14ac:dyDescent="0.45">
      <c r="A3433" t="s">
        <v>38</v>
      </c>
      <c r="B3433" t="s">
        <v>57</v>
      </c>
      <c r="C3433" t="str">
        <f t="shared" si="106"/>
        <v>McNeese St.San Diego St.</v>
      </c>
      <c r="D3433" t="s">
        <v>57</v>
      </c>
      <c r="E3433">
        <v>35</v>
      </c>
      <c r="F3433" s="1">
        <v>4.0716981132075496</v>
      </c>
      <c r="G3433" s="2">
        <v>186.063616478471</v>
      </c>
      <c r="H3433" s="1">
        <v>139.53498911433101</v>
      </c>
      <c r="I3433" s="1">
        <f t="shared" si="107"/>
        <v>149.41114045164107</v>
      </c>
    </row>
    <row r="3434" spans="1:9" x14ac:dyDescent="0.45">
      <c r="A3434" t="s">
        <v>39</v>
      </c>
      <c r="B3434" t="s">
        <v>57</v>
      </c>
      <c r="C3434" t="str">
        <f t="shared" si="106"/>
        <v>MemphisSan Diego St.</v>
      </c>
      <c r="D3434" t="s">
        <v>39</v>
      </c>
      <c r="E3434">
        <v>56.5</v>
      </c>
      <c r="F3434" s="1">
        <v>-1.70566037735849</v>
      </c>
      <c r="G3434" s="2">
        <v>-129.720271497993</v>
      </c>
      <c r="H3434" s="1">
        <v>138.069270940857</v>
      </c>
      <c r="I3434" s="1">
        <f t="shared" si="107"/>
        <v>128.82994272305331</v>
      </c>
    </row>
    <row r="3435" spans="1:9" x14ac:dyDescent="0.45">
      <c r="A3435" t="s">
        <v>40</v>
      </c>
      <c r="B3435" t="s">
        <v>57</v>
      </c>
      <c r="C3435" t="str">
        <f t="shared" si="106"/>
        <v>MichiganSan Diego St.</v>
      </c>
      <c r="D3435" t="s">
        <v>57</v>
      </c>
      <c r="E3435">
        <v>39</v>
      </c>
      <c r="F3435" s="1">
        <v>2.9207547169811301</v>
      </c>
      <c r="G3435" s="2">
        <v>156.094206822708</v>
      </c>
      <c r="H3435" s="1">
        <v>137.631892237774</v>
      </c>
      <c r="I3435" s="1">
        <f t="shared" si="107"/>
        <v>122.68839536876989</v>
      </c>
    </row>
    <row r="3436" spans="1:9" x14ac:dyDescent="0.45">
      <c r="A3436" t="s">
        <v>41</v>
      </c>
      <c r="B3436" t="s">
        <v>57</v>
      </c>
      <c r="C3436" t="str">
        <f t="shared" si="106"/>
        <v>Michigan St.San Diego St.</v>
      </c>
      <c r="D3436" t="s">
        <v>41</v>
      </c>
      <c r="E3436">
        <v>85.9</v>
      </c>
      <c r="F3436" s="1">
        <v>-11.8264150943396</v>
      </c>
      <c r="G3436" s="2">
        <v>-607.53087823127203</v>
      </c>
      <c r="H3436" s="1">
        <v>139.27897194698099</v>
      </c>
      <c r="I3436" s="1">
        <f t="shared" si="107"/>
        <v>145.81622020128015</v>
      </c>
    </row>
    <row r="3437" spans="1:9" x14ac:dyDescent="0.45">
      <c r="A3437" t="s">
        <v>42</v>
      </c>
      <c r="B3437" t="s">
        <v>57</v>
      </c>
      <c r="C3437" t="str">
        <f t="shared" si="106"/>
        <v>MississippiSan Diego St.</v>
      </c>
      <c r="D3437" t="s">
        <v>42</v>
      </c>
      <c r="E3437">
        <v>62.4</v>
      </c>
      <c r="F3437" s="1">
        <v>-3.33207547169811</v>
      </c>
      <c r="G3437" s="2">
        <v>-166.22522943259401</v>
      </c>
      <c r="H3437" s="1">
        <v>138.54666329687001</v>
      </c>
      <c r="I3437" s="1">
        <f t="shared" si="107"/>
        <v>135.53335041153986</v>
      </c>
    </row>
    <row r="3438" spans="1:9" x14ac:dyDescent="0.45">
      <c r="A3438" t="s">
        <v>43</v>
      </c>
      <c r="B3438" t="s">
        <v>57</v>
      </c>
      <c r="C3438" t="str">
        <f t="shared" si="106"/>
        <v>Mississippi St.San Diego St.</v>
      </c>
      <c r="D3438" t="s">
        <v>43</v>
      </c>
      <c r="E3438">
        <v>56.1</v>
      </c>
      <c r="F3438" s="1">
        <v>-1.60754716981132</v>
      </c>
      <c r="G3438" s="2">
        <v>-127.7966957413</v>
      </c>
      <c r="H3438" s="1">
        <v>138.686409769547</v>
      </c>
      <c r="I3438" s="1">
        <f t="shared" si="107"/>
        <v>137.49563063572569</v>
      </c>
    </row>
    <row r="3439" spans="1:9" x14ac:dyDescent="0.45">
      <c r="A3439" t="s">
        <v>44</v>
      </c>
      <c r="B3439" t="s">
        <v>57</v>
      </c>
      <c r="C3439" t="str">
        <f t="shared" si="106"/>
        <v>MissouriSan Diego St.</v>
      </c>
      <c r="D3439" t="s">
        <v>57</v>
      </c>
      <c r="E3439">
        <v>37.6</v>
      </c>
      <c r="F3439" s="1">
        <v>3.3245283018867902</v>
      </c>
      <c r="G3439" s="2">
        <v>166.09580233333401</v>
      </c>
      <c r="H3439" s="1">
        <v>138.10407166819201</v>
      </c>
      <c r="I3439" s="1">
        <f t="shared" si="107"/>
        <v>129.31860463865397</v>
      </c>
    </row>
    <row r="3440" spans="1:9" x14ac:dyDescent="0.45">
      <c r="A3440" t="s">
        <v>45</v>
      </c>
      <c r="B3440" t="s">
        <v>57</v>
      </c>
      <c r="C3440" t="str">
        <f t="shared" si="106"/>
        <v>MontanaSan Diego St.</v>
      </c>
      <c r="D3440" t="s">
        <v>57</v>
      </c>
      <c r="E3440">
        <v>5.0999999999999996</v>
      </c>
      <c r="F3440" s="1">
        <v>19.132075471698101</v>
      </c>
      <c r="G3440" s="2">
        <v>1851.41764929377</v>
      </c>
      <c r="H3440" s="1">
        <v>137.24078323159901</v>
      </c>
      <c r="I3440" s="1">
        <f t="shared" si="107"/>
        <v>117.19655393895388</v>
      </c>
    </row>
    <row r="3441" spans="1:9" x14ac:dyDescent="0.45">
      <c r="A3441" t="s">
        <v>46</v>
      </c>
      <c r="B3441" t="s">
        <v>57</v>
      </c>
      <c r="C3441" t="str">
        <f t="shared" si="106"/>
        <v>Mount St. Mary'sSan Diego St.</v>
      </c>
      <c r="D3441" t="s">
        <v>57</v>
      </c>
      <c r="E3441">
        <v>2</v>
      </c>
      <c r="F3441" s="1">
        <v>25.4679245283019</v>
      </c>
      <c r="G3441" s="2">
        <v>4865.5118875836697</v>
      </c>
      <c r="H3441" s="1">
        <v>138.544071185749</v>
      </c>
      <c r="I3441" s="1">
        <f t="shared" si="107"/>
        <v>135.49695272439828</v>
      </c>
    </row>
    <row r="3442" spans="1:9" x14ac:dyDescent="0.45">
      <c r="A3442" t="s">
        <v>47</v>
      </c>
      <c r="B3442" t="s">
        <v>57</v>
      </c>
      <c r="C3442" t="str">
        <f t="shared" si="106"/>
        <v>Nebraska OmahaSan Diego St.</v>
      </c>
      <c r="D3442" t="s">
        <v>57</v>
      </c>
      <c r="E3442">
        <v>2.8</v>
      </c>
      <c r="F3442" s="1">
        <v>23.275471698113201</v>
      </c>
      <c r="G3442" s="2">
        <v>3483.5818296605999</v>
      </c>
      <c r="H3442" s="1">
        <v>137.961847317853</v>
      </c>
      <c r="I3442" s="1">
        <f t="shared" si="107"/>
        <v>127.32153076106866</v>
      </c>
    </row>
    <row r="3443" spans="1:9" x14ac:dyDescent="0.45">
      <c r="A3443" t="s">
        <v>48</v>
      </c>
      <c r="B3443" t="s">
        <v>57</v>
      </c>
      <c r="C3443" t="str">
        <f t="shared" si="106"/>
        <v>New MexicoSan Diego St.</v>
      </c>
      <c r="D3443" t="s">
        <v>57</v>
      </c>
      <c r="E3443">
        <v>40.799999999999997</v>
      </c>
      <c r="F3443" s="1">
        <v>2.44528301886792</v>
      </c>
      <c r="G3443" s="2">
        <v>145.192045229012</v>
      </c>
      <c r="H3443" s="1">
        <v>138.73183724967001</v>
      </c>
      <c r="I3443" s="1">
        <f t="shared" si="107"/>
        <v>138.13351039163206</v>
      </c>
    </row>
    <row r="3444" spans="1:9" x14ac:dyDescent="0.45">
      <c r="A3444" t="s">
        <v>49</v>
      </c>
      <c r="B3444" t="s">
        <v>57</v>
      </c>
      <c r="C3444" t="str">
        <f t="shared" si="106"/>
        <v>Norfolk St.San Diego St.</v>
      </c>
      <c r="D3444" t="s">
        <v>57</v>
      </c>
      <c r="E3444">
        <v>3.9</v>
      </c>
      <c r="F3444" s="1">
        <v>21.011320754717001</v>
      </c>
      <c r="G3444" s="2">
        <v>2465.8870518959102</v>
      </c>
      <c r="H3444" s="1">
        <v>137.76796301363399</v>
      </c>
      <c r="I3444" s="1">
        <f t="shared" si="107"/>
        <v>124.59906250365241</v>
      </c>
    </row>
    <row r="3445" spans="1:9" x14ac:dyDescent="0.45">
      <c r="A3445" t="s">
        <v>50</v>
      </c>
      <c r="B3445" t="s">
        <v>57</v>
      </c>
      <c r="C3445" t="str">
        <f t="shared" si="106"/>
        <v>North CarolinaSan Diego St.</v>
      </c>
      <c r="D3445" t="s">
        <v>50</v>
      </c>
      <c r="E3445">
        <v>70.2</v>
      </c>
      <c r="F3445" s="1">
        <v>-5.60754716981132</v>
      </c>
      <c r="G3445" s="2">
        <v>-235.187470767637</v>
      </c>
      <c r="H3445" s="1">
        <v>139.84156896810299</v>
      </c>
      <c r="I3445" s="1">
        <f t="shared" si="107"/>
        <v>153.71604756425967</v>
      </c>
    </row>
    <row r="3446" spans="1:9" x14ac:dyDescent="0.45">
      <c r="A3446" t="s">
        <v>51</v>
      </c>
      <c r="B3446" t="s">
        <v>57</v>
      </c>
      <c r="C3446" t="str">
        <f t="shared" si="106"/>
        <v>OklahomaSan Diego St.</v>
      </c>
      <c r="D3446" t="s">
        <v>57</v>
      </c>
      <c r="E3446">
        <v>45.1</v>
      </c>
      <c r="F3446" s="1">
        <v>1.2754716981132099</v>
      </c>
      <c r="G3446" s="2">
        <v>121.496296059719</v>
      </c>
      <c r="H3446" s="1">
        <v>138.26519209427801</v>
      </c>
      <c r="I3446" s="1">
        <f t="shared" si="107"/>
        <v>131.58101183766595</v>
      </c>
    </row>
    <row r="3447" spans="1:9" x14ac:dyDescent="0.45">
      <c r="A3447" t="s">
        <v>52</v>
      </c>
      <c r="B3447" t="s">
        <v>57</v>
      </c>
      <c r="C3447" t="str">
        <f t="shared" si="106"/>
        <v>OregonSan Diego St.</v>
      </c>
      <c r="D3447" t="s">
        <v>52</v>
      </c>
      <c r="E3447">
        <v>69.8</v>
      </c>
      <c r="F3447" s="1">
        <v>-5.4905660377358503</v>
      </c>
      <c r="G3447" s="2">
        <v>-231.048528857436</v>
      </c>
      <c r="H3447" s="1">
        <v>138.55590948580601</v>
      </c>
      <c r="I3447" s="1">
        <f t="shared" si="107"/>
        <v>135.66318276688054</v>
      </c>
    </row>
    <row r="3448" spans="1:9" x14ac:dyDescent="0.45">
      <c r="A3448" t="s">
        <v>53</v>
      </c>
      <c r="B3448" t="s">
        <v>57</v>
      </c>
      <c r="C3448" t="str">
        <f t="shared" si="106"/>
        <v>PurdueSan Diego St.</v>
      </c>
      <c r="D3448" t="s">
        <v>53</v>
      </c>
      <c r="E3448">
        <v>92.9</v>
      </c>
      <c r="F3448" s="1">
        <v>-16.860377358490599</v>
      </c>
      <c r="G3448" s="2">
        <v>-1309.4919335924301</v>
      </c>
      <c r="H3448" s="1">
        <v>140.04399668560501</v>
      </c>
      <c r="I3448" s="1">
        <f t="shared" si="107"/>
        <v>156.55848000117291</v>
      </c>
    </row>
    <row r="3449" spans="1:9" x14ac:dyDescent="0.45">
      <c r="A3449" t="s">
        <v>54</v>
      </c>
      <c r="B3449" t="s">
        <v>57</v>
      </c>
      <c r="C3449" t="str">
        <f t="shared" si="106"/>
        <v>Robert MorrisSan Diego St.</v>
      </c>
      <c r="D3449" t="s">
        <v>57</v>
      </c>
      <c r="E3449">
        <v>1.6</v>
      </c>
      <c r="F3449" s="1">
        <v>27.026415094339601</v>
      </c>
      <c r="G3449" s="2">
        <v>6173.5088200405798</v>
      </c>
      <c r="H3449" s="1">
        <v>137.12696201429199</v>
      </c>
      <c r="I3449" s="1">
        <f t="shared" si="107"/>
        <v>115.5983087772991</v>
      </c>
    </row>
    <row r="3450" spans="1:9" x14ac:dyDescent="0.45">
      <c r="A3450" t="s">
        <v>55</v>
      </c>
      <c r="B3450" t="s">
        <v>57</v>
      </c>
      <c r="C3450" t="str">
        <f t="shared" si="106"/>
        <v>Saint FrancisSan Diego St.</v>
      </c>
      <c r="D3450" t="s">
        <v>57</v>
      </c>
      <c r="E3450">
        <v>1</v>
      </c>
      <c r="F3450" s="1">
        <v>30.388679245283001</v>
      </c>
      <c r="G3450" s="2">
        <v>10311.320059673701</v>
      </c>
      <c r="H3450" s="1">
        <v>137.833809896335</v>
      </c>
      <c r="I3450" s="1">
        <f t="shared" si="107"/>
        <v>125.52366570309866</v>
      </c>
    </row>
    <row r="3451" spans="1:9" x14ac:dyDescent="0.45">
      <c r="A3451" t="s">
        <v>56</v>
      </c>
      <c r="B3451" t="s">
        <v>57</v>
      </c>
      <c r="C3451" t="str">
        <f t="shared" si="106"/>
        <v>Saint Mary'sSan Diego St.</v>
      </c>
      <c r="D3451" t="s">
        <v>56</v>
      </c>
      <c r="E3451">
        <v>69.3</v>
      </c>
      <c r="F3451" s="1">
        <v>-5.3471698113207502</v>
      </c>
      <c r="G3451" s="2">
        <v>-226.02158051775001</v>
      </c>
      <c r="H3451" s="1">
        <v>139.56301601227699</v>
      </c>
      <c r="I3451" s="1">
        <f t="shared" si="107"/>
        <v>149.80468618149851</v>
      </c>
    </row>
    <row r="3452" spans="1:9" x14ac:dyDescent="0.45">
      <c r="A3452" t="s">
        <v>57</v>
      </c>
      <c r="B3452" t="s">
        <v>57</v>
      </c>
      <c r="C3452" t="str">
        <f t="shared" si="106"/>
        <v>San Diego St.San Diego St.</v>
      </c>
      <c r="D3452" t="s">
        <v>57</v>
      </c>
      <c r="E3452">
        <v>41.2</v>
      </c>
      <c r="F3452" s="1">
        <v>2.3283018867924499</v>
      </c>
      <c r="G3452" s="2">
        <v>142.64273539779199</v>
      </c>
      <c r="H3452" s="1">
        <v>138.77771517530499</v>
      </c>
      <c r="I3452" s="1">
        <f t="shared" si="107"/>
        <v>138.77771517530684</v>
      </c>
    </row>
    <row r="3453" spans="1:9" x14ac:dyDescent="0.45">
      <c r="A3453" t="s">
        <v>58</v>
      </c>
      <c r="B3453" t="s">
        <v>57</v>
      </c>
      <c r="C3453" t="str">
        <f t="shared" si="106"/>
        <v>SIU EdwardsvilleSan Diego St.</v>
      </c>
      <c r="D3453" t="s">
        <v>57</v>
      </c>
      <c r="E3453">
        <v>3.2</v>
      </c>
      <c r="F3453" s="1">
        <v>22.301886792452802</v>
      </c>
      <c r="G3453" s="2">
        <v>3002.82441229707</v>
      </c>
      <c r="H3453" s="1">
        <v>138.83697335548899</v>
      </c>
      <c r="I3453" s="1">
        <f t="shared" si="107"/>
        <v>139.6098016878951</v>
      </c>
    </row>
    <row r="3454" spans="1:9" x14ac:dyDescent="0.45">
      <c r="A3454" t="s">
        <v>59</v>
      </c>
      <c r="B3454" t="s">
        <v>57</v>
      </c>
      <c r="C3454" t="str">
        <f t="shared" si="106"/>
        <v>St. John'sSan Diego St.</v>
      </c>
      <c r="D3454" t="s">
        <v>59</v>
      </c>
      <c r="E3454">
        <v>86.8</v>
      </c>
      <c r="F3454" s="1">
        <v>-12.3283018867925</v>
      </c>
      <c r="G3454" s="2">
        <v>-655.842500579138</v>
      </c>
      <c r="H3454" s="1">
        <v>139.656429804044</v>
      </c>
      <c r="I3454" s="1">
        <f t="shared" si="107"/>
        <v>151.11637607777442</v>
      </c>
    </row>
    <row r="3455" spans="1:9" x14ac:dyDescent="0.45">
      <c r="A3455" t="s">
        <v>60</v>
      </c>
      <c r="B3455" t="s">
        <v>57</v>
      </c>
      <c r="C3455" t="str">
        <f t="shared" si="106"/>
        <v>TennesseeSan Diego St.</v>
      </c>
      <c r="D3455" t="s">
        <v>60</v>
      </c>
      <c r="E3455">
        <v>93.6</v>
      </c>
      <c r="F3455" s="1">
        <v>-17.543396226415101</v>
      </c>
      <c r="G3455" s="2">
        <v>-1453.30594251957</v>
      </c>
      <c r="H3455" s="1">
        <v>140.44966217817799</v>
      </c>
      <c r="I3455" s="1">
        <f t="shared" si="107"/>
        <v>162.25471947299482</v>
      </c>
    </row>
    <row r="3456" spans="1:9" x14ac:dyDescent="0.45">
      <c r="A3456" t="s">
        <v>61</v>
      </c>
      <c r="B3456" t="s">
        <v>57</v>
      </c>
      <c r="C3456" t="str">
        <f t="shared" si="106"/>
        <v>TexasSan Diego St.</v>
      </c>
      <c r="D3456" t="s">
        <v>57</v>
      </c>
      <c r="E3456">
        <v>36.799999999999997</v>
      </c>
      <c r="F3456" s="1">
        <v>3.5509433962264101</v>
      </c>
      <c r="G3456" s="2">
        <v>171.904709288823</v>
      </c>
      <c r="H3456" s="1">
        <v>138.14954400581601</v>
      </c>
      <c r="I3456" s="1">
        <f t="shared" si="107"/>
        <v>129.95711427083145</v>
      </c>
    </row>
    <row r="3457" spans="1:9" x14ac:dyDescent="0.45">
      <c r="A3457" t="s">
        <v>62</v>
      </c>
      <c r="B3457" t="s">
        <v>57</v>
      </c>
      <c r="C3457" t="str">
        <f t="shared" si="106"/>
        <v>Texas A&amp;MSan Diego St.</v>
      </c>
      <c r="D3457" t="s">
        <v>62</v>
      </c>
      <c r="E3457">
        <v>76.8</v>
      </c>
      <c r="F3457" s="1">
        <v>-7.8490566037735796</v>
      </c>
      <c r="G3457" s="2">
        <v>-331.18183255231401</v>
      </c>
      <c r="H3457" s="1">
        <v>138.93651931521401</v>
      </c>
      <c r="I3457" s="1">
        <f t="shared" si="107"/>
        <v>141.00759774259416</v>
      </c>
    </row>
    <row r="3458" spans="1:9" x14ac:dyDescent="0.45">
      <c r="A3458" t="s">
        <v>63</v>
      </c>
      <c r="B3458" t="s">
        <v>57</v>
      </c>
      <c r="C3458" t="str">
        <f t="shared" si="106"/>
        <v>Texas TechSan Diego St.</v>
      </c>
      <c r="D3458" t="s">
        <v>63</v>
      </c>
      <c r="E3458">
        <v>86.5</v>
      </c>
      <c r="F3458" s="1">
        <v>-12.1849056603774</v>
      </c>
      <c r="G3458" s="2">
        <v>-641.47826577561295</v>
      </c>
      <c r="H3458" s="1">
        <v>139.927031920453</v>
      </c>
      <c r="I3458" s="1">
        <f t="shared" si="107"/>
        <v>154.91609403473191</v>
      </c>
    </row>
    <row r="3459" spans="1:9" x14ac:dyDescent="0.45">
      <c r="A3459" t="s">
        <v>64</v>
      </c>
      <c r="B3459" t="s">
        <v>57</v>
      </c>
      <c r="C3459" t="str">
        <f t="shared" ref="C3459:C3522" si="108">A3459&amp;B3459</f>
        <v>TroySan Diego St.</v>
      </c>
      <c r="D3459" t="s">
        <v>57</v>
      </c>
      <c r="E3459">
        <v>8.4</v>
      </c>
      <c r="F3459" s="1">
        <v>15.626415094339601</v>
      </c>
      <c r="G3459" s="2">
        <v>1084.3246171124999</v>
      </c>
      <c r="H3459" s="1">
        <v>138.69333651501199</v>
      </c>
      <c r="I3459" s="1">
        <f t="shared" ref="I3459:I3522" si="109">18*(H3459-AVERAGE($H$2:$H$4625))/_xlfn.STDEV.P($H$2:$H$4625)+AVERAGE($H$2:$H$4625)</f>
        <v>137.59289402551687</v>
      </c>
    </row>
    <row r="3460" spans="1:9" x14ac:dyDescent="0.45">
      <c r="A3460" t="s">
        <v>65</v>
      </c>
      <c r="B3460" t="s">
        <v>57</v>
      </c>
      <c r="C3460" t="str">
        <f t="shared" si="108"/>
        <v>UC San DiegoSan Diego St.</v>
      </c>
      <c r="D3460" t="s">
        <v>57</v>
      </c>
      <c r="E3460">
        <v>19.100000000000001</v>
      </c>
      <c r="F3460" s="1">
        <v>9.4452830188679293</v>
      </c>
      <c r="G3460" s="2">
        <v>422.31003862545799</v>
      </c>
      <c r="H3460" s="1">
        <v>138.76345674467501</v>
      </c>
      <c r="I3460" s="1">
        <f t="shared" si="109"/>
        <v>138.57750234762565</v>
      </c>
    </row>
    <row r="3461" spans="1:9" x14ac:dyDescent="0.45">
      <c r="A3461" t="s">
        <v>66</v>
      </c>
      <c r="B3461" t="s">
        <v>57</v>
      </c>
      <c r="C3461" t="str">
        <f t="shared" si="108"/>
        <v>UCLASan Diego St.</v>
      </c>
      <c r="D3461" t="s">
        <v>57</v>
      </c>
      <c r="E3461">
        <v>44.9</v>
      </c>
      <c r="F3461" s="1">
        <v>1.34339622641509</v>
      </c>
      <c r="G3461" s="2">
        <v>122.7269534433</v>
      </c>
      <c r="H3461" s="1">
        <v>137.984715323887</v>
      </c>
      <c r="I3461" s="1">
        <f t="shared" si="109"/>
        <v>127.64263679793304</v>
      </c>
    </row>
    <row r="3462" spans="1:9" x14ac:dyDescent="0.45">
      <c r="A3462" t="s">
        <v>67</v>
      </c>
      <c r="B3462" t="s">
        <v>57</v>
      </c>
      <c r="C3462" t="str">
        <f t="shared" si="108"/>
        <v>UNC WilmingtonSan Diego St.</v>
      </c>
      <c r="D3462" t="s">
        <v>57</v>
      </c>
      <c r="E3462">
        <v>12</v>
      </c>
      <c r="F3462" s="1">
        <v>13.033962264150899</v>
      </c>
      <c r="G3462" s="2">
        <v>730.45656212587801</v>
      </c>
      <c r="H3462" s="1">
        <v>139.30012521533999</v>
      </c>
      <c r="I3462" s="1">
        <f t="shared" si="109"/>
        <v>146.11324837939887</v>
      </c>
    </row>
    <row r="3463" spans="1:9" x14ac:dyDescent="0.45">
      <c r="A3463" t="s">
        <v>68</v>
      </c>
      <c r="B3463" t="s">
        <v>57</v>
      </c>
      <c r="C3463" t="str">
        <f t="shared" si="108"/>
        <v>Utah St.San Diego St.</v>
      </c>
      <c r="D3463" t="s">
        <v>57</v>
      </c>
      <c r="E3463">
        <v>43.5</v>
      </c>
      <c r="F3463" s="1">
        <v>1.7094339622641499</v>
      </c>
      <c r="G3463" s="2">
        <v>129.764592296123</v>
      </c>
      <c r="H3463" s="1">
        <v>138.847311713919</v>
      </c>
      <c r="I3463" s="1">
        <f t="shared" si="109"/>
        <v>139.7549699766478</v>
      </c>
    </row>
    <row r="3464" spans="1:9" x14ac:dyDescent="0.45">
      <c r="A3464" t="s">
        <v>69</v>
      </c>
      <c r="B3464" t="s">
        <v>57</v>
      </c>
      <c r="C3464" t="str">
        <f t="shared" si="108"/>
        <v>VanderbiltSan Diego St.</v>
      </c>
      <c r="D3464" t="s">
        <v>57</v>
      </c>
      <c r="E3464">
        <v>13.2</v>
      </c>
      <c r="F3464" s="1">
        <v>12.3547169811321</v>
      </c>
      <c r="G3464" s="2">
        <v>658.52940965131097</v>
      </c>
      <c r="H3464" s="1">
        <v>137.28134959520199</v>
      </c>
      <c r="I3464" s="1">
        <f t="shared" si="109"/>
        <v>117.76617527923091</v>
      </c>
    </row>
    <row r="3465" spans="1:9" x14ac:dyDescent="0.45">
      <c r="A3465" t="s">
        <v>70</v>
      </c>
      <c r="B3465" t="s">
        <v>57</v>
      </c>
      <c r="C3465" t="str">
        <f t="shared" si="108"/>
        <v>VCUSan Diego St.</v>
      </c>
      <c r="D3465" t="s">
        <v>57</v>
      </c>
      <c r="E3465">
        <v>32.799999999999997</v>
      </c>
      <c r="F3465" s="1">
        <v>4.7094339622641499</v>
      </c>
      <c r="G3465" s="2">
        <v>205.14145201965599</v>
      </c>
      <c r="H3465" s="1">
        <v>139.206522724395</v>
      </c>
      <c r="I3465" s="1">
        <f t="shared" si="109"/>
        <v>144.79890882293344</v>
      </c>
    </row>
    <row r="3466" spans="1:9" x14ac:dyDescent="0.45">
      <c r="A3466" t="s">
        <v>71</v>
      </c>
      <c r="B3466" t="s">
        <v>57</v>
      </c>
      <c r="C3466" t="str">
        <f t="shared" si="108"/>
        <v>WisconsinSan Diego St.</v>
      </c>
      <c r="D3466" t="s">
        <v>71</v>
      </c>
      <c r="E3466">
        <v>84.7</v>
      </c>
      <c r="F3466" s="1">
        <v>-11.2415094339623</v>
      </c>
      <c r="G3466" s="2">
        <v>-555.68952936246399</v>
      </c>
      <c r="H3466" s="1">
        <v>139.85977833272599</v>
      </c>
      <c r="I3466" s="1">
        <f t="shared" si="109"/>
        <v>153.97173828339004</v>
      </c>
    </row>
    <row r="3467" spans="1:9" x14ac:dyDescent="0.45">
      <c r="A3467" t="s">
        <v>80</v>
      </c>
      <c r="B3467" t="s">
        <v>57</v>
      </c>
      <c r="C3467" t="str">
        <f t="shared" si="108"/>
        <v>WoffordSan Diego St.</v>
      </c>
      <c r="D3467" t="s">
        <v>57</v>
      </c>
      <c r="E3467">
        <v>4.5999999999999996</v>
      </c>
      <c r="F3467" s="1">
        <v>19.932075471698099</v>
      </c>
      <c r="G3467" s="2">
        <v>2091.4807413809999</v>
      </c>
      <c r="H3467" s="1">
        <v>137.957426761953</v>
      </c>
      <c r="I3467" s="1">
        <f t="shared" si="109"/>
        <v>127.25945857236646</v>
      </c>
    </row>
    <row r="3468" spans="1:9" x14ac:dyDescent="0.45">
      <c r="A3468" t="s">
        <v>72</v>
      </c>
      <c r="B3468" t="s">
        <v>57</v>
      </c>
      <c r="C3468" t="str">
        <f t="shared" si="108"/>
        <v>XavierSan Diego St.</v>
      </c>
      <c r="D3468" t="s">
        <v>57</v>
      </c>
      <c r="E3468">
        <v>32.5</v>
      </c>
      <c r="F3468" s="1">
        <v>4.7849056603773601</v>
      </c>
      <c r="G3468" s="2">
        <v>207.44329905346001</v>
      </c>
      <c r="H3468" s="1">
        <v>138.70022893257499</v>
      </c>
      <c r="I3468" s="1">
        <f t="shared" si="109"/>
        <v>137.68967539267135</v>
      </c>
    </row>
    <row r="3469" spans="1:9" x14ac:dyDescent="0.45">
      <c r="A3469" t="s">
        <v>73</v>
      </c>
      <c r="B3469" t="s">
        <v>57</v>
      </c>
      <c r="C3469" t="str">
        <f t="shared" si="108"/>
        <v>YaleSan Diego St.</v>
      </c>
      <c r="D3469" t="s">
        <v>57</v>
      </c>
      <c r="E3469">
        <v>20.100000000000001</v>
      </c>
      <c r="F3469" s="1">
        <v>9.0339622641509401</v>
      </c>
      <c r="G3469" s="2">
        <v>396.68419929883697</v>
      </c>
      <c r="H3469" s="1">
        <v>139.29993506896901</v>
      </c>
      <c r="I3469" s="1">
        <f t="shared" si="109"/>
        <v>146.11057839813685</v>
      </c>
    </row>
    <row r="3470" spans="1:9" x14ac:dyDescent="0.45">
      <c r="A3470" t="s">
        <v>7</v>
      </c>
      <c r="B3470" t="s">
        <v>58</v>
      </c>
      <c r="C3470" t="str">
        <f t="shared" si="108"/>
        <v>AkronSIU Edwardsville</v>
      </c>
      <c r="D3470" t="s">
        <v>7</v>
      </c>
      <c r="E3470">
        <v>73.5</v>
      </c>
      <c r="F3470" s="1">
        <v>-6.6754716981132098</v>
      </c>
      <c r="G3470" s="2">
        <v>-276.92453180888901</v>
      </c>
      <c r="H3470" s="1">
        <v>138.05750394936399</v>
      </c>
      <c r="I3470" s="1">
        <f t="shared" si="109"/>
        <v>128.66471397514599</v>
      </c>
    </row>
    <row r="3471" spans="1:9" x14ac:dyDescent="0.45">
      <c r="A3471" t="s">
        <v>8</v>
      </c>
      <c r="B3471" t="s">
        <v>58</v>
      </c>
      <c r="C3471" t="str">
        <f t="shared" si="108"/>
        <v>AlabamaSIU Edwardsville</v>
      </c>
      <c r="D3471" t="s">
        <v>8</v>
      </c>
      <c r="E3471">
        <v>99.5</v>
      </c>
      <c r="F3471" s="1">
        <v>-35.018867924528301</v>
      </c>
      <c r="G3471" s="2">
        <v>-20887.772776601701</v>
      </c>
      <c r="H3471" s="1">
        <v>139.86511513695899</v>
      </c>
      <c r="I3471" s="1">
        <f t="shared" si="109"/>
        <v>154.04667617059499</v>
      </c>
    </row>
    <row r="3472" spans="1:9" x14ac:dyDescent="0.45">
      <c r="A3472" t="s">
        <v>9</v>
      </c>
      <c r="B3472" t="s">
        <v>58</v>
      </c>
      <c r="C3472" t="str">
        <f t="shared" si="108"/>
        <v>Alabama St.SIU Edwardsville</v>
      </c>
      <c r="D3472" t="s">
        <v>58</v>
      </c>
      <c r="E3472">
        <v>29.7</v>
      </c>
      <c r="F3472" s="1">
        <v>5.64150943396226</v>
      </c>
      <c r="G3472" s="2">
        <v>236.44399432297999</v>
      </c>
      <c r="H3472" s="1">
        <v>138.244265708786</v>
      </c>
      <c r="I3472" s="1">
        <f t="shared" si="109"/>
        <v>131.28716948423809</v>
      </c>
    </row>
    <row r="3473" spans="1:9" x14ac:dyDescent="0.45">
      <c r="A3473" t="s">
        <v>10</v>
      </c>
      <c r="B3473" t="s">
        <v>58</v>
      </c>
      <c r="C3473" t="str">
        <f t="shared" si="108"/>
        <v>AmericanSIU Edwardsville</v>
      </c>
      <c r="D3473" t="s">
        <v>58</v>
      </c>
      <c r="E3473">
        <v>32.200000000000003</v>
      </c>
      <c r="F3473" s="1">
        <v>4.8830188679245303</v>
      </c>
      <c r="G3473" s="2">
        <v>210.65996966731399</v>
      </c>
      <c r="H3473" s="1">
        <v>138.00755522854701</v>
      </c>
      <c r="I3473" s="1">
        <f t="shared" si="109"/>
        <v>127.96334824329601</v>
      </c>
    </row>
    <row r="3474" spans="1:9" x14ac:dyDescent="0.45">
      <c r="A3474" t="s">
        <v>11</v>
      </c>
      <c r="B3474" t="s">
        <v>58</v>
      </c>
      <c r="C3474" t="str">
        <f t="shared" si="108"/>
        <v>ArizonaSIU Edwardsville</v>
      </c>
      <c r="D3474" t="s">
        <v>11</v>
      </c>
      <c r="E3474">
        <v>99.3</v>
      </c>
      <c r="F3474" s="1">
        <v>-32.260377358490601</v>
      </c>
      <c r="G3474" s="2">
        <v>-13719.489500973999</v>
      </c>
      <c r="H3474" s="1">
        <v>139.47559447713701</v>
      </c>
      <c r="I3474" s="1">
        <f t="shared" si="109"/>
        <v>148.57713784852797</v>
      </c>
    </row>
    <row r="3475" spans="1:9" x14ac:dyDescent="0.45">
      <c r="A3475" t="s">
        <v>12</v>
      </c>
      <c r="B3475" t="s">
        <v>58</v>
      </c>
      <c r="C3475" t="str">
        <f t="shared" si="108"/>
        <v>ArkansasSIU Edwardsville</v>
      </c>
      <c r="D3475" t="s">
        <v>12</v>
      </c>
      <c r="E3475">
        <v>89.9</v>
      </c>
      <c r="F3475" s="1">
        <v>-14.3622641509434</v>
      </c>
      <c r="G3475" s="2">
        <v>-894.20758134237997</v>
      </c>
      <c r="H3475" s="1">
        <v>137.801518454926</v>
      </c>
      <c r="I3475" s="1">
        <f t="shared" si="109"/>
        <v>125.07023846680771</v>
      </c>
    </row>
    <row r="3476" spans="1:9" x14ac:dyDescent="0.45">
      <c r="A3476" t="s">
        <v>13</v>
      </c>
      <c r="B3476" t="s">
        <v>58</v>
      </c>
      <c r="C3476" t="str">
        <f t="shared" si="108"/>
        <v>AuburnSIU Edwardsville</v>
      </c>
      <c r="D3476" t="s">
        <v>13</v>
      </c>
      <c r="E3476">
        <v>99.8</v>
      </c>
      <c r="F3476" s="1">
        <v>-39.456603773584902</v>
      </c>
      <c r="G3476" s="2">
        <v>-41115.223705702098</v>
      </c>
      <c r="H3476" s="1">
        <v>140.88733137031201</v>
      </c>
      <c r="I3476" s="1">
        <f t="shared" si="109"/>
        <v>168.40034579191507</v>
      </c>
    </row>
    <row r="3477" spans="1:9" x14ac:dyDescent="0.45">
      <c r="A3477" t="s">
        <v>14</v>
      </c>
      <c r="B3477" t="s">
        <v>58</v>
      </c>
      <c r="C3477" t="str">
        <f t="shared" si="108"/>
        <v>BaylorSIU Edwardsville</v>
      </c>
      <c r="D3477" t="s">
        <v>14</v>
      </c>
      <c r="E3477">
        <v>97.6</v>
      </c>
      <c r="F3477" s="1">
        <v>-24.407547169811298</v>
      </c>
      <c r="G3477" s="2">
        <v>-4140.3824030046899</v>
      </c>
      <c r="H3477" s="1">
        <v>139.350248731493</v>
      </c>
      <c r="I3477" s="1">
        <f t="shared" si="109"/>
        <v>146.81706853764391</v>
      </c>
    </row>
    <row r="3478" spans="1:9" x14ac:dyDescent="0.45">
      <c r="A3478" t="s">
        <v>15</v>
      </c>
      <c r="B3478" t="s">
        <v>58</v>
      </c>
      <c r="C3478" t="str">
        <f t="shared" si="108"/>
        <v>BryantSIU Edwardsville</v>
      </c>
      <c r="D3478" t="s">
        <v>15</v>
      </c>
      <c r="E3478">
        <v>66</v>
      </c>
      <c r="F3478" s="1">
        <v>-4.3358490566037702</v>
      </c>
      <c r="G3478" s="2">
        <v>-193.78878652134</v>
      </c>
      <c r="H3478" s="1">
        <v>138.94256860713801</v>
      </c>
      <c r="I3478" s="1">
        <f t="shared" si="109"/>
        <v>141.09254017931835</v>
      </c>
    </row>
    <row r="3479" spans="1:9" x14ac:dyDescent="0.45">
      <c r="A3479" t="s">
        <v>16</v>
      </c>
      <c r="B3479" t="s">
        <v>58</v>
      </c>
      <c r="C3479" t="str">
        <f t="shared" si="108"/>
        <v>BYUSIU Edwardsville</v>
      </c>
      <c r="D3479" t="s">
        <v>16</v>
      </c>
      <c r="E3479">
        <v>98</v>
      </c>
      <c r="F3479" s="1">
        <v>-25.501886792452801</v>
      </c>
      <c r="G3479" s="2">
        <v>-4892.7181240650798</v>
      </c>
      <c r="H3479" s="1">
        <v>139.112609281582</v>
      </c>
      <c r="I3479" s="1">
        <f t="shared" si="109"/>
        <v>143.48020296877482</v>
      </c>
    </row>
    <row r="3480" spans="1:9" x14ac:dyDescent="0.45">
      <c r="A3480" t="s">
        <v>17</v>
      </c>
      <c r="B3480" t="s">
        <v>58</v>
      </c>
      <c r="C3480" t="str">
        <f t="shared" si="108"/>
        <v>ClemsonSIU Edwardsville</v>
      </c>
      <c r="D3480" t="s">
        <v>17</v>
      </c>
      <c r="E3480">
        <v>98.6</v>
      </c>
      <c r="F3480" s="1">
        <v>-27.705660377358502</v>
      </c>
      <c r="G3480" s="2">
        <v>-6848.4353763322097</v>
      </c>
      <c r="H3480" s="1">
        <v>139.462659504024</v>
      </c>
      <c r="I3480" s="1">
        <f t="shared" si="109"/>
        <v>148.395508634897</v>
      </c>
    </row>
    <row r="3481" spans="1:9" x14ac:dyDescent="0.45">
      <c r="A3481" t="s">
        <v>18</v>
      </c>
      <c r="B3481" t="s">
        <v>58</v>
      </c>
      <c r="C3481" t="str">
        <f t="shared" si="108"/>
        <v>Colorado St.SIU Edwardsville</v>
      </c>
      <c r="D3481" t="s">
        <v>18</v>
      </c>
      <c r="E3481">
        <v>91.9</v>
      </c>
      <c r="F3481" s="1">
        <v>-15.9245283018868</v>
      </c>
      <c r="G3481" s="2">
        <v>-1135.08259673916</v>
      </c>
      <c r="H3481" s="1">
        <v>138.85227047881801</v>
      </c>
      <c r="I3481" s="1">
        <f t="shared" si="109"/>
        <v>139.82459954304278</v>
      </c>
    </row>
    <row r="3482" spans="1:9" x14ac:dyDescent="0.45">
      <c r="A3482" t="s">
        <v>19</v>
      </c>
      <c r="B3482" t="s">
        <v>58</v>
      </c>
      <c r="C3482" t="str">
        <f t="shared" si="108"/>
        <v>ConnecticutSIU Edwardsville</v>
      </c>
      <c r="D3482" t="s">
        <v>19</v>
      </c>
      <c r="E3482">
        <v>99.1</v>
      </c>
      <c r="F3482" s="1">
        <v>-30.6</v>
      </c>
      <c r="G3482" s="2">
        <v>-10648.236548848299</v>
      </c>
      <c r="H3482" s="1">
        <v>139.26291033477199</v>
      </c>
      <c r="I3482" s="1">
        <f t="shared" si="109"/>
        <v>145.59068761070728</v>
      </c>
    </row>
    <row r="3483" spans="1:9" x14ac:dyDescent="0.45">
      <c r="A3483" t="s">
        <v>20</v>
      </c>
      <c r="B3483" t="s">
        <v>58</v>
      </c>
      <c r="C3483" t="str">
        <f t="shared" si="108"/>
        <v>CreightonSIU Edwardsville</v>
      </c>
      <c r="D3483" t="s">
        <v>20</v>
      </c>
      <c r="E3483">
        <v>97</v>
      </c>
      <c r="F3483" s="1">
        <v>-22.8943396226415</v>
      </c>
      <c r="G3483" s="2">
        <v>-3285.8295457832201</v>
      </c>
      <c r="H3483" s="1">
        <v>138.812207087611</v>
      </c>
      <c r="I3483" s="1">
        <f t="shared" si="109"/>
        <v>139.26204079810003</v>
      </c>
    </row>
    <row r="3484" spans="1:9" x14ac:dyDescent="0.45">
      <c r="A3484" t="s">
        <v>21</v>
      </c>
      <c r="B3484" t="s">
        <v>58</v>
      </c>
      <c r="C3484" t="str">
        <f t="shared" si="108"/>
        <v>DrakeSIU Edwardsville</v>
      </c>
      <c r="D3484" t="s">
        <v>21</v>
      </c>
      <c r="E3484">
        <v>91.7</v>
      </c>
      <c r="F3484" s="1">
        <v>-15.7207547169811</v>
      </c>
      <c r="G3484" s="2">
        <v>-1100.16376514994</v>
      </c>
      <c r="H3484" s="1">
        <v>139.04688289328499</v>
      </c>
      <c r="I3484" s="1">
        <f t="shared" si="109"/>
        <v>142.55729171747984</v>
      </c>
    </row>
    <row r="3485" spans="1:9" x14ac:dyDescent="0.45">
      <c r="A3485" t="s">
        <v>22</v>
      </c>
      <c r="B3485" t="s">
        <v>58</v>
      </c>
      <c r="C3485" t="str">
        <f t="shared" si="108"/>
        <v>DukeSIU Edwardsville</v>
      </c>
      <c r="D3485" t="s">
        <v>22</v>
      </c>
      <c r="E3485">
        <v>99.8</v>
      </c>
      <c r="F3485" s="1">
        <v>-41.671698113207498</v>
      </c>
      <c r="G3485" s="2">
        <v>-57638.114173081303</v>
      </c>
      <c r="H3485" s="1">
        <v>141.12722278188801</v>
      </c>
      <c r="I3485" s="1">
        <f t="shared" si="109"/>
        <v>171.76883276600603</v>
      </c>
    </row>
    <row r="3486" spans="1:9" x14ac:dyDescent="0.45">
      <c r="A3486" t="s">
        <v>23</v>
      </c>
      <c r="B3486" t="s">
        <v>58</v>
      </c>
      <c r="C3486" t="str">
        <f t="shared" si="108"/>
        <v>FloridaSIU Edwardsville</v>
      </c>
      <c r="D3486" t="s">
        <v>23</v>
      </c>
      <c r="E3486">
        <v>99.7</v>
      </c>
      <c r="F3486" s="1">
        <v>-37.815094339622597</v>
      </c>
      <c r="G3486" s="2">
        <v>-32002.035512327999</v>
      </c>
      <c r="H3486" s="1">
        <v>140.86187330944199</v>
      </c>
      <c r="I3486" s="1">
        <f t="shared" si="109"/>
        <v>168.04287094167802</v>
      </c>
    </row>
    <row r="3487" spans="1:9" x14ac:dyDescent="0.45">
      <c r="A3487" t="s">
        <v>24</v>
      </c>
      <c r="B3487" t="s">
        <v>58</v>
      </c>
      <c r="C3487" t="str">
        <f t="shared" si="108"/>
        <v>GeorgiaSIU Edwardsville</v>
      </c>
      <c r="D3487" t="s">
        <v>24</v>
      </c>
      <c r="E3487">
        <v>92.8</v>
      </c>
      <c r="F3487" s="1">
        <v>-16.7509433962264</v>
      </c>
      <c r="G3487" s="2">
        <v>-1287.8405183666</v>
      </c>
      <c r="H3487" s="1">
        <v>138.125831605727</v>
      </c>
      <c r="I3487" s="1">
        <f t="shared" si="109"/>
        <v>129.62415149279988</v>
      </c>
    </row>
    <row r="3488" spans="1:9" x14ac:dyDescent="0.45">
      <c r="A3488" t="s">
        <v>25</v>
      </c>
      <c r="B3488" t="s">
        <v>58</v>
      </c>
      <c r="C3488" t="str">
        <f t="shared" si="108"/>
        <v>GonzagaSIU Edwardsville</v>
      </c>
      <c r="D3488" t="s">
        <v>25</v>
      </c>
      <c r="E3488">
        <v>98.5</v>
      </c>
      <c r="F3488" s="1">
        <v>-27.381132075471701</v>
      </c>
      <c r="G3488" s="2">
        <v>-6517.7984629975099</v>
      </c>
      <c r="H3488" s="1">
        <v>140.10279333623299</v>
      </c>
      <c r="I3488" s="1">
        <f t="shared" si="109"/>
        <v>157.38408584699866</v>
      </c>
    </row>
    <row r="3489" spans="1:9" x14ac:dyDescent="0.45">
      <c r="A3489" t="s">
        <v>26</v>
      </c>
      <c r="B3489" t="s">
        <v>58</v>
      </c>
      <c r="C3489" t="str">
        <f t="shared" si="108"/>
        <v>Grand CanyonSIU Edwardsville</v>
      </c>
      <c r="D3489" t="s">
        <v>26</v>
      </c>
      <c r="E3489">
        <v>87.6</v>
      </c>
      <c r="F3489" s="1">
        <v>-12.8301886792453</v>
      </c>
      <c r="G3489" s="2">
        <v>-708.14483606464796</v>
      </c>
      <c r="H3489" s="1">
        <v>138.92076505377301</v>
      </c>
      <c r="I3489" s="1">
        <f t="shared" si="109"/>
        <v>140.78638088409221</v>
      </c>
    </row>
    <row r="3490" spans="1:9" x14ac:dyDescent="0.45">
      <c r="A3490" t="s">
        <v>27</v>
      </c>
      <c r="B3490" t="s">
        <v>58</v>
      </c>
      <c r="C3490" t="str">
        <f t="shared" si="108"/>
        <v>High PointSIU Edwardsville</v>
      </c>
      <c r="D3490" t="s">
        <v>27</v>
      </c>
      <c r="E3490">
        <v>81.599999999999994</v>
      </c>
      <c r="F3490" s="1">
        <v>-9.74339622641509</v>
      </c>
      <c r="G3490" s="2">
        <v>-442.01807746256202</v>
      </c>
      <c r="H3490" s="1">
        <v>139.11197218732099</v>
      </c>
      <c r="I3490" s="1">
        <f t="shared" si="109"/>
        <v>143.47125707235702</v>
      </c>
    </row>
    <row r="3491" spans="1:9" x14ac:dyDescent="0.45">
      <c r="A3491" t="s">
        <v>28</v>
      </c>
      <c r="B3491" t="s">
        <v>58</v>
      </c>
      <c r="C3491" t="str">
        <f t="shared" si="108"/>
        <v>HoustonSIU Edwardsville</v>
      </c>
      <c r="D3491" t="s">
        <v>28</v>
      </c>
      <c r="E3491">
        <v>99.9</v>
      </c>
      <c r="F3491" s="1">
        <v>-45.026415094339598</v>
      </c>
      <c r="G3491" s="2">
        <v>-96147.926659919205</v>
      </c>
      <c r="H3491" s="1">
        <v>141.22543454452401</v>
      </c>
      <c r="I3491" s="1">
        <f t="shared" si="109"/>
        <v>173.14789440463858</v>
      </c>
    </row>
    <row r="3492" spans="1:9" x14ac:dyDescent="0.45">
      <c r="A3492" t="s">
        <v>29</v>
      </c>
      <c r="B3492" t="s">
        <v>58</v>
      </c>
      <c r="C3492" t="str">
        <f t="shared" si="108"/>
        <v>IllinoisSIU Edwardsville</v>
      </c>
      <c r="D3492" t="s">
        <v>29</v>
      </c>
      <c r="E3492">
        <v>99</v>
      </c>
      <c r="F3492" s="1">
        <v>-29.8377358490566</v>
      </c>
      <c r="G3492" s="2">
        <v>-9478.2103675902999</v>
      </c>
      <c r="H3492" s="1">
        <v>139.28389831948601</v>
      </c>
      <c r="I3492" s="1">
        <f t="shared" si="109"/>
        <v>145.88539492289138</v>
      </c>
    </row>
    <row r="3493" spans="1:9" x14ac:dyDescent="0.45">
      <c r="A3493" t="s">
        <v>30</v>
      </c>
      <c r="B3493" t="s">
        <v>58</v>
      </c>
      <c r="C3493" t="str">
        <f t="shared" si="108"/>
        <v>Iowa St.SIU Edwardsville</v>
      </c>
      <c r="D3493" t="s">
        <v>30</v>
      </c>
      <c r="E3493">
        <v>99.5</v>
      </c>
      <c r="F3493" s="1">
        <v>-34.698113207547202</v>
      </c>
      <c r="G3493" s="2">
        <v>-19896.761899231798</v>
      </c>
      <c r="H3493" s="1">
        <v>140.18044061107199</v>
      </c>
      <c r="I3493" s="1">
        <f t="shared" si="109"/>
        <v>158.47438679670964</v>
      </c>
    </row>
    <row r="3494" spans="1:9" x14ac:dyDescent="0.45">
      <c r="A3494" t="s">
        <v>31</v>
      </c>
      <c r="B3494" t="s">
        <v>58</v>
      </c>
      <c r="C3494" t="str">
        <f t="shared" si="108"/>
        <v>KansasSIU Edwardsville</v>
      </c>
      <c r="D3494" t="s">
        <v>31</v>
      </c>
      <c r="E3494">
        <v>98.4</v>
      </c>
      <c r="F3494" s="1">
        <v>-26.981132075471699</v>
      </c>
      <c r="G3494" s="2">
        <v>-6131.7080286497103</v>
      </c>
      <c r="H3494" s="1">
        <v>139.231028499926</v>
      </c>
      <c r="I3494" s="1">
        <f t="shared" si="109"/>
        <v>145.14301195327835</v>
      </c>
    </row>
    <row r="3495" spans="1:9" x14ac:dyDescent="0.45">
      <c r="A3495" t="s">
        <v>32</v>
      </c>
      <c r="B3495" t="s">
        <v>58</v>
      </c>
      <c r="C3495" t="str">
        <f t="shared" si="108"/>
        <v>KentuckySIU Edwardsville</v>
      </c>
      <c r="D3495" t="s">
        <v>32</v>
      </c>
      <c r="E3495">
        <v>99</v>
      </c>
      <c r="F3495" s="1">
        <v>-30.3471698113208</v>
      </c>
      <c r="G3495" s="2">
        <v>-10243.9490510998</v>
      </c>
      <c r="H3495" s="1">
        <v>139.16531083205101</v>
      </c>
      <c r="I3495" s="1">
        <f t="shared" si="109"/>
        <v>144.22022315166919</v>
      </c>
    </row>
    <row r="3496" spans="1:9" x14ac:dyDescent="0.45">
      <c r="A3496" t="s">
        <v>33</v>
      </c>
      <c r="B3496" t="s">
        <v>58</v>
      </c>
      <c r="C3496" t="str">
        <f t="shared" si="108"/>
        <v>LibertySIU Edwardsville</v>
      </c>
      <c r="D3496" t="s">
        <v>33</v>
      </c>
      <c r="E3496">
        <v>75.5</v>
      </c>
      <c r="F3496" s="1">
        <v>-7.3622641509433997</v>
      </c>
      <c r="G3496" s="2">
        <v>-307.35444255185899</v>
      </c>
      <c r="H3496" s="1">
        <v>138.51031187576899</v>
      </c>
      <c r="I3496" s="1">
        <f t="shared" si="109"/>
        <v>135.02291409510809</v>
      </c>
    </row>
    <row r="3497" spans="1:9" x14ac:dyDescent="0.45">
      <c r="A3497" t="s">
        <v>34</v>
      </c>
      <c r="B3497" t="s">
        <v>58</v>
      </c>
      <c r="C3497" t="str">
        <f t="shared" si="108"/>
        <v>LipscombSIU Edwardsville</v>
      </c>
      <c r="D3497" t="s">
        <v>34</v>
      </c>
      <c r="E3497">
        <v>69.8</v>
      </c>
      <c r="F3497" s="1">
        <v>-5.49433962264151</v>
      </c>
      <c r="G3497" s="2">
        <v>-231.22841074989401</v>
      </c>
      <c r="H3497" s="1">
        <v>138.91663007336001</v>
      </c>
      <c r="I3497" s="1">
        <f t="shared" si="109"/>
        <v>140.72831866515821</v>
      </c>
    </row>
    <row r="3498" spans="1:9" x14ac:dyDescent="0.45">
      <c r="A3498" t="s">
        <v>35</v>
      </c>
      <c r="B3498" t="s">
        <v>58</v>
      </c>
      <c r="C3498" t="str">
        <f t="shared" si="108"/>
        <v>LouisvilleSIU Edwardsville</v>
      </c>
      <c r="D3498" t="s">
        <v>35</v>
      </c>
      <c r="E3498">
        <v>85.3</v>
      </c>
      <c r="F3498" s="1">
        <v>-11.5433962264151</v>
      </c>
      <c r="G3498" s="2">
        <v>-581.80711672773703</v>
      </c>
      <c r="H3498" s="1">
        <v>138.16199207917799</v>
      </c>
      <c r="I3498" s="1">
        <f t="shared" si="109"/>
        <v>130.13190657663719</v>
      </c>
    </row>
    <row r="3499" spans="1:9" x14ac:dyDescent="0.45">
      <c r="A3499" t="s">
        <v>36</v>
      </c>
      <c r="B3499" t="s">
        <v>58</v>
      </c>
      <c r="C3499" t="str">
        <f t="shared" si="108"/>
        <v>MarquetteSIU Edwardsville</v>
      </c>
      <c r="D3499" t="s">
        <v>36</v>
      </c>
      <c r="E3499">
        <v>98.7</v>
      </c>
      <c r="F3499" s="1">
        <v>-28.611320754716999</v>
      </c>
      <c r="G3499" s="2">
        <v>-7861.8060700220003</v>
      </c>
      <c r="H3499" s="1">
        <v>139.42412592264</v>
      </c>
      <c r="I3499" s="1">
        <f t="shared" si="109"/>
        <v>147.85443104439742</v>
      </c>
    </row>
    <row r="3500" spans="1:9" x14ac:dyDescent="0.45">
      <c r="A3500" t="s">
        <v>37</v>
      </c>
      <c r="B3500" t="s">
        <v>58</v>
      </c>
      <c r="C3500" t="str">
        <f t="shared" si="108"/>
        <v>MarylandSIU Edwardsville</v>
      </c>
      <c r="D3500" t="s">
        <v>37</v>
      </c>
      <c r="E3500">
        <v>98</v>
      </c>
      <c r="F3500" s="1">
        <v>-25.445283018867901</v>
      </c>
      <c r="G3500" s="2">
        <v>-4849.4054367681001</v>
      </c>
      <c r="H3500" s="1">
        <v>138.88249552118299</v>
      </c>
      <c r="I3500" s="1">
        <f t="shared" si="109"/>
        <v>140.24901099165984</v>
      </c>
    </row>
    <row r="3501" spans="1:9" x14ac:dyDescent="0.45">
      <c r="A3501" t="s">
        <v>38</v>
      </c>
      <c r="B3501" t="s">
        <v>58</v>
      </c>
      <c r="C3501" t="str">
        <f t="shared" si="108"/>
        <v>McNeese St.SIU Edwardsville</v>
      </c>
      <c r="D3501" t="s">
        <v>38</v>
      </c>
      <c r="E3501">
        <v>91.9</v>
      </c>
      <c r="F3501" s="1">
        <v>-15.9018867924528</v>
      </c>
      <c r="G3501" s="2">
        <v>-1131.4068958574401</v>
      </c>
      <c r="H3501" s="1">
        <v>139.47573093414701</v>
      </c>
      <c r="I3501" s="1">
        <f t="shared" si="109"/>
        <v>148.57905393905281</v>
      </c>
    </row>
    <row r="3502" spans="1:9" x14ac:dyDescent="0.45">
      <c r="A3502" t="s">
        <v>39</v>
      </c>
      <c r="B3502" t="s">
        <v>58</v>
      </c>
      <c r="C3502" t="str">
        <f t="shared" si="108"/>
        <v>MemphisSIU Edwardsville</v>
      </c>
      <c r="D3502" t="s">
        <v>39</v>
      </c>
      <c r="E3502">
        <v>96.5</v>
      </c>
      <c r="F3502" s="1">
        <v>-21.679245283018901</v>
      </c>
      <c r="G3502" s="2">
        <v>-2730.7888967334502</v>
      </c>
      <c r="H3502" s="1">
        <v>138.01001276067299</v>
      </c>
      <c r="I3502" s="1">
        <f t="shared" si="109"/>
        <v>127.99785621046505</v>
      </c>
    </row>
    <row r="3503" spans="1:9" x14ac:dyDescent="0.45">
      <c r="A3503" t="s">
        <v>40</v>
      </c>
      <c r="B3503" t="s">
        <v>58</v>
      </c>
      <c r="C3503" t="str">
        <f t="shared" si="108"/>
        <v>MichiganSIU Edwardsville</v>
      </c>
      <c r="D3503" t="s">
        <v>40</v>
      </c>
      <c r="E3503">
        <v>93.1</v>
      </c>
      <c r="F3503" s="1">
        <v>-17.0566037735849</v>
      </c>
      <c r="G3503" s="2">
        <v>-1348.6321051684999</v>
      </c>
      <c r="H3503" s="1">
        <v>137.57263405758999</v>
      </c>
      <c r="I3503" s="1">
        <f t="shared" si="109"/>
        <v>121.85630885618161</v>
      </c>
    </row>
    <row r="3504" spans="1:9" x14ac:dyDescent="0.45">
      <c r="A3504" t="s">
        <v>41</v>
      </c>
      <c r="B3504" t="s">
        <v>58</v>
      </c>
      <c r="C3504" t="str">
        <f t="shared" si="108"/>
        <v>Michigan St.SIU Edwardsville</v>
      </c>
      <c r="D3504" t="s">
        <v>41</v>
      </c>
      <c r="E3504">
        <v>99.2</v>
      </c>
      <c r="F3504" s="1">
        <v>-31.8</v>
      </c>
      <c r="G3504" s="2">
        <v>-12789.3547981229</v>
      </c>
      <c r="H3504" s="1">
        <v>139.21971376679701</v>
      </c>
      <c r="I3504" s="1">
        <f t="shared" si="109"/>
        <v>144.98413368869228</v>
      </c>
    </row>
    <row r="3505" spans="1:9" x14ac:dyDescent="0.45">
      <c r="A3505" t="s">
        <v>42</v>
      </c>
      <c r="B3505" t="s">
        <v>58</v>
      </c>
      <c r="C3505" t="str">
        <f t="shared" si="108"/>
        <v>MississippiSIU Edwardsville</v>
      </c>
      <c r="D3505" t="s">
        <v>42</v>
      </c>
      <c r="E3505">
        <v>97.2</v>
      </c>
      <c r="F3505" s="1">
        <v>-23.3056603773585</v>
      </c>
      <c r="G3505" s="2">
        <v>-3499.26812247322</v>
      </c>
      <c r="H3505" s="1">
        <v>138.48740511668601</v>
      </c>
      <c r="I3505" s="1">
        <f t="shared" si="109"/>
        <v>134.70126389895159</v>
      </c>
    </row>
    <row r="3506" spans="1:9" x14ac:dyDescent="0.45">
      <c r="A3506" t="s">
        <v>43</v>
      </c>
      <c r="B3506" t="s">
        <v>58</v>
      </c>
      <c r="C3506" t="str">
        <f t="shared" si="108"/>
        <v>Mississippi St.SIU Edwardsville</v>
      </c>
      <c r="D3506" t="s">
        <v>43</v>
      </c>
      <c r="E3506">
        <v>96.4</v>
      </c>
      <c r="F3506" s="1">
        <v>-21.5811320754717</v>
      </c>
      <c r="G3506" s="2">
        <v>-2690.29499969066</v>
      </c>
      <c r="H3506" s="1">
        <v>138.627151589363</v>
      </c>
      <c r="I3506" s="1">
        <f t="shared" si="109"/>
        <v>136.6635441231374</v>
      </c>
    </row>
    <row r="3507" spans="1:9" x14ac:dyDescent="0.45">
      <c r="A3507" t="s">
        <v>44</v>
      </c>
      <c r="B3507" t="s">
        <v>58</v>
      </c>
      <c r="C3507" t="str">
        <f t="shared" si="108"/>
        <v>MissouriSIU Edwardsville</v>
      </c>
      <c r="D3507" t="s">
        <v>44</v>
      </c>
      <c r="E3507">
        <v>92.7</v>
      </c>
      <c r="F3507" s="1">
        <v>-16.649056603773602</v>
      </c>
      <c r="G3507" s="2">
        <v>-1267.42311241221</v>
      </c>
      <c r="H3507" s="1">
        <v>138.044813488008</v>
      </c>
      <c r="I3507" s="1">
        <f t="shared" si="109"/>
        <v>128.4865181260657</v>
      </c>
    </row>
    <row r="3508" spans="1:9" x14ac:dyDescent="0.45">
      <c r="A3508" t="s">
        <v>45</v>
      </c>
      <c r="B3508" t="s">
        <v>58</v>
      </c>
      <c r="C3508" t="str">
        <f t="shared" si="108"/>
        <v>MontanaSIU Edwardsville</v>
      </c>
      <c r="D3508" t="s">
        <v>45</v>
      </c>
      <c r="E3508">
        <v>53.2</v>
      </c>
      <c r="F3508" s="1">
        <v>-0.84150943396226396</v>
      </c>
      <c r="G3508" s="2">
        <v>-113.704035840977</v>
      </c>
      <c r="H3508" s="1">
        <v>137.18152505141501</v>
      </c>
      <c r="I3508" s="1">
        <f t="shared" si="109"/>
        <v>116.36446742636562</v>
      </c>
    </row>
    <row r="3509" spans="1:9" x14ac:dyDescent="0.45">
      <c r="A3509" t="s">
        <v>46</v>
      </c>
      <c r="B3509" t="s">
        <v>58</v>
      </c>
      <c r="C3509" t="str">
        <f t="shared" si="108"/>
        <v>Mount St. Mary'sSIU Edwardsville</v>
      </c>
      <c r="D3509" t="s">
        <v>58</v>
      </c>
      <c r="E3509">
        <v>30.2</v>
      </c>
      <c r="F3509" s="1">
        <v>5.4905660377358503</v>
      </c>
      <c r="G3509" s="2">
        <v>231.125710152495</v>
      </c>
      <c r="H3509" s="1">
        <v>138.484813005565</v>
      </c>
      <c r="I3509" s="1">
        <f t="shared" si="109"/>
        <v>134.66486621180999</v>
      </c>
    </row>
    <row r="3510" spans="1:9" x14ac:dyDescent="0.45">
      <c r="A3510" t="s">
        <v>47</v>
      </c>
      <c r="B3510" t="s">
        <v>58</v>
      </c>
      <c r="C3510" t="str">
        <f t="shared" si="108"/>
        <v>Nebraska OmahaSIU Edwardsville</v>
      </c>
      <c r="D3510" t="s">
        <v>58</v>
      </c>
      <c r="E3510">
        <v>37.700000000000003</v>
      </c>
      <c r="F3510" s="1">
        <v>3.3018867924528301</v>
      </c>
      <c r="G3510" s="2">
        <v>165.480085725263</v>
      </c>
      <c r="H3510" s="1">
        <v>137.902589137669</v>
      </c>
      <c r="I3510" s="1">
        <f t="shared" si="109"/>
        <v>126.48944424848038</v>
      </c>
    </row>
    <row r="3511" spans="1:9" x14ac:dyDescent="0.45">
      <c r="A3511" t="s">
        <v>48</v>
      </c>
      <c r="B3511" t="s">
        <v>58</v>
      </c>
      <c r="C3511" t="str">
        <f t="shared" si="108"/>
        <v>New MexicoSIU Edwardsville</v>
      </c>
      <c r="D3511" t="s">
        <v>48</v>
      </c>
      <c r="E3511">
        <v>93.5</v>
      </c>
      <c r="F3511" s="1">
        <v>-17.528301886792502</v>
      </c>
      <c r="G3511" s="2">
        <v>-1449.8980189987201</v>
      </c>
      <c r="H3511" s="1">
        <v>138.67257906948601</v>
      </c>
      <c r="I3511" s="1">
        <f t="shared" si="109"/>
        <v>137.3014238790438</v>
      </c>
    </row>
    <row r="3512" spans="1:9" x14ac:dyDescent="0.45">
      <c r="A3512" t="s">
        <v>49</v>
      </c>
      <c r="B3512" t="s">
        <v>58</v>
      </c>
      <c r="C3512" t="str">
        <f t="shared" si="108"/>
        <v>Norfolk St.SIU Edwardsville</v>
      </c>
      <c r="D3512" t="s">
        <v>58</v>
      </c>
      <c r="E3512">
        <v>46.1</v>
      </c>
      <c r="F3512" s="1">
        <v>1.0377358490566</v>
      </c>
      <c r="G3512" s="2">
        <v>117.136677330846</v>
      </c>
      <c r="H3512" s="1">
        <v>137.70870483345001</v>
      </c>
      <c r="I3512" s="1">
        <f t="shared" si="109"/>
        <v>123.76697599106453</v>
      </c>
    </row>
    <row r="3513" spans="1:9" x14ac:dyDescent="0.45">
      <c r="A3513" t="s">
        <v>50</v>
      </c>
      <c r="B3513" t="s">
        <v>58</v>
      </c>
      <c r="C3513" t="str">
        <f t="shared" si="108"/>
        <v>North CarolinaSIU Edwardsville</v>
      </c>
      <c r="D3513" t="s">
        <v>50</v>
      </c>
      <c r="E3513">
        <v>98</v>
      </c>
      <c r="F3513" s="1">
        <v>-25.5811320754717</v>
      </c>
      <c r="G3513" s="2">
        <v>-4951.0174963904701</v>
      </c>
      <c r="H3513" s="1">
        <v>139.78231078791899</v>
      </c>
      <c r="I3513" s="1">
        <f t="shared" si="109"/>
        <v>152.88396105167141</v>
      </c>
    </row>
    <row r="3514" spans="1:9" x14ac:dyDescent="0.45">
      <c r="A3514" t="s">
        <v>51</v>
      </c>
      <c r="B3514" t="s">
        <v>58</v>
      </c>
      <c r="C3514" t="str">
        <f t="shared" si="108"/>
        <v>OklahomaSIU Edwardsville</v>
      </c>
      <c r="D3514" t="s">
        <v>51</v>
      </c>
      <c r="E3514">
        <v>94.5</v>
      </c>
      <c r="F3514" s="1">
        <v>-18.698113207547198</v>
      </c>
      <c r="G3514" s="2">
        <v>-1732.67552657278</v>
      </c>
      <c r="H3514" s="1">
        <v>138.205933914094</v>
      </c>
      <c r="I3514" s="1">
        <f t="shared" si="109"/>
        <v>130.74892532507769</v>
      </c>
    </row>
    <row r="3515" spans="1:9" x14ac:dyDescent="0.45">
      <c r="A3515" t="s">
        <v>52</v>
      </c>
      <c r="B3515" t="s">
        <v>58</v>
      </c>
      <c r="C3515" t="str">
        <f t="shared" si="108"/>
        <v>OregonSIU Edwardsville</v>
      </c>
      <c r="D3515" t="s">
        <v>52</v>
      </c>
      <c r="E3515">
        <v>98</v>
      </c>
      <c r="F3515" s="1">
        <v>-25.464150943396199</v>
      </c>
      <c r="G3515" s="2">
        <v>-4863.8871159026603</v>
      </c>
      <c r="H3515" s="1">
        <v>138.49665130562201</v>
      </c>
      <c r="I3515" s="1">
        <f t="shared" si="109"/>
        <v>134.83109625429228</v>
      </c>
    </row>
    <row r="3516" spans="1:9" x14ac:dyDescent="0.45">
      <c r="A3516" t="s">
        <v>53</v>
      </c>
      <c r="B3516" t="s">
        <v>58</v>
      </c>
      <c r="C3516" t="str">
        <f t="shared" si="108"/>
        <v>PurdueSIU Edwardsville</v>
      </c>
      <c r="D3516" t="s">
        <v>53</v>
      </c>
      <c r="E3516">
        <v>99.6</v>
      </c>
      <c r="F3516" s="1">
        <v>-36.8377358490566</v>
      </c>
      <c r="G3516" s="2">
        <v>-27566.5938046665</v>
      </c>
      <c r="H3516" s="1">
        <v>139.98473850542101</v>
      </c>
      <c r="I3516" s="1">
        <f t="shared" si="109"/>
        <v>155.72639348858462</v>
      </c>
    </row>
    <row r="3517" spans="1:9" x14ac:dyDescent="0.45">
      <c r="A3517" t="s">
        <v>54</v>
      </c>
      <c r="B3517" t="s">
        <v>58</v>
      </c>
      <c r="C3517" t="str">
        <f t="shared" si="108"/>
        <v>Robert MorrisSIU Edwardsville</v>
      </c>
      <c r="D3517" t="s">
        <v>58</v>
      </c>
      <c r="E3517">
        <v>25.4</v>
      </c>
      <c r="F3517" s="1">
        <v>7.0528301886792502</v>
      </c>
      <c r="G3517" s="2">
        <v>293.25929997330297</v>
      </c>
      <c r="H3517" s="1">
        <v>137.06770383410799</v>
      </c>
      <c r="I3517" s="1">
        <f t="shared" si="109"/>
        <v>114.76622226471082</v>
      </c>
    </row>
    <row r="3518" spans="1:9" x14ac:dyDescent="0.45">
      <c r="A3518" t="s">
        <v>55</v>
      </c>
      <c r="B3518" t="s">
        <v>58</v>
      </c>
      <c r="C3518" t="str">
        <f t="shared" si="108"/>
        <v>Saint FrancisSIU Edwardsville</v>
      </c>
      <c r="D3518" t="s">
        <v>58</v>
      </c>
      <c r="E3518">
        <v>17</v>
      </c>
      <c r="F3518" s="1">
        <v>10.4150943396226</v>
      </c>
      <c r="G3518" s="2">
        <v>489.81715109637099</v>
      </c>
      <c r="H3518" s="1">
        <v>137.774551716151</v>
      </c>
      <c r="I3518" s="1">
        <f t="shared" si="109"/>
        <v>124.6915791905104</v>
      </c>
    </row>
    <row r="3519" spans="1:9" x14ac:dyDescent="0.45">
      <c r="A3519" t="s">
        <v>56</v>
      </c>
      <c r="B3519" t="s">
        <v>58</v>
      </c>
      <c r="C3519" t="str">
        <f t="shared" si="108"/>
        <v>Saint Mary'sSIU Edwardsville</v>
      </c>
      <c r="D3519" t="s">
        <v>56</v>
      </c>
      <c r="E3519">
        <v>97.9</v>
      </c>
      <c r="F3519" s="1">
        <v>-25.320754716981099</v>
      </c>
      <c r="G3519" s="2">
        <v>-4758.0629871682504</v>
      </c>
      <c r="H3519" s="1">
        <v>139.50375783209299</v>
      </c>
      <c r="I3519" s="1">
        <f t="shared" si="109"/>
        <v>148.97259966891025</v>
      </c>
    </row>
    <row r="3520" spans="1:9" x14ac:dyDescent="0.45">
      <c r="A3520" t="s">
        <v>57</v>
      </c>
      <c r="B3520" t="s">
        <v>58</v>
      </c>
      <c r="C3520" t="str">
        <f t="shared" si="108"/>
        <v>San Diego St.SIU Edwardsville</v>
      </c>
      <c r="D3520" t="s">
        <v>57</v>
      </c>
      <c r="E3520">
        <v>93.7</v>
      </c>
      <c r="F3520" s="1">
        <v>-17.6452830188679</v>
      </c>
      <c r="G3520" s="2">
        <v>-1475.8105848492801</v>
      </c>
      <c r="H3520" s="1">
        <v>138.71845699512099</v>
      </c>
      <c r="I3520" s="1">
        <f t="shared" si="109"/>
        <v>137.94562866271858</v>
      </c>
    </row>
    <row r="3521" spans="1:9" x14ac:dyDescent="0.45">
      <c r="A3521" t="s">
        <v>58</v>
      </c>
      <c r="B3521" t="s">
        <v>58</v>
      </c>
      <c r="C3521" t="str">
        <f t="shared" si="108"/>
        <v>SIU EdwardsvilleSIU Edwardsville</v>
      </c>
      <c r="D3521" t="s">
        <v>58</v>
      </c>
      <c r="E3521">
        <v>41.2</v>
      </c>
      <c r="F3521" s="1">
        <v>2.3283018867924499</v>
      </c>
      <c r="G3521" s="2">
        <v>142.64273539779199</v>
      </c>
      <c r="H3521" s="1">
        <v>138.77771517530499</v>
      </c>
      <c r="I3521" s="1">
        <f t="shared" si="109"/>
        <v>138.77771517530684</v>
      </c>
    </row>
    <row r="3522" spans="1:9" x14ac:dyDescent="0.45">
      <c r="A3522" t="s">
        <v>59</v>
      </c>
      <c r="B3522" t="s">
        <v>58</v>
      </c>
      <c r="C3522" t="str">
        <f t="shared" si="108"/>
        <v>St. John'sSIU Edwardsville</v>
      </c>
      <c r="D3522" t="s">
        <v>59</v>
      </c>
      <c r="E3522">
        <v>99.3</v>
      </c>
      <c r="F3522" s="1">
        <v>-32.301886792452798</v>
      </c>
      <c r="G3522" s="2">
        <v>-13806.380436191999</v>
      </c>
      <c r="H3522" s="1">
        <v>139.59717162385999</v>
      </c>
      <c r="I3522" s="1">
        <f t="shared" si="109"/>
        <v>150.28428956518616</v>
      </c>
    </row>
    <row r="3523" spans="1:9" x14ac:dyDescent="0.45">
      <c r="A3523" t="s">
        <v>60</v>
      </c>
      <c r="B3523" t="s">
        <v>58</v>
      </c>
      <c r="C3523" t="str">
        <f t="shared" ref="C3523:C3586" si="110">A3523&amp;B3523</f>
        <v>TennesseeSIU Edwardsville</v>
      </c>
      <c r="D3523" t="s">
        <v>60</v>
      </c>
      <c r="E3523">
        <v>99.7</v>
      </c>
      <c r="F3523" s="1">
        <v>-37.520754716981102</v>
      </c>
      <c r="G3523" s="2">
        <v>-30594.075124569299</v>
      </c>
      <c r="H3523" s="1">
        <v>140.39040399799401</v>
      </c>
      <c r="I3523" s="1">
        <f t="shared" ref="I3523:I3586" si="111">18*(H3523-AVERAGE($H$2:$H$4625))/_xlfn.STDEV.P($H$2:$H$4625)+AVERAGE($H$2:$H$4625)</f>
        <v>161.42263296040696</v>
      </c>
    </row>
    <row r="3524" spans="1:9" x14ac:dyDescent="0.45">
      <c r="A3524" t="s">
        <v>61</v>
      </c>
      <c r="B3524" t="s">
        <v>58</v>
      </c>
      <c r="C3524" t="str">
        <f t="shared" si="110"/>
        <v>TexasSIU Edwardsville</v>
      </c>
      <c r="D3524" t="s">
        <v>61</v>
      </c>
      <c r="E3524">
        <v>92.5</v>
      </c>
      <c r="F3524" s="1">
        <v>-16.422641509434001</v>
      </c>
      <c r="G3524" s="2">
        <v>-1224.5950656199</v>
      </c>
      <c r="H3524" s="1">
        <v>138.09028582563201</v>
      </c>
      <c r="I3524" s="1">
        <f t="shared" si="111"/>
        <v>129.12502775824319</v>
      </c>
    </row>
    <row r="3525" spans="1:9" x14ac:dyDescent="0.45">
      <c r="A3525" t="s">
        <v>62</v>
      </c>
      <c r="B3525" t="s">
        <v>58</v>
      </c>
      <c r="C3525" t="str">
        <f t="shared" si="110"/>
        <v>Texas A&amp;MSIU Edwardsville</v>
      </c>
      <c r="D3525" t="s">
        <v>62</v>
      </c>
      <c r="E3525">
        <v>98.6</v>
      </c>
      <c r="F3525" s="1">
        <v>-27.822641509434</v>
      </c>
      <c r="G3525" s="2">
        <v>-6971.8299282752096</v>
      </c>
      <c r="H3525" s="1">
        <v>138.87726113503001</v>
      </c>
      <c r="I3525" s="1">
        <f t="shared" si="111"/>
        <v>140.1755112300059</v>
      </c>
    </row>
    <row r="3526" spans="1:9" x14ac:dyDescent="0.45">
      <c r="A3526" t="s">
        <v>63</v>
      </c>
      <c r="B3526" t="s">
        <v>58</v>
      </c>
      <c r="C3526" t="str">
        <f t="shared" si="110"/>
        <v>Texas TechSIU Edwardsville</v>
      </c>
      <c r="D3526" t="s">
        <v>63</v>
      </c>
      <c r="E3526">
        <v>99.3</v>
      </c>
      <c r="F3526" s="1">
        <v>-32.158490566037699</v>
      </c>
      <c r="G3526" s="2">
        <v>-13503.9936738262</v>
      </c>
      <c r="H3526" s="1">
        <v>139.867773740269</v>
      </c>
      <c r="I3526" s="1">
        <f t="shared" si="111"/>
        <v>154.08400752214365</v>
      </c>
    </row>
    <row r="3527" spans="1:9" x14ac:dyDescent="0.45">
      <c r="A3527" t="s">
        <v>64</v>
      </c>
      <c r="B3527" t="s">
        <v>58</v>
      </c>
      <c r="C3527" t="str">
        <f t="shared" si="110"/>
        <v>TroySIU Edwardsville</v>
      </c>
      <c r="D3527" t="s">
        <v>64</v>
      </c>
      <c r="E3527">
        <v>66</v>
      </c>
      <c r="F3527" s="1">
        <v>-4.3471698113207502</v>
      </c>
      <c r="G3527" s="2">
        <v>-194.14265380463701</v>
      </c>
      <c r="H3527" s="1">
        <v>138.63407833482799</v>
      </c>
      <c r="I3527" s="1">
        <f t="shared" si="111"/>
        <v>136.76080751292861</v>
      </c>
    </row>
    <row r="3528" spans="1:9" x14ac:dyDescent="0.45">
      <c r="A3528" t="s">
        <v>65</v>
      </c>
      <c r="B3528" t="s">
        <v>58</v>
      </c>
      <c r="C3528" t="str">
        <f t="shared" si="110"/>
        <v>UC San DiegoSIU Edwardsville</v>
      </c>
      <c r="D3528" t="s">
        <v>65</v>
      </c>
      <c r="E3528">
        <v>83.3</v>
      </c>
      <c r="F3528" s="1">
        <v>-10.5320754716981</v>
      </c>
      <c r="G3528" s="2">
        <v>-498.48130401327899</v>
      </c>
      <c r="H3528" s="1">
        <v>138.70419856449101</v>
      </c>
      <c r="I3528" s="1">
        <f t="shared" si="111"/>
        <v>137.74541583503736</v>
      </c>
    </row>
    <row r="3529" spans="1:9" x14ac:dyDescent="0.45">
      <c r="A3529" t="s">
        <v>66</v>
      </c>
      <c r="B3529" t="s">
        <v>58</v>
      </c>
      <c r="C3529" t="str">
        <f t="shared" si="110"/>
        <v>UCLASIU Edwardsville</v>
      </c>
      <c r="D3529" t="s">
        <v>66</v>
      </c>
      <c r="E3529">
        <v>94.5</v>
      </c>
      <c r="F3529" s="1">
        <v>-18.6301886792453</v>
      </c>
      <c r="G3529" s="2">
        <v>-1715.30094120013</v>
      </c>
      <c r="H3529" s="1">
        <v>137.925457143703</v>
      </c>
      <c r="I3529" s="1">
        <f t="shared" si="111"/>
        <v>126.81055028534477</v>
      </c>
    </row>
    <row r="3530" spans="1:9" x14ac:dyDescent="0.45">
      <c r="A3530" t="s">
        <v>67</v>
      </c>
      <c r="B3530" t="s">
        <v>58</v>
      </c>
      <c r="C3530" t="str">
        <f t="shared" si="110"/>
        <v>UNC WilmingtonSIU Edwardsville</v>
      </c>
      <c r="D3530" t="s">
        <v>67</v>
      </c>
      <c r="E3530">
        <v>74.2</v>
      </c>
      <c r="F3530" s="1">
        <v>-6.9396226415094304</v>
      </c>
      <c r="G3530" s="2">
        <v>-288.19463013550097</v>
      </c>
      <c r="H3530" s="1">
        <v>139.24086703515599</v>
      </c>
      <c r="I3530" s="1">
        <f t="shared" si="111"/>
        <v>145.28116186681061</v>
      </c>
    </row>
    <row r="3531" spans="1:9" x14ac:dyDescent="0.45">
      <c r="A3531" t="s">
        <v>68</v>
      </c>
      <c r="B3531" t="s">
        <v>58</v>
      </c>
      <c r="C3531" t="str">
        <f t="shared" si="110"/>
        <v>Utah St.SIU Edwardsville</v>
      </c>
      <c r="D3531" t="s">
        <v>68</v>
      </c>
      <c r="E3531">
        <v>94.2</v>
      </c>
      <c r="F3531" s="1">
        <v>-18.264150943396199</v>
      </c>
      <c r="G3531" s="2">
        <v>-1622.2734956198599</v>
      </c>
      <c r="H3531" s="1">
        <v>138.788053533735</v>
      </c>
      <c r="I3531" s="1">
        <f t="shared" si="111"/>
        <v>138.92288346405954</v>
      </c>
    </row>
    <row r="3532" spans="1:9" x14ac:dyDescent="0.45">
      <c r="A3532" t="s">
        <v>69</v>
      </c>
      <c r="B3532" t="s">
        <v>58</v>
      </c>
      <c r="C3532" t="str">
        <f t="shared" si="110"/>
        <v>VanderbiltSIU Edwardsville</v>
      </c>
      <c r="D3532" t="s">
        <v>69</v>
      </c>
      <c r="E3532">
        <v>76.2</v>
      </c>
      <c r="F3532" s="1">
        <v>-7.6188679245283</v>
      </c>
      <c r="G3532" s="2">
        <v>-319.67237251162902</v>
      </c>
      <c r="H3532" s="1">
        <v>137.22209141501699</v>
      </c>
      <c r="I3532" s="1">
        <f t="shared" si="111"/>
        <v>116.93408876662866</v>
      </c>
    </row>
    <row r="3533" spans="1:9" x14ac:dyDescent="0.45">
      <c r="A3533" t="s">
        <v>70</v>
      </c>
      <c r="B3533" t="s">
        <v>58</v>
      </c>
      <c r="C3533" t="str">
        <f t="shared" si="110"/>
        <v>VCUSIU Edwardsville</v>
      </c>
      <c r="D3533" t="s">
        <v>70</v>
      </c>
      <c r="E3533">
        <v>91.1</v>
      </c>
      <c r="F3533" s="1">
        <v>-15.264150943396199</v>
      </c>
      <c r="G3533" s="2">
        <v>-1026.18781664735</v>
      </c>
      <c r="H3533" s="1">
        <v>139.147264544211</v>
      </c>
      <c r="I3533" s="1">
        <f t="shared" si="111"/>
        <v>143.96682231034518</v>
      </c>
    </row>
    <row r="3534" spans="1:9" x14ac:dyDescent="0.45">
      <c r="A3534" t="s">
        <v>71</v>
      </c>
      <c r="B3534" t="s">
        <v>58</v>
      </c>
      <c r="C3534" t="str">
        <f t="shared" si="110"/>
        <v>WisconsinSIU Edwardsville</v>
      </c>
      <c r="D3534" t="s">
        <v>71</v>
      </c>
      <c r="E3534">
        <v>99.2</v>
      </c>
      <c r="F3534" s="1">
        <v>-31.215094339622599</v>
      </c>
      <c r="G3534" s="2">
        <v>-11698.023595622401</v>
      </c>
      <c r="H3534" s="1">
        <v>139.80052015254199</v>
      </c>
      <c r="I3534" s="1">
        <f t="shared" si="111"/>
        <v>153.13965177080175</v>
      </c>
    </row>
    <row r="3535" spans="1:9" x14ac:dyDescent="0.45">
      <c r="A3535" t="s">
        <v>80</v>
      </c>
      <c r="B3535" t="s">
        <v>58</v>
      </c>
      <c r="C3535" t="str">
        <f t="shared" si="110"/>
        <v>WoffordSIU Edwardsville</v>
      </c>
      <c r="D3535" t="s">
        <v>80</v>
      </c>
      <c r="E3535">
        <v>50.2</v>
      </c>
      <c r="F3535" s="1">
        <v>-4.1509433962264197E-2</v>
      </c>
      <c r="G3535" s="2">
        <v>-100.652927175851</v>
      </c>
      <c r="H3535" s="1">
        <v>137.898168581769</v>
      </c>
      <c r="I3535" s="1">
        <f t="shared" si="111"/>
        <v>126.42737205977818</v>
      </c>
    </row>
    <row r="3536" spans="1:9" x14ac:dyDescent="0.45">
      <c r="A3536" t="s">
        <v>72</v>
      </c>
      <c r="B3536" t="s">
        <v>58</v>
      </c>
      <c r="C3536" t="str">
        <f t="shared" si="110"/>
        <v>XavierSIU Edwardsville</v>
      </c>
      <c r="D3536" t="s">
        <v>72</v>
      </c>
      <c r="E3536">
        <v>91</v>
      </c>
      <c r="F3536" s="1">
        <v>-15.192452830188699</v>
      </c>
      <c r="G3536" s="2">
        <v>-1014.80095868349</v>
      </c>
      <c r="H3536" s="1">
        <v>138.64097075239101</v>
      </c>
      <c r="I3536" s="1">
        <f t="shared" si="111"/>
        <v>136.85758888008348</v>
      </c>
    </row>
    <row r="3537" spans="1:9" x14ac:dyDescent="0.45">
      <c r="A3537" t="s">
        <v>73</v>
      </c>
      <c r="B3537" t="s">
        <v>58</v>
      </c>
      <c r="C3537" t="str">
        <f t="shared" si="110"/>
        <v>YaleSIU Edwardsville</v>
      </c>
      <c r="D3537" t="s">
        <v>73</v>
      </c>
      <c r="E3537">
        <v>84.1</v>
      </c>
      <c r="F3537" s="1">
        <v>-10.9396226415094</v>
      </c>
      <c r="G3537" s="2">
        <v>-530.68324658257598</v>
      </c>
      <c r="H3537" s="1">
        <v>139.240676888785</v>
      </c>
      <c r="I3537" s="1">
        <f t="shared" si="111"/>
        <v>145.27849188554859</v>
      </c>
    </row>
    <row r="3538" spans="1:9" x14ac:dyDescent="0.45">
      <c r="A3538" t="s">
        <v>7</v>
      </c>
      <c r="B3538" t="s">
        <v>59</v>
      </c>
      <c r="C3538" t="str">
        <f t="shared" si="110"/>
        <v>AkronSt. John's</v>
      </c>
      <c r="D3538" t="s">
        <v>59</v>
      </c>
      <c r="E3538">
        <v>1.4</v>
      </c>
      <c r="F3538" s="1">
        <v>27.954716981132101</v>
      </c>
      <c r="G3538" s="2">
        <v>7111.6121728070502</v>
      </c>
      <c r="H3538" s="1">
        <v>137.23804750081001</v>
      </c>
      <c r="I3538" s="1">
        <f t="shared" si="111"/>
        <v>117.15813958528102</v>
      </c>
    </row>
    <row r="3539" spans="1:9" x14ac:dyDescent="0.45">
      <c r="A3539" t="s">
        <v>8</v>
      </c>
      <c r="B3539" t="s">
        <v>59</v>
      </c>
      <c r="C3539" t="str">
        <f t="shared" si="110"/>
        <v>AlabamaSt. John's</v>
      </c>
      <c r="D3539" t="s">
        <v>8</v>
      </c>
      <c r="E3539">
        <v>51.5</v>
      </c>
      <c r="F3539" s="1">
        <v>-0.38490566037735802</v>
      </c>
      <c r="G3539" s="2">
        <v>-106.062690496409</v>
      </c>
      <c r="H3539" s="1">
        <v>139.04565868840501</v>
      </c>
      <c r="I3539" s="1">
        <f t="shared" si="111"/>
        <v>142.54010178073005</v>
      </c>
    </row>
    <row r="3540" spans="1:9" x14ac:dyDescent="0.45">
      <c r="A3540" t="s">
        <v>9</v>
      </c>
      <c r="B3540" t="s">
        <v>59</v>
      </c>
      <c r="C3540" t="str">
        <f t="shared" si="110"/>
        <v>Alabama St.St. John's</v>
      </c>
      <c r="D3540" t="s">
        <v>59</v>
      </c>
      <c r="E3540">
        <v>0.2</v>
      </c>
      <c r="F3540" s="1">
        <v>40.271698113207499</v>
      </c>
      <c r="G3540" s="2">
        <v>46564.804312386899</v>
      </c>
      <c r="H3540" s="1">
        <v>137.424809260231</v>
      </c>
      <c r="I3540" s="1">
        <f t="shared" si="111"/>
        <v>119.78059509435877</v>
      </c>
    </row>
    <row r="3541" spans="1:9" x14ac:dyDescent="0.45">
      <c r="A3541" t="s">
        <v>10</v>
      </c>
      <c r="B3541" t="s">
        <v>59</v>
      </c>
      <c r="C3541" t="str">
        <f t="shared" si="110"/>
        <v>AmericanSt. John's</v>
      </c>
      <c r="D3541" t="s">
        <v>59</v>
      </c>
      <c r="E3541">
        <v>0.2</v>
      </c>
      <c r="F3541" s="1">
        <v>39.5169811320755</v>
      </c>
      <c r="G3541" s="2">
        <v>41486.950396432498</v>
      </c>
      <c r="H3541" s="1">
        <v>137.188098779993</v>
      </c>
      <c r="I3541" s="1">
        <f t="shared" si="111"/>
        <v>116.45677385343066</v>
      </c>
    </row>
    <row r="3542" spans="1:9" x14ac:dyDescent="0.45">
      <c r="A3542" t="s">
        <v>11</v>
      </c>
      <c r="B3542" t="s">
        <v>59</v>
      </c>
      <c r="C3542" t="str">
        <f t="shared" si="110"/>
        <v>ArizonaSt. John's</v>
      </c>
      <c r="D3542" t="s">
        <v>59</v>
      </c>
      <c r="E3542">
        <v>41.1</v>
      </c>
      <c r="F3542" s="1">
        <v>2.36981132075472</v>
      </c>
      <c r="G3542" s="2">
        <v>143.54614807068199</v>
      </c>
      <c r="H3542" s="1">
        <v>138.65613802858201</v>
      </c>
      <c r="I3542" s="1">
        <f t="shared" si="111"/>
        <v>137.07056345864865</v>
      </c>
    </row>
    <row r="3543" spans="1:9" x14ac:dyDescent="0.45">
      <c r="A3543" t="s">
        <v>12</v>
      </c>
      <c r="B3543" t="s">
        <v>59</v>
      </c>
      <c r="C3543" t="str">
        <f t="shared" si="110"/>
        <v>ArkansasSt. John's</v>
      </c>
      <c r="D3543" t="s">
        <v>59</v>
      </c>
      <c r="E3543">
        <v>4.3</v>
      </c>
      <c r="F3543" s="1">
        <v>20.271698113207499</v>
      </c>
      <c r="G3543" s="2">
        <v>2202.37438426161</v>
      </c>
      <c r="H3543" s="1">
        <v>136.982062006371</v>
      </c>
      <c r="I3543" s="1">
        <f t="shared" si="111"/>
        <v>113.56366407692839</v>
      </c>
    </row>
    <row r="3544" spans="1:9" x14ac:dyDescent="0.45">
      <c r="A3544" t="s">
        <v>13</v>
      </c>
      <c r="B3544" t="s">
        <v>59</v>
      </c>
      <c r="C3544" t="str">
        <f t="shared" si="110"/>
        <v>AuburnSt. John's</v>
      </c>
      <c r="D3544" t="s">
        <v>13</v>
      </c>
      <c r="E3544">
        <v>67.599999999999994</v>
      </c>
      <c r="F3544" s="1">
        <v>-4.8264150943396196</v>
      </c>
      <c r="G3544" s="2">
        <v>-208.77243798216301</v>
      </c>
      <c r="H3544" s="1">
        <v>140.067874921758</v>
      </c>
      <c r="I3544" s="1">
        <f t="shared" si="111"/>
        <v>156.89377140204971</v>
      </c>
    </row>
    <row r="3545" spans="1:9" x14ac:dyDescent="0.45">
      <c r="A3545" t="s">
        <v>14</v>
      </c>
      <c r="B3545" t="s">
        <v>59</v>
      </c>
      <c r="C3545" t="str">
        <f t="shared" si="110"/>
        <v>BaylorSt. John's</v>
      </c>
      <c r="D3545" t="s">
        <v>59</v>
      </c>
      <c r="E3545">
        <v>17.399999999999999</v>
      </c>
      <c r="F3545" s="1">
        <v>10.222641509434</v>
      </c>
      <c r="G3545" s="2">
        <v>475.65168616594599</v>
      </c>
      <c r="H3545" s="1">
        <v>138.53079228293799</v>
      </c>
      <c r="I3545" s="1">
        <f t="shared" si="111"/>
        <v>135.31049414776459</v>
      </c>
    </row>
    <row r="3546" spans="1:9" x14ac:dyDescent="0.45">
      <c r="A3546" t="s">
        <v>15</v>
      </c>
      <c r="B3546" t="s">
        <v>59</v>
      </c>
      <c r="C3546" t="str">
        <f t="shared" si="110"/>
        <v>BryantSt. John's</v>
      </c>
      <c r="D3546" t="s">
        <v>59</v>
      </c>
      <c r="E3546">
        <v>1</v>
      </c>
      <c r="F3546" s="1">
        <v>30.294339622641498</v>
      </c>
      <c r="G3546" s="2">
        <v>10162.506854565199</v>
      </c>
      <c r="H3546" s="1">
        <v>138.12311215858401</v>
      </c>
      <c r="I3546" s="1">
        <f t="shared" si="111"/>
        <v>129.58596578945298</v>
      </c>
    </row>
    <row r="3547" spans="1:9" x14ac:dyDescent="0.45">
      <c r="A3547" t="s">
        <v>16</v>
      </c>
      <c r="B3547" t="s">
        <v>59</v>
      </c>
      <c r="C3547" t="str">
        <f t="shared" si="110"/>
        <v>BYUSt. John's</v>
      </c>
      <c r="D3547" t="s">
        <v>59</v>
      </c>
      <c r="E3547">
        <v>19.899999999999999</v>
      </c>
      <c r="F3547" s="1">
        <v>9.1283018867924497</v>
      </c>
      <c r="G3547" s="2">
        <v>402.51243203128701</v>
      </c>
      <c r="H3547" s="1">
        <v>138.29315283302699</v>
      </c>
      <c r="I3547" s="1">
        <f t="shared" si="111"/>
        <v>131.9736285788955</v>
      </c>
    </row>
    <row r="3548" spans="1:9" x14ac:dyDescent="0.45">
      <c r="A3548" t="s">
        <v>17</v>
      </c>
      <c r="B3548" t="s">
        <v>59</v>
      </c>
      <c r="C3548" t="str">
        <f t="shared" si="110"/>
        <v>ClemsonSt. John's</v>
      </c>
      <c r="D3548" t="s">
        <v>59</v>
      </c>
      <c r="E3548">
        <v>25.8</v>
      </c>
      <c r="F3548" s="1">
        <v>6.9245283018867898</v>
      </c>
      <c r="G3548" s="2">
        <v>287.56639482458399</v>
      </c>
      <c r="H3548" s="1">
        <v>138.643203055469</v>
      </c>
      <c r="I3548" s="1">
        <f t="shared" si="111"/>
        <v>136.88893424501768</v>
      </c>
    </row>
    <row r="3549" spans="1:9" x14ac:dyDescent="0.45">
      <c r="A3549" t="s">
        <v>18</v>
      </c>
      <c r="B3549" t="s">
        <v>59</v>
      </c>
      <c r="C3549" t="str">
        <f t="shared" si="110"/>
        <v>Colorado St.St. John's</v>
      </c>
      <c r="D3549" t="s">
        <v>59</v>
      </c>
      <c r="E3549">
        <v>5.4</v>
      </c>
      <c r="F3549" s="1">
        <v>18.705660377358502</v>
      </c>
      <c r="G3549" s="2">
        <v>1735.0101895831899</v>
      </c>
      <c r="H3549" s="1">
        <v>138.03281403026401</v>
      </c>
      <c r="I3549" s="1">
        <f t="shared" si="111"/>
        <v>128.31802515317742</v>
      </c>
    </row>
    <row r="3550" spans="1:9" x14ac:dyDescent="0.45">
      <c r="A3550" t="s">
        <v>19</v>
      </c>
      <c r="B3550" t="s">
        <v>59</v>
      </c>
      <c r="C3550" t="str">
        <f t="shared" si="110"/>
        <v>ConnecticutSt. John's</v>
      </c>
      <c r="D3550" t="s">
        <v>59</v>
      </c>
      <c r="E3550">
        <v>35.1</v>
      </c>
      <c r="F3550" s="1">
        <v>4.0301886792452803</v>
      </c>
      <c r="G3550" s="2">
        <v>184.94892204230601</v>
      </c>
      <c r="H3550" s="1">
        <v>138.44345388621801</v>
      </c>
      <c r="I3550" s="1">
        <f t="shared" si="111"/>
        <v>134.08411322084231</v>
      </c>
    </row>
    <row r="3551" spans="1:9" x14ac:dyDescent="0.45">
      <c r="A3551" t="s">
        <v>20</v>
      </c>
      <c r="B3551" t="s">
        <v>59</v>
      </c>
      <c r="C3551" t="str">
        <f t="shared" si="110"/>
        <v>CreightonSt. John's</v>
      </c>
      <c r="D3551" t="s">
        <v>59</v>
      </c>
      <c r="E3551">
        <v>14.3</v>
      </c>
      <c r="F3551" s="1">
        <v>11.739622641509399</v>
      </c>
      <c r="G3551" s="2">
        <v>599.35545770727595</v>
      </c>
      <c r="H3551" s="1">
        <v>137.992750639056</v>
      </c>
      <c r="I3551" s="1">
        <f t="shared" si="111"/>
        <v>127.75546640822071</v>
      </c>
    </row>
    <row r="3552" spans="1:9" x14ac:dyDescent="0.45">
      <c r="A3552" t="s">
        <v>21</v>
      </c>
      <c r="B3552" t="s">
        <v>59</v>
      </c>
      <c r="C3552" t="str">
        <f t="shared" si="110"/>
        <v>DrakeSt. John's</v>
      </c>
      <c r="D3552" t="s">
        <v>59</v>
      </c>
      <c r="E3552">
        <v>5.3</v>
      </c>
      <c r="F3552" s="1">
        <v>18.909433962264199</v>
      </c>
      <c r="G3552" s="2">
        <v>1790.07883530193</v>
      </c>
      <c r="H3552" s="1">
        <v>138.22742644473101</v>
      </c>
      <c r="I3552" s="1">
        <f t="shared" si="111"/>
        <v>131.0507173276149</v>
      </c>
    </row>
    <row r="3553" spans="1:9" x14ac:dyDescent="0.45">
      <c r="A3553" t="s">
        <v>22</v>
      </c>
      <c r="B3553" t="s">
        <v>59</v>
      </c>
      <c r="C3553" t="str">
        <f t="shared" si="110"/>
        <v>DukeSt. John's</v>
      </c>
      <c r="D3553" t="s">
        <v>22</v>
      </c>
      <c r="E3553">
        <v>74.5</v>
      </c>
      <c r="F3553" s="1">
        <v>-7.0415094339622604</v>
      </c>
      <c r="G3553" s="2">
        <v>-292.671388650121</v>
      </c>
      <c r="H3553" s="1">
        <v>140.307766333334</v>
      </c>
      <c r="I3553" s="1">
        <f t="shared" si="111"/>
        <v>160.26225837614066</v>
      </c>
    </row>
    <row r="3554" spans="1:9" x14ac:dyDescent="0.45">
      <c r="A3554" t="s">
        <v>23</v>
      </c>
      <c r="B3554" t="s">
        <v>59</v>
      </c>
      <c r="C3554" t="str">
        <f t="shared" si="110"/>
        <v>FloridaSt. John's</v>
      </c>
      <c r="D3554" t="s">
        <v>23</v>
      </c>
      <c r="E3554">
        <v>61.9</v>
      </c>
      <c r="F3554" s="1">
        <v>-3.1811320754716998</v>
      </c>
      <c r="G3554" s="2">
        <v>-162.49803289708899</v>
      </c>
      <c r="H3554" s="1">
        <v>140.04241686088801</v>
      </c>
      <c r="I3554" s="1">
        <f t="shared" si="111"/>
        <v>156.53629655181305</v>
      </c>
    </row>
    <row r="3555" spans="1:9" x14ac:dyDescent="0.45">
      <c r="A3555" t="s">
        <v>24</v>
      </c>
      <c r="B3555" t="s">
        <v>59</v>
      </c>
      <c r="C3555" t="str">
        <f t="shared" si="110"/>
        <v>GeorgiaSt. John's</v>
      </c>
      <c r="D3555" t="s">
        <v>59</v>
      </c>
      <c r="E3555">
        <v>6.1</v>
      </c>
      <c r="F3555" s="1">
        <v>17.8792452830189</v>
      </c>
      <c r="G3555" s="2">
        <v>1529.21098790928</v>
      </c>
      <c r="H3555" s="1">
        <v>137.30637515717299</v>
      </c>
      <c r="I3555" s="1">
        <f t="shared" si="111"/>
        <v>118.11757710293452</v>
      </c>
    </row>
    <row r="3556" spans="1:9" x14ac:dyDescent="0.45">
      <c r="A3556" t="s">
        <v>25</v>
      </c>
      <c r="B3556" t="s">
        <v>59</v>
      </c>
      <c r="C3556" t="str">
        <f t="shared" si="110"/>
        <v>GonzagaSt. John's</v>
      </c>
      <c r="D3556" t="s">
        <v>59</v>
      </c>
      <c r="E3556">
        <v>24.9</v>
      </c>
      <c r="F3556" s="1">
        <v>7.24905660377358</v>
      </c>
      <c r="G3556" s="2">
        <v>302.15415259330803</v>
      </c>
      <c r="H3556" s="1">
        <v>139.28333688767901</v>
      </c>
      <c r="I3556" s="1">
        <f t="shared" si="111"/>
        <v>145.87751145713372</v>
      </c>
    </row>
    <row r="3557" spans="1:9" x14ac:dyDescent="0.45">
      <c r="A3557" t="s">
        <v>26</v>
      </c>
      <c r="B3557" t="s">
        <v>59</v>
      </c>
      <c r="C3557" t="str">
        <f t="shared" si="110"/>
        <v>Grand CanyonSt. John's</v>
      </c>
      <c r="D3557" t="s">
        <v>59</v>
      </c>
      <c r="E3557">
        <v>3.5</v>
      </c>
      <c r="F3557" s="1">
        <v>21.8</v>
      </c>
      <c r="G3557" s="2">
        <v>2781.0410682444099</v>
      </c>
      <c r="H3557" s="1">
        <v>138.10130860521801</v>
      </c>
      <c r="I3557" s="1">
        <f t="shared" si="111"/>
        <v>129.27980649421289</v>
      </c>
    </row>
    <row r="3558" spans="1:9" x14ac:dyDescent="0.45">
      <c r="A3558" t="s">
        <v>27</v>
      </c>
      <c r="B3558" t="s">
        <v>59</v>
      </c>
      <c r="C3558" t="str">
        <f t="shared" si="110"/>
        <v>High PointSt. John's</v>
      </c>
      <c r="D3558" t="s">
        <v>59</v>
      </c>
      <c r="E3558">
        <v>2.2000000000000002</v>
      </c>
      <c r="F3558" s="1">
        <v>24.890566037735901</v>
      </c>
      <c r="G3558" s="2">
        <v>4455.4283450721396</v>
      </c>
      <c r="H3558" s="1">
        <v>138.29251573876601</v>
      </c>
      <c r="I3558" s="1">
        <f t="shared" si="111"/>
        <v>131.9646826824781</v>
      </c>
    </row>
    <row r="3559" spans="1:9" x14ac:dyDescent="0.45">
      <c r="A3559" t="s">
        <v>28</v>
      </c>
      <c r="B3559" t="s">
        <v>59</v>
      </c>
      <c r="C3559" t="str">
        <f t="shared" si="110"/>
        <v>HoustonSt. John's</v>
      </c>
      <c r="D3559" t="s">
        <v>28</v>
      </c>
      <c r="E3559">
        <v>83</v>
      </c>
      <c r="F3559" s="1">
        <v>-10.3924528301887</v>
      </c>
      <c r="G3559" s="2">
        <v>-488.21422447804201</v>
      </c>
      <c r="H3559" s="1">
        <v>140.40597809597</v>
      </c>
      <c r="I3559" s="1">
        <f t="shared" si="111"/>
        <v>161.64132001477324</v>
      </c>
    </row>
    <row r="3560" spans="1:9" x14ac:dyDescent="0.45">
      <c r="A3560" t="s">
        <v>29</v>
      </c>
      <c r="B3560" t="s">
        <v>59</v>
      </c>
      <c r="C3560" t="str">
        <f t="shared" si="110"/>
        <v>IllinoisSt. John's</v>
      </c>
      <c r="D3560" t="s">
        <v>59</v>
      </c>
      <c r="E3560">
        <v>32.5</v>
      </c>
      <c r="F3560" s="1">
        <v>4.7924528301886804</v>
      </c>
      <c r="G3560" s="2">
        <v>207.77971737102101</v>
      </c>
      <c r="H3560" s="1">
        <v>138.46444187093101</v>
      </c>
      <c r="I3560" s="1">
        <f t="shared" si="111"/>
        <v>134.37882053301209</v>
      </c>
    </row>
    <row r="3561" spans="1:9" x14ac:dyDescent="0.45">
      <c r="A3561" t="s">
        <v>30</v>
      </c>
      <c r="B3561" t="s">
        <v>59</v>
      </c>
      <c r="C3561" t="str">
        <f t="shared" si="110"/>
        <v>Iowa St.St. John's</v>
      </c>
      <c r="D3561" t="s">
        <v>30</v>
      </c>
      <c r="E3561">
        <v>50.3</v>
      </c>
      <c r="F3561" s="1">
        <v>-6.7924528301886805E-2</v>
      </c>
      <c r="G3561" s="2">
        <v>-101.030594394579</v>
      </c>
      <c r="H3561" s="1">
        <v>139.36098416251701</v>
      </c>
      <c r="I3561" s="1">
        <f t="shared" si="111"/>
        <v>146.96781240683072</v>
      </c>
    </row>
    <row r="3562" spans="1:9" x14ac:dyDescent="0.45">
      <c r="A3562" t="s">
        <v>31</v>
      </c>
      <c r="B3562" t="s">
        <v>59</v>
      </c>
      <c r="C3562" t="str">
        <f t="shared" si="110"/>
        <v>KansasSt. John's</v>
      </c>
      <c r="D3562" t="s">
        <v>59</v>
      </c>
      <c r="E3562">
        <v>23.7</v>
      </c>
      <c r="F3562" s="1">
        <v>7.6490566037735803</v>
      </c>
      <c r="G3562" s="2">
        <v>321.179655352032</v>
      </c>
      <c r="H3562" s="1">
        <v>138.411572051371</v>
      </c>
      <c r="I3562" s="1">
        <f t="shared" si="111"/>
        <v>133.63643756339903</v>
      </c>
    </row>
    <row r="3563" spans="1:9" x14ac:dyDescent="0.45">
      <c r="A3563" t="s">
        <v>32</v>
      </c>
      <c r="B3563" t="s">
        <v>59</v>
      </c>
      <c r="C3563" t="str">
        <f t="shared" si="110"/>
        <v>KentuckySt. John's</v>
      </c>
      <c r="D3563" t="s">
        <v>59</v>
      </c>
      <c r="E3563">
        <v>34.200000000000003</v>
      </c>
      <c r="F3563" s="1">
        <v>4.2830188679245298</v>
      </c>
      <c r="G3563" s="2">
        <v>192.248112669942</v>
      </c>
      <c r="H3563" s="1">
        <v>138.345854383497</v>
      </c>
      <c r="I3563" s="1">
        <f t="shared" si="111"/>
        <v>132.71364876180382</v>
      </c>
    </row>
    <row r="3564" spans="1:9" x14ac:dyDescent="0.45">
      <c r="A3564" t="s">
        <v>33</v>
      </c>
      <c r="B3564" t="s">
        <v>59</v>
      </c>
      <c r="C3564" t="str">
        <f t="shared" si="110"/>
        <v>LibertySt. John's</v>
      </c>
      <c r="D3564" t="s">
        <v>59</v>
      </c>
      <c r="E3564">
        <v>1.5</v>
      </c>
      <c r="F3564" s="1">
        <v>27.271698113207499</v>
      </c>
      <c r="G3564" s="2">
        <v>6407.5204347459603</v>
      </c>
      <c r="H3564" s="1">
        <v>137.69085542721399</v>
      </c>
      <c r="I3564" s="1">
        <f t="shared" si="111"/>
        <v>123.51633970522877</v>
      </c>
    </row>
    <row r="3565" spans="1:9" x14ac:dyDescent="0.45">
      <c r="A3565" t="s">
        <v>34</v>
      </c>
      <c r="B3565" t="s">
        <v>59</v>
      </c>
      <c r="C3565" t="str">
        <f t="shared" si="110"/>
        <v>LipscombSt. John's</v>
      </c>
      <c r="D3565" t="s">
        <v>59</v>
      </c>
      <c r="E3565">
        <v>1.2</v>
      </c>
      <c r="F3565" s="1">
        <v>29.135849056603799</v>
      </c>
      <c r="G3565" s="2">
        <v>8517.0324225043005</v>
      </c>
      <c r="H3565" s="1">
        <v>138.097173624806</v>
      </c>
      <c r="I3565" s="1">
        <f t="shared" si="111"/>
        <v>129.22174427529285</v>
      </c>
    </row>
    <row r="3566" spans="1:9" x14ac:dyDescent="0.45">
      <c r="A3566" t="s">
        <v>35</v>
      </c>
      <c r="B3566" t="s">
        <v>59</v>
      </c>
      <c r="C3566" t="str">
        <f t="shared" si="110"/>
        <v>LouisvilleSt. John's</v>
      </c>
      <c r="D3566" t="s">
        <v>59</v>
      </c>
      <c r="E3566">
        <v>2.9</v>
      </c>
      <c r="F3566" s="1">
        <v>23.086792452830199</v>
      </c>
      <c r="G3566" s="2">
        <v>3384.9360290355198</v>
      </c>
      <c r="H3566" s="1">
        <v>137.34253563062299</v>
      </c>
      <c r="I3566" s="1">
        <f t="shared" si="111"/>
        <v>118.62533218675787</v>
      </c>
    </row>
    <row r="3567" spans="1:9" x14ac:dyDescent="0.45">
      <c r="A3567" t="s">
        <v>36</v>
      </c>
      <c r="B3567" t="s">
        <v>59</v>
      </c>
      <c r="C3567" t="str">
        <f t="shared" si="110"/>
        <v>MarquetteSt. John's</v>
      </c>
      <c r="D3567" t="s">
        <v>59</v>
      </c>
      <c r="E3567">
        <v>28.5</v>
      </c>
      <c r="F3567" s="1">
        <v>6.0188679245283003</v>
      </c>
      <c r="G3567" s="2">
        <v>250.49967575141099</v>
      </c>
      <c r="H3567" s="1">
        <v>138.60466947408599</v>
      </c>
      <c r="I3567" s="1">
        <f t="shared" si="111"/>
        <v>136.34785665453208</v>
      </c>
    </row>
    <row r="3568" spans="1:9" x14ac:dyDescent="0.45">
      <c r="A3568" t="s">
        <v>37</v>
      </c>
      <c r="B3568" t="s">
        <v>59</v>
      </c>
      <c r="C3568" t="str">
        <f t="shared" si="110"/>
        <v>MarylandSt. John's</v>
      </c>
      <c r="D3568" t="s">
        <v>59</v>
      </c>
      <c r="E3568">
        <v>19.8</v>
      </c>
      <c r="F3568" s="1">
        <v>9.1886792452830193</v>
      </c>
      <c r="G3568" s="2">
        <v>406.107490297509</v>
      </c>
      <c r="H3568" s="1">
        <v>138.06303907262799</v>
      </c>
      <c r="I3568" s="1">
        <f t="shared" si="111"/>
        <v>128.74243660178053</v>
      </c>
    </row>
    <row r="3569" spans="1:9" x14ac:dyDescent="0.45">
      <c r="A3569" t="s">
        <v>38</v>
      </c>
      <c r="B3569" t="s">
        <v>59</v>
      </c>
      <c r="C3569" t="str">
        <f t="shared" si="110"/>
        <v>McNeese St.St. John's</v>
      </c>
      <c r="D3569" t="s">
        <v>59</v>
      </c>
      <c r="E3569">
        <v>5.4</v>
      </c>
      <c r="F3569" s="1">
        <v>18.728301886792501</v>
      </c>
      <c r="G3569" s="2">
        <v>1740.6468694611301</v>
      </c>
      <c r="H3569" s="1">
        <v>138.656274485593</v>
      </c>
      <c r="I3569" s="1">
        <f t="shared" si="111"/>
        <v>137.07247954918748</v>
      </c>
    </row>
    <row r="3570" spans="1:9" x14ac:dyDescent="0.45">
      <c r="A3570" t="s">
        <v>39</v>
      </c>
      <c r="B3570" t="s">
        <v>59</v>
      </c>
      <c r="C3570" t="str">
        <f t="shared" si="110"/>
        <v>MemphisSt. John's</v>
      </c>
      <c r="D3570" t="s">
        <v>59</v>
      </c>
      <c r="E3570">
        <v>12.2</v>
      </c>
      <c r="F3570" s="1">
        <v>12.9509433962264</v>
      </c>
      <c r="G3570" s="2">
        <v>721.17616770624204</v>
      </c>
      <c r="H3570" s="1">
        <v>137.19055631211799</v>
      </c>
      <c r="I3570" s="1">
        <f t="shared" si="111"/>
        <v>116.49128182058573</v>
      </c>
    </row>
    <row r="3571" spans="1:9" x14ac:dyDescent="0.45">
      <c r="A3571" t="s">
        <v>40</v>
      </c>
      <c r="B3571" t="s">
        <v>59</v>
      </c>
      <c r="C3571" t="str">
        <f t="shared" si="110"/>
        <v>MichiganSt. John's</v>
      </c>
      <c r="D3571" t="s">
        <v>59</v>
      </c>
      <c r="E3571">
        <v>6.4</v>
      </c>
      <c r="F3571" s="1">
        <v>17.577358490565999</v>
      </c>
      <c r="G3571" s="2">
        <v>1460.27954088705</v>
      </c>
      <c r="H3571" s="1">
        <v>136.75317760903499</v>
      </c>
      <c r="I3571" s="1">
        <f t="shared" si="111"/>
        <v>110.34973446630229</v>
      </c>
    </row>
    <row r="3572" spans="1:9" x14ac:dyDescent="0.45">
      <c r="A3572" t="s">
        <v>41</v>
      </c>
      <c r="B3572" t="s">
        <v>59</v>
      </c>
      <c r="C3572" t="str">
        <f t="shared" si="110"/>
        <v>Michigan St.St. John's</v>
      </c>
      <c r="D3572" t="s">
        <v>59</v>
      </c>
      <c r="E3572">
        <v>39.4</v>
      </c>
      <c r="F3572" s="1">
        <v>2.8301886792452802</v>
      </c>
      <c r="G3572" s="2">
        <v>153.98586578034599</v>
      </c>
      <c r="H3572" s="1">
        <v>138.40025731824201</v>
      </c>
      <c r="I3572" s="1">
        <f t="shared" si="111"/>
        <v>133.47755929881296</v>
      </c>
    </row>
    <row r="3573" spans="1:9" x14ac:dyDescent="0.45">
      <c r="A3573" t="s">
        <v>42</v>
      </c>
      <c r="B3573" t="s">
        <v>59</v>
      </c>
      <c r="C3573" t="str">
        <f t="shared" si="110"/>
        <v>MississippiSt. John's</v>
      </c>
      <c r="D3573" t="s">
        <v>59</v>
      </c>
      <c r="E3573">
        <v>15.1</v>
      </c>
      <c r="F3573" s="1">
        <v>11.324528301886801</v>
      </c>
      <c r="G3573" s="2">
        <v>562.79764866061998</v>
      </c>
      <c r="H3573" s="1">
        <v>137.667948668131</v>
      </c>
      <c r="I3573" s="1">
        <f t="shared" si="111"/>
        <v>123.19468950907228</v>
      </c>
    </row>
    <row r="3574" spans="1:9" x14ac:dyDescent="0.45">
      <c r="A3574" t="s">
        <v>43</v>
      </c>
      <c r="B3574" t="s">
        <v>59</v>
      </c>
      <c r="C3574" t="str">
        <f t="shared" si="110"/>
        <v>Mississippi St.St. John's</v>
      </c>
      <c r="D3574" t="s">
        <v>59</v>
      </c>
      <c r="E3574">
        <v>12</v>
      </c>
      <c r="F3574" s="1">
        <v>13.0490566037736</v>
      </c>
      <c r="G3574" s="2">
        <v>732.03119791229096</v>
      </c>
      <c r="H3574" s="1">
        <v>137.80769514080799</v>
      </c>
      <c r="I3574" s="1">
        <f t="shared" si="111"/>
        <v>125.15696973325809</v>
      </c>
    </row>
    <row r="3575" spans="1:9" x14ac:dyDescent="0.45">
      <c r="A3575" t="s">
        <v>44</v>
      </c>
      <c r="B3575" t="s">
        <v>59</v>
      </c>
      <c r="C3575" t="str">
        <f t="shared" si="110"/>
        <v>MissouriSt. John's</v>
      </c>
      <c r="D3575" t="s">
        <v>59</v>
      </c>
      <c r="E3575">
        <v>6</v>
      </c>
      <c r="F3575" s="1">
        <v>17.9849056603774</v>
      </c>
      <c r="G3575" s="2">
        <v>1553.8456353480799</v>
      </c>
      <c r="H3575" s="1">
        <v>137.225357039454</v>
      </c>
      <c r="I3575" s="1">
        <f t="shared" si="111"/>
        <v>116.97994373620037</v>
      </c>
    </row>
    <row r="3576" spans="1:9" x14ac:dyDescent="0.45">
      <c r="A3576" t="s">
        <v>45</v>
      </c>
      <c r="B3576" t="s">
        <v>59</v>
      </c>
      <c r="C3576" t="str">
        <f t="shared" si="110"/>
        <v>MontanaSt. John's</v>
      </c>
      <c r="D3576" t="s">
        <v>59</v>
      </c>
      <c r="E3576">
        <v>0.6</v>
      </c>
      <c r="F3576" s="1">
        <v>33.788679245282999</v>
      </c>
      <c r="G3576" s="2">
        <v>17320.228405219499</v>
      </c>
      <c r="H3576" s="1">
        <v>136.36206860286001</v>
      </c>
      <c r="I3576" s="1">
        <f t="shared" si="111"/>
        <v>104.8578930364863</v>
      </c>
    </row>
    <row r="3577" spans="1:9" x14ac:dyDescent="0.45">
      <c r="A3577" t="s">
        <v>46</v>
      </c>
      <c r="B3577" t="s">
        <v>59</v>
      </c>
      <c r="C3577" t="str">
        <f t="shared" si="110"/>
        <v>Mount St. Mary'sSt. John's</v>
      </c>
      <c r="D3577" t="s">
        <v>59</v>
      </c>
      <c r="E3577">
        <v>0.2</v>
      </c>
      <c r="F3577" s="1">
        <v>40.124528301886798</v>
      </c>
      <c r="G3577" s="2">
        <v>45517.432132833797</v>
      </c>
      <c r="H3577" s="1">
        <v>137.66535655701099</v>
      </c>
      <c r="I3577" s="1">
        <f t="shared" si="111"/>
        <v>123.15829182194466</v>
      </c>
    </row>
    <row r="3578" spans="1:9" x14ac:dyDescent="0.45">
      <c r="A3578" t="s">
        <v>47</v>
      </c>
      <c r="B3578" t="s">
        <v>59</v>
      </c>
      <c r="C3578" t="str">
        <f t="shared" si="110"/>
        <v>Nebraska OmahaSt. John's</v>
      </c>
      <c r="D3578" t="s">
        <v>59</v>
      </c>
      <c r="E3578">
        <v>0.3</v>
      </c>
      <c r="F3578" s="1">
        <v>37.932075471698099</v>
      </c>
      <c r="G3578" s="2">
        <v>32589.314993842399</v>
      </c>
      <c r="H3578" s="1">
        <v>137.083132689114</v>
      </c>
      <c r="I3578" s="1">
        <f t="shared" si="111"/>
        <v>114.98286985860108</v>
      </c>
    </row>
    <row r="3579" spans="1:9" x14ac:dyDescent="0.45">
      <c r="A3579" t="s">
        <v>48</v>
      </c>
      <c r="B3579" t="s">
        <v>59</v>
      </c>
      <c r="C3579" t="str">
        <f t="shared" si="110"/>
        <v>New MexicoSt. John's</v>
      </c>
      <c r="D3579" t="s">
        <v>59</v>
      </c>
      <c r="E3579">
        <v>6.9</v>
      </c>
      <c r="F3579" s="1">
        <v>17.101886792452799</v>
      </c>
      <c r="G3579" s="2">
        <v>1358.2885455082001</v>
      </c>
      <c r="H3579" s="1">
        <v>137.853122620931</v>
      </c>
      <c r="I3579" s="1">
        <f t="shared" si="111"/>
        <v>125.79484948916448</v>
      </c>
    </row>
    <row r="3580" spans="1:9" x14ac:dyDescent="0.45">
      <c r="A3580" t="s">
        <v>49</v>
      </c>
      <c r="B3580" t="s">
        <v>59</v>
      </c>
      <c r="C3580" t="str">
        <f t="shared" si="110"/>
        <v>Norfolk St.St. John's</v>
      </c>
      <c r="D3580" t="s">
        <v>59</v>
      </c>
      <c r="E3580">
        <v>0.4</v>
      </c>
      <c r="F3580" s="1">
        <v>35.667924528301903</v>
      </c>
      <c r="G3580" s="2">
        <v>23068.661453347599</v>
      </c>
      <c r="H3580" s="1">
        <v>136.88924838489501</v>
      </c>
      <c r="I3580" s="1">
        <f t="shared" si="111"/>
        <v>112.26040160118521</v>
      </c>
    </row>
    <row r="3581" spans="1:9" x14ac:dyDescent="0.45">
      <c r="A3581" t="s">
        <v>50</v>
      </c>
      <c r="B3581" t="s">
        <v>59</v>
      </c>
      <c r="C3581" t="str">
        <f t="shared" si="110"/>
        <v>North CarolinaSt. John's</v>
      </c>
      <c r="D3581" t="s">
        <v>59</v>
      </c>
      <c r="E3581">
        <v>20.100000000000001</v>
      </c>
      <c r="F3581" s="1">
        <v>9.0528301886792395</v>
      </c>
      <c r="G3581" s="2">
        <v>397.77275535720997</v>
      </c>
      <c r="H3581" s="1">
        <v>138.96285433936501</v>
      </c>
      <c r="I3581" s="1">
        <f t="shared" si="111"/>
        <v>141.37738666180644</v>
      </c>
    </row>
    <row r="3582" spans="1:9" x14ac:dyDescent="0.45">
      <c r="A3582" t="s">
        <v>51</v>
      </c>
      <c r="B3582" t="s">
        <v>59</v>
      </c>
      <c r="C3582" t="str">
        <f t="shared" si="110"/>
        <v>OklahomaSt. John's</v>
      </c>
      <c r="D3582" t="s">
        <v>59</v>
      </c>
      <c r="E3582">
        <v>8.1</v>
      </c>
      <c r="F3582" s="1">
        <v>15.9320754716981</v>
      </c>
      <c r="G3582" s="2">
        <v>1136.6120437197001</v>
      </c>
      <c r="H3582" s="1">
        <v>137.386477465539</v>
      </c>
      <c r="I3582" s="1">
        <f t="shared" si="111"/>
        <v>119.24235093519836</v>
      </c>
    </row>
    <row r="3583" spans="1:9" x14ac:dyDescent="0.45">
      <c r="A3583" t="s">
        <v>52</v>
      </c>
      <c r="B3583" t="s">
        <v>59</v>
      </c>
      <c r="C3583" t="str">
        <f t="shared" si="110"/>
        <v>OregonSt. John's</v>
      </c>
      <c r="D3583" t="s">
        <v>59</v>
      </c>
      <c r="E3583">
        <v>19.8</v>
      </c>
      <c r="F3583" s="1">
        <v>9.1660377358490592</v>
      </c>
      <c r="G3583" s="2">
        <v>404.89835072899399</v>
      </c>
      <c r="H3583" s="1">
        <v>137.677194857068</v>
      </c>
      <c r="I3583" s="1">
        <f t="shared" si="111"/>
        <v>123.32452186442693</v>
      </c>
    </row>
    <row r="3584" spans="1:9" x14ac:dyDescent="0.45">
      <c r="A3584" t="s">
        <v>53</v>
      </c>
      <c r="B3584" t="s">
        <v>59</v>
      </c>
      <c r="C3584" t="str">
        <f t="shared" si="110"/>
        <v>PurdueSt. John's</v>
      </c>
      <c r="D3584" t="s">
        <v>53</v>
      </c>
      <c r="E3584">
        <v>58.3</v>
      </c>
      <c r="F3584" s="1">
        <v>-2.2037735849056599</v>
      </c>
      <c r="G3584" s="2">
        <v>-139.97601075111899</v>
      </c>
      <c r="H3584" s="1">
        <v>139.165282056866</v>
      </c>
      <c r="I3584" s="1">
        <f t="shared" si="111"/>
        <v>144.21981909870533</v>
      </c>
    </row>
    <row r="3585" spans="1:9" x14ac:dyDescent="0.45">
      <c r="A3585" t="s">
        <v>54</v>
      </c>
      <c r="B3585" t="s">
        <v>59</v>
      </c>
      <c r="C3585" t="str">
        <f t="shared" si="110"/>
        <v>Robert MorrisSt. John's</v>
      </c>
      <c r="D3585" t="s">
        <v>59</v>
      </c>
      <c r="E3585">
        <v>0.2</v>
      </c>
      <c r="F3585" s="1">
        <v>41.683018867924503</v>
      </c>
      <c r="G3585" s="2">
        <v>57753.896245683703</v>
      </c>
      <c r="H3585" s="1">
        <v>136.24824738555299</v>
      </c>
      <c r="I3585" s="1">
        <f t="shared" si="111"/>
        <v>103.25964787483151</v>
      </c>
    </row>
    <row r="3586" spans="1:9" x14ac:dyDescent="0.45">
      <c r="A3586" t="s">
        <v>55</v>
      </c>
      <c r="B3586" t="s">
        <v>59</v>
      </c>
      <c r="C3586" t="str">
        <f t="shared" si="110"/>
        <v>Saint FrancisSt. John's</v>
      </c>
      <c r="D3586" t="s">
        <v>59</v>
      </c>
      <c r="E3586">
        <v>0.1</v>
      </c>
      <c r="F3586" s="1">
        <v>45.045283018867899</v>
      </c>
      <c r="G3586" s="2">
        <v>96463.603801657999</v>
      </c>
      <c r="H3586" s="1">
        <v>136.95509526759699</v>
      </c>
      <c r="I3586" s="1">
        <f t="shared" si="111"/>
        <v>113.18500480064505</v>
      </c>
    </row>
    <row r="3587" spans="1:9" x14ac:dyDescent="0.45">
      <c r="A3587" t="s">
        <v>56</v>
      </c>
      <c r="B3587" t="s">
        <v>59</v>
      </c>
      <c r="C3587" t="str">
        <f t="shared" ref="C3587:C3650" si="112">A3587&amp;B3587</f>
        <v>Saint Mary'sSt. John's</v>
      </c>
      <c r="D3587" t="s">
        <v>59</v>
      </c>
      <c r="E3587">
        <v>19.5</v>
      </c>
      <c r="F3587" s="1">
        <v>9.3132075471698101</v>
      </c>
      <c r="G3587" s="2">
        <v>413.90369918853497</v>
      </c>
      <c r="H3587" s="1">
        <v>138.68430138353901</v>
      </c>
      <c r="I3587" s="1">
        <f t="shared" ref="I3587:I3650" si="113">18*(H3587-AVERAGE($H$2:$H$4625))/_xlfn.STDEV.P($H$2:$H$4625)+AVERAGE($H$2:$H$4625)</f>
        <v>137.46602527904528</v>
      </c>
    </row>
    <row r="3588" spans="1:9" x14ac:dyDescent="0.45">
      <c r="A3588" t="s">
        <v>57</v>
      </c>
      <c r="B3588" t="s">
        <v>59</v>
      </c>
      <c r="C3588" t="str">
        <f t="shared" si="112"/>
        <v>San Diego St.St. John's</v>
      </c>
      <c r="D3588" t="s">
        <v>59</v>
      </c>
      <c r="E3588">
        <v>7</v>
      </c>
      <c r="F3588" s="1">
        <v>16.9849056603774</v>
      </c>
      <c r="G3588" s="2">
        <v>1334.43945420822</v>
      </c>
      <c r="H3588" s="1">
        <v>137.89900054656701</v>
      </c>
      <c r="I3588" s="1">
        <f t="shared" si="113"/>
        <v>126.43905427285362</v>
      </c>
    </row>
    <row r="3589" spans="1:9" x14ac:dyDescent="0.45">
      <c r="A3589" t="s">
        <v>58</v>
      </c>
      <c r="B3589" t="s">
        <v>59</v>
      </c>
      <c r="C3589" t="str">
        <f t="shared" si="112"/>
        <v>SIU EdwardsvilleSt. John's</v>
      </c>
      <c r="D3589" t="s">
        <v>59</v>
      </c>
      <c r="E3589">
        <v>0.4</v>
      </c>
      <c r="F3589" s="1">
        <v>36.958490566037703</v>
      </c>
      <c r="G3589" s="2">
        <v>28091.773188828301</v>
      </c>
      <c r="H3589" s="1">
        <v>137.95825872675101</v>
      </c>
      <c r="I3589" s="1">
        <f t="shared" si="113"/>
        <v>127.2711407854419</v>
      </c>
    </row>
    <row r="3590" spans="1:9" x14ac:dyDescent="0.45">
      <c r="A3590" t="s">
        <v>59</v>
      </c>
      <c r="B3590" t="s">
        <v>59</v>
      </c>
      <c r="C3590" t="str">
        <f t="shared" si="112"/>
        <v>St. John'sSt. John's</v>
      </c>
      <c r="D3590" t="s">
        <v>59</v>
      </c>
      <c r="E3590">
        <v>41.2</v>
      </c>
      <c r="F3590" s="1">
        <v>2.3283018867924499</v>
      </c>
      <c r="G3590" s="2">
        <v>142.64273539779199</v>
      </c>
      <c r="H3590" s="1">
        <v>138.77771517530499</v>
      </c>
      <c r="I3590" s="1">
        <f t="shared" si="113"/>
        <v>138.77771517530684</v>
      </c>
    </row>
    <row r="3591" spans="1:9" x14ac:dyDescent="0.45">
      <c r="A3591" t="s">
        <v>60</v>
      </c>
      <c r="B3591" t="s">
        <v>59</v>
      </c>
      <c r="C3591" t="str">
        <f t="shared" si="112"/>
        <v>TennesseeSt. John's</v>
      </c>
      <c r="D3591" t="s">
        <v>60</v>
      </c>
      <c r="E3591">
        <v>60.8</v>
      </c>
      <c r="F3591" s="1">
        <v>-2.88679245283019</v>
      </c>
      <c r="G3591" s="2">
        <v>-155.34877536565301</v>
      </c>
      <c r="H3591" s="1">
        <v>139.57094754944001</v>
      </c>
      <c r="I3591" s="1">
        <f t="shared" si="113"/>
        <v>149.91605857054162</v>
      </c>
    </row>
    <row r="3592" spans="1:9" x14ac:dyDescent="0.45">
      <c r="A3592" t="s">
        <v>61</v>
      </c>
      <c r="B3592" t="s">
        <v>59</v>
      </c>
      <c r="C3592" t="str">
        <f t="shared" si="112"/>
        <v>TexasSt. John's</v>
      </c>
      <c r="D3592" t="s">
        <v>59</v>
      </c>
      <c r="E3592">
        <v>5.9</v>
      </c>
      <c r="F3592" s="1">
        <v>18.207547169811299</v>
      </c>
      <c r="G3592" s="2">
        <v>1608.1886385554501</v>
      </c>
      <c r="H3592" s="1">
        <v>137.270829377078</v>
      </c>
      <c r="I3592" s="1">
        <f t="shared" si="113"/>
        <v>117.61845336837786</v>
      </c>
    </row>
    <row r="3593" spans="1:9" x14ac:dyDescent="0.45">
      <c r="A3593" t="s">
        <v>62</v>
      </c>
      <c r="B3593" t="s">
        <v>59</v>
      </c>
      <c r="C3593" t="str">
        <f t="shared" si="112"/>
        <v>Texas A&amp;MSt. John's</v>
      </c>
      <c r="D3593" t="s">
        <v>59</v>
      </c>
      <c r="E3593">
        <v>26.1</v>
      </c>
      <c r="F3593" s="1">
        <v>6.8075471698113201</v>
      </c>
      <c r="G3593" s="2">
        <v>282.47675167374598</v>
      </c>
      <c r="H3593" s="1">
        <v>138.057804686476</v>
      </c>
      <c r="I3593" s="1">
        <f t="shared" si="113"/>
        <v>128.66893684014053</v>
      </c>
    </row>
    <row r="3594" spans="1:9" x14ac:dyDescent="0.45">
      <c r="A3594" t="s">
        <v>63</v>
      </c>
      <c r="B3594" t="s">
        <v>59</v>
      </c>
      <c r="C3594" t="str">
        <f t="shared" si="112"/>
        <v>Texas TechSt. John's</v>
      </c>
      <c r="D3594" t="s">
        <v>59</v>
      </c>
      <c r="E3594">
        <v>40.700000000000003</v>
      </c>
      <c r="F3594" s="1">
        <v>2.47169811320755</v>
      </c>
      <c r="G3594" s="2">
        <v>145.836847893238</v>
      </c>
      <c r="H3594" s="1">
        <v>139.04831729171499</v>
      </c>
      <c r="I3594" s="1">
        <f t="shared" si="113"/>
        <v>142.57743313227829</v>
      </c>
    </row>
    <row r="3595" spans="1:9" x14ac:dyDescent="0.45">
      <c r="A3595" t="s">
        <v>64</v>
      </c>
      <c r="B3595" t="s">
        <v>59</v>
      </c>
      <c r="C3595" t="str">
        <f t="shared" si="112"/>
        <v>TroySt. John's</v>
      </c>
      <c r="D3595" t="s">
        <v>59</v>
      </c>
      <c r="E3595">
        <v>1</v>
      </c>
      <c r="F3595" s="1">
        <v>30.2830188679245</v>
      </c>
      <c r="G3595" s="2">
        <v>10143.9834717761</v>
      </c>
      <c r="H3595" s="1">
        <v>137.81462188627401</v>
      </c>
      <c r="I3595" s="1">
        <f t="shared" si="113"/>
        <v>125.25423312306366</v>
      </c>
    </row>
    <row r="3596" spans="1:9" x14ac:dyDescent="0.45">
      <c r="A3596" t="s">
        <v>65</v>
      </c>
      <c r="B3596" t="s">
        <v>59</v>
      </c>
      <c r="C3596" t="str">
        <f t="shared" si="112"/>
        <v>UC San DiegoSt. John's</v>
      </c>
      <c r="D3596" t="s">
        <v>59</v>
      </c>
      <c r="E3596">
        <v>2.5</v>
      </c>
      <c r="F3596" s="1">
        <v>24.101886792452799</v>
      </c>
      <c r="G3596" s="2">
        <v>3950.7597486715899</v>
      </c>
      <c r="H3596" s="1">
        <v>137.884742115937</v>
      </c>
      <c r="I3596" s="1">
        <f t="shared" si="113"/>
        <v>126.23884144517203</v>
      </c>
    </row>
    <row r="3597" spans="1:9" x14ac:dyDescent="0.45">
      <c r="A3597" t="s">
        <v>66</v>
      </c>
      <c r="B3597" t="s">
        <v>59</v>
      </c>
      <c r="C3597" t="str">
        <f t="shared" si="112"/>
        <v>UCLASt. John's</v>
      </c>
      <c r="D3597" t="s">
        <v>59</v>
      </c>
      <c r="E3597">
        <v>8</v>
      </c>
      <c r="F3597" s="1">
        <v>16</v>
      </c>
      <c r="G3597" s="2">
        <v>1148.1249873174399</v>
      </c>
      <c r="H3597" s="1">
        <v>137.10600069514899</v>
      </c>
      <c r="I3597" s="1">
        <f t="shared" si="113"/>
        <v>115.30397589547943</v>
      </c>
    </row>
    <row r="3598" spans="1:9" x14ac:dyDescent="0.45">
      <c r="A3598" t="s">
        <v>67</v>
      </c>
      <c r="B3598" t="s">
        <v>59</v>
      </c>
      <c r="C3598" t="str">
        <f t="shared" si="112"/>
        <v>UNC WilmingtonSt. John's</v>
      </c>
      <c r="D3598" t="s">
        <v>59</v>
      </c>
      <c r="E3598">
        <v>1.4</v>
      </c>
      <c r="F3598" s="1">
        <v>27.6943396226415</v>
      </c>
      <c r="G3598" s="2">
        <v>6833.5064759362303</v>
      </c>
      <c r="H3598" s="1">
        <v>138.42141058660101</v>
      </c>
      <c r="I3598" s="1">
        <f t="shared" si="113"/>
        <v>133.77458747693169</v>
      </c>
    </row>
    <row r="3599" spans="1:9" x14ac:dyDescent="0.45">
      <c r="A3599" t="s">
        <v>68</v>
      </c>
      <c r="B3599" t="s">
        <v>59</v>
      </c>
      <c r="C3599" t="str">
        <f t="shared" si="112"/>
        <v>Utah St.St. John's</v>
      </c>
      <c r="D3599" t="s">
        <v>59</v>
      </c>
      <c r="E3599">
        <v>7.6</v>
      </c>
      <c r="F3599" s="1">
        <v>16.366037735849101</v>
      </c>
      <c r="G3599" s="2">
        <v>1213.96292097376</v>
      </c>
      <c r="H3599" s="1">
        <v>137.96859708517999</v>
      </c>
      <c r="I3599" s="1">
        <f t="shared" si="113"/>
        <v>127.41630907418022</v>
      </c>
    </row>
    <row r="3600" spans="1:9" x14ac:dyDescent="0.45">
      <c r="A3600" t="s">
        <v>69</v>
      </c>
      <c r="B3600" t="s">
        <v>59</v>
      </c>
      <c r="C3600" t="str">
        <f t="shared" si="112"/>
        <v>VanderbiltSt. John's</v>
      </c>
      <c r="D3600" t="s">
        <v>59</v>
      </c>
      <c r="E3600">
        <v>1.6</v>
      </c>
      <c r="F3600" s="1">
        <v>27.011320754717001</v>
      </c>
      <c r="G3600" s="2">
        <v>6160.6195614835297</v>
      </c>
      <c r="H3600" s="1">
        <v>136.40263496646301</v>
      </c>
      <c r="I3600" s="1">
        <f t="shared" si="113"/>
        <v>105.42751437676372</v>
      </c>
    </row>
    <row r="3601" spans="1:9" x14ac:dyDescent="0.45">
      <c r="A3601" t="s">
        <v>70</v>
      </c>
      <c r="B3601" t="s">
        <v>59</v>
      </c>
      <c r="C3601" t="str">
        <f t="shared" si="112"/>
        <v>VCUSt. John's</v>
      </c>
      <c r="D3601" t="s">
        <v>59</v>
      </c>
      <c r="E3601">
        <v>5</v>
      </c>
      <c r="F3601" s="1">
        <v>19.366037735849101</v>
      </c>
      <c r="G3601" s="2">
        <v>1919.1222497604199</v>
      </c>
      <c r="H3601" s="1">
        <v>138.327808095656</v>
      </c>
      <c r="I3601" s="1">
        <f t="shared" si="113"/>
        <v>132.46024792046586</v>
      </c>
    </row>
    <row r="3602" spans="1:9" x14ac:dyDescent="0.45">
      <c r="A3602" t="s">
        <v>71</v>
      </c>
      <c r="B3602" t="s">
        <v>59</v>
      </c>
      <c r="C3602" t="str">
        <f t="shared" si="112"/>
        <v>WisconsinSt. John's</v>
      </c>
      <c r="D3602" t="s">
        <v>59</v>
      </c>
      <c r="E3602">
        <v>37.299999999999997</v>
      </c>
      <c r="F3602" s="1">
        <v>3.4150943396226401</v>
      </c>
      <c r="G3602" s="2">
        <v>168.351504445416</v>
      </c>
      <c r="H3602" s="1">
        <v>138.98106370398801</v>
      </c>
      <c r="I3602" s="1">
        <f t="shared" si="113"/>
        <v>141.63307738093681</v>
      </c>
    </row>
    <row r="3603" spans="1:9" x14ac:dyDescent="0.45">
      <c r="A3603" t="s">
        <v>80</v>
      </c>
      <c r="B3603" t="s">
        <v>59</v>
      </c>
      <c r="C3603" t="str">
        <f t="shared" si="112"/>
        <v>WoffordSt. John's</v>
      </c>
      <c r="D3603" t="s">
        <v>59</v>
      </c>
      <c r="E3603">
        <v>0.5</v>
      </c>
      <c r="F3603" s="1">
        <v>34.588679245282997</v>
      </c>
      <c r="G3603" s="2">
        <v>19566.046677612001</v>
      </c>
      <c r="H3603" s="1">
        <v>137.07871213321499</v>
      </c>
      <c r="I3603" s="1">
        <f t="shared" si="113"/>
        <v>114.92079766991284</v>
      </c>
    </row>
    <row r="3604" spans="1:9" x14ac:dyDescent="0.45">
      <c r="A3604" t="s">
        <v>72</v>
      </c>
      <c r="B3604" t="s">
        <v>59</v>
      </c>
      <c r="C3604" t="str">
        <f t="shared" si="112"/>
        <v>XavierSt. John's</v>
      </c>
      <c r="D3604" t="s">
        <v>59</v>
      </c>
      <c r="E3604">
        <v>4.9000000000000004</v>
      </c>
      <c r="F3604" s="1">
        <v>19.441509433962299</v>
      </c>
      <c r="G3604" s="2">
        <v>1940.6562976801799</v>
      </c>
      <c r="H3604" s="1">
        <v>137.82151430383601</v>
      </c>
      <c r="I3604" s="1">
        <f t="shared" si="113"/>
        <v>125.35101449020418</v>
      </c>
    </row>
    <row r="3605" spans="1:9" x14ac:dyDescent="0.45">
      <c r="A3605" t="s">
        <v>73</v>
      </c>
      <c r="B3605" t="s">
        <v>59</v>
      </c>
      <c r="C3605" t="str">
        <f t="shared" si="112"/>
        <v>YaleSt. John's</v>
      </c>
      <c r="D3605" t="s">
        <v>59</v>
      </c>
      <c r="E3605">
        <v>2.6</v>
      </c>
      <c r="F3605" s="1">
        <v>23.690566037735799</v>
      </c>
      <c r="G3605" s="2">
        <v>3711.0270279741098</v>
      </c>
      <c r="H3605" s="1">
        <v>138.42122044023</v>
      </c>
      <c r="I3605" s="1">
        <f t="shared" si="113"/>
        <v>133.77191749566927</v>
      </c>
    </row>
    <row r="3606" spans="1:9" x14ac:dyDescent="0.45">
      <c r="A3606" t="s">
        <v>7</v>
      </c>
      <c r="B3606" t="s">
        <v>60</v>
      </c>
      <c r="C3606" t="str">
        <f t="shared" si="112"/>
        <v>AkronTennessee</v>
      </c>
      <c r="D3606" t="s">
        <v>60</v>
      </c>
      <c r="E3606">
        <v>0.6</v>
      </c>
      <c r="F3606" s="1">
        <v>33.169811320754697</v>
      </c>
      <c r="G3606" s="2">
        <v>15758.887572105201</v>
      </c>
      <c r="H3606" s="1">
        <v>136.444815126675</v>
      </c>
      <c r="I3606" s="1">
        <f t="shared" si="113"/>
        <v>106.01979619004626</v>
      </c>
    </row>
    <row r="3607" spans="1:9" x14ac:dyDescent="0.45">
      <c r="A3607" t="s">
        <v>8</v>
      </c>
      <c r="B3607" t="s">
        <v>60</v>
      </c>
      <c r="C3607" t="str">
        <f t="shared" si="112"/>
        <v>AlabamaTennessee</v>
      </c>
      <c r="D3607" t="s">
        <v>60</v>
      </c>
      <c r="E3607">
        <v>32.4</v>
      </c>
      <c r="F3607" s="1">
        <v>4.8301886792452802</v>
      </c>
      <c r="G3607" s="2">
        <v>208.92713691441</v>
      </c>
      <c r="H3607" s="1">
        <v>138.25242631427099</v>
      </c>
      <c r="I3607" s="1">
        <f t="shared" si="113"/>
        <v>131.40175838550925</v>
      </c>
    </row>
    <row r="3608" spans="1:9" x14ac:dyDescent="0.45">
      <c r="A3608" t="s">
        <v>9</v>
      </c>
      <c r="B3608" t="s">
        <v>60</v>
      </c>
      <c r="C3608" t="str">
        <f t="shared" si="112"/>
        <v>Alabama St.Tennessee</v>
      </c>
      <c r="D3608" t="s">
        <v>60</v>
      </c>
      <c r="E3608">
        <v>0.1</v>
      </c>
      <c r="F3608" s="1">
        <v>45.486792452830201</v>
      </c>
      <c r="G3608" s="2">
        <v>103184.692604847</v>
      </c>
      <c r="H3608" s="1">
        <v>136.63157688609701</v>
      </c>
      <c r="I3608" s="1">
        <f t="shared" si="113"/>
        <v>108.64225169913837</v>
      </c>
    </row>
    <row r="3609" spans="1:9" x14ac:dyDescent="0.45">
      <c r="A3609" t="s">
        <v>10</v>
      </c>
      <c r="B3609" t="s">
        <v>60</v>
      </c>
      <c r="C3609" t="str">
        <f t="shared" si="112"/>
        <v>AmericanTennessee</v>
      </c>
      <c r="D3609" t="s">
        <v>60</v>
      </c>
      <c r="E3609">
        <v>0.1</v>
      </c>
      <c r="F3609" s="1">
        <v>44.732075471698103</v>
      </c>
      <c r="G3609" s="2">
        <v>91932.486069305494</v>
      </c>
      <c r="H3609" s="1">
        <v>136.39486640585901</v>
      </c>
      <c r="I3609" s="1">
        <f t="shared" si="113"/>
        <v>105.31843045821026</v>
      </c>
    </row>
    <row r="3610" spans="1:9" x14ac:dyDescent="0.45">
      <c r="A3610" t="s">
        <v>11</v>
      </c>
      <c r="B3610" t="s">
        <v>60</v>
      </c>
      <c r="C3610" t="str">
        <f t="shared" si="112"/>
        <v>ArizonaTennessee</v>
      </c>
      <c r="D3610" t="s">
        <v>60</v>
      </c>
      <c r="E3610">
        <v>23.9</v>
      </c>
      <c r="F3610" s="1">
        <v>7.5849056603773599</v>
      </c>
      <c r="G3610" s="2">
        <v>318.08928185151098</v>
      </c>
      <c r="H3610" s="1">
        <v>137.86290565444801</v>
      </c>
      <c r="I3610" s="1">
        <f t="shared" si="113"/>
        <v>125.93222006342826</v>
      </c>
    </row>
    <row r="3611" spans="1:9" x14ac:dyDescent="0.45">
      <c r="A3611" t="s">
        <v>12</v>
      </c>
      <c r="B3611" t="s">
        <v>60</v>
      </c>
      <c r="C3611" t="str">
        <f t="shared" si="112"/>
        <v>ArkansasTennessee</v>
      </c>
      <c r="D3611" t="s">
        <v>60</v>
      </c>
      <c r="E3611">
        <v>2</v>
      </c>
      <c r="F3611" s="1">
        <v>25.486792452830201</v>
      </c>
      <c r="G3611" s="2">
        <v>4880.3238238965896</v>
      </c>
      <c r="H3611" s="1">
        <v>136.188829632237</v>
      </c>
      <c r="I3611" s="1">
        <f t="shared" si="113"/>
        <v>102.42532068170799</v>
      </c>
    </row>
    <row r="3612" spans="1:9" x14ac:dyDescent="0.45">
      <c r="A3612" t="s">
        <v>13</v>
      </c>
      <c r="B3612" t="s">
        <v>60</v>
      </c>
      <c r="C3612" t="str">
        <f t="shared" si="112"/>
        <v>AuburnTennessee</v>
      </c>
      <c r="D3612" t="s">
        <v>60</v>
      </c>
      <c r="E3612">
        <v>48.5</v>
      </c>
      <c r="F3612" s="1">
        <v>0.39245283018867899</v>
      </c>
      <c r="G3612" s="2">
        <v>106.14128221631999</v>
      </c>
      <c r="H3612" s="1">
        <v>139.27464254762299</v>
      </c>
      <c r="I3612" s="1">
        <f t="shared" si="113"/>
        <v>145.75542800681495</v>
      </c>
    </row>
    <row r="3613" spans="1:9" x14ac:dyDescent="0.45">
      <c r="A3613" t="s">
        <v>14</v>
      </c>
      <c r="B3613" t="s">
        <v>60</v>
      </c>
      <c r="C3613" t="str">
        <f t="shared" si="112"/>
        <v>BaylorTennessee</v>
      </c>
      <c r="D3613" t="s">
        <v>60</v>
      </c>
      <c r="E3613">
        <v>8.6999999999999993</v>
      </c>
      <c r="F3613" s="1">
        <v>15.437735849056599</v>
      </c>
      <c r="G3613" s="2">
        <v>1054.0143730606101</v>
      </c>
      <c r="H3613" s="1">
        <v>137.737559908804</v>
      </c>
      <c r="I3613" s="1">
        <f t="shared" si="113"/>
        <v>124.17215075254418</v>
      </c>
    </row>
    <row r="3614" spans="1:9" x14ac:dyDescent="0.45">
      <c r="A3614" t="s">
        <v>15</v>
      </c>
      <c r="B3614" t="s">
        <v>60</v>
      </c>
      <c r="C3614" t="str">
        <f t="shared" si="112"/>
        <v>BryantTennessee</v>
      </c>
      <c r="D3614" t="s">
        <v>60</v>
      </c>
      <c r="E3614">
        <v>0.4</v>
      </c>
      <c r="F3614" s="1">
        <v>35.509433962264197</v>
      </c>
      <c r="G3614" s="2">
        <v>22519.479279847899</v>
      </c>
      <c r="H3614" s="1">
        <v>137.32987978444899</v>
      </c>
      <c r="I3614" s="1">
        <f t="shared" si="113"/>
        <v>118.44762239421823</v>
      </c>
    </row>
    <row r="3615" spans="1:9" x14ac:dyDescent="0.45">
      <c r="A3615" t="s">
        <v>16</v>
      </c>
      <c r="B3615" t="s">
        <v>60</v>
      </c>
      <c r="C3615" t="str">
        <f t="shared" si="112"/>
        <v>BYUTennessee</v>
      </c>
      <c r="D3615" t="s">
        <v>60</v>
      </c>
      <c r="E3615">
        <v>10.1</v>
      </c>
      <c r="F3615" s="1">
        <v>14.3433962264151</v>
      </c>
      <c r="G3615" s="2">
        <v>891.94236252227699</v>
      </c>
      <c r="H3615" s="1">
        <v>137.499920458893</v>
      </c>
      <c r="I3615" s="1">
        <f t="shared" si="113"/>
        <v>120.8352851836751</v>
      </c>
    </row>
    <row r="3616" spans="1:9" x14ac:dyDescent="0.45">
      <c r="A3616" t="s">
        <v>17</v>
      </c>
      <c r="B3616" t="s">
        <v>60</v>
      </c>
      <c r="C3616" t="str">
        <f t="shared" si="112"/>
        <v>ClemsonTennessee</v>
      </c>
      <c r="D3616" t="s">
        <v>60</v>
      </c>
      <c r="E3616">
        <v>13.6</v>
      </c>
      <c r="F3616" s="1">
        <v>12.1396226415094</v>
      </c>
      <c r="G3616" s="2">
        <v>637.22913671873096</v>
      </c>
      <c r="H3616" s="1">
        <v>137.84997068133501</v>
      </c>
      <c r="I3616" s="1">
        <f t="shared" si="113"/>
        <v>125.75059084979728</v>
      </c>
    </row>
    <row r="3617" spans="1:9" x14ac:dyDescent="0.45">
      <c r="A3617" t="s">
        <v>18</v>
      </c>
      <c r="B3617" t="s">
        <v>60</v>
      </c>
      <c r="C3617" t="str">
        <f t="shared" si="112"/>
        <v>Colorado St.Tennessee</v>
      </c>
      <c r="D3617" t="s">
        <v>60</v>
      </c>
      <c r="E3617">
        <v>2.5</v>
      </c>
      <c r="F3617" s="1">
        <v>23.920754716981101</v>
      </c>
      <c r="G3617" s="2">
        <v>3844.6740133898902</v>
      </c>
      <c r="H3617" s="1">
        <v>137.23958165612899</v>
      </c>
      <c r="I3617" s="1">
        <f t="shared" si="113"/>
        <v>117.17968175794266</v>
      </c>
    </row>
    <row r="3618" spans="1:9" x14ac:dyDescent="0.45">
      <c r="A3618" t="s">
        <v>19</v>
      </c>
      <c r="B3618" t="s">
        <v>60</v>
      </c>
      <c r="C3618" t="str">
        <f t="shared" si="112"/>
        <v>ConnecticutTennessee</v>
      </c>
      <c r="D3618" t="s">
        <v>60</v>
      </c>
      <c r="E3618">
        <v>19.600000000000001</v>
      </c>
      <c r="F3618" s="1">
        <v>9.2452830188679194</v>
      </c>
      <c r="G3618" s="2">
        <v>409.83523823070499</v>
      </c>
      <c r="H3618" s="1">
        <v>137.65022151208299</v>
      </c>
      <c r="I3618" s="1">
        <f t="shared" si="113"/>
        <v>122.94576982560756</v>
      </c>
    </row>
    <row r="3619" spans="1:9" x14ac:dyDescent="0.45">
      <c r="A3619" t="s">
        <v>20</v>
      </c>
      <c r="B3619" t="s">
        <v>60</v>
      </c>
      <c r="C3619" t="str">
        <f t="shared" si="112"/>
        <v>CreightonTennessee</v>
      </c>
      <c r="D3619" t="s">
        <v>60</v>
      </c>
      <c r="E3619">
        <v>7</v>
      </c>
      <c r="F3619" s="1">
        <v>16.954716981132101</v>
      </c>
      <c r="G3619" s="2">
        <v>1328.1341901422199</v>
      </c>
      <c r="H3619" s="1">
        <v>137.19951826492201</v>
      </c>
      <c r="I3619" s="1">
        <f t="shared" si="113"/>
        <v>116.61712301300031</v>
      </c>
    </row>
    <row r="3620" spans="1:9" x14ac:dyDescent="0.45">
      <c r="A3620" t="s">
        <v>21</v>
      </c>
      <c r="B3620" t="s">
        <v>60</v>
      </c>
      <c r="C3620" t="str">
        <f t="shared" si="112"/>
        <v>DrakeTennessee</v>
      </c>
      <c r="D3620" t="s">
        <v>60</v>
      </c>
      <c r="E3620">
        <v>2.5</v>
      </c>
      <c r="F3620" s="1">
        <v>24.128301886792499</v>
      </c>
      <c r="G3620" s="2">
        <v>3966.70268643088</v>
      </c>
      <c r="H3620" s="1">
        <v>137.43419407059599</v>
      </c>
      <c r="I3620" s="1">
        <f t="shared" si="113"/>
        <v>119.91237393238013</v>
      </c>
    </row>
    <row r="3621" spans="1:9" x14ac:dyDescent="0.45">
      <c r="A3621" t="s">
        <v>22</v>
      </c>
      <c r="B3621" t="s">
        <v>60</v>
      </c>
      <c r="C3621" t="str">
        <f t="shared" si="112"/>
        <v>DukeTennessee</v>
      </c>
      <c r="D3621" t="s">
        <v>22</v>
      </c>
      <c r="E3621">
        <v>56.9</v>
      </c>
      <c r="F3621" s="1">
        <v>-1.8226415094339601</v>
      </c>
      <c r="G3621" s="2">
        <v>-132.075655761436</v>
      </c>
      <c r="H3621" s="1">
        <v>139.51453395919901</v>
      </c>
      <c r="I3621" s="1">
        <f t="shared" si="113"/>
        <v>149.12391498090631</v>
      </c>
    </row>
    <row r="3622" spans="1:9" x14ac:dyDescent="0.45">
      <c r="A3622" t="s">
        <v>23</v>
      </c>
      <c r="B3622" t="s">
        <v>60</v>
      </c>
      <c r="C3622" t="str">
        <f t="shared" si="112"/>
        <v>FloridaTennessee</v>
      </c>
      <c r="D3622" t="s">
        <v>60</v>
      </c>
      <c r="E3622">
        <v>42.3</v>
      </c>
      <c r="F3622" s="1">
        <v>2.0339622641509401</v>
      </c>
      <c r="G3622" s="2">
        <v>136.36703081130599</v>
      </c>
      <c r="H3622" s="1">
        <v>139.24918448675299</v>
      </c>
      <c r="I3622" s="1">
        <f t="shared" si="113"/>
        <v>145.3979531565783</v>
      </c>
    </row>
    <row r="3623" spans="1:9" x14ac:dyDescent="0.45">
      <c r="A3623" t="s">
        <v>24</v>
      </c>
      <c r="B3623" t="s">
        <v>60</v>
      </c>
      <c r="C3623" t="str">
        <f t="shared" si="112"/>
        <v>GeorgiaTennessee</v>
      </c>
      <c r="D3623" t="s">
        <v>60</v>
      </c>
      <c r="E3623">
        <v>2.9</v>
      </c>
      <c r="F3623" s="1">
        <v>23.094339622641499</v>
      </c>
      <c r="G3623" s="2">
        <v>3388.6358601833399</v>
      </c>
      <c r="H3623" s="1">
        <v>136.51314278303801</v>
      </c>
      <c r="I3623" s="1">
        <f t="shared" si="113"/>
        <v>106.97923370770016</v>
      </c>
    </row>
    <row r="3624" spans="1:9" x14ac:dyDescent="0.45">
      <c r="A3624" t="s">
        <v>25</v>
      </c>
      <c r="B3624" t="s">
        <v>60</v>
      </c>
      <c r="C3624" t="str">
        <f t="shared" si="112"/>
        <v>GonzagaTennessee</v>
      </c>
      <c r="D3624" t="s">
        <v>60</v>
      </c>
      <c r="E3624">
        <v>13</v>
      </c>
      <c r="F3624" s="1">
        <v>12.4641509433962</v>
      </c>
      <c r="G3624" s="2">
        <v>669.55469511819501</v>
      </c>
      <c r="H3624" s="1">
        <v>138.490104513544</v>
      </c>
      <c r="I3624" s="1">
        <f t="shared" si="113"/>
        <v>134.73916806189894</v>
      </c>
    </row>
    <row r="3625" spans="1:9" x14ac:dyDescent="0.45">
      <c r="A3625" t="s">
        <v>26</v>
      </c>
      <c r="B3625" t="s">
        <v>60</v>
      </c>
      <c r="C3625" t="str">
        <f t="shared" si="112"/>
        <v>Grand CanyonTennessee</v>
      </c>
      <c r="D3625" t="s">
        <v>60</v>
      </c>
      <c r="E3625">
        <v>1.6</v>
      </c>
      <c r="F3625" s="1">
        <v>27.0150943396226</v>
      </c>
      <c r="G3625" s="2">
        <v>6162.6129860470701</v>
      </c>
      <c r="H3625" s="1">
        <v>137.30807623108399</v>
      </c>
      <c r="I3625" s="1">
        <f t="shared" si="113"/>
        <v>118.14146309899209</v>
      </c>
    </row>
    <row r="3626" spans="1:9" x14ac:dyDescent="0.45">
      <c r="A3626" t="s">
        <v>27</v>
      </c>
      <c r="B3626" t="s">
        <v>60</v>
      </c>
      <c r="C3626" t="str">
        <f t="shared" si="112"/>
        <v>High PointTennessee</v>
      </c>
      <c r="D3626" t="s">
        <v>60</v>
      </c>
      <c r="E3626">
        <v>1</v>
      </c>
      <c r="F3626" s="1">
        <v>30.1056603773585</v>
      </c>
      <c r="G3626" s="2">
        <v>9872.9504181959492</v>
      </c>
      <c r="H3626" s="1">
        <v>137.49928336463199</v>
      </c>
      <c r="I3626" s="1">
        <f t="shared" si="113"/>
        <v>120.8263392872573</v>
      </c>
    </row>
    <row r="3627" spans="1:9" x14ac:dyDescent="0.45">
      <c r="A3627" t="s">
        <v>28</v>
      </c>
      <c r="B3627" t="s">
        <v>60</v>
      </c>
      <c r="C3627" t="str">
        <f t="shared" si="112"/>
        <v>HoustonTennessee</v>
      </c>
      <c r="D3627" t="s">
        <v>28</v>
      </c>
      <c r="E3627">
        <v>68.8</v>
      </c>
      <c r="F3627" s="1">
        <v>-5.1773584905660401</v>
      </c>
      <c r="G3627" s="2">
        <v>-220.31949944749601</v>
      </c>
      <c r="H3627" s="1">
        <v>139.61274572183501</v>
      </c>
      <c r="I3627" s="1">
        <f t="shared" si="113"/>
        <v>150.50297661953886</v>
      </c>
    </row>
    <row r="3628" spans="1:9" x14ac:dyDescent="0.45">
      <c r="A3628" t="s">
        <v>29</v>
      </c>
      <c r="B3628" t="s">
        <v>60</v>
      </c>
      <c r="C3628" t="str">
        <f t="shared" si="112"/>
        <v>IllinoisTennessee</v>
      </c>
      <c r="D3628" t="s">
        <v>60</v>
      </c>
      <c r="E3628">
        <v>17.8</v>
      </c>
      <c r="F3628" s="1">
        <v>10.011320754717</v>
      </c>
      <c r="G3628" s="2">
        <v>460.42685206233398</v>
      </c>
      <c r="H3628" s="1">
        <v>137.67120949679699</v>
      </c>
      <c r="I3628" s="1">
        <f t="shared" si="113"/>
        <v>123.24047713779127</v>
      </c>
    </row>
    <row r="3629" spans="1:9" x14ac:dyDescent="0.45">
      <c r="A3629" t="s">
        <v>30</v>
      </c>
      <c r="B3629" t="s">
        <v>60</v>
      </c>
      <c r="C3629" t="str">
        <f t="shared" si="112"/>
        <v>Iowa St.Tennessee</v>
      </c>
      <c r="D3629" t="s">
        <v>60</v>
      </c>
      <c r="E3629">
        <v>31.3</v>
      </c>
      <c r="F3629" s="1">
        <v>5.1471698113207598</v>
      </c>
      <c r="G3629" s="2">
        <v>219.33330583317701</v>
      </c>
      <c r="H3629" s="1">
        <v>138.56775178838299</v>
      </c>
      <c r="I3629" s="1">
        <f t="shared" si="113"/>
        <v>135.82946901160992</v>
      </c>
    </row>
    <row r="3630" spans="1:9" x14ac:dyDescent="0.45">
      <c r="A3630" t="s">
        <v>31</v>
      </c>
      <c r="B3630" t="s">
        <v>60</v>
      </c>
      <c r="C3630" t="str">
        <f t="shared" si="112"/>
        <v>KansasTennessee</v>
      </c>
      <c r="D3630" t="s">
        <v>60</v>
      </c>
      <c r="E3630">
        <v>12.3</v>
      </c>
      <c r="F3630" s="1">
        <v>12.864150943396201</v>
      </c>
      <c r="G3630" s="2">
        <v>711.71401872753802</v>
      </c>
      <c r="H3630" s="1">
        <v>137.618339677237</v>
      </c>
      <c r="I3630" s="1">
        <f t="shared" si="113"/>
        <v>122.49809416817864</v>
      </c>
    </row>
    <row r="3631" spans="1:9" x14ac:dyDescent="0.45">
      <c r="A3631" t="s">
        <v>32</v>
      </c>
      <c r="B3631" t="s">
        <v>60</v>
      </c>
      <c r="C3631" t="str">
        <f t="shared" si="112"/>
        <v>KentuckyTennessee</v>
      </c>
      <c r="D3631" t="s">
        <v>60</v>
      </c>
      <c r="E3631">
        <v>19</v>
      </c>
      <c r="F3631" s="1">
        <v>9.5018867924528294</v>
      </c>
      <c r="G3631" s="2">
        <v>426.00978792115501</v>
      </c>
      <c r="H3631" s="1">
        <v>137.55262200936201</v>
      </c>
      <c r="I3631" s="1">
        <f t="shared" si="113"/>
        <v>121.57530536656947</v>
      </c>
    </row>
    <row r="3632" spans="1:9" x14ac:dyDescent="0.45">
      <c r="A3632" t="s">
        <v>33</v>
      </c>
      <c r="B3632" t="s">
        <v>60</v>
      </c>
      <c r="C3632" t="str">
        <f t="shared" si="112"/>
        <v>LibertyTennessee</v>
      </c>
      <c r="D3632" t="s">
        <v>60</v>
      </c>
      <c r="E3632">
        <v>0.7</v>
      </c>
      <c r="F3632" s="1">
        <v>32.486792452830201</v>
      </c>
      <c r="G3632" s="2">
        <v>14198.664338479</v>
      </c>
      <c r="H3632" s="1">
        <v>136.89762305308</v>
      </c>
      <c r="I3632" s="1">
        <f t="shared" si="113"/>
        <v>112.37799631000837</v>
      </c>
    </row>
    <row r="3633" spans="1:9" x14ac:dyDescent="0.45">
      <c r="A3633" t="s">
        <v>34</v>
      </c>
      <c r="B3633" t="s">
        <v>60</v>
      </c>
      <c r="C3633" t="str">
        <f t="shared" si="112"/>
        <v>LipscombTennessee</v>
      </c>
      <c r="D3633" t="s">
        <v>60</v>
      </c>
      <c r="E3633">
        <v>0.5</v>
      </c>
      <c r="F3633" s="1">
        <v>34.350943396226398</v>
      </c>
      <c r="G3633" s="2">
        <v>18873.210902506598</v>
      </c>
      <c r="H3633" s="1">
        <v>137.30394125067099</v>
      </c>
      <c r="I3633" s="1">
        <f t="shared" si="113"/>
        <v>118.08340088005809</v>
      </c>
    </row>
    <row r="3634" spans="1:9" x14ac:dyDescent="0.45">
      <c r="A3634" t="s">
        <v>35</v>
      </c>
      <c r="B3634" t="s">
        <v>60</v>
      </c>
      <c r="C3634" t="str">
        <f t="shared" si="112"/>
        <v>LouisvilleTennessee</v>
      </c>
      <c r="D3634" t="s">
        <v>60</v>
      </c>
      <c r="E3634">
        <v>1.3</v>
      </c>
      <c r="F3634" s="1">
        <v>28.301886792452802</v>
      </c>
      <c r="G3634" s="2">
        <v>7500.8064309676702</v>
      </c>
      <c r="H3634" s="1">
        <v>136.549303256489</v>
      </c>
      <c r="I3634" s="1">
        <f t="shared" si="113"/>
        <v>107.48698879153748</v>
      </c>
    </row>
    <row r="3635" spans="1:9" x14ac:dyDescent="0.45">
      <c r="A3635" t="s">
        <v>36</v>
      </c>
      <c r="B3635" t="s">
        <v>60</v>
      </c>
      <c r="C3635" t="str">
        <f t="shared" si="112"/>
        <v>MarquetteTennessee</v>
      </c>
      <c r="D3635" t="s">
        <v>60</v>
      </c>
      <c r="E3635">
        <v>15.3</v>
      </c>
      <c r="F3635" s="1">
        <v>11.2339622641509</v>
      </c>
      <c r="G3635" s="2">
        <v>555.09160666970502</v>
      </c>
      <c r="H3635" s="1">
        <v>137.81143709995101</v>
      </c>
      <c r="I3635" s="1">
        <f t="shared" si="113"/>
        <v>125.20951325929769</v>
      </c>
    </row>
    <row r="3636" spans="1:9" x14ac:dyDescent="0.45">
      <c r="A3636" t="s">
        <v>37</v>
      </c>
      <c r="B3636" t="s">
        <v>60</v>
      </c>
      <c r="C3636" t="str">
        <f t="shared" si="112"/>
        <v>MarylandTennessee</v>
      </c>
      <c r="D3636" t="s">
        <v>60</v>
      </c>
      <c r="E3636">
        <v>10</v>
      </c>
      <c r="F3636" s="1">
        <v>14.4037735849057</v>
      </c>
      <c r="G3636" s="2">
        <v>899.90878668263701</v>
      </c>
      <c r="H3636" s="1">
        <v>137.26980669849399</v>
      </c>
      <c r="I3636" s="1">
        <f t="shared" si="113"/>
        <v>117.60409320656014</v>
      </c>
    </row>
    <row r="3637" spans="1:9" x14ac:dyDescent="0.45">
      <c r="A3637" t="s">
        <v>38</v>
      </c>
      <c r="B3637" t="s">
        <v>60</v>
      </c>
      <c r="C3637" t="str">
        <f t="shared" si="112"/>
        <v>McNeese St.Tennessee</v>
      </c>
      <c r="D3637" t="s">
        <v>60</v>
      </c>
      <c r="E3637">
        <v>2.5</v>
      </c>
      <c r="F3637" s="1">
        <v>23.9433962264151</v>
      </c>
      <c r="G3637" s="2">
        <v>3857.1645432891601</v>
      </c>
      <c r="H3637" s="1">
        <v>137.86304211145799</v>
      </c>
      <c r="I3637" s="1">
        <f t="shared" si="113"/>
        <v>125.93413615395269</v>
      </c>
    </row>
    <row r="3638" spans="1:9" x14ac:dyDescent="0.45">
      <c r="A3638" t="s">
        <v>39</v>
      </c>
      <c r="B3638" t="s">
        <v>60</v>
      </c>
      <c r="C3638" t="str">
        <f t="shared" si="112"/>
        <v>MemphisTennessee</v>
      </c>
      <c r="D3638" t="s">
        <v>60</v>
      </c>
      <c r="E3638">
        <v>5.9</v>
      </c>
      <c r="F3638" s="1">
        <v>18.166037735849098</v>
      </c>
      <c r="G3638" s="2">
        <v>1598.08126067686</v>
      </c>
      <c r="H3638" s="1">
        <v>136.397323937984</v>
      </c>
      <c r="I3638" s="1">
        <f t="shared" si="113"/>
        <v>105.35293842536532</v>
      </c>
    </row>
    <row r="3639" spans="1:9" x14ac:dyDescent="0.45">
      <c r="A3639" t="s">
        <v>40</v>
      </c>
      <c r="B3639" t="s">
        <v>60</v>
      </c>
      <c r="C3639" t="str">
        <f t="shared" si="112"/>
        <v>MichiganTennessee</v>
      </c>
      <c r="D3639" t="s">
        <v>60</v>
      </c>
      <c r="E3639">
        <v>3</v>
      </c>
      <c r="F3639" s="1">
        <v>22.792452830188701</v>
      </c>
      <c r="G3639" s="2">
        <v>3235.88808690633</v>
      </c>
      <c r="H3639" s="1">
        <v>135.959945234901</v>
      </c>
      <c r="I3639" s="1">
        <f t="shared" si="113"/>
        <v>99.211391071081891</v>
      </c>
    </row>
    <row r="3640" spans="1:9" x14ac:dyDescent="0.45">
      <c r="A3640" t="s">
        <v>41</v>
      </c>
      <c r="B3640" t="s">
        <v>60</v>
      </c>
      <c r="C3640" t="str">
        <f t="shared" si="112"/>
        <v>Michigan St.Tennessee</v>
      </c>
      <c r="D3640" t="s">
        <v>60</v>
      </c>
      <c r="E3640">
        <v>22.7</v>
      </c>
      <c r="F3640" s="1">
        <v>8.0452830188679201</v>
      </c>
      <c r="G3640" s="2">
        <v>341.223043040032</v>
      </c>
      <c r="H3640" s="1">
        <v>137.60702494410799</v>
      </c>
      <c r="I3640" s="1">
        <f t="shared" si="113"/>
        <v>122.33921590359216</v>
      </c>
    </row>
    <row r="3641" spans="1:9" x14ac:dyDescent="0.45">
      <c r="A3641" t="s">
        <v>42</v>
      </c>
      <c r="B3641" t="s">
        <v>60</v>
      </c>
      <c r="C3641" t="str">
        <f t="shared" si="112"/>
        <v>MississippiTennessee</v>
      </c>
      <c r="D3641" t="s">
        <v>60</v>
      </c>
      <c r="E3641">
        <v>7.4</v>
      </c>
      <c r="F3641" s="1">
        <v>16.543396226415101</v>
      </c>
      <c r="G3641" s="2">
        <v>1247.1243728673601</v>
      </c>
      <c r="H3641" s="1">
        <v>136.87471629399701</v>
      </c>
      <c r="I3641" s="1">
        <f t="shared" si="113"/>
        <v>112.05634611385187</v>
      </c>
    </row>
    <row r="3642" spans="1:9" x14ac:dyDescent="0.45">
      <c r="A3642" t="s">
        <v>43</v>
      </c>
      <c r="B3642" t="s">
        <v>60</v>
      </c>
      <c r="C3642" t="str">
        <f t="shared" si="112"/>
        <v>Mississippi St.Tennessee</v>
      </c>
      <c r="D3642" t="s">
        <v>60</v>
      </c>
      <c r="E3642">
        <v>5.8</v>
      </c>
      <c r="F3642" s="1">
        <v>18.264150943396199</v>
      </c>
      <c r="G3642" s="2">
        <v>1622.1353283695601</v>
      </c>
      <c r="H3642" s="1">
        <v>137.014462766674</v>
      </c>
      <c r="I3642" s="1">
        <f t="shared" si="113"/>
        <v>114.01862633803769</v>
      </c>
    </row>
    <row r="3643" spans="1:9" x14ac:dyDescent="0.45">
      <c r="A3643" t="s">
        <v>44</v>
      </c>
      <c r="B3643" t="s">
        <v>60</v>
      </c>
      <c r="C3643" t="str">
        <f t="shared" si="112"/>
        <v>MissouriTennessee</v>
      </c>
      <c r="D3643" t="s">
        <v>60</v>
      </c>
      <c r="E3643">
        <v>2.8</v>
      </c>
      <c r="F3643" s="1">
        <v>23.2</v>
      </c>
      <c r="G3643" s="2">
        <v>3443.22469741648</v>
      </c>
      <c r="H3643" s="1">
        <v>136.43212466532</v>
      </c>
      <c r="I3643" s="1">
        <f t="shared" si="113"/>
        <v>105.84160034097997</v>
      </c>
    </row>
    <row r="3644" spans="1:9" x14ac:dyDescent="0.45">
      <c r="A3644" t="s">
        <v>45</v>
      </c>
      <c r="B3644" t="s">
        <v>60</v>
      </c>
      <c r="C3644" t="str">
        <f t="shared" si="112"/>
        <v>MontanaTennessee</v>
      </c>
      <c r="D3644" t="s">
        <v>60</v>
      </c>
      <c r="E3644">
        <v>0.3</v>
      </c>
      <c r="F3644" s="1">
        <v>39.003773584905701</v>
      </c>
      <c r="G3644" s="2">
        <v>38380.542348009098</v>
      </c>
      <c r="H3644" s="1">
        <v>135.56883622872601</v>
      </c>
      <c r="I3644" s="1">
        <f t="shared" si="113"/>
        <v>93.7195496412659</v>
      </c>
    </row>
    <row r="3645" spans="1:9" x14ac:dyDescent="0.45">
      <c r="A3645" t="s">
        <v>46</v>
      </c>
      <c r="B3645" t="s">
        <v>60</v>
      </c>
      <c r="C3645" t="str">
        <f t="shared" si="112"/>
        <v>Mount St. Mary'sTennessee</v>
      </c>
      <c r="D3645" t="s">
        <v>60</v>
      </c>
      <c r="E3645">
        <v>0.1</v>
      </c>
      <c r="F3645" s="1">
        <v>45.339622641509401</v>
      </c>
      <c r="G3645" s="2">
        <v>100863.781393344</v>
      </c>
      <c r="H3645" s="1">
        <v>136.872124182877</v>
      </c>
      <c r="I3645" s="1">
        <f t="shared" si="113"/>
        <v>112.01994842672426</v>
      </c>
    </row>
    <row r="3646" spans="1:9" x14ac:dyDescent="0.45">
      <c r="A3646" t="s">
        <v>47</v>
      </c>
      <c r="B3646" t="s">
        <v>60</v>
      </c>
      <c r="C3646" t="str">
        <f t="shared" si="112"/>
        <v>Nebraska OmahaTennessee</v>
      </c>
      <c r="D3646" t="s">
        <v>60</v>
      </c>
      <c r="E3646">
        <v>0.1</v>
      </c>
      <c r="F3646" s="1">
        <v>43.150943396226403</v>
      </c>
      <c r="G3646" s="2">
        <v>72215.882778823303</v>
      </c>
      <c r="H3646" s="1">
        <v>136.28990031498</v>
      </c>
      <c r="I3646" s="1">
        <f t="shared" si="113"/>
        <v>103.84452646338067</v>
      </c>
    </row>
    <row r="3647" spans="1:9" x14ac:dyDescent="0.45">
      <c r="A3647" t="s">
        <v>48</v>
      </c>
      <c r="B3647" t="s">
        <v>60</v>
      </c>
      <c r="C3647" t="str">
        <f t="shared" si="112"/>
        <v>New MexicoTennessee</v>
      </c>
      <c r="D3647" t="s">
        <v>60</v>
      </c>
      <c r="E3647">
        <v>3.2</v>
      </c>
      <c r="F3647" s="1">
        <v>22.316981132075501</v>
      </c>
      <c r="G3647" s="2">
        <v>3009.8824231430399</v>
      </c>
      <c r="H3647" s="1">
        <v>137.05989024679701</v>
      </c>
      <c r="I3647" s="1">
        <f t="shared" si="113"/>
        <v>114.65650609394407</v>
      </c>
    </row>
    <row r="3648" spans="1:9" x14ac:dyDescent="0.45">
      <c r="A3648" t="s">
        <v>49</v>
      </c>
      <c r="B3648" t="s">
        <v>60</v>
      </c>
      <c r="C3648" t="str">
        <f t="shared" si="112"/>
        <v>Norfolk St.Tennessee</v>
      </c>
      <c r="D3648" t="s">
        <v>60</v>
      </c>
      <c r="E3648">
        <v>0.2</v>
      </c>
      <c r="F3648" s="1">
        <v>40.883018867924498</v>
      </c>
      <c r="G3648" s="2">
        <v>51118.710279552499</v>
      </c>
      <c r="H3648" s="1">
        <v>136.09601601076099</v>
      </c>
      <c r="I3648" s="1">
        <f t="shared" si="113"/>
        <v>101.12205820596441</v>
      </c>
    </row>
    <row r="3649" spans="1:9" x14ac:dyDescent="0.45">
      <c r="A3649" t="s">
        <v>50</v>
      </c>
      <c r="B3649" t="s">
        <v>60</v>
      </c>
      <c r="C3649" t="str">
        <f t="shared" si="112"/>
        <v>North CarolinaTennessee</v>
      </c>
      <c r="D3649" t="s">
        <v>60</v>
      </c>
      <c r="E3649">
        <v>10.199999999999999</v>
      </c>
      <c r="F3649" s="1">
        <v>14.267924528301901</v>
      </c>
      <c r="G3649" s="2">
        <v>881.43953559359295</v>
      </c>
      <c r="H3649" s="1">
        <v>138.16962196522999</v>
      </c>
      <c r="I3649" s="1">
        <f t="shared" si="113"/>
        <v>130.23904326657168</v>
      </c>
    </row>
    <row r="3650" spans="1:9" x14ac:dyDescent="0.45">
      <c r="A3650" t="s">
        <v>51</v>
      </c>
      <c r="B3650" t="s">
        <v>60</v>
      </c>
      <c r="C3650" t="str">
        <f t="shared" si="112"/>
        <v>OklahomaTennessee</v>
      </c>
      <c r="D3650" t="s">
        <v>60</v>
      </c>
      <c r="E3650">
        <v>3.8</v>
      </c>
      <c r="F3650" s="1">
        <v>21.150943396226399</v>
      </c>
      <c r="G3650" s="2">
        <v>2518.6611663905601</v>
      </c>
      <c r="H3650" s="1">
        <v>136.59324509140501</v>
      </c>
      <c r="I3650" s="1">
        <f t="shared" si="113"/>
        <v>108.10400753997797</v>
      </c>
    </row>
    <row r="3651" spans="1:9" x14ac:dyDescent="0.45">
      <c r="A3651" t="s">
        <v>52</v>
      </c>
      <c r="B3651" t="s">
        <v>60</v>
      </c>
      <c r="C3651" t="str">
        <f t="shared" ref="C3651:C3714" si="114">A3651&amp;B3651</f>
        <v>OregonTennessee</v>
      </c>
      <c r="D3651" t="s">
        <v>60</v>
      </c>
      <c r="E3651">
        <v>10</v>
      </c>
      <c r="F3651" s="1">
        <v>14.384905660377401</v>
      </c>
      <c r="G3651" s="2">
        <v>897.22940905964504</v>
      </c>
      <c r="H3651" s="1">
        <v>136.88396248293401</v>
      </c>
      <c r="I3651" s="1">
        <f t="shared" ref="I3651:I3714" si="115">18*(H3651-AVERAGE($H$2:$H$4625))/_xlfn.STDEV.P($H$2:$H$4625)+AVERAGE($H$2:$H$4625)</f>
        <v>112.18617846920652</v>
      </c>
    </row>
    <row r="3652" spans="1:9" x14ac:dyDescent="0.45">
      <c r="A3652" t="s">
        <v>53</v>
      </c>
      <c r="B3652" t="s">
        <v>60</v>
      </c>
      <c r="C3652" t="str">
        <f t="shared" si="114"/>
        <v>PurdueTennessee</v>
      </c>
      <c r="D3652" t="s">
        <v>60</v>
      </c>
      <c r="E3652">
        <v>38.700000000000003</v>
      </c>
      <c r="F3652" s="1">
        <v>3.01132075471698</v>
      </c>
      <c r="G3652" s="2">
        <v>158.30837112691901</v>
      </c>
      <c r="H3652" s="1">
        <v>138.37204968273201</v>
      </c>
      <c r="I3652" s="1">
        <f t="shared" si="115"/>
        <v>133.08147570348493</v>
      </c>
    </row>
    <row r="3653" spans="1:9" x14ac:dyDescent="0.45">
      <c r="A3653" t="s">
        <v>54</v>
      </c>
      <c r="B3653" t="s">
        <v>60</v>
      </c>
      <c r="C3653" t="str">
        <f t="shared" si="114"/>
        <v>Robert MorrisTennessee</v>
      </c>
      <c r="D3653" t="s">
        <v>60</v>
      </c>
      <c r="E3653">
        <v>0.1</v>
      </c>
      <c r="F3653" s="1">
        <v>46.9018867924528</v>
      </c>
      <c r="G3653" s="2">
        <v>127979.02018151199</v>
      </c>
      <c r="H3653" s="1">
        <v>135.45501501141899</v>
      </c>
      <c r="I3653" s="1">
        <f t="shared" si="115"/>
        <v>92.121304479611112</v>
      </c>
    </row>
    <row r="3654" spans="1:9" x14ac:dyDescent="0.45">
      <c r="A3654" t="s">
        <v>55</v>
      </c>
      <c r="B3654" t="s">
        <v>60</v>
      </c>
      <c r="C3654" t="str">
        <f t="shared" si="114"/>
        <v>Saint FrancisTennessee</v>
      </c>
      <c r="D3654" t="s">
        <v>60</v>
      </c>
      <c r="E3654">
        <v>0</v>
      </c>
      <c r="F3654" s="1">
        <v>50.264150943396203</v>
      </c>
      <c r="G3654" s="2">
        <v>213757.309899874</v>
      </c>
      <c r="H3654" s="1">
        <v>136.161862893462</v>
      </c>
      <c r="I3654" s="1">
        <f t="shared" si="115"/>
        <v>102.04666140541067</v>
      </c>
    </row>
    <row r="3655" spans="1:9" x14ac:dyDescent="0.45">
      <c r="A3655" t="s">
        <v>56</v>
      </c>
      <c r="B3655" t="s">
        <v>60</v>
      </c>
      <c r="C3655" t="str">
        <f t="shared" si="114"/>
        <v>Saint Mary'sTennessee</v>
      </c>
      <c r="D3655" t="s">
        <v>60</v>
      </c>
      <c r="E3655">
        <v>9.8000000000000007</v>
      </c>
      <c r="F3655" s="1">
        <v>14.5283018867925</v>
      </c>
      <c r="G3655" s="2">
        <v>917.18469774428195</v>
      </c>
      <c r="H3655" s="1">
        <v>137.89106900940399</v>
      </c>
      <c r="I3655" s="1">
        <f t="shared" si="115"/>
        <v>126.32768188381053</v>
      </c>
    </row>
    <row r="3656" spans="1:9" x14ac:dyDescent="0.45">
      <c r="A3656" t="s">
        <v>57</v>
      </c>
      <c r="B3656" t="s">
        <v>60</v>
      </c>
      <c r="C3656" t="str">
        <f t="shared" si="114"/>
        <v>San Diego St.Tennessee</v>
      </c>
      <c r="D3656" t="s">
        <v>60</v>
      </c>
      <c r="E3656">
        <v>3.3</v>
      </c>
      <c r="F3656" s="1">
        <v>22.2</v>
      </c>
      <c r="G3656" s="2">
        <v>2957.0343291580598</v>
      </c>
      <c r="H3656" s="1">
        <v>137.10576817243299</v>
      </c>
      <c r="I3656" s="1">
        <f t="shared" si="115"/>
        <v>115.30071087763282</v>
      </c>
    </row>
    <row r="3657" spans="1:9" x14ac:dyDescent="0.45">
      <c r="A3657" t="s">
        <v>58</v>
      </c>
      <c r="B3657" t="s">
        <v>60</v>
      </c>
      <c r="C3657" t="str">
        <f t="shared" si="114"/>
        <v>SIU EdwardsvilleTennessee</v>
      </c>
      <c r="D3657" t="s">
        <v>60</v>
      </c>
      <c r="E3657">
        <v>0.2</v>
      </c>
      <c r="F3657" s="1">
        <v>42.177358490566</v>
      </c>
      <c r="G3657" s="2">
        <v>62249.611568608299</v>
      </c>
      <c r="H3657" s="1">
        <v>137.16502635261699</v>
      </c>
      <c r="I3657" s="1">
        <f t="shared" si="115"/>
        <v>116.1327973902211</v>
      </c>
    </row>
    <row r="3658" spans="1:9" x14ac:dyDescent="0.45">
      <c r="A3658" t="s">
        <v>59</v>
      </c>
      <c r="B3658" t="s">
        <v>60</v>
      </c>
      <c r="C3658" t="str">
        <f t="shared" si="114"/>
        <v>St. John'sTennessee</v>
      </c>
      <c r="D3658" t="s">
        <v>60</v>
      </c>
      <c r="E3658">
        <v>24</v>
      </c>
      <c r="F3658" s="1">
        <v>7.5433962264150898</v>
      </c>
      <c r="G3658" s="2">
        <v>316.08737589863301</v>
      </c>
      <c r="H3658" s="1">
        <v>137.984482801171</v>
      </c>
      <c r="I3658" s="1">
        <f t="shared" si="115"/>
        <v>127.63937178008645</v>
      </c>
    </row>
    <row r="3659" spans="1:9" x14ac:dyDescent="0.45">
      <c r="A3659" t="s">
        <v>60</v>
      </c>
      <c r="B3659" t="s">
        <v>60</v>
      </c>
      <c r="C3659" t="str">
        <f t="shared" si="114"/>
        <v>TennesseeTennessee</v>
      </c>
      <c r="D3659" t="s">
        <v>60</v>
      </c>
      <c r="E3659">
        <v>41.2</v>
      </c>
      <c r="F3659" s="1">
        <v>2.3283018867924499</v>
      </c>
      <c r="G3659" s="2">
        <v>142.64273539779199</v>
      </c>
      <c r="H3659" s="1">
        <v>138.77771517530499</v>
      </c>
      <c r="I3659" s="1">
        <f t="shared" si="115"/>
        <v>138.77771517530684</v>
      </c>
    </row>
    <row r="3660" spans="1:9" x14ac:dyDescent="0.45">
      <c r="A3660" t="s">
        <v>61</v>
      </c>
      <c r="B3660" t="s">
        <v>60</v>
      </c>
      <c r="C3660" t="str">
        <f t="shared" si="114"/>
        <v>TexasTennessee</v>
      </c>
      <c r="D3660" t="s">
        <v>60</v>
      </c>
      <c r="E3660">
        <v>2.7</v>
      </c>
      <c r="F3660" s="1">
        <v>23.4264150943396</v>
      </c>
      <c r="G3660" s="2">
        <v>3563.64539205868</v>
      </c>
      <c r="H3660" s="1">
        <v>136.47759700294301</v>
      </c>
      <c r="I3660" s="1">
        <f t="shared" si="115"/>
        <v>106.48010997314348</v>
      </c>
    </row>
    <row r="3661" spans="1:9" x14ac:dyDescent="0.45">
      <c r="A3661" t="s">
        <v>62</v>
      </c>
      <c r="B3661" t="s">
        <v>60</v>
      </c>
      <c r="C3661" t="str">
        <f t="shared" si="114"/>
        <v>Texas A&amp;MTennessee</v>
      </c>
      <c r="D3661" t="s">
        <v>60</v>
      </c>
      <c r="E3661">
        <v>13.8</v>
      </c>
      <c r="F3661" s="1">
        <v>12.022641509433999</v>
      </c>
      <c r="G3661" s="2">
        <v>625.95080597638696</v>
      </c>
      <c r="H3661" s="1">
        <v>137.26457231234099</v>
      </c>
      <c r="I3661" s="1">
        <f t="shared" si="115"/>
        <v>117.53059344490578</v>
      </c>
    </row>
    <row r="3662" spans="1:9" x14ac:dyDescent="0.45">
      <c r="A3662" t="s">
        <v>63</v>
      </c>
      <c r="B3662" t="s">
        <v>60</v>
      </c>
      <c r="C3662" t="str">
        <f t="shared" si="114"/>
        <v>Texas TechTennessee</v>
      </c>
      <c r="D3662" t="s">
        <v>60</v>
      </c>
      <c r="E3662">
        <v>23.6</v>
      </c>
      <c r="F3662" s="1">
        <v>7.6905660377358496</v>
      </c>
      <c r="G3662" s="2">
        <v>323.16532931978003</v>
      </c>
      <c r="H3662" s="1">
        <v>138.255084917581</v>
      </c>
      <c r="I3662" s="1">
        <f t="shared" si="115"/>
        <v>131.43908973705788</v>
      </c>
    </row>
    <row r="3663" spans="1:9" x14ac:dyDescent="0.45">
      <c r="A3663" t="s">
        <v>64</v>
      </c>
      <c r="B3663" t="s">
        <v>60</v>
      </c>
      <c r="C3663" t="str">
        <f t="shared" si="114"/>
        <v>TroyTennessee</v>
      </c>
      <c r="D3663" t="s">
        <v>60</v>
      </c>
      <c r="E3663">
        <v>0.4</v>
      </c>
      <c r="F3663" s="1">
        <v>35.498113207547199</v>
      </c>
      <c r="G3663" s="2">
        <v>22478.432622671498</v>
      </c>
      <c r="H3663" s="1">
        <v>137.021389512139</v>
      </c>
      <c r="I3663" s="1">
        <f t="shared" si="115"/>
        <v>114.11588972782889</v>
      </c>
    </row>
    <row r="3664" spans="1:9" x14ac:dyDescent="0.45">
      <c r="A3664" t="s">
        <v>65</v>
      </c>
      <c r="B3664" t="s">
        <v>60</v>
      </c>
      <c r="C3664" t="str">
        <f t="shared" si="114"/>
        <v>UC San DiegoTennessee</v>
      </c>
      <c r="D3664" t="s">
        <v>60</v>
      </c>
      <c r="E3664">
        <v>1.1000000000000001</v>
      </c>
      <c r="F3664" s="1">
        <v>29.316981132075501</v>
      </c>
      <c r="G3664" s="2">
        <v>8754.6363877629301</v>
      </c>
      <c r="H3664" s="1">
        <v>137.09150974180201</v>
      </c>
      <c r="I3664" s="1">
        <f t="shared" si="115"/>
        <v>115.10049804993766</v>
      </c>
    </row>
    <row r="3665" spans="1:9" x14ac:dyDescent="0.45">
      <c r="A3665" t="s">
        <v>66</v>
      </c>
      <c r="B3665" t="s">
        <v>60</v>
      </c>
      <c r="C3665" t="str">
        <f t="shared" si="114"/>
        <v>UCLATennessee</v>
      </c>
      <c r="D3665" t="s">
        <v>60</v>
      </c>
      <c r="E3665">
        <v>3.8</v>
      </c>
      <c r="F3665" s="1">
        <v>21.215094339622599</v>
      </c>
      <c r="G3665" s="2">
        <v>2544.1731289908898</v>
      </c>
      <c r="H3665" s="1">
        <v>136.312768321014</v>
      </c>
      <c r="I3665" s="1">
        <f t="shared" si="115"/>
        <v>104.16563250024505</v>
      </c>
    </row>
    <row r="3666" spans="1:9" x14ac:dyDescent="0.45">
      <c r="A3666" t="s">
        <v>67</v>
      </c>
      <c r="B3666" t="s">
        <v>60</v>
      </c>
      <c r="C3666" t="str">
        <f t="shared" si="114"/>
        <v>UNC WilmingtonTennessee</v>
      </c>
      <c r="D3666" t="s">
        <v>60</v>
      </c>
      <c r="E3666">
        <v>0.7</v>
      </c>
      <c r="F3666" s="1">
        <v>32.909433962264202</v>
      </c>
      <c r="G3666" s="2">
        <v>15142.6227500573</v>
      </c>
      <c r="H3666" s="1">
        <v>137.62817821246699</v>
      </c>
      <c r="I3666" s="1">
        <f t="shared" si="115"/>
        <v>122.63624408171088</v>
      </c>
    </row>
    <row r="3667" spans="1:9" x14ac:dyDescent="0.45">
      <c r="A3667" t="s">
        <v>68</v>
      </c>
      <c r="B3667" t="s">
        <v>60</v>
      </c>
      <c r="C3667" t="str">
        <f t="shared" si="114"/>
        <v>Utah St.Tennessee</v>
      </c>
      <c r="D3667" t="s">
        <v>60</v>
      </c>
      <c r="E3667">
        <v>3.6</v>
      </c>
      <c r="F3667" s="1">
        <v>21.5811320754717</v>
      </c>
      <c r="G3667" s="2">
        <v>2690.0658702228998</v>
      </c>
      <c r="H3667" s="1">
        <v>137.175364711046</v>
      </c>
      <c r="I3667" s="1">
        <f t="shared" si="115"/>
        <v>116.27796567895982</v>
      </c>
    </row>
    <row r="3668" spans="1:9" x14ac:dyDescent="0.45">
      <c r="A3668" t="s">
        <v>69</v>
      </c>
      <c r="B3668" t="s">
        <v>60</v>
      </c>
      <c r="C3668" t="str">
        <f t="shared" si="114"/>
        <v>VanderbiltTennessee</v>
      </c>
      <c r="D3668" t="s">
        <v>60</v>
      </c>
      <c r="E3668">
        <v>0.7</v>
      </c>
      <c r="F3668" s="1">
        <v>32.230188679245302</v>
      </c>
      <c r="G3668" s="2">
        <v>13651.547452933</v>
      </c>
      <c r="H3668" s="1">
        <v>135.60940259232899</v>
      </c>
      <c r="I3668" s="1">
        <f t="shared" si="115"/>
        <v>94.289170981542924</v>
      </c>
    </row>
    <row r="3669" spans="1:9" x14ac:dyDescent="0.45">
      <c r="A3669" t="s">
        <v>70</v>
      </c>
      <c r="B3669" t="s">
        <v>60</v>
      </c>
      <c r="C3669" t="str">
        <f t="shared" si="114"/>
        <v>VCUTennessee</v>
      </c>
      <c r="D3669" t="s">
        <v>60</v>
      </c>
      <c r="E3669">
        <v>2.2999999999999998</v>
      </c>
      <c r="F3669" s="1">
        <v>24.584905660377402</v>
      </c>
      <c r="G3669" s="2">
        <v>4252.6548180934797</v>
      </c>
      <c r="H3669" s="1">
        <v>137.534575721522</v>
      </c>
      <c r="I3669" s="1">
        <f t="shared" si="115"/>
        <v>121.32190452524546</v>
      </c>
    </row>
    <row r="3670" spans="1:9" x14ac:dyDescent="0.45">
      <c r="A3670" t="s">
        <v>71</v>
      </c>
      <c r="B3670" t="s">
        <v>60</v>
      </c>
      <c r="C3670" t="str">
        <f t="shared" si="114"/>
        <v>WisconsinTennessee</v>
      </c>
      <c r="D3670" t="s">
        <v>60</v>
      </c>
      <c r="E3670">
        <v>21.1</v>
      </c>
      <c r="F3670" s="1">
        <v>8.6301886792452809</v>
      </c>
      <c r="G3670" s="2">
        <v>373.05639940470797</v>
      </c>
      <c r="H3670" s="1">
        <v>138.18783132985399</v>
      </c>
      <c r="I3670" s="1">
        <f t="shared" si="115"/>
        <v>130.49473398571601</v>
      </c>
    </row>
    <row r="3671" spans="1:9" x14ac:dyDescent="0.45">
      <c r="A3671" t="s">
        <v>80</v>
      </c>
      <c r="B3671" t="s">
        <v>60</v>
      </c>
      <c r="C3671" t="str">
        <f t="shared" si="114"/>
        <v>WoffordTennessee</v>
      </c>
      <c r="D3671" t="s">
        <v>60</v>
      </c>
      <c r="E3671">
        <v>0.2</v>
      </c>
      <c r="F3671" s="1">
        <v>39.803773584905699</v>
      </c>
      <c r="G3671" s="2">
        <v>43357.135109540897</v>
      </c>
      <c r="H3671" s="1">
        <v>136.28547975908</v>
      </c>
      <c r="I3671" s="1">
        <f t="shared" si="115"/>
        <v>103.78245427467846</v>
      </c>
    </row>
    <row r="3672" spans="1:9" x14ac:dyDescent="0.45">
      <c r="A3672" t="s">
        <v>72</v>
      </c>
      <c r="B3672" t="s">
        <v>60</v>
      </c>
      <c r="C3672" t="str">
        <f t="shared" si="114"/>
        <v>XavierTennessee</v>
      </c>
      <c r="D3672" t="s">
        <v>60</v>
      </c>
      <c r="E3672">
        <v>2.2999999999999998</v>
      </c>
      <c r="F3672" s="1">
        <v>24.656603773584902</v>
      </c>
      <c r="G3672" s="2">
        <v>4300.3729208096802</v>
      </c>
      <c r="H3672" s="1">
        <v>137.02828192970199</v>
      </c>
      <c r="I3672" s="1">
        <f t="shared" si="115"/>
        <v>114.21267109498338</v>
      </c>
    </row>
    <row r="3673" spans="1:9" x14ac:dyDescent="0.45">
      <c r="A3673" t="s">
        <v>73</v>
      </c>
      <c r="B3673" t="s">
        <v>60</v>
      </c>
      <c r="C3673" t="str">
        <f t="shared" si="114"/>
        <v>YaleTennessee</v>
      </c>
      <c r="D3673" t="s">
        <v>60</v>
      </c>
      <c r="E3673">
        <v>1.2</v>
      </c>
      <c r="F3673" s="1">
        <v>28.905660377358501</v>
      </c>
      <c r="G3673" s="2">
        <v>8223.4036797600402</v>
      </c>
      <c r="H3673" s="1">
        <v>137.62798806609601</v>
      </c>
      <c r="I3673" s="1">
        <f t="shared" si="115"/>
        <v>122.63357410044887</v>
      </c>
    </row>
    <row r="3674" spans="1:9" x14ac:dyDescent="0.45">
      <c r="A3674" t="s">
        <v>7</v>
      </c>
      <c r="B3674" t="s">
        <v>61</v>
      </c>
      <c r="C3674" t="str">
        <f t="shared" si="114"/>
        <v>AkronTexas</v>
      </c>
      <c r="D3674" t="s">
        <v>61</v>
      </c>
      <c r="E3674">
        <v>13.7</v>
      </c>
      <c r="F3674" s="1">
        <v>12.0754716981132</v>
      </c>
      <c r="G3674" s="2">
        <v>630.78409404050501</v>
      </c>
      <c r="H3674" s="1">
        <v>138.744933299037</v>
      </c>
      <c r="I3674" s="1">
        <f t="shared" si="115"/>
        <v>138.31740139221003</v>
      </c>
    </row>
    <row r="3675" spans="1:9" x14ac:dyDescent="0.45">
      <c r="A3675" t="s">
        <v>8</v>
      </c>
      <c r="B3675" t="s">
        <v>61</v>
      </c>
      <c r="C3675" t="str">
        <f t="shared" si="114"/>
        <v>AlabamaTexas</v>
      </c>
      <c r="D3675" t="s">
        <v>8</v>
      </c>
      <c r="E3675">
        <v>92.3</v>
      </c>
      <c r="F3675" s="1">
        <v>-16.267924528301901</v>
      </c>
      <c r="G3675" s="2">
        <v>-1195.77638044642</v>
      </c>
      <c r="H3675" s="1">
        <v>140.552544486633</v>
      </c>
      <c r="I3675" s="1">
        <f t="shared" si="115"/>
        <v>163.69936358767302</v>
      </c>
    </row>
    <row r="3676" spans="1:9" x14ac:dyDescent="0.45">
      <c r="A3676" t="s">
        <v>9</v>
      </c>
      <c r="B3676" t="s">
        <v>61</v>
      </c>
      <c r="C3676" t="str">
        <f t="shared" si="114"/>
        <v>Alabama St.Texas</v>
      </c>
      <c r="D3676" t="s">
        <v>61</v>
      </c>
      <c r="E3676">
        <v>2.4</v>
      </c>
      <c r="F3676" s="1">
        <v>24.392452830188699</v>
      </c>
      <c r="G3676" s="2">
        <v>4130.19399661226</v>
      </c>
      <c r="H3676" s="1">
        <v>138.93169505845901</v>
      </c>
      <c r="I3676" s="1">
        <f t="shared" si="115"/>
        <v>140.93985690130214</v>
      </c>
    </row>
    <row r="3677" spans="1:9" x14ac:dyDescent="0.45">
      <c r="A3677" t="s">
        <v>10</v>
      </c>
      <c r="B3677" t="s">
        <v>61</v>
      </c>
      <c r="C3677" t="str">
        <f t="shared" si="114"/>
        <v>AmericanTexas</v>
      </c>
      <c r="D3677" t="s">
        <v>61</v>
      </c>
      <c r="E3677">
        <v>2.6</v>
      </c>
      <c r="F3677" s="1">
        <v>23.633962264150899</v>
      </c>
      <c r="G3677" s="2">
        <v>3679.7997112921398</v>
      </c>
      <c r="H3677" s="1">
        <v>138.69498457822101</v>
      </c>
      <c r="I3677" s="1">
        <f t="shared" si="115"/>
        <v>137.61603566037402</v>
      </c>
    </row>
    <row r="3678" spans="1:9" x14ac:dyDescent="0.45">
      <c r="A3678" t="s">
        <v>11</v>
      </c>
      <c r="B3678" t="s">
        <v>61</v>
      </c>
      <c r="C3678" t="str">
        <f t="shared" si="114"/>
        <v>ArizonaTexas</v>
      </c>
      <c r="D3678" t="s">
        <v>11</v>
      </c>
      <c r="E3678">
        <v>88.7</v>
      </c>
      <c r="F3678" s="1">
        <v>-13.5094339622642</v>
      </c>
      <c r="G3678" s="2">
        <v>-785.40884528505001</v>
      </c>
      <c r="H3678" s="1">
        <v>140.16302382680999</v>
      </c>
      <c r="I3678" s="1">
        <f t="shared" si="115"/>
        <v>158.22982526559161</v>
      </c>
    </row>
    <row r="3679" spans="1:9" x14ac:dyDescent="0.45">
      <c r="A3679" t="s">
        <v>12</v>
      </c>
      <c r="B3679" t="s">
        <v>61</v>
      </c>
      <c r="C3679" t="str">
        <f t="shared" si="114"/>
        <v>ArkansasTexas</v>
      </c>
      <c r="D3679" t="s">
        <v>61</v>
      </c>
      <c r="E3679">
        <v>33.9</v>
      </c>
      <c r="F3679" s="1">
        <v>4.3886792452830203</v>
      </c>
      <c r="G3679" s="2">
        <v>195.34568209814699</v>
      </c>
      <c r="H3679" s="1">
        <v>138.48894780459901</v>
      </c>
      <c r="I3679" s="1">
        <f t="shared" si="115"/>
        <v>134.72292588387174</v>
      </c>
    </row>
    <row r="3680" spans="1:9" x14ac:dyDescent="0.45">
      <c r="A3680" t="s">
        <v>13</v>
      </c>
      <c r="B3680" t="s">
        <v>61</v>
      </c>
      <c r="C3680" t="str">
        <f t="shared" si="114"/>
        <v>AuburnTexas</v>
      </c>
      <c r="D3680" t="s">
        <v>13</v>
      </c>
      <c r="E3680">
        <v>95.9</v>
      </c>
      <c r="F3680" s="1">
        <v>-20.705660377358502</v>
      </c>
      <c r="G3680" s="2">
        <v>-2353.7508718557101</v>
      </c>
      <c r="H3680" s="1">
        <v>141.57476071998499</v>
      </c>
      <c r="I3680" s="1">
        <f t="shared" si="115"/>
        <v>178.05303320897872</v>
      </c>
    </row>
    <row r="3681" spans="1:9" x14ac:dyDescent="0.45">
      <c r="A3681" t="s">
        <v>14</v>
      </c>
      <c r="B3681" t="s">
        <v>61</v>
      </c>
      <c r="C3681" t="str">
        <f t="shared" si="114"/>
        <v>BaylorTexas</v>
      </c>
      <c r="D3681" t="s">
        <v>14</v>
      </c>
      <c r="E3681">
        <v>70.3</v>
      </c>
      <c r="F3681" s="1">
        <v>-5.6566037735849104</v>
      </c>
      <c r="G3681" s="2">
        <v>-237.02725687800401</v>
      </c>
      <c r="H3681" s="1">
        <v>140.03767808116601</v>
      </c>
      <c r="I3681" s="1">
        <f t="shared" si="115"/>
        <v>156.46975595470795</v>
      </c>
    </row>
    <row r="3682" spans="1:9" x14ac:dyDescent="0.45">
      <c r="A3682" t="s">
        <v>15</v>
      </c>
      <c r="B3682" t="s">
        <v>61</v>
      </c>
      <c r="C3682" t="str">
        <f t="shared" si="114"/>
        <v>BryantTexas</v>
      </c>
      <c r="D3682" t="s">
        <v>61</v>
      </c>
      <c r="E3682">
        <v>10</v>
      </c>
      <c r="F3682" s="1">
        <v>14.4150943396226</v>
      </c>
      <c r="G3682" s="2">
        <v>901.39162874331703</v>
      </c>
      <c r="H3682" s="1">
        <v>139.629997956811</v>
      </c>
      <c r="I3682" s="1">
        <f t="shared" si="115"/>
        <v>150.74522759638199</v>
      </c>
    </row>
    <row r="3683" spans="1:9" x14ac:dyDescent="0.45">
      <c r="A3683" t="s">
        <v>16</v>
      </c>
      <c r="B3683" t="s">
        <v>61</v>
      </c>
      <c r="C3683" t="str">
        <f t="shared" si="114"/>
        <v>BYUTexas</v>
      </c>
      <c r="D3683" t="s">
        <v>16</v>
      </c>
      <c r="E3683">
        <v>73.7</v>
      </c>
      <c r="F3683" s="1">
        <v>-6.75094339622642</v>
      </c>
      <c r="G3683" s="2">
        <v>-280.09672603739199</v>
      </c>
      <c r="H3683" s="1">
        <v>139.80003863125501</v>
      </c>
      <c r="I3683" s="1">
        <f t="shared" si="115"/>
        <v>153.13289038583886</v>
      </c>
    </row>
    <row r="3684" spans="1:9" x14ac:dyDescent="0.45">
      <c r="A3684" t="s">
        <v>17</v>
      </c>
      <c r="B3684" t="s">
        <v>61</v>
      </c>
      <c r="C3684" t="str">
        <f t="shared" si="114"/>
        <v>ClemsonTexas</v>
      </c>
      <c r="D3684" t="s">
        <v>17</v>
      </c>
      <c r="E3684">
        <v>79.7</v>
      </c>
      <c r="F3684" s="1">
        <v>-8.9547169811320799</v>
      </c>
      <c r="G3684" s="2">
        <v>-392.05698729187202</v>
      </c>
      <c r="H3684" s="1">
        <v>140.15008885369701</v>
      </c>
      <c r="I3684" s="1">
        <f t="shared" si="115"/>
        <v>158.04819605196104</v>
      </c>
    </row>
    <row r="3685" spans="1:9" x14ac:dyDescent="0.45">
      <c r="A3685" t="s">
        <v>18</v>
      </c>
      <c r="B3685" t="s">
        <v>61</v>
      </c>
      <c r="C3685" t="str">
        <f t="shared" si="114"/>
        <v>Colorado St.Texas</v>
      </c>
      <c r="D3685" t="s">
        <v>61</v>
      </c>
      <c r="E3685">
        <v>39.4</v>
      </c>
      <c r="F3685" s="1">
        <v>2.82641509433962</v>
      </c>
      <c r="G3685" s="2">
        <v>153.89152332744499</v>
      </c>
      <c r="H3685" s="1">
        <v>139.539699828491</v>
      </c>
      <c r="I3685" s="1">
        <f t="shared" si="115"/>
        <v>149.47728696010643</v>
      </c>
    </row>
    <row r="3686" spans="1:9" x14ac:dyDescent="0.45">
      <c r="A3686" t="s">
        <v>19</v>
      </c>
      <c r="B3686" t="s">
        <v>61</v>
      </c>
      <c r="C3686" t="str">
        <f t="shared" si="114"/>
        <v>ConnecticutTexas</v>
      </c>
      <c r="D3686" t="s">
        <v>19</v>
      </c>
      <c r="E3686">
        <v>85.9</v>
      </c>
      <c r="F3686" s="1">
        <v>-11.849056603773599</v>
      </c>
      <c r="G3686" s="2">
        <v>-609.58676134117798</v>
      </c>
      <c r="H3686" s="1">
        <v>139.950339684445</v>
      </c>
      <c r="I3686" s="1">
        <f t="shared" si="115"/>
        <v>155.24337502777132</v>
      </c>
    </row>
    <row r="3687" spans="1:9" x14ac:dyDescent="0.45">
      <c r="A3687" t="s">
        <v>20</v>
      </c>
      <c r="B3687" t="s">
        <v>61</v>
      </c>
      <c r="C3687" t="str">
        <f t="shared" si="114"/>
        <v>CreightonTexas</v>
      </c>
      <c r="D3687" t="s">
        <v>20</v>
      </c>
      <c r="E3687">
        <v>65.3</v>
      </c>
      <c r="F3687" s="1">
        <v>-4.1433962264150903</v>
      </c>
      <c r="G3687" s="2">
        <v>-188.106094557956</v>
      </c>
      <c r="H3687" s="1">
        <v>139.49963643728401</v>
      </c>
      <c r="I3687" s="1">
        <f t="shared" si="115"/>
        <v>148.91472821516408</v>
      </c>
    </row>
    <row r="3688" spans="1:9" x14ac:dyDescent="0.45">
      <c r="A3688" t="s">
        <v>21</v>
      </c>
      <c r="B3688" t="s">
        <v>61</v>
      </c>
      <c r="C3688" t="str">
        <f t="shared" si="114"/>
        <v>DrakeTexas</v>
      </c>
      <c r="D3688" t="s">
        <v>61</v>
      </c>
      <c r="E3688">
        <v>38.6</v>
      </c>
      <c r="F3688" s="1">
        <v>3.0301886792452799</v>
      </c>
      <c r="G3688" s="2">
        <v>158.77598903728199</v>
      </c>
      <c r="H3688" s="1">
        <v>139.734312242958</v>
      </c>
      <c r="I3688" s="1">
        <f t="shared" si="115"/>
        <v>152.20997913454389</v>
      </c>
    </row>
    <row r="3689" spans="1:9" x14ac:dyDescent="0.45">
      <c r="A3689" t="s">
        <v>22</v>
      </c>
      <c r="B3689" t="s">
        <v>61</v>
      </c>
      <c r="C3689" t="str">
        <f t="shared" si="114"/>
        <v>DukeTexas</v>
      </c>
      <c r="D3689" t="s">
        <v>22</v>
      </c>
      <c r="E3689">
        <v>97.1</v>
      </c>
      <c r="F3689" s="1">
        <v>-22.920754716981101</v>
      </c>
      <c r="G3689" s="2">
        <v>-3299.6478982599101</v>
      </c>
      <c r="H3689" s="1">
        <v>141.81465213156099</v>
      </c>
      <c r="I3689" s="1">
        <f t="shared" si="115"/>
        <v>181.42152018306967</v>
      </c>
    </row>
    <row r="3690" spans="1:9" x14ac:dyDescent="0.45">
      <c r="A3690" t="s">
        <v>23</v>
      </c>
      <c r="B3690" t="s">
        <v>61</v>
      </c>
      <c r="C3690" t="str">
        <f t="shared" si="114"/>
        <v>FloridaTexas</v>
      </c>
      <c r="D3690" t="s">
        <v>23</v>
      </c>
      <c r="E3690">
        <v>94.8</v>
      </c>
      <c r="F3690" s="1">
        <v>-19.0641509433962</v>
      </c>
      <c r="G3690" s="2">
        <v>-1832.0420564281501</v>
      </c>
      <c r="H3690" s="1">
        <v>141.549302659115</v>
      </c>
      <c r="I3690" s="1">
        <f t="shared" si="115"/>
        <v>177.69555835874206</v>
      </c>
    </row>
    <row r="3691" spans="1:9" x14ac:dyDescent="0.45">
      <c r="A3691" t="s">
        <v>24</v>
      </c>
      <c r="B3691" t="s">
        <v>61</v>
      </c>
      <c r="C3691" t="str">
        <f t="shared" si="114"/>
        <v>GeorgiaTexas</v>
      </c>
      <c r="D3691" t="s">
        <v>61</v>
      </c>
      <c r="E3691">
        <v>42.4</v>
      </c>
      <c r="F3691" s="1">
        <v>2</v>
      </c>
      <c r="G3691" s="2">
        <v>135.63759442528701</v>
      </c>
      <c r="H3691" s="1">
        <v>138.81326095540001</v>
      </c>
      <c r="I3691" s="1">
        <f t="shared" si="115"/>
        <v>139.27683890986393</v>
      </c>
    </row>
    <row r="3692" spans="1:9" x14ac:dyDescent="0.45">
      <c r="A3692" t="s">
        <v>25</v>
      </c>
      <c r="B3692" t="s">
        <v>61</v>
      </c>
      <c r="C3692" t="str">
        <f t="shared" si="114"/>
        <v>GonzagaTexas</v>
      </c>
      <c r="D3692" t="s">
        <v>25</v>
      </c>
      <c r="E3692">
        <v>78.900000000000006</v>
      </c>
      <c r="F3692" s="1">
        <v>-8.6301886792452809</v>
      </c>
      <c r="G3692" s="2">
        <v>-373.12879347734798</v>
      </c>
      <c r="H3692" s="1">
        <v>140.790222685906</v>
      </c>
      <c r="I3692" s="1">
        <f t="shared" si="115"/>
        <v>167.0367732640627</v>
      </c>
    </row>
    <row r="3693" spans="1:9" x14ac:dyDescent="0.45">
      <c r="A3693" t="s">
        <v>26</v>
      </c>
      <c r="B3693" t="s">
        <v>61</v>
      </c>
      <c r="C3693" t="str">
        <f t="shared" si="114"/>
        <v>Grand CanyonTexas</v>
      </c>
      <c r="D3693" t="s">
        <v>61</v>
      </c>
      <c r="E3693">
        <v>28.8</v>
      </c>
      <c r="F3693" s="1">
        <v>5.9169811320754704</v>
      </c>
      <c r="G3693" s="2">
        <v>246.67212273325799</v>
      </c>
      <c r="H3693" s="1">
        <v>139.60819440344599</v>
      </c>
      <c r="I3693" s="1">
        <f t="shared" si="115"/>
        <v>150.43906830115586</v>
      </c>
    </row>
    <row r="3694" spans="1:9" x14ac:dyDescent="0.45">
      <c r="A3694" t="s">
        <v>27</v>
      </c>
      <c r="B3694" t="s">
        <v>61</v>
      </c>
      <c r="C3694" t="str">
        <f t="shared" si="114"/>
        <v>High PointTexas</v>
      </c>
      <c r="D3694" t="s">
        <v>61</v>
      </c>
      <c r="E3694">
        <v>20.2</v>
      </c>
      <c r="F3694" s="1">
        <v>9.0075471698113194</v>
      </c>
      <c r="G3694" s="2">
        <v>395.18652928726999</v>
      </c>
      <c r="H3694" s="1">
        <v>139.799401536994</v>
      </c>
      <c r="I3694" s="1">
        <f t="shared" si="115"/>
        <v>153.12394448942106</v>
      </c>
    </row>
    <row r="3695" spans="1:9" x14ac:dyDescent="0.45">
      <c r="A3695" t="s">
        <v>28</v>
      </c>
      <c r="B3695" t="s">
        <v>61</v>
      </c>
      <c r="C3695" t="str">
        <f t="shared" si="114"/>
        <v>HoustonTexas</v>
      </c>
      <c r="D3695" t="s">
        <v>28</v>
      </c>
      <c r="E3695">
        <v>98.2</v>
      </c>
      <c r="F3695" s="1">
        <v>-26.275471698113201</v>
      </c>
      <c r="G3695" s="2">
        <v>-5504.2450412718399</v>
      </c>
      <c r="H3695" s="1">
        <v>141.91286389419699</v>
      </c>
      <c r="I3695" s="1">
        <f t="shared" si="115"/>
        <v>182.80058182170222</v>
      </c>
    </row>
    <row r="3696" spans="1:9" x14ac:dyDescent="0.45">
      <c r="A3696" t="s">
        <v>29</v>
      </c>
      <c r="B3696" t="s">
        <v>61</v>
      </c>
      <c r="C3696" t="str">
        <f t="shared" si="114"/>
        <v>IllinoisTexas</v>
      </c>
      <c r="D3696" t="s">
        <v>29</v>
      </c>
      <c r="E3696">
        <v>84.4</v>
      </c>
      <c r="F3696" s="1">
        <v>-11.086792452830201</v>
      </c>
      <c r="G3696" s="2">
        <v>-542.60548540449395</v>
      </c>
      <c r="H3696" s="1">
        <v>139.971327669159</v>
      </c>
      <c r="I3696" s="1">
        <f t="shared" si="115"/>
        <v>155.53808233995503</v>
      </c>
    </row>
    <row r="3697" spans="1:9" x14ac:dyDescent="0.45">
      <c r="A3697" t="s">
        <v>30</v>
      </c>
      <c r="B3697" t="s">
        <v>61</v>
      </c>
      <c r="C3697" t="str">
        <f t="shared" si="114"/>
        <v>Iowa St.Texas</v>
      </c>
      <c r="D3697" t="s">
        <v>30</v>
      </c>
      <c r="E3697">
        <v>91.9</v>
      </c>
      <c r="F3697" s="1">
        <v>-15.9471698113208</v>
      </c>
      <c r="G3697" s="2">
        <v>-1139.04331404444</v>
      </c>
      <c r="H3697" s="1">
        <v>140.867869960745</v>
      </c>
      <c r="I3697" s="1">
        <f t="shared" si="115"/>
        <v>168.12707421377368</v>
      </c>
    </row>
    <row r="3698" spans="1:9" x14ac:dyDescent="0.45">
      <c r="A3698" t="s">
        <v>31</v>
      </c>
      <c r="B3698" t="s">
        <v>61</v>
      </c>
      <c r="C3698" t="str">
        <f t="shared" si="114"/>
        <v>KansasTexas</v>
      </c>
      <c r="D3698" t="s">
        <v>31</v>
      </c>
      <c r="E3698">
        <v>77.8</v>
      </c>
      <c r="F3698" s="1">
        <v>-8.2301886792452805</v>
      </c>
      <c r="G3698" s="2">
        <v>-351.02601463887601</v>
      </c>
      <c r="H3698" s="1">
        <v>139.91845784959901</v>
      </c>
      <c r="I3698" s="1">
        <f t="shared" si="115"/>
        <v>154.79569937034239</v>
      </c>
    </row>
    <row r="3699" spans="1:9" x14ac:dyDescent="0.45">
      <c r="A3699" t="s">
        <v>32</v>
      </c>
      <c r="B3699" t="s">
        <v>61</v>
      </c>
      <c r="C3699" t="str">
        <f t="shared" si="114"/>
        <v>KentuckyTexas</v>
      </c>
      <c r="D3699" t="s">
        <v>32</v>
      </c>
      <c r="E3699">
        <v>85.4</v>
      </c>
      <c r="F3699" s="1">
        <v>-11.5962264150943</v>
      </c>
      <c r="G3699" s="2">
        <v>-586.44224297208905</v>
      </c>
      <c r="H3699" s="1">
        <v>139.85274018172399</v>
      </c>
      <c r="I3699" s="1">
        <f t="shared" si="115"/>
        <v>153.87291056873283</v>
      </c>
    </row>
    <row r="3700" spans="1:9" x14ac:dyDescent="0.45">
      <c r="A3700" t="s">
        <v>33</v>
      </c>
      <c r="B3700" t="s">
        <v>61</v>
      </c>
      <c r="C3700" t="str">
        <f t="shared" si="114"/>
        <v>LibertyTexas</v>
      </c>
      <c r="D3700" t="s">
        <v>61</v>
      </c>
      <c r="E3700">
        <v>15</v>
      </c>
      <c r="F3700" s="1">
        <v>11.388679245283001</v>
      </c>
      <c r="G3700" s="2">
        <v>568.33273163178103</v>
      </c>
      <c r="H3700" s="1">
        <v>139.197741225442</v>
      </c>
      <c r="I3700" s="1">
        <f t="shared" si="115"/>
        <v>144.67560151217214</v>
      </c>
    </row>
    <row r="3701" spans="1:9" x14ac:dyDescent="0.45">
      <c r="A3701" t="s">
        <v>34</v>
      </c>
      <c r="B3701" t="s">
        <v>61</v>
      </c>
      <c r="C3701" t="str">
        <f t="shared" si="114"/>
        <v>LipscombTexas</v>
      </c>
      <c r="D3701" t="s">
        <v>61</v>
      </c>
      <c r="E3701">
        <v>11.7</v>
      </c>
      <c r="F3701" s="1">
        <v>13.256603773584899</v>
      </c>
      <c r="G3701" s="2">
        <v>755.44172685423803</v>
      </c>
      <c r="H3701" s="1">
        <v>139.60405942303299</v>
      </c>
      <c r="I3701" s="1">
        <f t="shared" si="115"/>
        <v>150.38100608222186</v>
      </c>
    </row>
    <row r="3702" spans="1:9" x14ac:dyDescent="0.45">
      <c r="A3702" t="s">
        <v>35</v>
      </c>
      <c r="B3702" t="s">
        <v>61</v>
      </c>
      <c r="C3702" t="str">
        <f t="shared" si="114"/>
        <v>LouisvilleTexas</v>
      </c>
      <c r="D3702" t="s">
        <v>61</v>
      </c>
      <c r="E3702">
        <v>25</v>
      </c>
      <c r="F3702" s="1">
        <v>7.2075471698113196</v>
      </c>
      <c r="G3702" s="2">
        <v>300.23625509621297</v>
      </c>
      <c r="H3702" s="1">
        <v>138.849421428851</v>
      </c>
      <c r="I3702" s="1">
        <f t="shared" si="115"/>
        <v>139.78459399370124</v>
      </c>
    </row>
    <row r="3703" spans="1:9" x14ac:dyDescent="0.45">
      <c r="A3703" t="s">
        <v>36</v>
      </c>
      <c r="B3703" t="s">
        <v>61</v>
      </c>
      <c r="C3703" t="str">
        <f t="shared" si="114"/>
        <v>MarquetteTexas</v>
      </c>
      <c r="D3703" t="s">
        <v>36</v>
      </c>
      <c r="E3703">
        <v>81.8</v>
      </c>
      <c r="F3703" s="1">
        <v>-9.8603773584905703</v>
      </c>
      <c r="G3703" s="2">
        <v>-450.07010114134499</v>
      </c>
      <c r="H3703" s="1">
        <v>140.11155527231301</v>
      </c>
      <c r="I3703" s="1">
        <f t="shared" si="115"/>
        <v>157.50711846146146</v>
      </c>
    </row>
    <row r="3704" spans="1:9" x14ac:dyDescent="0.45">
      <c r="A3704" t="s">
        <v>37</v>
      </c>
      <c r="B3704" t="s">
        <v>61</v>
      </c>
      <c r="C3704" t="str">
        <f t="shared" si="114"/>
        <v>MarylandTexas</v>
      </c>
      <c r="D3704" t="s">
        <v>37</v>
      </c>
      <c r="E3704">
        <v>73.5</v>
      </c>
      <c r="F3704" s="1">
        <v>-6.6943396226415102</v>
      </c>
      <c r="G3704" s="2">
        <v>-277.61717548897701</v>
      </c>
      <c r="H3704" s="1">
        <v>139.569924870856</v>
      </c>
      <c r="I3704" s="1">
        <f t="shared" si="115"/>
        <v>149.90169840872389</v>
      </c>
    </row>
    <row r="3705" spans="1:9" x14ac:dyDescent="0.45">
      <c r="A3705" t="s">
        <v>38</v>
      </c>
      <c r="B3705" t="s">
        <v>61</v>
      </c>
      <c r="C3705" t="str">
        <f t="shared" si="114"/>
        <v>McNeese St.Texas</v>
      </c>
      <c r="D3705" t="s">
        <v>61</v>
      </c>
      <c r="E3705">
        <v>39.299999999999997</v>
      </c>
      <c r="F3705" s="1">
        <v>2.8452830188679199</v>
      </c>
      <c r="G3705" s="2">
        <v>154.39148422573399</v>
      </c>
      <c r="H3705" s="1">
        <v>140.16316028381999</v>
      </c>
      <c r="I3705" s="1">
        <f t="shared" si="115"/>
        <v>158.23174135611646</v>
      </c>
    </row>
    <row r="3706" spans="1:9" x14ac:dyDescent="0.45">
      <c r="A3706" t="s">
        <v>39</v>
      </c>
      <c r="B3706" t="s">
        <v>61</v>
      </c>
      <c r="C3706" t="str">
        <f t="shared" si="114"/>
        <v>MemphisTexas</v>
      </c>
      <c r="D3706" t="s">
        <v>39</v>
      </c>
      <c r="E3706">
        <v>61</v>
      </c>
      <c r="F3706" s="1">
        <v>-2.92830188679245</v>
      </c>
      <c r="G3706" s="2">
        <v>-156.33130911674101</v>
      </c>
      <c r="H3706" s="1">
        <v>138.697442110346</v>
      </c>
      <c r="I3706" s="1">
        <f t="shared" si="115"/>
        <v>137.65054362752909</v>
      </c>
    </row>
    <row r="3707" spans="1:9" x14ac:dyDescent="0.45">
      <c r="A3707" t="s">
        <v>40</v>
      </c>
      <c r="B3707" t="s">
        <v>61</v>
      </c>
      <c r="C3707" t="str">
        <f t="shared" si="114"/>
        <v>MichiganTexas</v>
      </c>
      <c r="D3707" t="s">
        <v>61</v>
      </c>
      <c r="E3707">
        <v>43.6</v>
      </c>
      <c r="F3707" s="1">
        <v>1.6943396226415099</v>
      </c>
      <c r="G3707" s="2">
        <v>129.523529245091</v>
      </c>
      <c r="H3707" s="1">
        <v>138.260063407263</v>
      </c>
      <c r="I3707" s="1">
        <f t="shared" si="115"/>
        <v>131.50899627324566</v>
      </c>
    </row>
    <row r="3708" spans="1:9" x14ac:dyDescent="0.45">
      <c r="A3708" t="s">
        <v>41</v>
      </c>
      <c r="B3708" t="s">
        <v>61</v>
      </c>
      <c r="C3708" t="str">
        <f t="shared" si="114"/>
        <v>Michigan St.Texas</v>
      </c>
      <c r="D3708" t="s">
        <v>41</v>
      </c>
      <c r="E3708">
        <v>88</v>
      </c>
      <c r="F3708" s="1">
        <v>-13.0490566037736</v>
      </c>
      <c r="G3708" s="2">
        <v>-732.160798200361</v>
      </c>
      <c r="H3708" s="1">
        <v>139.90714311647</v>
      </c>
      <c r="I3708" s="1">
        <f t="shared" si="115"/>
        <v>154.63682110575593</v>
      </c>
    </row>
    <row r="3709" spans="1:9" x14ac:dyDescent="0.45">
      <c r="A3709" t="s">
        <v>42</v>
      </c>
      <c r="B3709" t="s">
        <v>61</v>
      </c>
      <c r="C3709" t="str">
        <f t="shared" si="114"/>
        <v>MississippiTexas</v>
      </c>
      <c r="D3709" t="s">
        <v>42</v>
      </c>
      <c r="E3709">
        <v>66.7</v>
      </c>
      <c r="F3709" s="1">
        <v>-4.5547169811320796</v>
      </c>
      <c r="G3709" s="2">
        <v>-200.32495634909401</v>
      </c>
      <c r="H3709" s="1">
        <v>139.17483446635899</v>
      </c>
      <c r="I3709" s="1">
        <f t="shared" si="115"/>
        <v>144.35395131601524</v>
      </c>
    </row>
    <row r="3710" spans="1:9" x14ac:dyDescent="0.45">
      <c r="A3710" t="s">
        <v>43</v>
      </c>
      <c r="B3710" t="s">
        <v>61</v>
      </c>
      <c r="C3710" t="str">
        <f t="shared" si="114"/>
        <v>Mississippi St.Texas</v>
      </c>
      <c r="D3710" t="s">
        <v>43</v>
      </c>
      <c r="E3710">
        <v>60.6</v>
      </c>
      <c r="F3710" s="1">
        <v>-2.8301886792452802</v>
      </c>
      <c r="G3710" s="2">
        <v>-154.01312775035601</v>
      </c>
      <c r="H3710" s="1">
        <v>139.31458093903601</v>
      </c>
      <c r="I3710" s="1">
        <f t="shared" si="115"/>
        <v>146.31623154020144</v>
      </c>
    </row>
    <row r="3711" spans="1:9" x14ac:dyDescent="0.45">
      <c r="A3711" t="s">
        <v>44</v>
      </c>
      <c r="B3711" t="s">
        <v>61</v>
      </c>
      <c r="C3711" t="str">
        <f t="shared" si="114"/>
        <v>MissouriTexas</v>
      </c>
      <c r="D3711" t="s">
        <v>61</v>
      </c>
      <c r="E3711">
        <v>42</v>
      </c>
      <c r="F3711" s="1">
        <v>2.1018867924528299</v>
      </c>
      <c r="G3711" s="2">
        <v>137.822632555757</v>
      </c>
      <c r="H3711" s="1">
        <v>138.73224283768201</v>
      </c>
      <c r="I3711" s="1">
        <f t="shared" si="115"/>
        <v>138.13920554314373</v>
      </c>
    </row>
    <row r="3712" spans="1:9" x14ac:dyDescent="0.45">
      <c r="A3712" t="s">
        <v>45</v>
      </c>
      <c r="B3712" t="s">
        <v>61</v>
      </c>
      <c r="C3712" t="str">
        <f t="shared" si="114"/>
        <v>MontanaTexas</v>
      </c>
      <c r="D3712" t="s">
        <v>61</v>
      </c>
      <c r="E3712">
        <v>6.1</v>
      </c>
      <c r="F3712" s="1">
        <v>17.909433962264199</v>
      </c>
      <c r="G3712" s="2">
        <v>1536.2655214715701</v>
      </c>
      <c r="H3712" s="1">
        <v>137.86895440108799</v>
      </c>
      <c r="I3712" s="1">
        <f t="shared" si="115"/>
        <v>126.01715484342925</v>
      </c>
    </row>
    <row r="3713" spans="1:9" x14ac:dyDescent="0.45">
      <c r="A3713" t="s">
        <v>46</v>
      </c>
      <c r="B3713" t="s">
        <v>61</v>
      </c>
      <c r="C3713" t="str">
        <f t="shared" si="114"/>
        <v>Mount St. Mary'sTexas</v>
      </c>
      <c r="D3713" t="s">
        <v>61</v>
      </c>
      <c r="E3713">
        <v>2.4</v>
      </c>
      <c r="F3713" s="1">
        <v>24.2415094339623</v>
      </c>
      <c r="G3713" s="2">
        <v>4037.29442681726</v>
      </c>
      <c r="H3713" s="1">
        <v>139.17224235523901</v>
      </c>
      <c r="I3713" s="1">
        <f t="shared" si="115"/>
        <v>144.31755362888802</v>
      </c>
    </row>
    <row r="3714" spans="1:9" x14ac:dyDescent="0.45">
      <c r="A3714" t="s">
        <v>47</v>
      </c>
      <c r="B3714" t="s">
        <v>61</v>
      </c>
      <c r="C3714" t="str">
        <f t="shared" si="114"/>
        <v>Nebraska OmahaTexas</v>
      </c>
      <c r="D3714" t="s">
        <v>61</v>
      </c>
      <c r="E3714">
        <v>3.3</v>
      </c>
      <c r="F3714" s="1">
        <v>22.052830188679199</v>
      </c>
      <c r="G3714" s="2">
        <v>2890.5993513531998</v>
      </c>
      <c r="H3714" s="1">
        <v>138.59001848734201</v>
      </c>
      <c r="I3714" s="1">
        <f t="shared" si="115"/>
        <v>136.14213166554444</v>
      </c>
    </row>
    <row r="3715" spans="1:9" x14ac:dyDescent="0.45">
      <c r="A3715" t="s">
        <v>48</v>
      </c>
      <c r="B3715" t="s">
        <v>61</v>
      </c>
      <c r="C3715" t="str">
        <f t="shared" ref="C3715:C3778" si="116">A3715&amp;B3715</f>
        <v>New MexicoTexas</v>
      </c>
      <c r="D3715" t="s">
        <v>61</v>
      </c>
      <c r="E3715">
        <v>45.4</v>
      </c>
      <c r="F3715" s="1">
        <v>1.22264150943396</v>
      </c>
      <c r="G3715" s="2">
        <v>120.47715606597799</v>
      </c>
      <c r="H3715" s="1">
        <v>139.36000841915899</v>
      </c>
      <c r="I3715" s="1">
        <f t="shared" ref="I3715:I3778" si="117">18*(H3715-AVERAGE($H$2:$H$4625))/_xlfn.STDEV.P($H$2:$H$4625)+AVERAGE($H$2:$H$4625)</f>
        <v>146.95411129610744</v>
      </c>
    </row>
    <row r="3716" spans="1:9" x14ac:dyDescent="0.45">
      <c r="A3716" t="s">
        <v>49</v>
      </c>
      <c r="B3716" t="s">
        <v>61</v>
      </c>
      <c r="C3716" t="str">
        <f t="shared" si="116"/>
        <v>Norfolk St.Texas</v>
      </c>
      <c r="D3716" t="s">
        <v>61</v>
      </c>
      <c r="E3716">
        <v>4.7</v>
      </c>
      <c r="F3716" s="1">
        <v>19.788679245282999</v>
      </c>
      <c r="G3716" s="2">
        <v>2046.1386760118201</v>
      </c>
      <c r="H3716" s="1">
        <v>138.396134183123</v>
      </c>
      <c r="I3716" s="1">
        <f t="shared" si="117"/>
        <v>133.41966340812817</v>
      </c>
    </row>
    <row r="3717" spans="1:9" x14ac:dyDescent="0.45">
      <c r="A3717" t="s">
        <v>50</v>
      </c>
      <c r="B3717" t="s">
        <v>61</v>
      </c>
      <c r="C3717" t="str">
        <f t="shared" si="116"/>
        <v>North CarolinaTexas</v>
      </c>
      <c r="D3717" t="s">
        <v>50</v>
      </c>
      <c r="E3717">
        <v>73.900000000000006</v>
      </c>
      <c r="F3717" s="1">
        <v>-6.8301886792452802</v>
      </c>
      <c r="G3717" s="2">
        <v>-283.43422942595998</v>
      </c>
      <c r="H3717" s="1">
        <v>140.469740137592</v>
      </c>
      <c r="I3717" s="1">
        <f t="shared" si="117"/>
        <v>162.53664846873545</v>
      </c>
    </row>
    <row r="3718" spans="1:9" x14ac:dyDescent="0.45">
      <c r="A3718" t="s">
        <v>51</v>
      </c>
      <c r="B3718" t="s">
        <v>61</v>
      </c>
      <c r="C3718" t="str">
        <f t="shared" si="116"/>
        <v>OklahomaTexas</v>
      </c>
      <c r="D3718" t="s">
        <v>61</v>
      </c>
      <c r="E3718">
        <v>49.8</v>
      </c>
      <c r="F3718" s="1">
        <v>5.2830188679245299E-2</v>
      </c>
      <c r="G3718" s="2">
        <v>100.814946154504</v>
      </c>
      <c r="H3718" s="1">
        <v>138.89336326376699</v>
      </c>
      <c r="I3718" s="1">
        <f t="shared" si="117"/>
        <v>140.40161274214134</v>
      </c>
    </row>
    <row r="3719" spans="1:9" x14ac:dyDescent="0.45">
      <c r="A3719" t="s">
        <v>52</v>
      </c>
      <c r="B3719" t="s">
        <v>61</v>
      </c>
      <c r="C3719" t="str">
        <f t="shared" si="116"/>
        <v>OregonTexas</v>
      </c>
      <c r="D3719" t="s">
        <v>52</v>
      </c>
      <c r="E3719">
        <v>73.599999999999994</v>
      </c>
      <c r="F3719" s="1">
        <v>-6.7132075471698096</v>
      </c>
      <c r="G3719" s="2">
        <v>-278.44621791698103</v>
      </c>
      <c r="H3719" s="1">
        <v>139.18408065529599</v>
      </c>
      <c r="I3719" s="1">
        <f t="shared" si="117"/>
        <v>144.48378367136988</v>
      </c>
    </row>
    <row r="3720" spans="1:9" x14ac:dyDescent="0.45">
      <c r="A3720" t="s">
        <v>53</v>
      </c>
      <c r="B3720" t="s">
        <v>61</v>
      </c>
      <c r="C3720" t="str">
        <f t="shared" si="116"/>
        <v>PurdueTexas</v>
      </c>
      <c r="D3720" t="s">
        <v>53</v>
      </c>
      <c r="E3720">
        <v>94</v>
      </c>
      <c r="F3720" s="1">
        <v>-18.086792452830199</v>
      </c>
      <c r="G3720" s="2">
        <v>-1578.1233410345201</v>
      </c>
      <c r="H3720" s="1">
        <v>140.67216785509399</v>
      </c>
      <c r="I3720" s="1">
        <f t="shared" si="117"/>
        <v>165.37908090564827</v>
      </c>
    </row>
    <row r="3721" spans="1:9" x14ac:dyDescent="0.45">
      <c r="A3721" t="s">
        <v>54</v>
      </c>
      <c r="B3721" t="s">
        <v>61</v>
      </c>
      <c r="C3721" t="str">
        <f t="shared" si="116"/>
        <v>Robert MorrisTexas</v>
      </c>
      <c r="D3721" t="s">
        <v>61</v>
      </c>
      <c r="E3721">
        <v>1.9</v>
      </c>
      <c r="F3721" s="1">
        <v>25.803773584905699</v>
      </c>
      <c r="G3721" s="2">
        <v>5122.6414257997203</v>
      </c>
      <c r="H3721" s="1">
        <v>137.755133183781</v>
      </c>
      <c r="I3721" s="1">
        <f t="shared" si="117"/>
        <v>124.41890968177488</v>
      </c>
    </row>
    <row r="3722" spans="1:9" x14ac:dyDescent="0.45">
      <c r="A3722" t="s">
        <v>55</v>
      </c>
      <c r="B3722" t="s">
        <v>61</v>
      </c>
      <c r="C3722" t="str">
        <f t="shared" si="116"/>
        <v>Saint FrancisTexas</v>
      </c>
      <c r="D3722" t="s">
        <v>61</v>
      </c>
      <c r="E3722">
        <v>1.2</v>
      </c>
      <c r="F3722" s="1">
        <v>29.166037735849098</v>
      </c>
      <c r="G3722" s="2">
        <v>8556.1059086681798</v>
      </c>
      <c r="H3722" s="1">
        <v>138.46198106582401</v>
      </c>
      <c r="I3722" s="1">
        <f t="shared" si="117"/>
        <v>134.34426660757444</v>
      </c>
    </row>
    <row r="3723" spans="1:9" x14ac:dyDescent="0.45">
      <c r="A3723" t="s">
        <v>56</v>
      </c>
      <c r="B3723" t="s">
        <v>61</v>
      </c>
      <c r="C3723" t="str">
        <f t="shared" si="116"/>
        <v>Saint Mary'sTexas</v>
      </c>
      <c r="D3723" t="s">
        <v>56</v>
      </c>
      <c r="E3723">
        <v>73.099999999999994</v>
      </c>
      <c r="F3723" s="1">
        <v>-6.5698113207547202</v>
      </c>
      <c r="G3723" s="2">
        <v>-272.38803282586002</v>
      </c>
      <c r="H3723" s="1">
        <v>140.191187181766</v>
      </c>
      <c r="I3723" s="1">
        <f t="shared" si="117"/>
        <v>158.62528708597429</v>
      </c>
    </row>
    <row r="3724" spans="1:9" x14ac:dyDescent="0.45">
      <c r="A3724" t="s">
        <v>57</v>
      </c>
      <c r="B3724" t="s">
        <v>61</v>
      </c>
      <c r="C3724" t="str">
        <f t="shared" si="116"/>
        <v>San Diego St.Texas</v>
      </c>
      <c r="D3724" t="s">
        <v>61</v>
      </c>
      <c r="E3724">
        <v>45.8</v>
      </c>
      <c r="F3724" s="1">
        <v>1.1056603773584901</v>
      </c>
      <c r="G3724" s="2">
        <v>118.36179500806399</v>
      </c>
      <c r="H3724" s="1">
        <v>139.40588634479499</v>
      </c>
      <c r="I3724" s="1">
        <f t="shared" si="117"/>
        <v>147.59831607979658</v>
      </c>
    </row>
    <row r="3725" spans="1:9" x14ac:dyDescent="0.45">
      <c r="A3725" t="s">
        <v>58</v>
      </c>
      <c r="B3725" t="s">
        <v>61</v>
      </c>
      <c r="C3725" t="str">
        <f t="shared" si="116"/>
        <v>SIU EdwardsvilleTexas</v>
      </c>
      <c r="D3725" t="s">
        <v>61</v>
      </c>
      <c r="E3725">
        <v>3.9</v>
      </c>
      <c r="F3725" s="1">
        <v>21.079245283018899</v>
      </c>
      <c r="G3725" s="2">
        <v>2491.6774523591798</v>
      </c>
      <c r="H3725" s="1">
        <v>139.465144524979</v>
      </c>
      <c r="I3725" s="1">
        <f t="shared" si="117"/>
        <v>148.43040259238487</v>
      </c>
    </row>
    <row r="3726" spans="1:9" x14ac:dyDescent="0.45">
      <c r="A3726" t="s">
        <v>59</v>
      </c>
      <c r="B3726" t="s">
        <v>61</v>
      </c>
      <c r="C3726" t="str">
        <f t="shared" si="116"/>
        <v>St. John'sTexas</v>
      </c>
      <c r="D3726" t="s">
        <v>59</v>
      </c>
      <c r="E3726">
        <v>88.8</v>
      </c>
      <c r="F3726" s="1">
        <v>-13.550943396226399</v>
      </c>
      <c r="G3726" s="2">
        <v>-790.38314910958195</v>
      </c>
      <c r="H3726" s="1">
        <v>140.284600973533</v>
      </c>
      <c r="I3726" s="1">
        <f t="shared" si="117"/>
        <v>159.9369769822502</v>
      </c>
    </row>
    <row r="3727" spans="1:9" x14ac:dyDescent="0.45">
      <c r="A3727" t="s">
        <v>60</v>
      </c>
      <c r="B3727" t="s">
        <v>61</v>
      </c>
      <c r="C3727" t="str">
        <f t="shared" si="116"/>
        <v>TennesseeTexas</v>
      </c>
      <c r="D3727" t="s">
        <v>60</v>
      </c>
      <c r="E3727">
        <v>94.6</v>
      </c>
      <c r="F3727" s="1">
        <v>-18.769811320754702</v>
      </c>
      <c r="G3727" s="2">
        <v>-1751.43960090107</v>
      </c>
      <c r="H3727" s="1">
        <v>141.077833347667</v>
      </c>
      <c r="I3727" s="1">
        <f t="shared" si="117"/>
        <v>171.0753203774706</v>
      </c>
    </row>
    <row r="3728" spans="1:9" x14ac:dyDescent="0.45">
      <c r="A3728" t="s">
        <v>61</v>
      </c>
      <c r="B3728" t="s">
        <v>61</v>
      </c>
      <c r="C3728" t="str">
        <f t="shared" si="116"/>
        <v>TexasTexas</v>
      </c>
      <c r="D3728" t="s">
        <v>61</v>
      </c>
      <c r="E3728">
        <v>41.2</v>
      </c>
      <c r="F3728" s="1">
        <v>2.3283018867924499</v>
      </c>
      <c r="G3728" s="2">
        <v>142.64273539779199</v>
      </c>
      <c r="H3728" s="1">
        <v>138.77771517530499</v>
      </c>
      <c r="I3728" s="1">
        <f t="shared" si="117"/>
        <v>138.77771517530684</v>
      </c>
    </row>
    <row r="3729" spans="1:9" x14ac:dyDescent="0.45">
      <c r="A3729" t="s">
        <v>62</v>
      </c>
      <c r="B3729" t="s">
        <v>61</v>
      </c>
      <c r="C3729" t="str">
        <f t="shared" si="116"/>
        <v>Texas A&amp;MTexas</v>
      </c>
      <c r="D3729" t="s">
        <v>62</v>
      </c>
      <c r="E3729">
        <v>80</v>
      </c>
      <c r="F3729" s="1">
        <v>-9.0716981132075496</v>
      </c>
      <c r="G3729" s="2">
        <v>-399.121038220966</v>
      </c>
      <c r="H3729" s="1">
        <v>139.56469048470299</v>
      </c>
      <c r="I3729" s="1">
        <f t="shared" si="117"/>
        <v>149.82819864706954</v>
      </c>
    </row>
    <row r="3730" spans="1:9" x14ac:dyDescent="0.45">
      <c r="A3730" t="s">
        <v>63</v>
      </c>
      <c r="B3730" t="s">
        <v>61</v>
      </c>
      <c r="C3730" t="str">
        <f t="shared" si="116"/>
        <v>Texas TechTexas</v>
      </c>
      <c r="D3730" t="s">
        <v>63</v>
      </c>
      <c r="E3730">
        <v>88.5</v>
      </c>
      <c r="F3730" s="1">
        <v>-13.4075471698113</v>
      </c>
      <c r="G3730" s="2">
        <v>-773.07221069291404</v>
      </c>
      <c r="H3730" s="1">
        <v>140.55520308994301</v>
      </c>
      <c r="I3730" s="1">
        <f t="shared" si="117"/>
        <v>163.73669493922165</v>
      </c>
    </row>
    <row r="3731" spans="1:9" x14ac:dyDescent="0.45">
      <c r="A3731" t="s">
        <v>64</v>
      </c>
      <c r="B3731" t="s">
        <v>61</v>
      </c>
      <c r="C3731" t="str">
        <f t="shared" si="116"/>
        <v>TroyTexas</v>
      </c>
      <c r="D3731" t="s">
        <v>61</v>
      </c>
      <c r="E3731">
        <v>10</v>
      </c>
      <c r="F3731" s="1">
        <v>14.4</v>
      </c>
      <c r="G3731" s="2">
        <v>899.74864611894805</v>
      </c>
      <c r="H3731" s="1">
        <v>139.321507684501</v>
      </c>
      <c r="I3731" s="1">
        <f t="shared" si="117"/>
        <v>146.41349492999265</v>
      </c>
    </row>
    <row r="3732" spans="1:9" x14ac:dyDescent="0.45">
      <c r="A3732" t="s">
        <v>65</v>
      </c>
      <c r="B3732" t="s">
        <v>61</v>
      </c>
      <c r="C3732" t="str">
        <f t="shared" si="116"/>
        <v>UC San DiegoTexas</v>
      </c>
      <c r="D3732" t="s">
        <v>61</v>
      </c>
      <c r="E3732">
        <v>22.2</v>
      </c>
      <c r="F3732" s="1">
        <v>8.2188679245283005</v>
      </c>
      <c r="G3732" s="2">
        <v>350.423553518083</v>
      </c>
      <c r="H3732" s="1">
        <v>139.39162791416399</v>
      </c>
      <c r="I3732" s="1">
        <f t="shared" si="117"/>
        <v>147.39810325210101</v>
      </c>
    </row>
    <row r="3733" spans="1:9" x14ac:dyDescent="0.45">
      <c r="A3733" t="s">
        <v>66</v>
      </c>
      <c r="B3733" t="s">
        <v>61</v>
      </c>
      <c r="C3733" t="str">
        <f t="shared" si="116"/>
        <v>UCLATexas</v>
      </c>
      <c r="D3733" t="s">
        <v>61</v>
      </c>
      <c r="E3733">
        <v>49.5</v>
      </c>
      <c r="F3733" s="1">
        <v>0.12075471698113199</v>
      </c>
      <c r="G3733" s="2">
        <v>101.836118502007</v>
      </c>
      <c r="H3733" s="1">
        <v>138.61288649337601</v>
      </c>
      <c r="I3733" s="1">
        <f t="shared" si="117"/>
        <v>136.4632377024088</v>
      </c>
    </row>
    <row r="3734" spans="1:9" x14ac:dyDescent="0.45">
      <c r="A3734" t="s">
        <v>67</v>
      </c>
      <c r="B3734" t="s">
        <v>61</v>
      </c>
      <c r="C3734" t="str">
        <f t="shared" si="116"/>
        <v>UNC WilmingtonTexas</v>
      </c>
      <c r="D3734" t="s">
        <v>61</v>
      </c>
      <c r="E3734">
        <v>14.2</v>
      </c>
      <c r="F3734" s="1">
        <v>11.811320754717</v>
      </c>
      <c r="G3734" s="2">
        <v>606.11674073362201</v>
      </c>
      <c r="H3734" s="1">
        <v>139.928296384829</v>
      </c>
      <c r="I3734" s="1">
        <f t="shared" si="117"/>
        <v>154.93384928387465</v>
      </c>
    </row>
    <row r="3735" spans="1:9" x14ac:dyDescent="0.45">
      <c r="A3735" t="s">
        <v>68</v>
      </c>
      <c r="B3735" t="s">
        <v>61</v>
      </c>
      <c r="C3735" t="str">
        <f t="shared" si="116"/>
        <v>Utah St.Texas</v>
      </c>
      <c r="D3735" t="s">
        <v>61</v>
      </c>
      <c r="E3735">
        <v>48.2</v>
      </c>
      <c r="F3735" s="1">
        <v>0.48301886792452797</v>
      </c>
      <c r="G3735" s="2">
        <v>107.675795965536</v>
      </c>
      <c r="H3735" s="1">
        <v>139.47548288340801</v>
      </c>
      <c r="I3735" s="1">
        <f t="shared" si="117"/>
        <v>148.57557088112358</v>
      </c>
    </row>
    <row r="3736" spans="1:9" x14ac:dyDescent="0.45">
      <c r="A3736" t="s">
        <v>69</v>
      </c>
      <c r="B3736" t="s">
        <v>61</v>
      </c>
      <c r="C3736" t="str">
        <f t="shared" si="116"/>
        <v>VanderbiltTexas</v>
      </c>
      <c r="D3736" t="s">
        <v>61</v>
      </c>
      <c r="E3736">
        <v>15.5</v>
      </c>
      <c r="F3736" s="1">
        <v>11.1320754716981</v>
      </c>
      <c r="G3736" s="2">
        <v>546.43317638688598</v>
      </c>
      <c r="H3736" s="1">
        <v>137.909520764691</v>
      </c>
      <c r="I3736" s="1">
        <f t="shared" si="117"/>
        <v>126.58677618370669</v>
      </c>
    </row>
    <row r="3737" spans="1:9" x14ac:dyDescent="0.45">
      <c r="A3737" t="s">
        <v>70</v>
      </c>
      <c r="B3737" t="s">
        <v>61</v>
      </c>
      <c r="C3737" t="str">
        <f t="shared" si="116"/>
        <v>VCUTexas</v>
      </c>
      <c r="D3737" t="s">
        <v>61</v>
      </c>
      <c r="E3737">
        <v>37</v>
      </c>
      <c r="F3737" s="1">
        <v>3.4867924528301901</v>
      </c>
      <c r="G3737" s="2">
        <v>170.22185128386801</v>
      </c>
      <c r="H3737" s="1">
        <v>139.83469389388401</v>
      </c>
      <c r="I3737" s="1">
        <f t="shared" si="117"/>
        <v>153.61950972740922</v>
      </c>
    </row>
    <row r="3738" spans="1:9" x14ac:dyDescent="0.45">
      <c r="A3738" t="s">
        <v>71</v>
      </c>
      <c r="B3738" t="s">
        <v>61</v>
      </c>
      <c r="C3738" t="str">
        <f t="shared" si="116"/>
        <v>WisconsinTexas</v>
      </c>
      <c r="D3738" t="s">
        <v>71</v>
      </c>
      <c r="E3738">
        <v>87</v>
      </c>
      <c r="F3738" s="1">
        <v>-12.4641509433962</v>
      </c>
      <c r="G3738" s="2">
        <v>-669.68462665485401</v>
      </c>
      <c r="H3738" s="1">
        <v>140.487949502216</v>
      </c>
      <c r="I3738" s="1">
        <f t="shared" si="117"/>
        <v>162.79233918787978</v>
      </c>
    </row>
    <row r="3739" spans="1:9" x14ac:dyDescent="0.45">
      <c r="A3739" t="s">
        <v>80</v>
      </c>
      <c r="B3739" t="s">
        <v>61</v>
      </c>
      <c r="C3739" t="str">
        <f t="shared" si="116"/>
        <v>WoffordTexas</v>
      </c>
      <c r="D3739" t="s">
        <v>61</v>
      </c>
      <c r="E3739">
        <v>5.4</v>
      </c>
      <c r="F3739" s="1">
        <v>18.7094339622641</v>
      </c>
      <c r="G3739" s="2">
        <v>1735.46457928121</v>
      </c>
      <c r="H3739" s="1">
        <v>138.58559793144201</v>
      </c>
      <c r="I3739" s="1">
        <f t="shared" si="117"/>
        <v>136.08005947684222</v>
      </c>
    </row>
    <row r="3740" spans="1:9" x14ac:dyDescent="0.45">
      <c r="A3740" t="s">
        <v>72</v>
      </c>
      <c r="B3740" t="s">
        <v>61</v>
      </c>
      <c r="C3740" t="str">
        <f t="shared" si="116"/>
        <v>XavierTexas</v>
      </c>
      <c r="D3740" t="s">
        <v>61</v>
      </c>
      <c r="E3740">
        <v>36.700000000000003</v>
      </c>
      <c r="F3740" s="1">
        <v>3.5584905660377402</v>
      </c>
      <c r="G3740" s="2">
        <v>172.13187317173501</v>
      </c>
      <c r="H3740" s="1">
        <v>139.32840010206399</v>
      </c>
      <c r="I3740" s="1">
        <f t="shared" si="117"/>
        <v>146.51027629714713</v>
      </c>
    </row>
    <row r="3741" spans="1:9" x14ac:dyDescent="0.45">
      <c r="A3741" t="s">
        <v>73</v>
      </c>
      <c r="B3741" t="s">
        <v>61</v>
      </c>
      <c r="C3741" t="str">
        <f t="shared" si="116"/>
        <v>YaleTexas</v>
      </c>
      <c r="D3741" t="s">
        <v>61</v>
      </c>
      <c r="E3741">
        <v>23.3</v>
      </c>
      <c r="F3741" s="1">
        <v>7.8113207547169798</v>
      </c>
      <c r="G3741" s="2">
        <v>329.15979737355502</v>
      </c>
      <c r="H3741" s="1">
        <v>139.92810623845801</v>
      </c>
      <c r="I3741" s="1">
        <f t="shared" si="117"/>
        <v>154.93117930261263</v>
      </c>
    </row>
    <row r="3742" spans="1:9" x14ac:dyDescent="0.45">
      <c r="A3742" t="s">
        <v>7</v>
      </c>
      <c r="B3742" t="s">
        <v>62</v>
      </c>
      <c r="C3742" t="str">
        <f t="shared" si="116"/>
        <v>AkronTexas A&amp;M</v>
      </c>
      <c r="D3742" t="s">
        <v>62</v>
      </c>
      <c r="E3742">
        <v>2.7</v>
      </c>
      <c r="F3742" s="1">
        <v>23.4754716981132</v>
      </c>
      <c r="G3742" s="2">
        <v>3591.1621307124801</v>
      </c>
      <c r="H3742" s="1">
        <v>137.95795798963999</v>
      </c>
      <c r="I3742" s="1">
        <f t="shared" si="117"/>
        <v>127.2669179204613</v>
      </c>
    </row>
    <row r="3743" spans="1:9" x14ac:dyDescent="0.45">
      <c r="A3743" t="s">
        <v>8</v>
      </c>
      <c r="B3743" t="s">
        <v>62</v>
      </c>
      <c r="C3743" t="str">
        <f t="shared" si="116"/>
        <v>AlabamaTexas A&amp;M</v>
      </c>
      <c r="D3743" t="s">
        <v>8</v>
      </c>
      <c r="E3743">
        <v>67.7</v>
      </c>
      <c r="F3743" s="1">
        <v>-4.86415094339623</v>
      </c>
      <c r="G3743" s="2">
        <v>-210.03694440977</v>
      </c>
      <c r="H3743" s="1">
        <v>139.76556917723499</v>
      </c>
      <c r="I3743" s="1">
        <f t="shared" si="117"/>
        <v>152.64888011591032</v>
      </c>
    </row>
    <row r="3744" spans="1:9" x14ac:dyDescent="0.45">
      <c r="A3744" t="s">
        <v>9</v>
      </c>
      <c r="B3744" t="s">
        <v>62</v>
      </c>
      <c r="C3744" t="str">
        <f t="shared" si="116"/>
        <v>Alabama St.Texas A&amp;M</v>
      </c>
      <c r="D3744" t="s">
        <v>62</v>
      </c>
      <c r="E3744">
        <v>0.4</v>
      </c>
      <c r="F3744" s="1">
        <v>35.792452830188701</v>
      </c>
      <c r="G3744" s="2">
        <v>23513.903431080402</v>
      </c>
      <c r="H3744" s="1">
        <v>138.14471974906101</v>
      </c>
      <c r="I3744" s="1">
        <f t="shared" si="117"/>
        <v>129.88937342953943</v>
      </c>
    </row>
    <row r="3745" spans="1:9" x14ac:dyDescent="0.45">
      <c r="A3745" t="s">
        <v>10</v>
      </c>
      <c r="B3745" t="s">
        <v>62</v>
      </c>
      <c r="C3745" t="str">
        <f t="shared" si="116"/>
        <v>AmericanTexas A&amp;M</v>
      </c>
      <c r="D3745" t="s">
        <v>62</v>
      </c>
      <c r="E3745">
        <v>0.5</v>
      </c>
      <c r="F3745" s="1">
        <v>35.037735849056602</v>
      </c>
      <c r="G3745" s="2">
        <v>20949.731447969101</v>
      </c>
      <c r="H3745" s="1">
        <v>137.90800926882301</v>
      </c>
      <c r="I3745" s="1">
        <f t="shared" si="117"/>
        <v>126.56555218861132</v>
      </c>
    </row>
    <row r="3746" spans="1:9" x14ac:dyDescent="0.45">
      <c r="A3746" t="s">
        <v>11</v>
      </c>
      <c r="B3746" t="s">
        <v>62</v>
      </c>
      <c r="C3746" t="str">
        <f t="shared" si="116"/>
        <v>ArizonaTexas A&amp;M</v>
      </c>
      <c r="D3746" t="s">
        <v>11</v>
      </c>
      <c r="E3746">
        <v>58</v>
      </c>
      <c r="F3746" s="1">
        <v>-2.1094339622641498</v>
      </c>
      <c r="G3746" s="2">
        <v>-137.95629071924901</v>
      </c>
      <c r="H3746" s="1">
        <v>139.37604851741199</v>
      </c>
      <c r="I3746" s="1">
        <f t="shared" si="117"/>
        <v>147.17934179382894</v>
      </c>
    </row>
    <row r="3747" spans="1:9" x14ac:dyDescent="0.45">
      <c r="A3747" t="s">
        <v>12</v>
      </c>
      <c r="B3747" t="s">
        <v>62</v>
      </c>
      <c r="C3747" t="str">
        <f t="shared" si="116"/>
        <v>ArkansasTexas A&amp;M</v>
      </c>
      <c r="D3747" t="s">
        <v>62</v>
      </c>
      <c r="E3747">
        <v>8.1999999999999993</v>
      </c>
      <c r="F3747" s="1">
        <v>15.792452830188701</v>
      </c>
      <c r="G3747" s="2">
        <v>1112.1365021357301</v>
      </c>
      <c r="H3747" s="1">
        <v>137.70197249520101</v>
      </c>
      <c r="I3747" s="1">
        <f t="shared" si="117"/>
        <v>123.67244241210906</v>
      </c>
    </row>
    <row r="3748" spans="1:9" x14ac:dyDescent="0.45">
      <c r="A3748" t="s">
        <v>13</v>
      </c>
      <c r="B3748" t="s">
        <v>62</v>
      </c>
      <c r="C3748" t="str">
        <f t="shared" si="116"/>
        <v>AuburnTexas A&amp;M</v>
      </c>
      <c r="D3748" t="s">
        <v>13</v>
      </c>
      <c r="E3748">
        <v>80.5</v>
      </c>
      <c r="F3748" s="1">
        <v>-9.3056603773584907</v>
      </c>
      <c r="G3748" s="2">
        <v>-413.434024212655</v>
      </c>
      <c r="H3748" s="1">
        <v>140.78778541058799</v>
      </c>
      <c r="I3748" s="1">
        <f t="shared" si="117"/>
        <v>167.00254973723</v>
      </c>
    </row>
    <row r="3749" spans="1:9" x14ac:dyDescent="0.45">
      <c r="A3749" t="s">
        <v>14</v>
      </c>
      <c r="B3749" t="s">
        <v>62</v>
      </c>
      <c r="C3749" t="str">
        <f t="shared" si="116"/>
        <v>BaylorTexas A&amp;M</v>
      </c>
      <c r="D3749" t="s">
        <v>62</v>
      </c>
      <c r="E3749">
        <v>29.4</v>
      </c>
      <c r="F3749" s="1">
        <v>5.74339622641509</v>
      </c>
      <c r="G3749" s="2">
        <v>240.19058987780201</v>
      </c>
      <c r="H3749" s="1">
        <v>139.250702771768</v>
      </c>
      <c r="I3749" s="1">
        <f t="shared" si="117"/>
        <v>145.41927248294525</v>
      </c>
    </row>
    <row r="3750" spans="1:9" x14ac:dyDescent="0.45">
      <c r="A3750" t="s">
        <v>15</v>
      </c>
      <c r="B3750" t="s">
        <v>62</v>
      </c>
      <c r="C3750" t="str">
        <f t="shared" si="116"/>
        <v>BryantTexas A&amp;M</v>
      </c>
      <c r="D3750" t="s">
        <v>62</v>
      </c>
      <c r="E3750">
        <v>1.9</v>
      </c>
      <c r="F3750" s="1">
        <v>25.8150943396226</v>
      </c>
      <c r="G3750" s="2">
        <v>5131.7772795272504</v>
      </c>
      <c r="H3750" s="1">
        <v>138.84302264741399</v>
      </c>
      <c r="I3750" s="1">
        <f t="shared" si="117"/>
        <v>139.69474412463327</v>
      </c>
    </row>
    <row r="3751" spans="1:9" x14ac:dyDescent="0.45">
      <c r="A3751" t="s">
        <v>16</v>
      </c>
      <c r="B3751" t="s">
        <v>62</v>
      </c>
      <c r="C3751" t="str">
        <f t="shared" si="116"/>
        <v>BYUTexas A&amp;M</v>
      </c>
      <c r="D3751" t="s">
        <v>62</v>
      </c>
      <c r="E3751">
        <v>33</v>
      </c>
      <c r="F3751" s="1">
        <v>4.6490566037735803</v>
      </c>
      <c r="G3751" s="2">
        <v>203.257344175615</v>
      </c>
      <c r="H3751" s="1">
        <v>139.013063321857</v>
      </c>
      <c r="I3751" s="1">
        <f t="shared" si="117"/>
        <v>142.08240691407616</v>
      </c>
    </row>
    <row r="3752" spans="1:9" x14ac:dyDescent="0.45">
      <c r="A3752" t="s">
        <v>17</v>
      </c>
      <c r="B3752" t="s">
        <v>62</v>
      </c>
      <c r="C3752" t="str">
        <f t="shared" si="116"/>
        <v>ClemsonTexas A&amp;M</v>
      </c>
      <c r="D3752" t="s">
        <v>62</v>
      </c>
      <c r="E3752">
        <v>40.799999999999997</v>
      </c>
      <c r="F3752" s="1">
        <v>2.44528301886792</v>
      </c>
      <c r="G3752" s="2">
        <v>145.212860609628</v>
      </c>
      <c r="H3752" s="1">
        <v>139.36311354429901</v>
      </c>
      <c r="I3752" s="1">
        <f t="shared" si="117"/>
        <v>146.99771258019834</v>
      </c>
    </row>
    <row r="3753" spans="1:9" x14ac:dyDescent="0.45">
      <c r="A3753" t="s">
        <v>18</v>
      </c>
      <c r="B3753" t="s">
        <v>62</v>
      </c>
      <c r="C3753" t="str">
        <f t="shared" si="116"/>
        <v>Colorado St.Texas A&amp;M</v>
      </c>
      <c r="D3753" t="s">
        <v>62</v>
      </c>
      <c r="E3753">
        <v>10.199999999999999</v>
      </c>
      <c r="F3753" s="1">
        <v>14.2264150943396</v>
      </c>
      <c r="G3753" s="2">
        <v>876.13086003986598</v>
      </c>
      <c r="H3753" s="1">
        <v>138.75272451909399</v>
      </c>
      <c r="I3753" s="1">
        <f t="shared" si="117"/>
        <v>138.42680348835768</v>
      </c>
    </row>
    <row r="3754" spans="1:9" x14ac:dyDescent="0.45">
      <c r="A3754" t="s">
        <v>19</v>
      </c>
      <c r="B3754" t="s">
        <v>62</v>
      </c>
      <c r="C3754" t="str">
        <f t="shared" si="116"/>
        <v>ConnecticutTexas A&amp;M</v>
      </c>
      <c r="D3754" t="s">
        <v>19</v>
      </c>
      <c r="E3754">
        <v>51.7</v>
      </c>
      <c r="F3754" s="1">
        <v>-0.44905660377358497</v>
      </c>
      <c r="G3754" s="2">
        <v>-107.073314708683</v>
      </c>
      <c r="H3754" s="1">
        <v>139.16336437504799</v>
      </c>
      <c r="I3754" s="1">
        <f t="shared" si="117"/>
        <v>144.1928915560226</v>
      </c>
    </row>
    <row r="3755" spans="1:9" x14ac:dyDescent="0.45">
      <c r="A3755" t="s">
        <v>20</v>
      </c>
      <c r="B3755" t="s">
        <v>62</v>
      </c>
      <c r="C3755" t="str">
        <f t="shared" si="116"/>
        <v>CreightonTexas A&amp;M</v>
      </c>
      <c r="D3755" t="s">
        <v>62</v>
      </c>
      <c r="E3755">
        <v>24.8</v>
      </c>
      <c r="F3755" s="1">
        <v>7.2603773584905698</v>
      </c>
      <c r="G3755" s="2">
        <v>302.65748050552702</v>
      </c>
      <c r="H3755" s="1">
        <v>138.71266112788601</v>
      </c>
      <c r="I3755" s="1">
        <f t="shared" si="117"/>
        <v>137.86424474340137</v>
      </c>
    </row>
    <row r="3756" spans="1:9" x14ac:dyDescent="0.45">
      <c r="A3756" t="s">
        <v>21</v>
      </c>
      <c r="B3756" t="s">
        <v>62</v>
      </c>
      <c r="C3756" t="str">
        <f t="shared" si="116"/>
        <v>DrakeTexas A&amp;M</v>
      </c>
      <c r="D3756" t="s">
        <v>62</v>
      </c>
      <c r="E3756">
        <v>10</v>
      </c>
      <c r="F3756" s="1">
        <v>14.4339622641509</v>
      </c>
      <c r="G3756" s="2">
        <v>903.938961816139</v>
      </c>
      <c r="H3756" s="1">
        <v>138.94733693356099</v>
      </c>
      <c r="I3756" s="1">
        <f t="shared" si="117"/>
        <v>141.15949566279517</v>
      </c>
    </row>
    <row r="3757" spans="1:9" x14ac:dyDescent="0.45">
      <c r="A3757" t="s">
        <v>22</v>
      </c>
      <c r="B3757" t="s">
        <v>62</v>
      </c>
      <c r="C3757" t="str">
        <f t="shared" si="116"/>
        <v>DukeTexas A&amp;M</v>
      </c>
      <c r="D3757" t="s">
        <v>22</v>
      </c>
      <c r="E3757">
        <v>85.3</v>
      </c>
      <c r="F3757" s="1">
        <v>-11.5169811320755</v>
      </c>
      <c r="G3757" s="2">
        <v>-579.57990600207302</v>
      </c>
      <c r="H3757" s="1">
        <v>141.02767682216401</v>
      </c>
      <c r="I3757" s="1">
        <f t="shared" si="117"/>
        <v>170.37103671132135</v>
      </c>
    </row>
    <row r="3758" spans="1:9" x14ac:dyDescent="0.45">
      <c r="A3758" t="s">
        <v>23</v>
      </c>
      <c r="B3758" t="s">
        <v>62</v>
      </c>
      <c r="C3758" t="str">
        <f t="shared" si="116"/>
        <v>FloridaTexas A&amp;M</v>
      </c>
      <c r="D3758" t="s">
        <v>23</v>
      </c>
      <c r="E3758">
        <v>76.3</v>
      </c>
      <c r="F3758" s="1">
        <v>-7.6603773584905701</v>
      </c>
      <c r="G3758" s="2">
        <v>-321.79638421918401</v>
      </c>
      <c r="H3758" s="1">
        <v>140.76232734971799</v>
      </c>
      <c r="I3758" s="1">
        <f t="shared" si="117"/>
        <v>166.64507488699334</v>
      </c>
    </row>
    <row r="3759" spans="1:9" x14ac:dyDescent="0.45">
      <c r="A3759" t="s">
        <v>24</v>
      </c>
      <c r="B3759" t="s">
        <v>62</v>
      </c>
      <c r="C3759" t="str">
        <f t="shared" si="116"/>
        <v>GeorgiaTexas A&amp;M</v>
      </c>
      <c r="D3759" t="s">
        <v>62</v>
      </c>
      <c r="E3759">
        <v>11.5</v>
      </c>
      <c r="F3759" s="1">
        <v>13.4</v>
      </c>
      <c r="G3759" s="2">
        <v>772.20810924530394</v>
      </c>
      <c r="H3759" s="1">
        <v>138.026285646003</v>
      </c>
      <c r="I3759" s="1">
        <f t="shared" si="117"/>
        <v>128.22635543811518</v>
      </c>
    </row>
    <row r="3760" spans="1:9" x14ac:dyDescent="0.45">
      <c r="A3760" t="s">
        <v>25</v>
      </c>
      <c r="B3760" t="s">
        <v>62</v>
      </c>
      <c r="C3760" t="str">
        <f t="shared" si="116"/>
        <v>GonzagaTexas A&amp;M</v>
      </c>
      <c r="D3760" t="s">
        <v>62</v>
      </c>
      <c r="E3760">
        <v>39.6</v>
      </c>
      <c r="F3760" s="1">
        <v>2.7698113207547199</v>
      </c>
      <c r="G3760" s="2">
        <v>152.579263894576</v>
      </c>
      <c r="H3760" s="1">
        <v>140.00324737650899</v>
      </c>
      <c r="I3760" s="1">
        <f t="shared" si="117"/>
        <v>155.98628979231398</v>
      </c>
    </row>
    <row r="3761" spans="1:9" x14ac:dyDescent="0.45">
      <c r="A3761" t="s">
        <v>26</v>
      </c>
      <c r="B3761" t="s">
        <v>62</v>
      </c>
      <c r="C3761" t="str">
        <f t="shared" si="116"/>
        <v>Grand CanyonTexas A&amp;M</v>
      </c>
      <c r="D3761" t="s">
        <v>62</v>
      </c>
      <c r="E3761">
        <v>6.6</v>
      </c>
      <c r="F3761" s="1">
        <v>17.320754716981099</v>
      </c>
      <c r="G3761" s="2">
        <v>1404.3467396076301</v>
      </c>
      <c r="H3761" s="1">
        <v>138.82121909404799</v>
      </c>
      <c r="I3761" s="1">
        <f t="shared" si="117"/>
        <v>139.38858482939315</v>
      </c>
    </row>
    <row r="3762" spans="1:9" x14ac:dyDescent="0.45">
      <c r="A3762" t="s">
        <v>27</v>
      </c>
      <c r="B3762" t="s">
        <v>62</v>
      </c>
      <c r="C3762" t="str">
        <f t="shared" si="116"/>
        <v>High PointTexas A&amp;M</v>
      </c>
      <c r="D3762" t="s">
        <v>62</v>
      </c>
      <c r="E3762">
        <v>4.3</v>
      </c>
      <c r="F3762" s="1">
        <v>20.411320754717</v>
      </c>
      <c r="G3762" s="2">
        <v>2249.8647507954001</v>
      </c>
      <c r="H3762" s="1">
        <v>139.01242622759599</v>
      </c>
      <c r="I3762" s="1">
        <f t="shared" si="117"/>
        <v>142.07346101765836</v>
      </c>
    </row>
    <row r="3763" spans="1:9" x14ac:dyDescent="0.45">
      <c r="A3763" t="s">
        <v>28</v>
      </c>
      <c r="B3763" t="s">
        <v>62</v>
      </c>
      <c r="C3763" t="str">
        <f t="shared" si="116"/>
        <v>HoustonTexas A&amp;M</v>
      </c>
      <c r="D3763" t="s">
        <v>28</v>
      </c>
      <c r="E3763">
        <v>90.6</v>
      </c>
      <c r="F3763" s="1">
        <v>-14.871698113207501</v>
      </c>
      <c r="G3763" s="2">
        <v>-966.81522453199898</v>
      </c>
      <c r="H3763" s="1">
        <v>141.12588858480001</v>
      </c>
      <c r="I3763" s="1">
        <f t="shared" si="117"/>
        <v>171.7500983499539</v>
      </c>
    </row>
    <row r="3764" spans="1:9" x14ac:dyDescent="0.45">
      <c r="A3764" t="s">
        <v>29</v>
      </c>
      <c r="B3764" t="s">
        <v>62</v>
      </c>
      <c r="C3764" t="str">
        <f t="shared" si="116"/>
        <v>IllinoisTexas A&amp;M</v>
      </c>
      <c r="D3764" t="s">
        <v>62</v>
      </c>
      <c r="E3764">
        <v>48.8</v>
      </c>
      <c r="F3764" s="1">
        <v>0.31320754716981097</v>
      </c>
      <c r="G3764" s="2">
        <v>104.922854961933</v>
      </c>
      <c r="H3764" s="1">
        <v>139.18435235976099</v>
      </c>
      <c r="I3764" s="1">
        <f t="shared" si="117"/>
        <v>144.48759886819235</v>
      </c>
    </row>
    <row r="3765" spans="1:9" x14ac:dyDescent="0.45">
      <c r="A3765" t="s">
        <v>30</v>
      </c>
      <c r="B3765" t="s">
        <v>62</v>
      </c>
      <c r="C3765" t="str">
        <f t="shared" si="116"/>
        <v>Iowa St.Texas A&amp;M</v>
      </c>
      <c r="D3765" t="s">
        <v>30</v>
      </c>
      <c r="E3765">
        <v>66.7</v>
      </c>
      <c r="F3765" s="1">
        <v>-4.5471698113207504</v>
      </c>
      <c r="G3765" s="2">
        <v>-200.071837129746</v>
      </c>
      <c r="H3765" s="1">
        <v>140.08089465134699</v>
      </c>
      <c r="I3765" s="1">
        <f t="shared" si="117"/>
        <v>157.07659074201098</v>
      </c>
    </row>
    <row r="3766" spans="1:9" x14ac:dyDescent="0.45">
      <c r="A3766" t="s">
        <v>31</v>
      </c>
      <c r="B3766" t="s">
        <v>62</v>
      </c>
      <c r="C3766" t="str">
        <f t="shared" si="116"/>
        <v>KansasTexas A&amp;M</v>
      </c>
      <c r="D3766" t="s">
        <v>62</v>
      </c>
      <c r="E3766">
        <v>38.1</v>
      </c>
      <c r="F3766" s="1">
        <v>3.1698113207547198</v>
      </c>
      <c r="G3766" s="2">
        <v>162.18660233833299</v>
      </c>
      <c r="H3766" s="1">
        <v>139.13148254020101</v>
      </c>
      <c r="I3766" s="1">
        <f t="shared" si="117"/>
        <v>143.74521589857972</v>
      </c>
    </row>
    <row r="3767" spans="1:9" x14ac:dyDescent="0.45">
      <c r="A3767" t="s">
        <v>32</v>
      </c>
      <c r="B3767" t="s">
        <v>62</v>
      </c>
      <c r="C3767" t="str">
        <f t="shared" si="116"/>
        <v>KentuckyTexas A&amp;M</v>
      </c>
      <c r="D3767" t="s">
        <v>32</v>
      </c>
      <c r="E3767">
        <v>50.7</v>
      </c>
      <c r="F3767" s="1">
        <v>-0.19245283018867901</v>
      </c>
      <c r="G3767" s="2">
        <v>-103.00800283468099</v>
      </c>
      <c r="H3767" s="1">
        <v>139.06576487232601</v>
      </c>
      <c r="I3767" s="1">
        <f t="shared" si="117"/>
        <v>142.82242709697053</v>
      </c>
    </row>
    <row r="3768" spans="1:9" x14ac:dyDescent="0.45">
      <c r="A3768" t="s">
        <v>33</v>
      </c>
      <c r="B3768" t="s">
        <v>62</v>
      </c>
      <c r="C3768" t="str">
        <f t="shared" si="116"/>
        <v>LibertyTexas A&amp;M</v>
      </c>
      <c r="D3768" t="s">
        <v>62</v>
      </c>
      <c r="E3768">
        <v>3</v>
      </c>
      <c r="F3768" s="1">
        <v>22.792452830188701</v>
      </c>
      <c r="G3768" s="2">
        <v>3235.6158038274302</v>
      </c>
      <c r="H3768" s="1">
        <v>138.410765916044</v>
      </c>
      <c r="I3768" s="1">
        <f t="shared" si="117"/>
        <v>133.62511804040943</v>
      </c>
    </row>
    <row r="3769" spans="1:9" x14ac:dyDescent="0.45">
      <c r="A3769" t="s">
        <v>34</v>
      </c>
      <c r="B3769" t="s">
        <v>62</v>
      </c>
      <c r="C3769" t="str">
        <f t="shared" si="116"/>
        <v>LipscombTexas A&amp;M</v>
      </c>
      <c r="D3769" t="s">
        <v>62</v>
      </c>
      <c r="E3769">
        <v>2.2999999999999998</v>
      </c>
      <c r="F3769" s="1">
        <v>24.656603773584902</v>
      </c>
      <c r="G3769" s="2">
        <v>4300.8594336317801</v>
      </c>
      <c r="H3769" s="1">
        <v>138.81708411363601</v>
      </c>
      <c r="I3769" s="1">
        <f t="shared" si="117"/>
        <v>139.33052261047354</v>
      </c>
    </row>
    <row r="3770" spans="1:9" x14ac:dyDescent="0.45">
      <c r="A3770" t="s">
        <v>35</v>
      </c>
      <c r="B3770" t="s">
        <v>62</v>
      </c>
      <c r="C3770" t="str">
        <f t="shared" si="116"/>
        <v>LouisvilleTexas A&amp;M</v>
      </c>
      <c r="D3770" t="s">
        <v>62</v>
      </c>
      <c r="E3770">
        <v>5.5</v>
      </c>
      <c r="F3770" s="1">
        <v>18.607547169811301</v>
      </c>
      <c r="G3770" s="2">
        <v>1709.2965402187499</v>
      </c>
      <c r="H3770" s="1">
        <v>138.062446119453</v>
      </c>
      <c r="I3770" s="1">
        <f t="shared" si="117"/>
        <v>128.73411052193853</v>
      </c>
    </row>
    <row r="3771" spans="1:9" x14ac:dyDescent="0.45">
      <c r="A3771" t="s">
        <v>36</v>
      </c>
      <c r="B3771" t="s">
        <v>62</v>
      </c>
      <c r="C3771" t="str">
        <f t="shared" si="116"/>
        <v>MarquetteTexas A&amp;M</v>
      </c>
      <c r="D3771" t="s">
        <v>62</v>
      </c>
      <c r="E3771">
        <v>44.2</v>
      </c>
      <c r="F3771" s="1">
        <v>1.5396226415094301</v>
      </c>
      <c r="G3771" s="2">
        <v>126.495220416265</v>
      </c>
      <c r="H3771" s="1">
        <v>139.324579962916</v>
      </c>
      <c r="I3771" s="1">
        <f t="shared" si="117"/>
        <v>146.45663498971274</v>
      </c>
    </row>
    <row r="3772" spans="1:9" x14ac:dyDescent="0.45">
      <c r="A3772" t="s">
        <v>37</v>
      </c>
      <c r="B3772" t="s">
        <v>62</v>
      </c>
      <c r="C3772" t="str">
        <f t="shared" si="116"/>
        <v>MarylandTexas A&amp;M</v>
      </c>
      <c r="D3772" t="s">
        <v>62</v>
      </c>
      <c r="E3772">
        <v>32.799999999999997</v>
      </c>
      <c r="F3772" s="1">
        <v>4.7094339622641499</v>
      </c>
      <c r="G3772" s="2">
        <v>205.07274647675999</v>
      </c>
      <c r="H3772" s="1">
        <v>138.782949561458</v>
      </c>
      <c r="I3772" s="1">
        <f t="shared" si="117"/>
        <v>138.85121493696121</v>
      </c>
    </row>
    <row r="3773" spans="1:9" x14ac:dyDescent="0.45">
      <c r="A3773" t="s">
        <v>38</v>
      </c>
      <c r="B3773" t="s">
        <v>62</v>
      </c>
      <c r="C3773" t="str">
        <f t="shared" si="116"/>
        <v>McNeese St.Texas A&amp;M</v>
      </c>
      <c r="D3773" t="s">
        <v>62</v>
      </c>
      <c r="E3773">
        <v>10.199999999999999</v>
      </c>
      <c r="F3773" s="1">
        <v>14.2490566037736</v>
      </c>
      <c r="G3773" s="2">
        <v>878.97722325945006</v>
      </c>
      <c r="H3773" s="1">
        <v>139.37618497442301</v>
      </c>
      <c r="I3773" s="1">
        <f t="shared" si="117"/>
        <v>147.18125788436814</v>
      </c>
    </row>
    <row r="3774" spans="1:9" x14ac:dyDescent="0.45">
      <c r="A3774" t="s">
        <v>39</v>
      </c>
      <c r="B3774" t="s">
        <v>62</v>
      </c>
      <c r="C3774" t="str">
        <f t="shared" si="116"/>
        <v>MemphisTexas A&amp;M</v>
      </c>
      <c r="D3774" t="s">
        <v>62</v>
      </c>
      <c r="E3774">
        <v>21.5</v>
      </c>
      <c r="F3774" s="1">
        <v>8.47169811320755</v>
      </c>
      <c r="G3774" s="2">
        <v>364.17347854568902</v>
      </c>
      <c r="H3774" s="1">
        <v>137.910466800948</v>
      </c>
      <c r="I3774" s="1">
        <f t="shared" si="117"/>
        <v>126.60006015576639</v>
      </c>
    </row>
    <row r="3775" spans="1:9" x14ac:dyDescent="0.45">
      <c r="A3775" t="s">
        <v>40</v>
      </c>
      <c r="B3775" t="s">
        <v>62</v>
      </c>
      <c r="C3775" t="str">
        <f t="shared" si="116"/>
        <v>MichiganTexas A&amp;M</v>
      </c>
      <c r="D3775" t="s">
        <v>62</v>
      </c>
      <c r="E3775">
        <v>11.9</v>
      </c>
      <c r="F3775" s="1">
        <v>13.0981132075472</v>
      </c>
      <c r="G3775" s="2">
        <v>737.399686605498</v>
      </c>
      <c r="H3775" s="1">
        <v>137.473088097865</v>
      </c>
      <c r="I3775" s="1">
        <f t="shared" si="117"/>
        <v>120.45851280148297</v>
      </c>
    </row>
    <row r="3776" spans="1:9" x14ac:dyDescent="0.45">
      <c r="A3776" t="s">
        <v>41</v>
      </c>
      <c r="B3776" t="s">
        <v>62</v>
      </c>
      <c r="C3776" t="str">
        <f t="shared" si="116"/>
        <v>Michigan St.Texas A&amp;M</v>
      </c>
      <c r="D3776" t="s">
        <v>41</v>
      </c>
      <c r="E3776">
        <v>56.3</v>
      </c>
      <c r="F3776" s="1">
        <v>-1.6490566037735801</v>
      </c>
      <c r="G3776" s="2">
        <v>-128.603323652547</v>
      </c>
      <c r="H3776" s="1">
        <v>139.12016780707199</v>
      </c>
      <c r="I3776" s="1">
        <f t="shared" si="117"/>
        <v>143.58633763399322</v>
      </c>
    </row>
    <row r="3777" spans="1:9" x14ac:dyDescent="0.45">
      <c r="A3777" t="s">
        <v>42</v>
      </c>
      <c r="B3777" t="s">
        <v>62</v>
      </c>
      <c r="C3777" t="str">
        <f t="shared" si="116"/>
        <v>MississippiTexas A&amp;M</v>
      </c>
      <c r="D3777" t="s">
        <v>62</v>
      </c>
      <c r="E3777">
        <v>26</v>
      </c>
      <c r="F3777" s="1">
        <v>6.8452830188679199</v>
      </c>
      <c r="G3777" s="2">
        <v>284.19682541916399</v>
      </c>
      <c r="H3777" s="1">
        <v>138.38785915696101</v>
      </c>
      <c r="I3777" s="1">
        <f t="shared" si="117"/>
        <v>133.30346784425294</v>
      </c>
    </row>
    <row r="3778" spans="1:9" x14ac:dyDescent="0.45">
      <c r="A3778" t="s">
        <v>43</v>
      </c>
      <c r="B3778" t="s">
        <v>62</v>
      </c>
      <c r="C3778" t="str">
        <f t="shared" si="116"/>
        <v>Mississippi St.Texas A&amp;M</v>
      </c>
      <c r="D3778" t="s">
        <v>62</v>
      </c>
      <c r="E3778">
        <v>21.3</v>
      </c>
      <c r="F3778" s="1">
        <v>8.5698113207547202</v>
      </c>
      <c r="G3778" s="2">
        <v>369.65496044549798</v>
      </c>
      <c r="H3778" s="1">
        <v>138.527605629638</v>
      </c>
      <c r="I3778" s="1">
        <f t="shared" si="117"/>
        <v>135.26574806843877</v>
      </c>
    </row>
    <row r="3779" spans="1:9" x14ac:dyDescent="0.45">
      <c r="A3779" t="s">
        <v>44</v>
      </c>
      <c r="B3779" t="s">
        <v>62</v>
      </c>
      <c r="C3779" t="str">
        <f t="shared" ref="C3779:C3842" si="118">A3779&amp;B3779</f>
        <v>MissouriTexas A&amp;M</v>
      </c>
      <c r="D3779" t="s">
        <v>62</v>
      </c>
      <c r="E3779">
        <v>11.3</v>
      </c>
      <c r="F3779" s="1">
        <v>13.505660377358501</v>
      </c>
      <c r="G3779" s="2">
        <v>784.64790641590503</v>
      </c>
      <c r="H3779" s="1">
        <v>137.94526752828401</v>
      </c>
      <c r="I3779" s="1">
        <f t="shared" ref="I3779:I3842" si="119">18*(H3779-AVERAGE($H$2:$H$4625))/_xlfn.STDEV.P($H$2:$H$4625)+AVERAGE($H$2:$H$4625)</f>
        <v>127.08872207138103</v>
      </c>
    </row>
    <row r="3780" spans="1:9" x14ac:dyDescent="0.45">
      <c r="A3780" t="s">
        <v>45</v>
      </c>
      <c r="B3780" t="s">
        <v>62</v>
      </c>
      <c r="C3780" t="str">
        <f t="shared" si="118"/>
        <v>MontanaTexas A&amp;M</v>
      </c>
      <c r="D3780" t="s">
        <v>62</v>
      </c>
      <c r="E3780">
        <v>1.1000000000000001</v>
      </c>
      <c r="F3780" s="1">
        <v>29.309433962264201</v>
      </c>
      <c r="G3780" s="2">
        <v>8746.2233362430197</v>
      </c>
      <c r="H3780" s="1">
        <v>137.08197909168999</v>
      </c>
      <c r="I3780" s="1">
        <f t="shared" si="119"/>
        <v>114.96667137166656</v>
      </c>
    </row>
    <row r="3781" spans="1:9" x14ac:dyDescent="0.45">
      <c r="A3781" t="s">
        <v>46</v>
      </c>
      <c r="B3781" t="s">
        <v>62</v>
      </c>
      <c r="C3781" t="str">
        <f t="shared" si="118"/>
        <v>Mount St. Mary'sTexas A&amp;M</v>
      </c>
      <c r="D3781" t="s">
        <v>62</v>
      </c>
      <c r="E3781">
        <v>0.4</v>
      </c>
      <c r="F3781" s="1">
        <v>35.6452830188679</v>
      </c>
      <c r="G3781" s="2">
        <v>22985.010232664001</v>
      </c>
      <c r="H3781" s="1">
        <v>138.385267045841</v>
      </c>
      <c r="I3781" s="1">
        <f t="shared" si="119"/>
        <v>133.26707015712532</v>
      </c>
    </row>
    <row r="3782" spans="1:9" x14ac:dyDescent="0.45">
      <c r="A3782" t="s">
        <v>47</v>
      </c>
      <c r="B3782" t="s">
        <v>62</v>
      </c>
      <c r="C3782" t="str">
        <f t="shared" si="118"/>
        <v>Nebraska OmahaTexas A&amp;M</v>
      </c>
      <c r="D3782" t="s">
        <v>62</v>
      </c>
      <c r="E3782">
        <v>0.6</v>
      </c>
      <c r="F3782" s="1">
        <v>33.452830188679201</v>
      </c>
      <c r="G3782" s="2">
        <v>16456.678321021602</v>
      </c>
      <c r="H3782" s="1">
        <v>137.80304317794401</v>
      </c>
      <c r="I3782" s="1">
        <f t="shared" si="119"/>
        <v>125.09164819378174</v>
      </c>
    </row>
    <row r="3783" spans="1:9" x14ac:dyDescent="0.45">
      <c r="A3783" t="s">
        <v>48</v>
      </c>
      <c r="B3783" t="s">
        <v>62</v>
      </c>
      <c r="C3783" t="str">
        <f t="shared" si="118"/>
        <v>New MexicoTexas A&amp;M</v>
      </c>
      <c r="D3783" t="s">
        <v>62</v>
      </c>
      <c r="E3783">
        <v>12.7</v>
      </c>
      <c r="F3783" s="1">
        <v>12.622641509434001</v>
      </c>
      <c r="G3783" s="2">
        <v>685.89713115419102</v>
      </c>
      <c r="H3783" s="1">
        <v>138.57303310976101</v>
      </c>
      <c r="I3783" s="1">
        <f t="shared" si="119"/>
        <v>135.90362782434514</v>
      </c>
    </row>
    <row r="3784" spans="1:9" x14ac:dyDescent="0.45">
      <c r="A3784" t="s">
        <v>49</v>
      </c>
      <c r="B3784" t="s">
        <v>62</v>
      </c>
      <c r="C3784" t="str">
        <f t="shared" si="118"/>
        <v>Norfolk St.Texas A&amp;M</v>
      </c>
      <c r="D3784" t="s">
        <v>62</v>
      </c>
      <c r="E3784">
        <v>0.9</v>
      </c>
      <c r="F3784" s="1">
        <v>31.188679245283002</v>
      </c>
      <c r="G3784" s="2">
        <v>11649.0187322447</v>
      </c>
      <c r="H3784" s="1">
        <v>137.60915887372499</v>
      </c>
      <c r="I3784" s="1">
        <f t="shared" si="119"/>
        <v>122.36917993636548</v>
      </c>
    </row>
    <row r="3785" spans="1:9" x14ac:dyDescent="0.45">
      <c r="A3785" t="s">
        <v>50</v>
      </c>
      <c r="B3785" t="s">
        <v>62</v>
      </c>
      <c r="C3785" t="str">
        <f t="shared" si="118"/>
        <v>North CarolinaTexas A&amp;M</v>
      </c>
      <c r="D3785" t="s">
        <v>62</v>
      </c>
      <c r="E3785">
        <v>33.200000000000003</v>
      </c>
      <c r="F3785" s="1">
        <v>4.5735849056603799</v>
      </c>
      <c r="G3785" s="2">
        <v>200.863942093194</v>
      </c>
      <c r="H3785" s="1">
        <v>139.68276482819499</v>
      </c>
      <c r="I3785" s="1">
        <f t="shared" si="119"/>
        <v>151.48616499698673</v>
      </c>
    </row>
    <row r="3786" spans="1:9" x14ac:dyDescent="0.45">
      <c r="A3786" t="s">
        <v>51</v>
      </c>
      <c r="B3786" t="s">
        <v>62</v>
      </c>
      <c r="C3786" t="str">
        <f t="shared" si="118"/>
        <v>OklahomaTexas A&amp;M</v>
      </c>
      <c r="D3786" t="s">
        <v>62</v>
      </c>
      <c r="E3786">
        <v>14.8</v>
      </c>
      <c r="F3786" s="1">
        <v>11.4566037735849</v>
      </c>
      <c r="G3786" s="2">
        <v>573.95679482150001</v>
      </c>
      <c r="H3786" s="1">
        <v>138.10638795436901</v>
      </c>
      <c r="I3786" s="1">
        <f t="shared" si="119"/>
        <v>129.35112927037903</v>
      </c>
    </row>
    <row r="3787" spans="1:9" x14ac:dyDescent="0.45">
      <c r="A3787" t="s">
        <v>52</v>
      </c>
      <c r="B3787" t="s">
        <v>62</v>
      </c>
      <c r="C3787" t="str">
        <f t="shared" si="118"/>
        <v>OregonTexas A&amp;M</v>
      </c>
      <c r="D3787" t="s">
        <v>62</v>
      </c>
      <c r="E3787">
        <v>32.799999999999997</v>
      </c>
      <c r="F3787" s="1">
        <v>4.6867924528301899</v>
      </c>
      <c r="G3787" s="2">
        <v>204.46216534217601</v>
      </c>
      <c r="H3787" s="1">
        <v>138.39710534589801</v>
      </c>
      <c r="I3787" s="1">
        <f t="shared" si="119"/>
        <v>133.4333001996076</v>
      </c>
    </row>
    <row r="3788" spans="1:9" x14ac:dyDescent="0.45">
      <c r="A3788" t="s">
        <v>53</v>
      </c>
      <c r="B3788" t="s">
        <v>62</v>
      </c>
      <c r="C3788" t="str">
        <f t="shared" si="118"/>
        <v>PurdueTexas A&amp;M</v>
      </c>
      <c r="D3788" t="s">
        <v>53</v>
      </c>
      <c r="E3788">
        <v>73.5</v>
      </c>
      <c r="F3788" s="1">
        <v>-6.6830188679245301</v>
      </c>
      <c r="G3788" s="2">
        <v>-277.19581175276397</v>
      </c>
      <c r="H3788" s="1">
        <v>139.88519254569599</v>
      </c>
      <c r="I3788" s="1">
        <f t="shared" si="119"/>
        <v>154.32859743388559</v>
      </c>
    </row>
    <row r="3789" spans="1:9" x14ac:dyDescent="0.45">
      <c r="A3789" t="s">
        <v>54</v>
      </c>
      <c r="B3789" t="s">
        <v>62</v>
      </c>
      <c r="C3789" t="str">
        <f t="shared" si="118"/>
        <v>Robert MorrisTexas A&amp;M</v>
      </c>
      <c r="D3789" t="s">
        <v>62</v>
      </c>
      <c r="E3789">
        <v>0.3</v>
      </c>
      <c r="F3789" s="1">
        <v>37.203773584905697</v>
      </c>
      <c r="G3789" s="2">
        <v>29164.077013599599</v>
      </c>
      <c r="H3789" s="1">
        <v>136.968157874383</v>
      </c>
      <c r="I3789" s="1">
        <f t="shared" si="119"/>
        <v>113.36842621001217</v>
      </c>
    </row>
    <row r="3790" spans="1:9" x14ac:dyDescent="0.45">
      <c r="A3790" t="s">
        <v>55</v>
      </c>
      <c r="B3790" t="s">
        <v>62</v>
      </c>
      <c r="C3790" t="str">
        <f t="shared" si="118"/>
        <v>Saint FrancisTexas A&amp;M</v>
      </c>
      <c r="D3790" t="s">
        <v>62</v>
      </c>
      <c r="E3790">
        <v>0.2</v>
      </c>
      <c r="F3790" s="1">
        <v>40.569811320754702</v>
      </c>
      <c r="G3790" s="2">
        <v>48711.379719098397</v>
      </c>
      <c r="H3790" s="1">
        <v>137.675005756427</v>
      </c>
      <c r="I3790" s="1">
        <f t="shared" si="119"/>
        <v>123.29378313582572</v>
      </c>
    </row>
    <row r="3791" spans="1:9" x14ac:dyDescent="0.45">
      <c r="A3791" t="s">
        <v>56</v>
      </c>
      <c r="B3791" t="s">
        <v>62</v>
      </c>
      <c r="C3791" t="str">
        <f t="shared" si="118"/>
        <v>Saint Mary'sTexas A&amp;M</v>
      </c>
      <c r="D3791" t="s">
        <v>62</v>
      </c>
      <c r="E3791">
        <v>32.4</v>
      </c>
      <c r="F3791" s="1">
        <v>4.8339622641509399</v>
      </c>
      <c r="G3791" s="2">
        <v>209.00961050312401</v>
      </c>
      <c r="H3791" s="1">
        <v>139.40421187236799</v>
      </c>
      <c r="I3791" s="1">
        <f t="shared" si="119"/>
        <v>147.57480361421159</v>
      </c>
    </row>
    <row r="3792" spans="1:9" x14ac:dyDescent="0.45">
      <c r="A3792" t="s">
        <v>57</v>
      </c>
      <c r="B3792" t="s">
        <v>62</v>
      </c>
      <c r="C3792" t="str">
        <f t="shared" si="118"/>
        <v>San Diego St.Texas A&amp;M</v>
      </c>
      <c r="D3792" t="s">
        <v>62</v>
      </c>
      <c r="E3792">
        <v>12.9</v>
      </c>
      <c r="F3792" s="1">
        <v>12.505660377358501</v>
      </c>
      <c r="G3792" s="2">
        <v>673.85401751873701</v>
      </c>
      <c r="H3792" s="1">
        <v>138.61891103539699</v>
      </c>
      <c r="I3792" s="1">
        <f t="shared" si="119"/>
        <v>136.5478326080339</v>
      </c>
    </row>
    <row r="3793" spans="1:9" x14ac:dyDescent="0.45">
      <c r="A3793" t="s">
        <v>58</v>
      </c>
      <c r="B3793" t="s">
        <v>62</v>
      </c>
      <c r="C3793" t="str">
        <f t="shared" si="118"/>
        <v>SIU EdwardsvilleTexas A&amp;M</v>
      </c>
      <c r="D3793" t="s">
        <v>62</v>
      </c>
      <c r="E3793">
        <v>0.7</v>
      </c>
      <c r="F3793" s="1">
        <v>32.479245283018898</v>
      </c>
      <c r="G3793" s="2">
        <v>14185.5474692548</v>
      </c>
      <c r="H3793" s="1">
        <v>138.67816921558099</v>
      </c>
      <c r="I3793" s="1">
        <f t="shared" si="119"/>
        <v>137.37991912062216</v>
      </c>
    </row>
    <row r="3794" spans="1:9" x14ac:dyDescent="0.45">
      <c r="A3794" t="s">
        <v>59</v>
      </c>
      <c r="B3794" t="s">
        <v>62</v>
      </c>
      <c r="C3794" t="str">
        <f t="shared" si="118"/>
        <v>St. John'sTexas A&amp;M</v>
      </c>
      <c r="D3794" t="s">
        <v>59</v>
      </c>
      <c r="E3794">
        <v>58.1</v>
      </c>
      <c r="F3794" s="1">
        <v>-2.1509433962264199</v>
      </c>
      <c r="G3794" s="2">
        <v>-138.830022290599</v>
      </c>
      <c r="H3794" s="1">
        <v>139.497625664135</v>
      </c>
      <c r="I3794" s="1">
        <f t="shared" si="119"/>
        <v>148.8864935104875</v>
      </c>
    </row>
    <row r="3795" spans="1:9" x14ac:dyDescent="0.45">
      <c r="A3795" t="s">
        <v>60</v>
      </c>
      <c r="B3795" t="s">
        <v>62</v>
      </c>
      <c r="C3795" t="str">
        <f t="shared" si="118"/>
        <v>TennesseeTexas A&amp;M</v>
      </c>
      <c r="D3795" t="s">
        <v>60</v>
      </c>
      <c r="E3795">
        <v>75.5</v>
      </c>
      <c r="F3795" s="1">
        <v>-7.3660377358490603</v>
      </c>
      <c r="G3795" s="2">
        <v>-307.63864223024098</v>
      </c>
      <c r="H3795" s="1">
        <v>140.29085803826999</v>
      </c>
      <c r="I3795" s="1">
        <f t="shared" si="119"/>
        <v>160.02483690572188</v>
      </c>
    </row>
    <row r="3796" spans="1:9" x14ac:dyDescent="0.45">
      <c r="A3796" t="s">
        <v>61</v>
      </c>
      <c r="B3796" t="s">
        <v>62</v>
      </c>
      <c r="C3796" t="str">
        <f t="shared" si="118"/>
        <v>TexasTexas A&amp;M</v>
      </c>
      <c r="D3796" t="s">
        <v>62</v>
      </c>
      <c r="E3796">
        <v>11</v>
      </c>
      <c r="F3796" s="1">
        <v>13.728301886792501</v>
      </c>
      <c r="G3796" s="2">
        <v>812.08957933694705</v>
      </c>
      <c r="H3796" s="1">
        <v>137.99073986590801</v>
      </c>
      <c r="I3796" s="1">
        <f t="shared" si="119"/>
        <v>127.72723170355852</v>
      </c>
    </row>
    <row r="3797" spans="1:9" x14ac:dyDescent="0.45">
      <c r="A3797" t="s">
        <v>62</v>
      </c>
      <c r="B3797" t="s">
        <v>62</v>
      </c>
      <c r="C3797" t="str">
        <f t="shared" si="118"/>
        <v>Texas A&amp;MTexas A&amp;M</v>
      </c>
      <c r="D3797" t="s">
        <v>62</v>
      </c>
      <c r="E3797">
        <v>41.2</v>
      </c>
      <c r="F3797" s="1">
        <v>2.3283018867924499</v>
      </c>
      <c r="G3797" s="2">
        <v>142.64273539779199</v>
      </c>
      <c r="H3797" s="1">
        <v>138.77771517530499</v>
      </c>
      <c r="I3797" s="1">
        <f t="shared" si="119"/>
        <v>138.77771517530684</v>
      </c>
    </row>
    <row r="3798" spans="1:9" x14ac:dyDescent="0.45">
      <c r="A3798" t="s">
        <v>63</v>
      </c>
      <c r="B3798" t="s">
        <v>62</v>
      </c>
      <c r="C3798" t="str">
        <f t="shared" si="118"/>
        <v>Texas TechTexas A&amp;M</v>
      </c>
      <c r="D3798" t="s">
        <v>63</v>
      </c>
      <c r="E3798">
        <v>57.6</v>
      </c>
      <c r="F3798" s="1">
        <v>-2.0037735849056602</v>
      </c>
      <c r="G3798" s="2">
        <v>-135.78937299416</v>
      </c>
      <c r="H3798" s="1">
        <v>139.768227780545</v>
      </c>
      <c r="I3798" s="1">
        <f t="shared" si="119"/>
        <v>152.68621146745895</v>
      </c>
    </row>
    <row r="3799" spans="1:9" x14ac:dyDescent="0.45">
      <c r="A3799" t="s">
        <v>64</v>
      </c>
      <c r="B3799" t="s">
        <v>62</v>
      </c>
      <c r="C3799" t="str">
        <f t="shared" si="118"/>
        <v>TroyTexas A&amp;M</v>
      </c>
      <c r="D3799" t="s">
        <v>62</v>
      </c>
      <c r="E3799">
        <v>1.9</v>
      </c>
      <c r="F3799" s="1">
        <v>25.803773584905699</v>
      </c>
      <c r="G3799" s="2">
        <v>5122.4234974046503</v>
      </c>
      <c r="H3799" s="1">
        <v>138.53453237510399</v>
      </c>
      <c r="I3799" s="1">
        <f t="shared" si="119"/>
        <v>135.36301145824393</v>
      </c>
    </row>
    <row r="3800" spans="1:9" x14ac:dyDescent="0.45">
      <c r="A3800" t="s">
        <v>65</v>
      </c>
      <c r="B3800" t="s">
        <v>62</v>
      </c>
      <c r="C3800" t="str">
        <f t="shared" si="118"/>
        <v>UC San DiegoTexas A&amp;M</v>
      </c>
      <c r="D3800" t="s">
        <v>62</v>
      </c>
      <c r="E3800">
        <v>4.8</v>
      </c>
      <c r="F3800" s="1">
        <v>19.622641509434001</v>
      </c>
      <c r="G3800" s="2">
        <v>1995.0214455201999</v>
      </c>
      <c r="H3800" s="1">
        <v>138.60465260476599</v>
      </c>
      <c r="I3800" s="1">
        <f t="shared" si="119"/>
        <v>136.34761978033833</v>
      </c>
    </row>
    <row r="3801" spans="1:9" x14ac:dyDescent="0.45">
      <c r="A3801" t="s">
        <v>66</v>
      </c>
      <c r="B3801" t="s">
        <v>62</v>
      </c>
      <c r="C3801" t="str">
        <f t="shared" si="118"/>
        <v>UCLATexas A&amp;M</v>
      </c>
      <c r="D3801" t="s">
        <v>62</v>
      </c>
      <c r="E3801">
        <v>14.7</v>
      </c>
      <c r="F3801" s="1">
        <v>11.5207547169811</v>
      </c>
      <c r="G3801" s="2">
        <v>579.77050429504504</v>
      </c>
      <c r="H3801" s="1">
        <v>137.825911183979</v>
      </c>
      <c r="I3801" s="1">
        <f t="shared" si="119"/>
        <v>125.41275423066008</v>
      </c>
    </row>
    <row r="3802" spans="1:9" x14ac:dyDescent="0.45">
      <c r="A3802" t="s">
        <v>67</v>
      </c>
      <c r="B3802" t="s">
        <v>62</v>
      </c>
      <c r="C3802" t="str">
        <f t="shared" si="118"/>
        <v>UNC WilmingtonTexas A&amp;M</v>
      </c>
      <c r="D3802" t="s">
        <v>62</v>
      </c>
      <c r="E3802">
        <v>2.8</v>
      </c>
      <c r="F3802" s="1">
        <v>23.215094339622599</v>
      </c>
      <c r="G3802" s="2">
        <v>3450.7266538234599</v>
      </c>
      <c r="H3802" s="1">
        <v>139.14132107543099</v>
      </c>
      <c r="I3802" s="1">
        <f t="shared" si="119"/>
        <v>143.88336581211195</v>
      </c>
    </row>
    <row r="3803" spans="1:9" x14ac:dyDescent="0.45">
      <c r="A3803" t="s">
        <v>68</v>
      </c>
      <c r="B3803" t="s">
        <v>62</v>
      </c>
      <c r="C3803" t="str">
        <f t="shared" si="118"/>
        <v>Utah St.Texas A&amp;M</v>
      </c>
      <c r="D3803" t="s">
        <v>62</v>
      </c>
      <c r="E3803">
        <v>14</v>
      </c>
      <c r="F3803" s="1">
        <v>11.8867924528302</v>
      </c>
      <c r="G3803" s="2">
        <v>613.01679056118996</v>
      </c>
      <c r="H3803" s="1">
        <v>138.68850757401</v>
      </c>
      <c r="I3803" s="1">
        <f t="shared" si="119"/>
        <v>137.52508740936088</v>
      </c>
    </row>
    <row r="3804" spans="1:9" x14ac:dyDescent="0.45">
      <c r="A3804" t="s">
        <v>69</v>
      </c>
      <c r="B3804" t="s">
        <v>62</v>
      </c>
      <c r="C3804" t="str">
        <f t="shared" si="118"/>
        <v>VanderbiltTexas A&amp;M</v>
      </c>
      <c r="D3804" t="s">
        <v>62</v>
      </c>
      <c r="E3804">
        <v>3.1</v>
      </c>
      <c r="F3804" s="1">
        <v>22.535849056603801</v>
      </c>
      <c r="G3804" s="2">
        <v>3110.9378764384501</v>
      </c>
      <c r="H3804" s="1">
        <v>137.12254545529299</v>
      </c>
      <c r="I3804" s="1">
        <f t="shared" si="119"/>
        <v>115.53629271194399</v>
      </c>
    </row>
    <row r="3805" spans="1:9" x14ac:dyDescent="0.45">
      <c r="A3805" t="s">
        <v>70</v>
      </c>
      <c r="B3805" t="s">
        <v>62</v>
      </c>
      <c r="C3805" t="str">
        <f t="shared" si="118"/>
        <v>VCUTexas A&amp;M</v>
      </c>
      <c r="D3805" t="s">
        <v>62</v>
      </c>
      <c r="E3805">
        <v>9.4</v>
      </c>
      <c r="F3805" s="1">
        <v>14.8867924528302</v>
      </c>
      <c r="G3805" s="2">
        <v>969.10222043605199</v>
      </c>
      <c r="H3805" s="1">
        <v>139.04771858448601</v>
      </c>
      <c r="I3805" s="1">
        <f t="shared" si="119"/>
        <v>142.56902625564652</v>
      </c>
    </row>
    <row r="3806" spans="1:9" x14ac:dyDescent="0.45">
      <c r="A3806" t="s">
        <v>71</v>
      </c>
      <c r="B3806" t="s">
        <v>62</v>
      </c>
      <c r="C3806" t="str">
        <f t="shared" si="118"/>
        <v>WisconsinTexas A&amp;M</v>
      </c>
      <c r="D3806" t="s">
        <v>71</v>
      </c>
      <c r="E3806">
        <v>54.1</v>
      </c>
      <c r="F3806" s="1">
        <v>-1.06415094339623</v>
      </c>
      <c r="G3806" s="2">
        <v>-117.629445606102</v>
      </c>
      <c r="H3806" s="1">
        <v>139.70097419281799</v>
      </c>
      <c r="I3806" s="1">
        <f t="shared" si="119"/>
        <v>151.74185571611707</v>
      </c>
    </row>
    <row r="3807" spans="1:9" x14ac:dyDescent="0.45">
      <c r="A3807" t="s">
        <v>80</v>
      </c>
      <c r="B3807" t="s">
        <v>62</v>
      </c>
      <c r="C3807" t="str">
        <f t="shared" si="118"/>
        <v>WoffordTexas A&amp;M</v>
      </c>
      <c r="D3807" t="s">
        <v>62</v>
      </c>
      <c r="E3807">
        <v>1</v>
      </c>
      <c r="F3807" s="1">
        <v>30.109433962264099</v>
      </c>
      <c r="G3807" s="2">
        <v>9880.2977677927192</v>
      </c>
      <c r="H3807" s="1">
        <v>137.798622622045</v>
      </c>
      <c r="I3807" s="1">
        <f t="shared" si="119"/>
        <v>125.0295760050935</v>
      </c>
    </row>
    <row r="3808" spans="1:9" x14ac:dyDescent="0.45">
      <c r="A3808" t="s">
        <v>72</v>
      </c>
      <c r="B3808" t="s">
        <v>62</v>
      </c>
      <c r="C3808" t="str">
        <f t="shared" si="118"/>
        <v>XavierTexas A&amp;M</v>
      </c>
      <c r="D3808" t="s">
        <v>62</v>
      </c>
      <c r="E3808">
        <v>9.3000000000000007</v>
      </c>
      <c r="F3808" s="1">
        <v>14.962264150943399</v>
      </c>
      <c r="G3808" s="2">
        <v>979.97630292694896</v>
      </c>
      <c r="H3808" s="1">
        <v>138.54142479266599</v>
      </c>
      <c r="I3808" s="1">
        <f t="shared" si="119"/>
        <v>135.45979282538443</v>
      </c>
    </row>
    <row r="3809" spans="1:9" x14ac:dyDescent="0.45">
      <c r="A3809" t="s">
        <v>73</v>
      </c>
      <c r="B3809" t="s">
        <v>62</v>
      </c>
      <c r="C3809" t="str">
        <f t="shared" si="118"/>
        <v>YaleTexas A&amp;M</v>
      </c>
      <c r="D3809" t="s">
        <v>62</v>
      </c>
      <c r="E3809">
        <v>5.0999999999999996</v>
      </c>
      <c r="F3809" s="1">
        <v>19.211320754717001</v>
      </c>
      <c r="G3809" s="2">
        <v>1873.9632315538399</v>
      </c>
      <c r="H3809" s="1">
        <v>139.14113092906001</v>
      </c>
      <c r="I3809" s="1">
        <f t="shared" si="119"/>
        <v>143.88069583084993</v>
      </c>
    </row>
    <row r="3810" spans="1:9" x14ac:dyDescent="0.45">
      <c r="A3810" t="s">
        <v>7</v>
      </c>
      <c r="B3810" t="s">
        <v>63</v>
      </c>
      <c r="C3810" t="str">
        <f t="shared" si="118"/>
        <v>AkronTexas Tech</v>
      </c>
      <c r="D3810" t="s">
        <v>63</v>
      </c>
      <c r="E3810">
        <v>1.4</v>
      </c>
      <c r="F3810" s="1">
        <v>27.807547169811301</v>
      </c>
      <c r="G3810" s="2">
        <v>6955.8539427570004</v>
      </c>
      <c r="H3810" s="1">
        <v>136.96744538440001</v>
      </c>
      <c r="I3810" s="1">
        <f t="shared" si="119"/>
        <v>113.35842162830957</v>
      </c>
    </row>
    <row r="3811" spans="1:9" x14ac:dyDescent="0.45">
      <c r="A3811" t="s">
        <v>8</v>
      </c>
      <c r="B3811" t="s">
        <v>63</v>
      </c>
      <c r="C3811" t="str">
        <f t="shared" si="118"/>
        <v>AlabamaTexas Tech</v>
      </c>
      <c r="D3811" t="s">
        <v>8</v>
      </c>
      <c r="E3811">
        <v>52</v>
      </c>
      <c r="F3811" s="1">
        <v>-0.53207547169811298</v>
      </c>
      <c r="G3811" s="2">
        <v>-108.437688172039</v>
      </c>
      <c r="H3811" s="1">
        <v>138.77505657199501</v>
      </c>
      <c r="I3811" s="1">
        <f t="shared" si="119"/>
        <v>138.74038382375861</v>
      </c>
    </row>
    <row r="3812" spans="1:9" x14ac:dyDescent="0.45">
      <c r="A3812" t="s">
        <v>9</v>
      </c>
      <c r="B3812" t="s">
        <v>63</v>
      </c>
      <c r="C3812" t="str">
        <f t="shared" si="118"/>
        <v>Alabama St.Texas Tech</v>
      </c>
      <c r="D3812" t="s">
        <v>63</v>
      </c>
      <c r="E3812">
        <v>0.2</v>
      </c>
      <c r="F3812" s="1">
        <v>40.128301886792499</v>
      </c>
      <c r="G3812" s="2">
        <v>45544.943931071597</v>
      </c>
      <c r="H3812" s="1">
        <v>137.15420714382199</v>
      </c>
      <c r="I3812" s="1">
        <f t="shared" si="119"/>
        <v>115.98087713740129</v>
      </c>
    </row>
    <row r="3813" spans="1:9" x14ac:dyDescent="0.45">
      <c r="A3813" t="s">
        <v>10</v>
      </c>
      <c r="B3813" t="s">
        <v>63</v>
      </c>
      <c r="C3813" t="str">
        <f t="shared" si="118"/>
        <v>AmericanTexas Tech</v>
      </c>
      <c r="D3813" t="s">
        <v>63</v>
      </c>
      <c r="E3813">
        <v>0.2</v>
      </c>
      <c r="F3813" s="1">
        <v>39.3698113207547</v>
      </c>
      <c r="G3813" s="2">
        <v>40578.304957549997</v>
      </c>
      <c r="H3813" s="1">
        <v>136.91749666358399</v>
      </c>
      <c r="I3813" s="1">
        <f t="shared" si="119"/>
        <v>112.65705589647318</v>
      </c>
    </row>
    <row r="3814" spans="1:9" x14ac:dyDescent="0.45">
      <c r="A3814" t="s">
        <v>11</v>
      </c>
      <c r="B3814" t="s">
        <v>63</v>
      </c>
      <c r="C3814" t="str">
        <f t="shared" si="118"/>
        <v>ArizonaTexas Tech</v>
      </c>
      <c r="D3814" t="s">
        <v>63</v>
      </c>
      <c r="E3814">
        <v>41.6</v>
      </c>
      <c r="F3814" s="1">
        <v>2.2226415094339602</v>
      </c>
      <c r="G3814" s="2">
        <v>140.40220638619601</v>
      </c>
      <c r="H3814" s="1">
        <v>138.385535912173</v>
      </c>
      <c r="I3814" s="1">
        <f t="shared" si="119"/>
        <v>133.27084550169118</v>
      </c>
    </row>
    <row r="3815" spans="1:9" x14ac:dyDescent="0.45">
      <c r="A3815" t="s">
        <v>12</v>
      </c>
      <c r="B3815" t="s">
        <v>63</v>
      </c>
      <c r="C3815" t="str">
        <f t="shared" si="118"/>
        <v>ArkansasTexas Tech</v>
      </c>
      <c r="D3815" t="s">
        <v>63</v>
      </c>
      <c r="E3815">
        <v>4.4000000000000004</v>
      </c>
      <c r="F3815" s="1">
        <v>20.124528301886802</v>
      </c>
      <c r="G3815" s="2">
        <v>2154.1380733289302</v>
      </c>
      <c r="H3815" s="1">
        <v>136.71145988996199</v>
      </c>
      <c r="I3815" s="1">
        <f t="shared" si="119"/>
        <v>109.76394611997091</v>
      </c>
    </row>
    <row r="3816" spans="1:9" x14ac:dyDescent="0.45">
      <c r="A3816" t="s">
        <v>13</v>
      </c>
      <c r="B3816" t="s">
        <v>63</v>
      </c>
      <c r="C3816" t="str">
        <f t="shared" si="118"/>
        <v>AuburnTexas Tech</v>
      </c>
      <c r="D3816" t="s">
        <v>13</v>
      </c>
      <c r="E3816">
        <v>68.099999999999994</v>
      </c>
      <c r="F3816" s="1">
        <v>-4.9698113207547197</v>
      </c>
      <c r="G3816" s="2">
        <v>-213.44735290863201</v>
      </c>
      <c r="H3816" s="1">
        <v>139.797272805348</v>
      </c>
      <c r="I3816" s="1">
        <f t="shared" si="119"/>
        <v>153.09405344507826</v>
      </c>
    </row>
    <row r="3817" spans="1:9" x14ac:dyDescent="0.45">
      <c r="A3817" t="s">
        <v>14</v>
      </c>
      <c r="B3817" t="s">
        <v>63</v>
      </c>
      <c r="C3817" t="str">
        <f t="shared" si="118"/>
        <v>BaylorTexas Tech</v>
      </c>
      <c r="D3817" t="s">
        <v>63</v>
      </c>
      <c r="E3817">
        <v>17.7</v>
      </c>
      <c r="F3817" s="1">
        <v>10.079245283018899</v>
      </c>
      <c r="G3817" s="2">
        <v>465.233982984546</v>
      </c>
      <c r="H3817" s="1">
        <v>138.26019016652899</v>
      </c>
      <c r="I3817" s="1">
        <f t="shared" si="119"/>
        <v>131.51077619080712</v>
      </c>
    </row>
    <row r="3818" spans="1:9" x14ac:dyDescent="0.45">
      <c r="A3818" t="s">
        <v>15</v>
      </c>
      <c r="B3818" t="s">
        <v>63</v>
      </c>
      <c r="C3818" t="str">
        <f t="shared" si="118"/>
        <v>BryantTexas Tech</v>
      </c>
      <c r="D3818" t="s">
        <v>63</v>
      </c>
      <c r="E3818">
        <v>1</v>
      </c>
      <c r="F3818" s="1">
        <v>30.150943396226399</v>
      </c>
      <c r="G3818" s="2">
        <v>9939.9280577923691</v>
      </c>
      <c r="H3818" s="1">
        <v>137.852510042174</v>
      </c>
      <c r="I3818" s="1">
        <f t="shared" si="119"/>
        <v>125.78624783248155</v>
      </c>
    </row>
    <row r="3819" spans="1:9" x14ac:dyDescent="0.45">
      <c r="A3819" t="s">
        <v>16</v>
      </c>
      <c r="B3819" t="s">
        <v>63</v>
      </c>
      <c r="C3819" t="str">
        <f t="shared" si="118"/>
        <v>BYUTexas Tech</v>
      </c>
      <c r="D3819" t="s">
        <v>63</v>
      </c>
      <c r="E3819">
        <v>20.3</v>
      </c>
      <c r="F3819" s="1">
        <v>8.9849056603773594</v>
      </c>
      <c r="G3819" s="2">
        <v>393.69662171108098</v>
      </c>
      <c r="H3819" s="1">
        <v>138.02255071661801</v>
      </c>
      <c r="I3819" s="1">
        <f t="shared" si="119"/>
        <v>128.17391062193843</v>
      </c>
    </row>
    <row r="3820" spans="1:9" x14ac:dyDescent="0.45">
      <c r="A3820" t="s">
        <v>17</v>
      </c>
      <c r="B3820" t="s">
        <v>63</v>
      </c>
      <c r="C3820" t="str">
        <f t="shared" si="118"/>
        <v>ClemsonTexas Tech</v>
      </c>
      <c r="D3820" t="s">
        <v>63</v>
      </c>
      <c r="E3820">
        <v>26.2</v>
      </c>
      <c r="F3820" s="1">
        <v>6.7773584905660398</v>
      </c>
      <c r="G3820" s="2">
        <v>281.26812776623399</v>
      </c>
      <c r="H3820" s="1">
        <v>138.37260093905999</v>
      </c>
      <c r="I3820" s="1">
        <f t="shared" si="119"/>
        <v>133.08921628806021</v>
      </c>
    </row>
    <row r="3821" spans="1:9" x14ac:dyDescent="0.45">
      <c r="A3821" t="s">
        <v>18</v>
      </c>
      <c r="B3821" t="s">
        <v>63</v>
      </c>
      <c r="C3821" t="str">
        <f t="shared" si="118"/>
        <v>Colorado St.Texas Tech</v>
      </c>
      <c r="D3821" t="s">
        <v>63</v>
      </c>
      <c r="E3821">
        <v>5.6</v>
      </c>
      <c r="F3821" s="1">
        <v>18.562264150943399</v>
      </c>
      <c r="G3821" s="2">
        <v>1697.01006954267</v>
      </c>
      <c r="H3821" s="1">
        <v>137.762211913854</v>
      </c>
      <c r="I3821" s="1">
        <f t="shared" si="119"/>
        <v>124.51830719620597</v>
      </c>
    </row>
    <row r="3822" spans="1:9" x14ac:dyDescent="0.45">
      <c r="A3822" t="s">
        <v>19</v>
      </c>
      <c r="B3822" t="s">
        <v>63</v>
      </c>
      <c r="C3822" t="str">
        <f t="shared" si="118"/>
        <v>ConnecticutTexas Tech</v>
      </c>
      <c r="D3822" t="s">
        <v>63</v>
      </c>
      <c r="E3822">
        <v>35.6</v>
      </c>
      <c r="F3822" s="1">
        <v>3.88679245283019</v>
      </c>
      <c r="G3822" s="2">
        <v>180.89817854744501</v>
      </c>
      <c r="H3822" s="1">
        <v>138.17285176980801</v>
      </c>
      <c r="I3822" s="1">
        <f t="shared" si="119"/>
        <v>130.28439526387089</v>
      </c>
    </row>
    <row r="3823" spans="1:9" x14ac:dyDescent="0.45">
      <c r="A3823" t="s">
        <v>20</v>
      </c>
      <c r="B3823" t="s">
        <v>63</v>
      </c>
      <c r="C3823" t="str">
        <f t="shared" si="118"/>
        <v>CreightonTexas Tech</v>
      </c>
      <c r="D3823" t="s">
        <v>63</v>
      </c>
      <c r="E3823">
        <v>14.6</v>
      </c>
      <c r="F3823" s="1">
        <v>11.5924528301887</v>
      </c>
      <c r="G3823" s="2">
        <v>586.22839973576799</v>
      </c>
      <c r="H3823" s="1">
        <v>137.72214852264699</v>
      </c>
      <c r="I3823" s="1">
        <f t="shared" si="119"/>
        <v>123.95574845126323</v>
      </c>
    </row>
    <row r="3824" spans="1:9" x14ac:dyDescent="0.45">
      <c r="A3824" t="s">
        <v>21</v>
      </c>
      <c r="B3824" t="s">
        <v>63</v>
      </c>
      <c r="C3824" t="str">
        <f t="shared" si="118"/>
        <v>DrakeTexas Tech</v>
      </c>
      <c r="D3824" t="s">
        <v>63</v>
      </c>
      <c r="E3824">
        <v>5.4</v>
      </c>
      <c r="F3824" s="1">
        <v>18.7660377358491</v>
      </c>
      <c r="G3824" s="2">
        <v>1750.87260410406</v>
      </c>
      <c r="H3824" s="1">
        <v>137.95682432832101</v>
      </c>
      <c r="I3824" s="1">
        <f t="shared" si="119"/>
        <v>127.25099937064346</v>
      </c>
    </row>
    <row r="3825" spans="1:9" x14ac:dyDescent="0.45">
      <c r="A3825" t="s">
        <v>22</v>
      </c>
      <c r="B3825" t="s">
        <v>63</v>
      </c>
      <c r="C3825" t="str">
        <f t="shared" si="118"/>
        <v>DukeTexas Tech</v>
      </c>
      <c r="D3825" t="s">
        <v>22</v>
      </c>
      <c r="E3825">
        <v>75</v>
      </c>
      <c r="F3825" s="1">
        <v>-7.1849056603773596</v>
      </c>
      <c r="G3825" s="2">
        <v>-299.22500203211303</v>
      </c>
      <c r="H3825" s="1">
        <v>140.037164216924</v>
      </c>
      <c r="I3825" s="1">
        <f t="shared" si="119"/>
        <v>156.46254041916922</v>
      </c>
    </row>
    <row r="3826" spans="1:9" x14ac:dyDescent="0.45">
      <c r="A3826" t="s">
        <v>23</v>
      </c>
      <c r="B3826" t="s">
        <v>63</v>
      </c>
      <c r="C3826" t="str">
        <f t="shared" si="118"/>
        <v>FloridaTexas Tech</v>
      </c>
      <c r="D3826" t="s">
        <v>23</v>
      </c>
      <c r="E3826">
        <v>62.4</v>
      </c>
      <c r="F3826" s="1">
        <v>-3.3283018867924499</v>
      </c>
      <c r="G3826" s="2">
        <v>-166.13675305984</v>
      </c>
      <c r="H3826" s="1">
        <v>139.77181474447801</v>
      </c>
      <c r="I3826" s="1">
        <f t="shared" si="119"/>
        <v>152.73657859484163</v>
      </c>
    </row>
    <row r="3827" spans="1:9" x14ac:dyDescent="0.45">
      <c r="A3827" t="s">
        <v>24</v>
      </c>
      <c r="B3827" t="s">
        <v>63</v>
      </c>
      <c r="C3827" t="str">
        <f t="shared" si="118"/>
        <v>GeorgiaTexas Tech</v>
      </c>
      <c r="D3827" t="s">
        <v>63</v>
      </c>
      <c r="E3827">
        <v>6.3</v>
      </c>
      <c r="F3827" s="1">
        <v>17.732075471698099</v>
      </c>
      <c r="G3827" s="2">
        <v>1495.71827330926</v>
      </c>
      <c r="H3827" s="1">
        <v>137.03577304076299</v>
      </c>
      <c r="I3827" s="1">
        <f t="shared" si="119"/>
        <v>114.31785914596307</v>
      </c>
    </row>
    <row r="3828" spans="1:9" x14ac:dyDescent="0.45">
      <c r="A3828" t="s">
        <v>25</v>
      </c>
      <c r="B3828" t="s">
        <v>63</v>
      </c>
      <c r="C3828" t="str">
        <f t="shared" si="118"/>
        <v>GonzagaTexas Tech</v>
      </c>
      <c r="D3828" t="s">
        <v>63</v>
      </c>
      <c r="E3828">
        <v>25.3</v>
      </c>
      <c r="F3828" s="1">
        <v>7.1018867924528299</v>
      </c>
      <c r="G3828" s="2">
        <v>295.53638507918998</v>
      </c>
      <c r="H3828" s="1">
        <v>139.01273477126901</v>
      </c>
      <c r="I3828" s="1">
        <f t="shared" si="119"/>
        <v>142.07779350016227</v>
      </c>
    </row>
    <row r="3829" spans="1:9" x14ac:dyDescent="0.45">
      <c r="A3829" t="s">
        <v>26</v>
      </c>
      <c r="B3829" t="s">
        <v>63</v>
      </c>
      <c r="C3829" t="str">
        <f t="shared" si="118"/>
        <v>Grand CanyonTexas Tech</v>
      </c>
      <c r="D3829" t="s">
        <v>63</v>
      </c>
      <c r="E3829">
        <v>3.5</v>
      </c>
      <c r="F3829" s="1">
        <v>21.6528301886792</v>
      </c>
      <c r="G3829" s="2">
        <v>2720.1308239902901</v>
      </c>
      <c r="H3829" s="1">
        <v>137.830706488809</v>
      </c>
      <c r="I3829" s="1">
        <f t="shared" si="119"/>
        <v>125.4800885372554</v>
      </c>
    </row>
    <row r="3830" spans="1:9" x14ac:dyDescent="0.45">
      <c r="A3830" t="s">
        <v>27</v>
      </c>
      <c r="B3830" t="s">
        <v>63</v>
      </c>
      <c r="C3830" t="str">
        <f t="shared" si="118"/>
        <v>High PointTexas Tech</v>
      </c>
      <c r="D3830" t="s">
        <v>63</v>
      </c>
      <c r="E3830">
        <v>2.2000000000000002</v>
      </c>
      <c r="F3830" s="1">
        <v>24.743396226415101</v>
      </c>
      <c r="G3830" s="2">
        <v>4357.8457412573798</v>
      </c>
      <c r="H3830" s="1">
        <v>138.021913622357</v>
      </c>
      <c r="I3830" s="1">
        <f t="shared" si="119"/>
        <v>128.16496472552063</v>
      </c>
    </row>
    <row r="3831" spans="1:9" x14ac:dyDescent="0.45">
      <c r="A3831" t="s">
        <v>28</v>
      </c>
      <c r="B3831" t="s">
        <v>63</v>
      </c>
      <c r="C3831" t="str">
        <f t="shared" si="118"/>
        <v>HoustonTexas Tech</v>
      </c>
      <c r="D3831" t="s">
        <v>28</v>
      </c>
      <c r="E3831">
        <v>83.3</v>
      </c>
      <c r="F3831" s="1">
        <v>-10.5396226415094</v>
      </c>
      <c r="G3831" s="2">
        <v>-499.14651030746802</v>
      </c>
      <c r="H3831" s="1">
        <v>140.13537597956</v>
      </c>
      <c r="I3831" s="1">
        <f t="shared" si="119"/>
        <v>157.84160205780179</v>
      </c>
    </row>
    <row r="3832" spans="1:9" x14ac:dyDescent="0.45">
      <c r="A3832" t="s">
        <v>29</v>
      </c>
      <c r="B3832" t="s">
        <v>63</v>
      </c>
      <c r="C3832" t="str">
        <f t="shared" si="118"/>
        <v>IllinoisTexas Tech</v>
      </c>
      <c r="D3832" t="s">
        <v>63</v>
      </c>
      <c r="E3832">
        <v>33</v>
      </c>
      <c r="F3832" s="1">
        <v>4.6490566037735803</v>
      </c>
      <c r="G3832" s="2">
        <v>203.22893475920199</v>
      </c>
      <c r="H3832" s="1">
        <v>138.193839754522</v>
      </c>
      <c r="I3832" s="1">
        <f t="shared" si="119"/>
        <v>130.57910257605459</v>
      </c>
    </row>
    <row r="3833" spans="1:9" x14ac:dyDescent="0.45">
      <c r="A3833" t="s">
        <v>30</v>
      </c>
      <c r="B3833" t="s">
        <v>63</v>
      </c>
      <c r="C3833" t="str">
        <f t="shared" si="118"/>
        <v>Iowa St.Texas Tech</v>
      </c>
      <c r="D3833" t="s">
        <v>30</v>
      </c>
      <c r="E3833">
        <v>50.8</v>
      </c>
      <c r="F3833" s="1">
        <v>-0.211320754716981</v>
      </c>
      <c r="G3833" s="2">
        <v>-103.292911385894</v>
      </c>
      <c r="H3833" s="1">
        <v>139.090382046108</v>
      </c>
      <c r="I3833" s="1">
        <f t="shared" si="119"/>
        <v>143.16809444987325</v>
      </c>
    </row>
    <row r="3834" spans="1:9" x14ac:dyDescent="0.45">
      <c r="A3834" t="s">
        <v>31</v>
      </c>
      <c r="B3834" t="s">
        <v>63</v>
      </c>
      <c r="C3834" t="str">
        <f t="shared" si="118"/>
        <v>KansasTexas Tech</v>
      </c>
      <c r="D3834" t="s">
        <v>63</v>
      </c>
      <c r="E3834">
        <v>24.1</v>
      </c>
      <c r="F3834" s="1">
        <v>7.50566037735849</v>
      </c>
      <c r="G3834" s="2">
        <v>314.14519207842898</v>
      </c>
      <c r="H3834" s="1">
        <v>138.14096993496199</v>
      </c>
      <c r="I3834" s="1">
        <f t="shared" si="119"/>
        <v>129.83671960644156</v>
      </c>
    </row>
    <row r="3835" spans="1:9" x14ac:dyDescent="0.45">
      <c r="A3835" t="s">
        <v>32</v>
      </c>
      <c r="B3835" t="s">
        <v>63</v>
      </c>
      <c r="C3835" t="str">
        <f t="shared" si="118"/>
        <v>KentuckyTexas Tech</v>
      </c>
      <c r="D3835" t="s">
        <v>63</v>
      </c>
      <c r="E3835">
        <v>34.700000000000003</v>
      </c>
      <c r="F3835" s="1">
        <v>4.1396226415094297</v>
      </c>
      <c r="G3835" s="2">
        <v>188.037502609619</v>
      </c>
      <c r="H3835" s="1">
        <v>138.075252267087</v>
      </c>
      <c r="I3835" s="1">
        <f t="shared" si="119"/>
        <v>128.91393080483238</v>
      </c>
    </row>
    <row r="3836" spans="1:9" x14ac:dyDescent="0.45">
      <c r="A3836" t="s">
        <v>33</v>
      </c>
      <c r="B3836" t="s">
        <v>63</v>
      </c>
      <c r="C3836" t="str">
        <f t="shared" si="118"/>
        <v>LibertyTexas Tech</v>
      </c>
      <c r="D3836" t="s">
        <v>63</v>
      </c>
      <c r="E3836">
        <v>1.6</v>
      </c>
      <c r="F3836" s="1">
        <v>27.124528301886802</v>
      </c>
      <c r="G3836" s="2">
        <v>6267.1831922650299</v>
      </c>
      <c r="H3836" s="1">
        <v>137.42025331080501</v>
      </c>
      <c r="I3836" s="1">
        <f t="shared" si="119"/>
        <v>119.71662174827169</v>
      </c>
    </row>
    <row r="3837" spans="1:9" x14ac:dyDescent="0.45">
      <c r="A3837" t="s">
        <v>34</v>
      </c>
      <c r="B3837" t="s">
        <v>63</v>
      </c>
      <c r="C3837" t="str">
        <f t="shared" si="118"/>
        <v>LipscombTexas Tech</v>
      </c>
      <c r="D3837" t="s">
        <v>63</v>
      </c>
      <c r="E3837">
        <v>1.2</v>
      </c>
      <c r="F3837" s="1">
        <v>28.9924528301887</v>
      </c>
      <c r="G3837" s="2">
        <v>8330.4927373846804</v>
      </c>
      <c r="H3837" s="1">
        <v>137.826571508396</v>
      </c>
      <c r="I3837" s="1">
        <f t="shared" si="119"/>
        <v>125.42202631832141</v>
      </c>
    </row>
    <row r="3838" spans="1:9" x14ac:dyDescent="0.45">
      <c r="A3838" t="s">
        <v>35</v>
      </c>
      <c r="B3838" t="s">
        <v>63</v>
      </c>
      <c r="C3838" t="str">
        <f t="shared" si="118"/>
        <v>LouisvilleTexas Tech</v>
      </c>
      <c r="D3838" t="s">
        <v>63</v>
      </c>
      <c r="E3838">
        <v>2.9</v>
      </c>
      <c r="F3838" s="1">
        <v>22.9433962264151</v>
      </c>
      <c r="G3838" s="2">
        <v>3310.7993028046899</v>
      </c>
      <c r="H3838" s="1">
        <v>137.07193351421401</v>
      </c>
      <c r="I3838" s="1">
        <f t="shared" si="119"/>
        <v>114.82561422980081</v>
      </c>
    </row>
    <row r="3839" spans="1:9" x14ac:dyDescent="0.45">
      <c r="A3839" t="s">
        <v>36</v>
      </c>
      <c r="B3839" t="s">
        <v>63</v>
      </c>
      <c r="C3839" t="str">
        <f t="shared" si="118"/>
        <v>MarquetteTexas Tech</v>
      </c>
      <c r="D3839" t="s">
        <v>63</v>
      </c>
      <c r="E3839">
        <v>29</v>
      </c>
      <c r="F3839" s="1">
        <v>5.87547169811321</v>
      </c>
      <c r="G3839" s="2">
        <v>245.013242411817</v>
      </c>
      <c r="H3839" s="1">
        <v>138.33406735767599</v>
      </c>
      <c r="I3839" s="1">
        <f t="shared" si="119"/>
        <v>132.54813869756063</v>
      </c>
    </row>
    <row r="3840" spans="1:9" x14ac:dyDescent="0.45">
      <c r="A3840" t="s">
        <v>37</v>
      </c>
      <c r="B3840" t="s">
        <v>63</v>
      </c>
      <c r="C3840" t="str">
        <f t="shared" si="118"/>
        <v>MarylandTexas Tech</v>
      </c>
      <c r="D3840" t="s">
        <v>63</v>
      </c>
      <c r="E3840">
        <v>20.100000000000001</v>
      </c>
      <c r="F3840" s="1">
        <v>9.0415094339622595</v>
      </c>
      <c r="G3840" s="2">
        <v>397.21294116269002</v>
      </c>
      <c r="H3840" s="1">
        <v>137.79243695621901</v>
      </c>
      <c r="I3840" s="1">
        <f t="shared" si="119"/>
        <v>124.94271864482346</v>
      </c>
    </row>
    <row r="3841" spans="1:9" x14ac:dyDescent="0.45">
      <c r="A3841" t="s">
        <v>38</v>
      </c>
      <c r="B3841" t="s">
        <v>63</v>
      </c>
      <c r="C3841" t="str">
        <f t="shared" si="118"/>
        <v>McNeese St.Texas Tech</v>
      </c>
      <c r="D3841" t="s">
        <v>63</v>
      </c>
      <c r="E3841">
        <v>5.5</v>
      </c>
      <c r="F3841" s="1">
        <v>18.5811320754717</v>
      </c>
      <c r="G3841" s="2">
        <v>1702.5232950955101</v>
      </c>
      <c r="H3841" s="1">
        <v>138.385672369183</v>
      </c>
      <c r="I3841" s="1">
        <f t="shared" si="119"/>
        <v>133.27276159221603</v>
      </c>
    </row>
    <row r="3842" spans="1:9" x14ac:dyDescent="0.45">
      <c r="A3842" t="s">
        <v>39</v>
      </c>
      <c r="B3842" t="s">
        <v>63</v>
      </c>
      <c r="C3842" t="str">
        <f t="shared" si="118"/>
        <v>MemphisTexas Tech</v>
      </c>
      <c r="D3842" t="s">
        <v>63</v>
      </c>
      <c r="E3842">
        <v>12.4</v>
      </c>
      <c r="F3842" s="1">
        <v>12.807547169811301</v>
      </c>
      <c r="G3842" s="2">
        <v>705.38099767915298</v>
      </c>
      <c r="H3842" s="1">
        <v>136.91995419570901</v>
      </c>
      <c r="I3842" s="1">
        <f t="shared" si="119"/>
        <v>112.69156386362864</v>
      </c>
    </row>
    <row r="3843" spans="1:9" x14ac:dyDescent="0.45">
      <c r="A3843" t="s">
        <v>40</v>
      </c>
      <c r="B3843" t="s">
        <v>63</v>
      </c>
      <c r="C3843" t="str">
        <f t="shared" ref="C3843:C3906" si="120">A3843&amp;B3843</f>
        <v>MichiganTexas Tech</v>
      </c>
      <c r="D3843" t="s">
        <v>63</v>
      </c>
      <c r="E3843">
        <v>6.5</v>
      </c>
      <c r="F3843" s="1">
        <v>17.430188679245301</v>
      </c>
      <c r="G3843" s="2">
        <v>1428.2965599342001</v>
      </c>
      <c r="H3843" s="1">
        <v>136.48257549262601</v>
      </c>
      <c r="I3843" s="1">
        <f t="shared" ref="I3843:I3906" si="121">18*(H3843-AVERAGE($H$2:$H$4625))/_xlfn.STDEV.P($H$2:$H$4625)+AVERAGE($H$2:$H$4625)</f>
        <v>106.55001650934523</v>
      </c>
    </row>
    <row r="3844" spans="1:9" x14ac:dyDescent="0.45">
      <c r="A3844" t="s">
        <v>41</v>
      </c>
      <c r="B3844" t="s">
        <v>63</v>
      </c>
      <c r="C3844" t="str">
        <f t="shared" si="120"/>
        <v>Michigan St.Texas Tech</v>
      </c>
      <c r="D3844" t="s">
        <v>63</v>
      </c>
      <c r="E3844">
        <v>39.9</v>
      </c>
      <c r="F3844" s="1">
        <v>2.6830188679245301</v>
      </c>
      <c r="G3844" s="2">
        <v>150.61327383862201</v>
      </c>
      <c r="H3844" s="1">
        <v>138.129655201833</v>
      </c>
      <c r="I3844" s="1">
        <f t="shared" si="121"/>
        <v>129.6778413418555</v>
      </c>
    </row>
    <row r="3845" spans="1:9" x14ac:dyDescent="0.45">
      <c r="A3845" t="s">
        <v>42</v>
      </c>
      <c r="B3845" t="s">
        <v>63</v>
      </c>
      <c r="C3845" t="str">
        <f t="shared" si="120"/>
        <v>MississippiTexas Tech</v>
      </c>
      <c r="D3845" t="s">
        <v>63</v>
      </c>
      <c r="E3845">
        <v>15.4</v>
      </c>
      <c r="F3845" s="1">
        <v>11.1811320754717</v>
      </c>
      <c r="G3845" s="2">
        <v>550.47127828191799</v>
      </c>
      <c r="H3845" s="1">
        <v>137.39734655172199</v>
      </c>
      <c r="I3845" s="1">
        <f t="shared" si="121"/>
        <v>119.3949715521148</v>
      </c>
    </row>
    <row r="3846" spans="1:9" x14ac:dyDescent="0.45">
      <c r="A3846" t="s">
        <v>43</v>
      </c>
      <c r="B3846" t="s">
        <v>63</v>
      </c>
      <c r="C3846" t="str">
        <f t="shared" si="120"/>
        <v>Mississippi St.Texas Tech</v>
      </c>
      <c r="D3846" t="s">
        <v>63</v>
      </c>
      <c r="E3846">
        <v>12.3</v>
      </c>
      <c r="F3846" s="1">
        <v>12.905660377358499</v>
      </c>
      <c r="G3846" s="2">
        <v>715.99828147117398</v>
      </c>
      <c r="H3846" s="1">
        <v>137.53709302439901</v>
      </c>
      <c r="I3846" s="1">
        <f t="shared" si="121"/>
        <v>121.35725177630101</v>
      </c>
    </row>
    <row r="3847" spans="1:9" x14ac:dyDescent="0.45">
      <c r="A3847" t="s">
        <v>44</v>
      </c>
      <c r="B3847" t="s">
        <v>63</v>
      </c>
      <c r="C3847" t="str">
        <f t="shared" si="120"/>
        <v>MissouriTexas Tech</v>
      </c>
      <c r="D3847" t="s">
        <v>63</v>
      </c>
      <c r="E3847">
        <v>6.2</v>
      </c>
      <c r="F3847" s="1">
        <v>17.8377358490566</v>
      </c>
      <c r="G3847" s="2">
        <v>1519.81337373823</v>
      </c>
      <c r="H3847" s="1">
        <v>136.95475492304399</v>
      </c>
      <c r="I3847" s="1">
        <f t="shared" si="121"/>
        <v>113.18022577922892</v>
      </c>
    </row>
    <row r="3848" spans="1:9" x14ac:dyDescent="0.45">
      <c r="A3848" t="s">
        <v>45</v>
      </c>
      <c r="B3848" t="s">
        <v>63</v>
      </c>
      <c r="C3848" t="str">
        <f t="shared" si="120"/>
        <v>MontanaTexas Tech</v>
      </c>
      <c r="D3848" t="s">
        <v>63</v>
      </c>
      <c r="E3848">
        <v>0.6</v>
      </c>
      <c r="F3848" s="1">
        <v>33.6452830188679</v>
      </c>
      <c r="G3848" s="2">
        <v>16940.881492746499</v>
      </c>
      <c r="H3848" s="1">
        <v>136.091466486451</v>
      </c>
      <c r="I3848" s="1">
        <f t="shared" si="121"/>
        <v>101.05817507952881</v>
      </c>
    </row>
    <row r="3849" spans="1:9" x14ac:dyDescent="0.45">
      <c r="A3849" t="s">
        <v>46</v>
      </c>
      <c r="B3849" t="s">
        <v>63</v>
      </c>
      <c r="C3849" t="str">
        <f t="shared" si="120"/>
        <v>Mount St. Mary'sTexas Tech</v>
      </c>
      <c r="D3849" t="s">
        <v>63</v>
      </c>
      <c r="E3849">
        <v>0.2</v>
      </c>
      <c r="F3849" s="1">
        <v>39.977358490565997</v>
      </c>
      <c r="G3849" s="2">
        <v>44520.511252847798</v>
      </c>
      <c r="H3849" s="1">
        <v>137.39475444060099</v>
      </c>
      <c r="I3849" s="1">
        <f t="shared" si="121"/>
        <v>119.35857386497321</v>
      </c>
    </row>
    <row r="3850" spans="1:9" x14ac:dyDescent="0.45">
      <c r="A3850" t="s">
        <v>47</v>
      </c>
      <c r="B3850" t="s">
        <v>63</v>
      </c>
      <c r="C3850" t="str">
        <f t="shared" si="120"/>
        <v>Nebraska OmahaTexas Tech</v>
      </c>
      <c r="D3850" t="s">
        <v>63</v>
      </c>
      <c r="E3850">
        <v>0.3</v>
      </c>
      <c r="F3850" s="1">
        <v>37.788679245282999</v>
      </c>
      <c r="G3850" s="2">
        <v>31875.545190506698</v>
      </c>
      <c r="H3850" s="1">
        <v>136.81253057270499</v>
      </c>
      <c r="I3850" s="1">
        <f t="shared" si="121"/>
        <v>111.18315190164358</v>
      </c>
    </row>
    <row r="3851" spans="1:9" x14ac:dyDescent="0.45">
      <c r="A3851" t="s">
        <v>48</v>
      </c>
      <c r="B3851" t="s">
        <v>63</v>
      </c>
      <c r="C3851" t="str">
        <f t="shared" si="120"/>
        <v>New MexicoTexas Tech</v>
      </c>
      <c r="D3851" t="s">
        <v>63</v>
      </c>
      <c r="E3851">
        <v>7</v>
      </c>
      <c r="F3851" s="1">
        <v>16.954716981132101</v>
      </c>
      <c r="G3851" s="2">
        <v>1328.53936703716</v>
      </c>
      <c r="H3851" s="1">
        <v>137.58252050452199</v>
      </c>
      <c r="I3851" s="1">
        <f t="shared" si="121"/>
        <v>121.995131532207</v>
      </c>
    </row>
    <row r="3852" spans="1:9" x14ac:dyDescent="0.45">
      <c r="A3852" t="s">
        <v>49</v>
      </c>
      <c r="B3852" t="s">
        <v>63</v>
      </c>
      <c r="C3852" t="str">
        <f t="shared" si="120"/>
        <v>Norfolk St.Texas Tech</v>
      </c>
      <c r="D3852" t="s">
        <v>63</v>
      </c>
      <c r="E3852">
        <v>0.4</v>
      </c>
      <c r="F3852" s="1">
        <v>35.524528301886797</v>
      </c>
      <c r="G3852" s="2">
        <v>22563.412602554399</v>
      </c>
      <c r="H3852" s="1">
        <v>136.618646268486</v>
      </c>
      <c r="I3852" s="1">
        <f t="shared" si="121"/>
        <v>108.46068364422774</v>
      </c>
    </row>
    <row r="3853" spans="1:9" x14ac:dyDescent="0.45">
      <c r="A3853" t="s">
        <v>50</v>
      </c>
      <c r="B3853" t="s">
        <v>63</v>
      </c>
      <c r="C3853" t="str">
        <f t="shared" si="120"/>
        <v>North CarolinaTexas Tech</v>
      </c>
      <c r="D3853" t="s">
        <v>63</v>
      </c>
      <c r="E3853">
        <v>20.399999999999999</v>
      </c>
      <c r="F3853" s="1">
        <v>8.9056603773584904</v>
      </c>
      <c r="G3853" s="2">
        <v>389.06075323573901</v>
      </c>
      <c r="H3853" s="1">
        <v>138.69225222295501</v>
      </c>
      <c r="I3853" s="1">
        <f t="shared" si="121"/>
        <v>137.57766870483502</v>
      </c>
    </row>
    <row r="3854" spans="1:9" x14ac:dyDescent="0.45">
      <c r="A3854" t="s">
        <v>51</v>
      </c>
      <c r="B3854" t="s">
        <v>63</v>
      </c>
      <c r="C3854" t="str">
        <f t="shared" si="120"/>
        <v>OklahomaTexas Tech</v>
      </c>
      <c r="D3854" t="s">
        <v>63</v>
      </c>
      <c r="E3854">
        <v>8.3000000000000007</v>
      </c>
      <c r="F3854" s="1">
        <v>15.788679245282999</v>
      </c>
      <c r="G3854" s="2">
        <v>1111.71801464704</v>
      </c>
      <c r="H3854" s="1">
        <v>137.11587534912999</v>
      </c>
      <c r="I3854" s="1">
        <f t="shared" si="121"/>
        <v>115.44263297824088</v>
      </c>
    </row>
    <row r="3855" spans="1:9" x14ac:dyDescent="0.45">
      <c r="A3855" t="s">
        <v>52</v>
      </c>
      <c r="B3855" t="s">
        <v>63</v>
      </c>
      <c r="C3855" t="str">
        <f t="shared" si="120"/>
        <v>OregonTexas Tech</v>
      </c>
      <c r="D3855" t="s">
        <v>63</v>
      </c>
      <c r="E3855">
        <v>20.2</v>
      </c>
      <c r="F3855" s="1">
        <v>9.02264150943396</v>
      </c>
      <c r="G3855" s="2">
        <v>396.03028411803803</v>
      </c>
      <c r="H3855" s="1">
        <v>137.406592740658</v>
      </c>
      <c r="I3855" s="1">
        <f t="shared" si="121"/>
        <v>119.52480390745548</v>
      </c>
    </row>
    <row r="3856" spans="1:9" x14ac:dyDescent="0.45">
      <c r="A3856" t="s">
        <v>53</v>
      </c>
      <c r="B3856" t="s">
        <v>63</v>
      </c>
      <c r="C3856" t="str">
        <f t="shared" si="120"/>
        <v>PurdueTexas Tech</v>
      </c>
      <c r="D3856" t="s">
        <v>53</v>
      </c>
      <c r="E3856">
        <v>58.9</v>
      </c>
      <c r="F3856" s="1">
        <v>-2.3509433962264099</v>
      </c>
      <c r="G3856" s="2">
        <v>-143.11040889453699</v>
      </c>
      <c r="H3856" s="1">
        <v>138.894679940457</v>
      </c>
      <c r="I3856" s="1">
        <f t="shared" si="121"/>
        <v>140.42010114174784</v>
      </c>
    </row>
    <row r="3857" spans="1:9" x14ac:dyDescent="0.45">
      <c r="A3857" t="s">
        <v>54</v>
      </c>
      <c r="B3857" t="s">
        <v>63</v>
      </c>
      <c r="C3857" t="str">
        <f t="shared" si="120"/>
        <v>Robert MorrisTexas Tech</v>
      </c>
      <c r="D3857" t="s">
        <v>63</v>
      </c>
      <c r="E3857">
        <v>0.2</v>
      </c>
      <c r="F3857" s="1">
        <v>41.539622641509403</v>
      </c>
      <c r="G3857" s="2">
        <v>56488.972844472497</v>
      </c>
      <c r="H3857" s="1">
        <v>135.97764526914401</v>
      </c>
      <c r="I3857" s="1">
        <f t="shared" si="121"/>
        <v>99.459929917874433</v>
      </c>
    </row>
    <row r="3858" spans="1:9" x14ac:dyDescent="0.45">
      <c r="A3858" t="s">
        <v>55</v>
      </c>
      <c r="B3858" t="s">
        <v>63</v>
      </c>
      <c r="C3858" t="str">
        <f t="shared" si="120"/>
        <v>Saint FrancisTexas Tech</v>
      </c>
      <c r="D3858" t="s">
        <v>63</v>
      </c>
      <c r="E3858">
        <v>0.1</v>
      </c>
      <c r="F3858" s="1">
        <v>44.9018867924528</v>
      </c>
      <c r="G3858" s="2">
        <v>94350.8620171933</v>
      </c>
      <c r="H3858" s="1">
        <v>136.68449315118701</v>
      </c>
      <c r="I3858" s="1">
        <f t="shared" si="121"/>
        <v>109.385286843674</v>
      </c>
    </row>
    <row r="3859" spans="1:9" x14ac:dyDescent="0.45">
      <c r="A3859" t="s">
        <v>56</v>
      </c>
      <c r="B3859" t="s">
        <v>63</v>
      </c>
      <c r="C3859" t="str">
        <f t="shared" si="120"/>
        <v>Saint Mary'sTexas Tech</v>
      </c>
      <c r="D3859" t="s">
        <v>63</v>
      </c>
      <c r="E3859">
        <v>19.8</v>
      </c>
      <c r="F3859" s="1">
        <v>9.1660377358490592</v>
      </c>
      <c r="G3859" s="2">
        <v>404.83839781519998</v>
      </c>
      <c r="H3859" s="1">
        <v>138.413699267129</v>
      </c>
      <c r="I3859" s="1">
        <f t="shared" si="121"/>
        <v>133.66630732207383</v>
      </c>
    </row>
    <row r="3860" spans="1:9" x14ac:dyDescent="0.45">
      <c r="A3860" t="s">
        <v>57</v>
      </c>
      <c r="B3860" t="s">
        <v>63</v>
      </c>
      <c r="C3860" t="str">
        <f t="shared" si="120"/>
        <v>San Diego St.Texas Tech</v>
      </c>
      <c r="D3860" t="s">
        <v>63</v>
      </c>
      <c r="E3860">
        <v>7.1</v>
      </c>
      <c r="F3860" s="1">
        <v>16.841509433962301</v>
      </c>
      <c r="G3860" s="2">
        <v>1305.21261752958</v>
      </c>
      <c r="H3860" s="1">
        <v>137.62839843015701</v>
      </c>
      <c r="I3860" s="1">
        <f t="shared" si="121"/>
        <v>122.63933631588218</v>
      </c>
    </row>
    <row r="3861" spans="1:9" x14ac:dyDescent="0.45">
      <c r="A3861" t="s">
        <v>58</v>
      </c>
      <c r="B3861" t="s">
        <v>63</v>
      </c>
      <c r="C3861" t="str">
        <f t="shared" si="120"/>
        <v>SIU EdwardsvilleTexas Tech</v>
      </c>
      <c r="D3861" t="s">
        <v>63</v>
      </c>
      <c r="E3861">
        <v>0.4</v>
      </c>
      <c r="F3861" s="1">
        <v>36.815094339622597</v>
      </c>
      <c r="G3861" s="2">
        <v>27476.5083565319</v>
      </c>
      <c r="H3861" s="1">
        <v>137.68765661034101</v>
      </c>
      <c r="I3861" s="1">
        <f t="shared" si="121"/>
        <v>123.47142282847045</v>
      </c>
    </row>
    <row r="3862" spans="1:9" x14ac:dyDescent="0.45">
      <c r="A3862" t="s">
        <v>59</v>
      </c>
      <c r="B3862" t="s">
        <v>63</v>
      </c>
      <c r="C3862" t="str">
        <f t="shared" si="120"/>
        <v>St. John'sTexas Tech</v>
      </c>
      <c r="D3862" t="s">
        <v>63</v>
      </c>
      <c r="E3862">
        <v>41.8</v>
      </c>
      <c r="F3862" s="1">
        <v>2.18490566037736</v>
      </c>
      <c r="G3862" s="2">
        <v>139.51858021958699</v>
      </c>
      <c r="H3862" s="1">
        <v>138.50711305889601</v>
      </c>
      <c r="I3862" s="1">
        <f t="shared" si="121"/>
        <v>134.97799721834977</v>
      </c>
    </row>
    <row r="3863" spans="1:9" x14ac:dyDescent="0.45">
      <c r="A3863" t="s">
        <v>60</v>
      </c>
      <c r="B3863" t="s">
        <v>63</v>
      </c>
      <c r="C3863" t="str">
        <f t="shared" si="120"/>
        <v>TennesseeTexas Tech</v>
      </c>
      <c r="D3863" t="s">
        <v>60</v>
      </c>
      <c r="E3863">
        <v>61.4</v>
      </c>
      <c r="F3863" s="1">
        <v>-3.0339622641509401</v>
      </c>
      <c r="G3863" s="2">
        <v>-158.82740652877499</v>
      </c>
      <c r="H3863" s="1">
        <v>139.30034543303</v>
      </c>
      <c r="I3863" s="1">
        <f t="shared" si="121"/>
        <v>146.11634061357017</v>
      </c>
    </row>
    <row r="3864" spans="1:9" x14ac:dyDescent="0.45">
      <c r="A3864" t="s">
        <v>61</v>
      </c>
      <c r="B3864" t="s">
        <v>63</v>
      </c>
      <c r="C3864" t="str">
        <f t="shared" si="120"/>
        <v>TexasTexas Tech</v>
      </c>
      <c r="D3864" t="s">
        <v>63</v>
      </c>
      <c r="E3864">
        <v>6</v>
      </c>
      <c r="F3864" s="1">
        <v>18.0641509433962</v>
      </c>
      <c r="G3864" s="2">
        <v>1572.9661587799301</v>
      </c>
      <c r="H3864" s="1">
        <v>137.000227260668</v>
      </c>
      <c r="I3864" s="1">
        <f t="shared" si="121"/>
        <v>113.81873541140641</v>
      </c>
    </row>
    <row r="3865" spans="1:9" x14ac:dyDescent="0.45">
      <c r="A3865" t="s">
        <v>62</v>
      </c>
      <c r="B3865" t="s">
        <v>63</v>
      </c>
      <c r="C3865" t="str">
        <f t="shared" si="120"/>
        <v>Texas A&amp;MTexas Tech</v>
      </c>
      <c r="D3865" t="s">
        <v>63</v>
      </c>
      <c r="E3865">
        <v>26.6</v>
      </c>
      <c r="F3865" s="1">
        <v>6.6603773584905701</v>
      </c>
      <c r="G3865" s="2">
        <v>276.28995776515399</v>
      </c>
      <c r="H3865" s="1">
        <v>137.787202570066</v>
      </c>
      <c r="I3865" s="1">
        <f t="shared" si="121"/>
        <v>124.8692188831691</v>
      </c>
    </row>
    <row r="3866" spans="1:9" x14ac:dyDescent="0.45">
      <c r="A3866" t="s">
        <v>63</v>
      </c>
      <c r="B3866" t="s">
        <v>63</v>
      </c>
      <c r="C3866" t="str">
        <f t="shared" si="120"/>
        <v>Texas TechTexas Tech</v>
      </c>
      <c r="D3866" t="s">
        <v>63</v>
      </c>
      <c r="E3866">
        <v>41.2</v>
      </c>
      <c r="F3866" s="1">
        <v>2.3283018867924499</v>
      </c>
      <c r="G3866" s="2">
        <v>142.64273539779199</v>
      </c>
      <c r="H3866" s="1">
        <v>138.77771517530499</v>
      </c>
      <c r="I3866" s="1">
        <f t="shared" si="121"/>
        <v>138.77771517530684</v>
      </c>
    </row>
    <row r="3867" spans="1:9" x14ac:dyDescent="0.45">
      <c r="A3867" t="s">
        <v>64</v>
      </c>
      <c r="B3867" t="s">
        <v>63</v>
      </c>
      <c r="C3867" t="str">
        <f t="shared" si="120"/>
        <v>TroyTexas Tech</v>
      </c>
      <c r="D3867" t="s">
        <v>63</v>
      </c>
      <c r="E3867">
        <v>1</v>
      </c>
      <c r="F3867" s="1">
        <v>30.135849056603799</v>
      </c>
      <c r="G3867" s="2">
        <v>9921.8103733523603</v>
      </c>
      <c r="H3867" s="1">
        <v>137.54401976986401</v>
      </c>
      <c r="I3867" s="1">
        <f t="shared" si="121"/>
        <v>121.45451516609222</v>
      </c>
    </row>
    <row r="3868" spans="1:9" x14ac:dyDescent="0.45">
      <c r="A3868" t="s">
        <v>65</v>
      </c>
      <c r="B3868" t="s">
        <v>63</v>
      </c>
      <c r="C3868" t="str">
        <f t="shared" si="120"/>
        <v>UC San DiegoTexas Tech</v>
      </c>
      <c r="D3868" t="s">
        <v>63</v>
      </c>
      <c r="E3868">
        <v>2.5</v>
      </c>
      <c r="F3868" s="1">
        <v>23.954716981132101</v>
      </c>
      <c r="G3868" s="2">
        <v>3864.2303751831</v>
      </c>
      <c r="H3868" s="1">
        <v>137.614139999527</v>
      </c>
      <c r="I3868" s="1">
        <f t="shared" si="121"/>
        <v>122.43912348820058</v>
      </c>
    </row>
    <row r="3869" spans="1:9" x14ac:dyDescent="0.45">
      <c r="A3869" t="s">
        <v>66</v>
      </c>
      <c r="B3869" t="s">
        <v>63</v>
      </c>
      <c r="C3869" t="str">
        <f t="shared" si="120"/>
        <v>UCLATexas Tech</v>
      </c>
      <c r="D3869" t="s">
        <v>63</v>
      </c>
      <c r="E3869">
        <v>8.1999999999999993</v>
      </c>
      <c r="F3869" s="1">
        <v>15.852830188679199</v>
      </c>
      <c r="G3869" s="2">
        <v>1122.97880223938</v>
      </c>
      <c r="H3869" s="1">
        <v>136.83539857873899</v>
      </c>
      <c r="I3869" s="1">
        <f t="shared" si="121"/>
        <v>111.50425793850798</v>
      </c>
    </row>
    <row r="3870" spans="1:9" x14ac:dyDescent="0.45">
      <c r="A3870" t="s">
        <v>67</v>
      </c>
      <c r="B3870" t="s">
        <v>63</v>
      </c>
      <c r="C3870" t="str">
        <f t="shared" si="120"/>
        <v>UNC WilmingtonTexas Tech</v>
      </c>
      <c r="D3870" t="s">
        <v>63</v>
      </c>
      <c r="E3870">
        <v>1.5</v>
      </c>
      <c r="F3870" s="1">
        <v>27.547169811320799</v>
      </c>
      <c r="G3870" s="2">
        <v>6683.8393051367102</v>
      </c>
      <c r="H3870" s="1">
        <v>138.150808470192</v>
      </c>
      <c r="I3870" s="1">
        <f t="shared" si="121"/>
        <v>129.97486951997419</v>
      </c>
    </row>
    <row r="3871" spans="1:9" x14ac:dyDescent="0.45">
      <c r="A3871" t="s">
        <v>68</v>
      </c>
      <c r="B3871" t="s">
        <v>63</v>
      </c>
      <c r="C3871" t="str">
        <f t="shared" si="120"/>
        <v>Utah St.Texas Tech</v>
      </c>
      <c r="D3871" t="s">
        <v>63</v>
      </c>
      <c r="E3871">
        <v>7.8</v>
      </c>
      <c r="F3871" s="1">
        <v>16.218867924528301</v>
      </c>
      <c r="G3871" s="2">
        <v>1187.37475624786</v>
      </c>
      <c r="H3871" s="1">
        <v>137.69799496877101</v>
      </c>
      <c r="I3871" s="1">
        <f t="shared" si="121"/>
        <v>123.61659111722314</v>
      </c>
    </row>
    <row r="3872" spans="1:9" x14ac:dyDescent="0.45">
      <c r="A3872" t="s">
        <v>69</v>
      </c>
      <c r="B3872" t="s">
        <v>63</v>
      </c>
      <c r="C3872" t="str">
        <f t="shared" si="120"/>
        <v>VanderbiltTexas Tech</v>
      </c>
      <c r="D3872" t="s">
        <v>63</v>
      </c>
      <c r="E3872">
        <v>1.6</v>
      </c>
      <c r="F3872" s="1">
        <v>26.867924528301899</v>
      </c>
      <c r="G3872" s="2">
        <v>6025.6899315217697</v>
      </c>
      <c r="H3872" s="1">
        <v>136.13203285005301</v>
      </c>
      <c r="I3872" s="1">
        <f t="shared" si="121"/>
        <v>101.62779641979228</v>
      </c>
    </row>
    <row r="3873" spans="1:9" x14ac:dyDescent="0.45">
      <c r="A3873" t="s">
        <v>70</v>
      </c>
      <c r="B3873" t="s">
        <v>63</v>
      </c>
      <c r="C3873" t="str">
        <f t="shared" si="120"/>
        <v>VCUTexas Tech</v>
      </c>
      <c r="D3873" t="s">
        <v>63</v>
      </c>
      <c r="E3873">
        <v>5.0999999999999996</v>
      </c>
      <c r="F3873" s="1">
        <v>19.222641509433998</v>
      </c>
      <c r="G3873" s="2">
        <v>1877.0897151383399</v>
      </c>
      <c r="H3873" s="1">
        <v>138.05720597924699</v>
      </c>
      <c r="I3873" s="1">
        <f t="shared" si="121"/>
        <v>128.66052996350837</v>
      </c>
    </row>
    <row r="3874" spans="1:9" x14ac:dyDescent="0.45">
      <c r="A3874" t="s">
        <v>71</v>
      </c>
      <c r="B3874" t="s">
        <v>63</v>
      </c>
      <c r="C3874" t="str">
        <f t="shared" si="120"/>
        <v>WisconsinTexas Tech</v>
      </c>
      <c r="D3874" t="s">
        <v>63</v>
      </c>
      <c r="E3874">
        <v>37.799999999999997</v>
      </c>
      <c r="F3874" s="1">
        <v>3.2679245283018901</v>
      </c>
      <c r="G3874" s="2">
        <v>164.664276891171</v>
      </c>
      <c r="H3874" s="1">
        <v>138.71046158757801</v>
      </c>
      <c r="I3874" s="1">
        <f t="shared" si="121"/>
        <v>137.83335942396536</v>
      </c>
    </row>
    <row r="3875" spans="1:9" x14ac:dyDescent="0.45">
      <c r="A3875" t="s">
        <v>80</v>
      </c>
      <c r="B3875" t="s">
        <v>63</v>
      </c>
      <c r="C3875" t="str">
        <f t="shared" si="120"/>
        <v>WoffordTexas Tech</v>
      </c>
      <c r="D3875" t="s">
        <v>63</v>
      </c>
      <c r="E3875">
        <v>0.5</v>
      </c>
      <c r="F3875" s="1">
        <v>34.445283018867897</v>
      </c>
      <c r="G3875" s="2">
        <v>19137.511947999701</v>
      </c>
      <c r="H3875" s="1">
        <v>136.80811001680499</v>
      </c>
      <c r="I3875" s="1">
        <f t="shared" si="121"/>
        <v>111.12107971294139</v>
      </c>
    </row>
    <row r="3876" spans="1:9" x14ac:dyDescent="0.45">
      <c r="A3876" t="s">
        <v>72</v>
      </c>
      <c r="B3876" t="s">
        <v>63</v>
      </c>
      <c r="C3876" t="str">
        <f t="shared" si="120"/>
        <v>XavierTexas Tech</v>
      </c>
      <c r="D3876" t="s">
        <v>63</v>
      </c>
      <c r="E3876">
        <v>5</v>
      </c>
      <c r="F3876" s="1">
        <v>19.294339622641498</v>
      </c>
      <c r="G3876" s="2">
        <v>1898.15212524823</v>
      </c>
      <c r="H3876" s="1">
        <v>137.550912187427</v>
      </c>
      <c r="I3876" s="1">
        <f t="shared" si="121"/>
        <v>121.5512965332467</v>
      </c>
    </row>
    <row r="3877" spans="1:9" x14ac:dyDescent="0.45">
      <c r="A3877" t="s">
        <v>73</v>
      </c>
      <c r="B3877" t="s">
        <v>63</v>
      </c>
      <c r="C3877" t="str">
        <f t="shared" si="120"/>
        <v>YaleTexas Tech</v>
      </c>
      <c r="D3877" t="s">
        <v>63</v>
      </c>
      <c r="E3877">
        <v>2.7</v>
      </c>
      <c r="F3877" s="1">
        <v>23.547169811320799</v>
      </c>
      <c r="G3877" s="2">
        <v>3629.7482704294598</v>
      </c>
      <c r="H3877" s="1">
        <v>138.15061832382099</v>
      </c>
      <c r="I3877" s="1">
        <f t="shared" si="121"/>
        <v>129.97219953871178</v>
      </c>
    </row>
    <row r="3878" spans="1:9" x14ac:dyDescent="0.45">
      <c r="A3878" t="s">
        <v>7</v>
      </c>
      <c r="B3878" t="s">
        <v>64</v>
      </c>
      <c r="C3878" t="str">
        <f t="shared" si="120"/>
        <v>AkronTroy</v>
      </c>
      <c r="D3878" t="s">
        <v>64</v>
      </c>
      <c r="E3878">
        <v>50</v>
      </c>
      <c r="F3878" s="1">
        <v>0</v>
      </c>
      <c r="G3878" s="2">
        <v>100.00211615485</v>
      </c>
      <c r="H3878" s="1">
        <v>138.20114078984199</v>
      </c>
      <c r="I3878" s="1">
        <f t="shared" si="121"/>
        <v>130.68162163753817</v>
      </c>
    </row>
    <row r="3879" spans="1:9" x14ac:dyDescent="0.45">
      <c r="A3879" t="s">
        <v>8</v>
      </c>
      <c r="B3879" t="s">
        <v>64</v>
      </c>
      <c r="C3879" t="str">
        <f t="shared" si="120"/>
        <v>AlabamaTroy</v>
      </c>
      <c r="D3879" t="s">
        <v>8</v>
      </c>
      <c r="E3879">
        <v>98.7</v>
      </c>
      <c r="F3879" s="1">
        <v>-28.339622641509401</v>
      </c>
      <c r="G3879" s="2">
        <v>-7542.6075948928601</v>
      </c>
      <c r="H3879" s="1">
        <v>140.00875197743699</v>
      </c>
      <c r="I3879" s="1">
        <f t="shared" si="121"/>
        <v>156.06358383298721</v>
      </c>
    </row>
    <row r="3880" spans="1:9" x14ac:dyDescent="0.45">
      <c r="A3880" t="s">
        <v>9</v>
      </c>
      <c r="B3880" t="s">
        <v>64</v>
      </c>
      <c r="C3880" t="str">
        <f t="shared" si="120"/>
        <v>Alabama St.Troy</v>
      </c>
      <c r="D3880" t="s">
        <v>64</v>
      </c>
      <c r="E3880">
        <v>13.2</v>
      </c>
      <c r="F3880" s="1">
        <v>12.316981132075499</v>
      </c>
      <c r="G3880" s="2">
        <v>654.78528024639604</v>
      </c>
      <c r="H3880" s="1">
        <v>138.387902549263</v>
      </c>
      <c r="I3880" s="1">
        <f t="shared" si="121"/>
        <v>133.30407714661632</v>
      </c>
    </row>
    <row r="3881" spans="1:9" x14ac:dyDescent="0.45">
      <c r="A3881" t="s">
        <v>10</v>
      </c>
      <c r="B3881" t="s">
        <v>64</v>
      </c>
      <c r="C3881" t="str">
        <f t="shared" si="120"/>
        <v>AmericanTroy</v>
      </c>
      <c r="D3881" t="s">
        <v>64</v>
      </c>
      <c r="E3881">
        <v>14.6</v>
      </c>
      <c r="F3881" s="1">
        <v>11.562264150943401</v>
      </c>
      <c r="G3881" s="2">
        <v>583.381479704193</v>
      </c>
      <c r="H3881" s="1">
        <v>138.151192069025</v>
      </c>
      <c r="I3881" s="1">
        <f t="shared" si="121"/>
        <v>129.98025590568821</v>
      </c>
    </row>
    <row r="3882" spans="1:9" x14ac:dyDescent="0.45">
      <c r="A3882" t="s">
        <v>11</v>
      </c>
      <c r="B3882" t="s">
        <v>64</v>
      </c>
      <c r="C3882" t="str">
        <f t="shared" si="120"/>
        <v>ArizonaTroy</v>
      </c>
      <c r="D3882" t="s">
        <v>11</v>
      </c>
      <c r="E3882">
        <v>98</v>
      </c>
      <c r="F3882" s="1">
        <v>-25.584905660377402</v>
      </c>
      <c r="G3882" s="2">
        <v>-4954.1292321993196</v>
      </c>
      <c r="H3882" s="1">
        <v>139.61923131761401</v>
      </c>
      <c r="I3882" s="1">
        <f t="shared" si="121"/>
        <v>150.5940455109062</v>
      </c>
    </row>
    <row r="3883" spans="1:9" x14ac:dyDescent="0.45">
      <c r="A3883" t="s">
        <v>12</v>
      </c>
      <c r="B3883" t="s">
        <v>64</v>
      </c>
      <c r="C3883" t="str">
        <f t="shared" si="120"/>
        <v>ArkansasTroy</v>
      </c>
      <c r="D3883" t="s">
        <v>12</v>
      </c>
      <c r="E3883">
        <v>76.400000000000006</v>
      </c>
      <c r="F3883" s="1">
        <v>-7.6830188679245301</v>
      </c>
      <c r="G3883" s="2">
        <v>-322.899763731588</v>
      </c>
      <c r="H3883" s="1">
        <v>137.945155295403</v>
      </c>
      <c r="I3883" s="1">
        <f t="shared" si="121"/>
        <v>127.08714612918594</v>
      </c>
    </row>
    <row r="3884" spans="1:9" x14ac:dyDescent="0.45">
      <c r="A3884" t="s">
        <v>13</v>
      </c>
      <c r="B3884" t="s">
        <v>64</v>
      </c>
      <c r="C3884" t="str">
        <f t="shared" si="120"/>
        <v>AuburnTroy</v>
      </c>
      <c r="D3884" t="s">
        <v>13</v>
      </c>
      <c r="E3884">
        <v>99.3</v>
      </c>
      <c r="F3884" s="1">
        <v>-32.781132075471703</v>
      </c>
      <c r="G3884" s="2">
        <v>-14846.7719323213</v>
      </c>
      <c r="H3884" s="1">
        <v>141.03096821078901</v>
      </c>
      <c r="I3884" s="1">
        <f t="shared" si="121"/>
        <v>170.4172534542933</v>
      </c>
    </row>
    <row r="3885" spans="1:9" x14ac:dyDescent="0.45">
      <c r="A3885" t="s">
        <v>14</v>
      </c>
      <c r="B3885" t="s">
        <v>64</v>
      </c>
      <c r="C3885" t="str">
        <f t="shared" si="120"/>
        <v>BaylorTroy</v>
      </c>
      <c r="D3885" t="s">
        <v>14</v>
      </c>
      <c r="E3885">
        <v>93.7</v>
      </c>
      <c r="F3885" s="1">
        <v>-17.732075471698099</v>
      </c>
      <c r="G3885" s="2">
        <v>-1495.09859632553</v>
      </c>
      <c r="H3885" s="1">
        <v>139.49388557197</v>
      </c>
      <c r="I3885" s="1">
        <f t="shared" si="121"/>
        <v>148.83397620002214</v>
      </c>
    </row>
    <row r="3886" spans="1:9" x14ac:dyDescent="0.45">
      <c r="A3886" t="s">
        <v>15</v>
      </c>
      <c r="B3886" t="s">
        <v>64</v>
      </c>
      <c r="C3886" t="str">
        <f t="shared" si="120"/>
        <v>BryantTroy</v>
      </c>
      <c r="D3886" t="s">
        <v>64</v>
      </c>
      <c r="E3886">
        <v>41.2</v>
      </c>
      <c r="F3886" s="1">
        <v>2.3396226415094299</v>
      </c>
      <c r="G3886" s="2">
        <v>142.90320762718801</v>
      </c>
      <c r="H3886" s="1">
        <v>139.08620544761499</v>
      </c>
      <c r="I3886" s="1">
        <f t="shared" si="121"/>
        <v>143.10944784169618</v>
      </c>
    </row>
    <row r="3887" spans="1:9" x14ac:dyDescent="0.45">
      <c r="A3887" t="s">
        <v>16</v>
      </c>
      <c r="B3887" t="s">
        <v>64</v>
      </c>
      <c r="C3887" t="str">
        <f t="shared" si="120"/>
        <v>BYUTroy</v>
      </c>
      <c r="D3887" t="s">
        <v>16</v>
      </c>
      <c r="E3887">
        <v>94.6</v>
      </c>
      <c r="F3887" s="1">
        <v>-18.826415094339598</v>
      </c>
      <c r="G3887" s="2">
        <v>-1766.7682082209601</v>
      </c>
      <c r="H3887" s="1">
        <v>139.256246122059</v>
      </c>
      <c r="I3887" s="1">
        <f t="shared" si="121"/>
        <v>145.49711063115305</v>
      </c>
    </row>
    <row r="3888" spans="1:9" x14ac:dyDescent="0.45">
      <c r="A3888" t="s">
        <v>17</v>
      </c>
      <c r="B3888" t="s">
        <v>64</v>
      </c>
      <c r="C3888" t="str">
        <f t="shared" si="120"/>
        <v>ClemsonTroy</v>
      </c>
      <c r="D3888" t="s">
        <v>17</v>
      </c>
      <c r="E3888">
        <v>96.1</v>
      </c>
      <c r="F3888" s="1">
        <v>-21.030188679245299</v>
      </c>
      <c r="G3888" s="2">
        <v>-2472.9807833087598</v>
      </c>
      <c r="H3888" s="1">
        <v>139.606296344501</v>
      </c>
      <c r="I3888" s="1">
        <f t="shared" si="121"/>
        <v>150.41241629727523</v>
      </c>
    </row>
    <row r="3889" spans="1:9" x14ac:dyDescent="0.45">
      <c r="A3889" t="s">
        <v>18</v>
      </c>
      <c r="B3889" t="s">
        <v>64</v>
      </c>
      <c r="C3889" t="str">
        <f t="shared" si="120"/>
        <v>Colorado St.Troy</v>
      </c>
      <c r="D3889" t="s">
        <v>18</v>
      </c>
      <c r="E3889">
        <v>80.400000000000006</v>
      </c>
      <c r="F3889" s="1">
        <v>-9.2490566037735906</v>
      </c>
      <c r="G3889" s="2">
        <v>-409.880110558556</v>
      </c>
      <c r="H3889" s="1">
        <v>138.99590731929499</v>
      </c>
      <c r="I3889" s="1">
        <f t="shared" si="121"/>
        <v>141.84150720542061</v>
      </c>
    </row>
    <row r="3890" spans="1:9" x14ac:dyDescent="0.45">
      <c r="A3890" t="s">
        <v>19</v>
      </c>
      <c r="B3890" t="s">
        <v>64</v>
      </c>
      <c r="C3890" t="str">
        <f t="shared" si="120"/>
        <v>ConnecticutTroy</v>
      </c>
      <c r="D3890" t="s">
        <v>19</v>
      </c>
      <c r="E3890">
        <v>97.5</v>
      </c>
      <c r="F3890" s="1">
        <v>-23.924528301886799</v>
      </c>
      <c r="G3890" s="2">
        <v>-3845.0949617533101</v>
      </c>
      <c r="H3890" s="1">
        <v>139.40654717524899</v>
      </c>
      <c r="I3890" s="1">
        <f t="shared" si="121"/>
        <v>147.60759527308551</v>
      </c>
    </row>
    <row r="3891" spans="1:9" x14ac:dyDescent="0.45">
      <c r="A3891" t="s">
        <v>20</v>
      </c>
      <c r="B3891" t="s">
        <v>64</v>
      </c>
      <c r="C3891" t="str">
        <f t="shared" si="120"/>
        <v>CreightonTroy</v>
      </c>
      <c r="D3891" t="s">
        <v>20</v>
      </c>
      <c r="E3891">
        <v>92.2</v>
      </c>
      <c r="F3891" s="1">
        <v>-16.215094339622599</v>
      </c>
      <c r="G3891" s="2">
        <v>-1186.51821582961</v>
      </c>
      <c r="H3891" s="1">
        <v>138.955843928088</v>
      </c>
      <c r="I3891" s="1">
        <f t="shared" si="121"/>
        <v>141.27894846047826</v>
      </c>
    </row>
    <row r="3892" spans="1:9" x14ac:dyDescent="0.45">
      <c r="A3892" t="s">
        <v>21</v>
      </c>
      <c r="B3892" t="s">
        <v>64</v>
      </c>
      <c r="C3892" t="str">
        <f t="shared" si="120"/>
        <v>DrakeTroy</v>
      </c>
      <c r="D3892" t="s">
        <v>21</v>
      </c>
      <c r="E3892">
        <v>79.900000000000006</v>
      </c>
      <c r="F3892" s="1">
        <v>-9.0415094339622595</v>
      </c>
      <c r="G3892" s="2">
        <v>-397.27086556309501</v>
      </c>
      <c r="H3892" s="1">
        <v>139.19051973376199</v>
      </c>
      <c r="I3892" s="1">
        <f t="shared" si="121"/>
        <v>144.5741993798581</v>
      </c>
    </row>
    <row r="3893" spans="1:9" x14ac:dyDescent="0.45">
      <c r="A3893" t="s">
        <v>22</v>
      </c>
      <c r="B3893" t="s">
        <v>64</v>
      </c>
      <c r="C3893" t="str">
        <f t="shared" si="120"/>
        <v>DukeTroy</v>
      </c>
      <c r="D3893" t="s">
        <v>22</v>
      </c>
      <c r="E3893">
        <v>99.5</v>
      </c>
      <c r="F3893" s="1">
        <v>-34.992452830188697</v>
      </c>
      <c r="G3893" s="2">
        <v>-20813.2136617346</v>
      </c>
      <c r="H3893" s="1">
        <v>141.27085962236501</v>
      </c>
      <c r="I3893" s="1">
        <f t="shared" si="121"/>
        <v>173.78574042838426</v>
      </c>
    </row>
    <row r="3894" spans="1:9" x14ac:dyDescent="0.45">
      <c r="A3894" t="s">
        <v>23</v>
      </c>
      <c r="B3894" t="s">
        <v>64</v>
      </c>
      <c r="C3894" t="str">
        <f t="shared" si="120"/>
        <v>FloridaTroy</v>
      </c>
      <c r="D3894" t="s">
        <v>23</v>
      </c>
      <c r="E3894">
        <v>99.1</v>
      </c>
      <c r="F3894" s="1">
        <v>-31.135849056603799</v>
      </c>
      <c r="G3894" s="2">
        <v>-11555.985345537099</v>
      </c>
      <c r="H3894" s="1">
        <v>141.00551014992001</v>
      </c>
      <c r="I3894" s="1">
        <f t="shared" si="121"/>
        <v>170.05977860407063</v>
      </c>
    </row>
    <row r="3895" spans="1:9" x14ac:dyDescent="0.45">
      <c r="A3895" t="s">
        <v>24</v>
      </c>
      <c r="B3895" t="s">
        <v>64</v>
      </c>
      <c r="C3895" t="str">
        <f t="shared" si="120"/>
        <v>GeorgiaTroy</v>
      </c>
      <c r="D3895" t="s">
        <v>24</v>
      </c>
      <c r="E3895">
        <v>82.3</v>
      </c>
      <c r="F3895" s="1">
        <v>-10.0754716981132</v>
      </c>
      <c r="G3895" s="2">
        <v>-465.04123626449399</v>
      </c>
      <c r="H3895" s="1">
        <v>138.269468446204</v>
      </c>
      <c r="I3895" s="1">
        <f t="shared" si="121"/>
        <v>131.64105915517811</v>
      </c>
    </row>
    <row r="3896" spans="1:9" x14ac:dyDescent="0.45">
      <c r="A3896" t="s">
        <v>25</v>
      </c>
      <c r="B3896" t="s">
        <v>64</v>
      </c>
      <c r="C3896" t="str">
        <f t="shared" si="120"/>
        <v>GonzagaTroy</v>
      </c>
      <c r="D3896" t="s">
        <v>25</v>
      </c>
      <c r="E3896">
        <v>95.9</v>
      </c>
      <c r="F3896" s="1">
        <v>-20.705660377358502</v>
      </c>
      <c r="G3896" s="2">
        <v>-2353.5872739891302</v>
      </c>
      <c r="H3896" s="1">
        <v>140.24643017670999</v>
      </c>
      <c r="I3896" s="1">
        <f t="shared" si="121"/>
        <v>159.40099350937689</v>
      </c>
    </row>
    <row r="3897" spans="1:9" x14ac:dyDescent="0.45">
      <c r="A3897" t="s">
        <v>26</v>
      </c>
      <c r="B3897" t="s">
        <v>64</v>
      </c>
      <c r="C3897" t="str">
        <f t="shared" si="120"/>
        <v>Grand CanyonTroy</v>
      </c>
      <c r="D3897" t="s">
        <v>26</v>
      </c>
      <c r="E3897">
        <v>71.900000000000006</v>
      </c>
      <c r="F3897" s="1">
        <v>-6.1547169811320801</v>
      </c>
      <c r="G3897" s="2">
        <v>-255.71221383490899</v>
      </c>
      <c r="H3897" s="1">
        <v>139.06440189425001</v>
      </c>
      <c r="I3897" s="1">
        <f t="shared" si="121"/>
        <v>142.80328854647044</v>
      </c>
    </row>
    <row r="3898" spans="1:9" x14ac:dyDescent="0.45">
      <c r="A3898" t="s">
        <v>27</v>
      </c>
      <c r="B3898" t="s">
        <v>64</v>
      </c>
      <c r="C3898" t="str">
        <f t="shared" si="120"/>
        <v>High PointTroy</v>
      </c>
      <c r="D3898" t="s">
        <v>27</v>
      </c>
      <c r="E3898">
        <v>61.5</v>
      </c>
      <c r="F3898" s="1">
        <v>-3.0641509433962302</v>
      </c>
      <c r="G3898" s="2">
        <v>-159.61342282906</v>
      </c>
      <c r="H3898" s="1">
        <v>139.25560902779799</v>
      </c>
      <c r="I3898" s="1">
        <f t="shared" si="121"/>
        <v>145.48816473473525</v>
      </c>
    </row>
    <row r="3899" spans="1:9" x14ac:dyDescent="0.45">
      <c r="A3899" t="s">
        <v>28</v>
      </c>
      <c r="B3899" t="s">
        <v>64</v>
      </c>
      <c r="C3899" t="str">
        <f t="shared" si="120"/>
        <v>HoustonTroy</v>
      </c>
      <c r="D3899" t="s">
        <v>28</v>
      </c>
      <c r="E3899">
        <v>99.7</v>
      </c>
      <c r="F3899" s="1">
        <v>-38.347169811320803</v>
      </c>
      <c r="G3899" s="2">
        <v>-34719.167506009602</v>
      </c>
      <c r="H3899" s="1">
        <v>141.36907138500101</v>
      </c>
      <c r="I3899" s="1">
        <f t="shared" si="121"/>
        <v>175.16480206701681</v>
      </c>
    </row>
    <row r="3900" spans="1:9" x14ac:dyDescent="0.45">
      <c r="A3900" t="s">
        <v>29</v>
      </c>
      <c r="B3900" t="s">
        <v>64</v>
      </c>
      <c r="C3900" t="str">
        <f t="shared" si="120"/>
        <v>IllinoisTroy</v>
      </c>
      <c r="D3900" t="s">
        <v>29</v>
      </c>
      <c r="E3900">
        <v>97.2</v>
      </c>
      <c r="F3900" s="1">
        <v>-23.158490566037699</v>
      </c>
      <c r="G3900" s="2">
        <v>-3422.5966678774498</v>
      </c>
      <c r="H3900" s="1">
        <v>139.42753515996301</v>
      </c>
      <c r="I3900" s="1">
        <f t="shared" si="121"/>
        <v>147.90230258526964</v>
      </c>
    </row>
    <row r="3901" spans="1:9" x14ac:dyDescent="0.45">
      <c r="A3901" t="s">
        <v>30</v>
      </c>
      <c r="B3901" t="s">
        <v>64</v>
      </c>
      <c r="C3901" t="str">
        <f t="shared" si="120"/>
        <v>Iowa St.Troy</v>
      </c>
      <c r="D3901" t="s">
        <v>30</v>
      </c>
      <c r="E3901">
        <v>98.6</v>
      </c>
      <c r="F3901" s="1">
        <v>-28.022641509433999</v>
      </c>
      <c r="G3901" s="2">
        <v>-7184.7520087461598</v>
      </c>
      <c r="H3901" s="1">
        <v>140.32407745154899</v>
      </c>
      <c r="I3901" s="1">
        <f t="shared" si="121"/>
        <v>160.49129445908787</v>
      </c>
    </row>
    <row r="3902" spans="1:9" x14ac:dyDescent="0.45">
      <c r="A3902" t="s">
        <v>31</v>
      </c>
      <c r="B3902" t="s">
        <v>64</v>
      </c>
      <c r="C3902" t="str">
        <f t="shared" si="120"/>
        <v>KansasTroy</v>
      </c>
      <c r="D3902" t="s">
        <v>31</v>
      </c>
      <c r="E3902">
        <v>95.7</v>
      </c>
      <c r="F3902" s="1">
        <v>-20.3056603773585</v>
      </c>
      <c r="G3902" s="2">
        <v>-2214.1694110329599</v>
      </c>
      <c r="H3902" s="1">
        <v>139.374665340403</v>
      </c>
      <c r="I3902" s="1">
        <f t="shared" si="121"/>
        <v>147.15991961565658</v>
      </c>
    </row>
    <row r="3903" spans="1:9" x14ac:dyDescent="0.45">
      <c r="A3903" t="s">
        <v>32</v>
      </c>
      <c r="B3903" t="s">
        <v>64</v>
      </c>
      <c r="C3903" t="str">
        <f t="shared" si="120"/>
        <v>KentuckyTroy</v>
      </c>
      <c r="D3903" t="s">
        <v>32</v>
      </c>
      <c r="E3903">
        <v>97.4</v>
      </c>
      <c r="F3903" s="1">
        <v>-23.667924528301899</v>
      </c>
      <c r="G3903" s="2">
        <v>-3699.1061105889598</v>
      </c>
      <c r="H3903" s="1">
        <v>139.30894767252801</v>
      </c>
      <c r="I3903" s="1">
        <f t="shared" si="121"/>
        <v>146.23713081404742</v>
      </c>
    </row>
    <row r="3904" spans="1:9" x14ac:dyDescent="0.45">
      <c r="A3904" t="s">
        <v>33</v>
      </c>
      <c r="B3904" t="s">
        <v>64</v>
      </c>
      <c r="C3904" t="str">
        <f t="shared" si="120"/>
        <v>LibertyTroy</v>
      </c>
      <c r="D3904" t="s">
        <v>33</v>
      </c>
      <c r="E3904">
        <v>52.6</v>
      </c>
      <c r="F3904" s="1">
        <v>-0.68301886792452804</v>
      </c>
      <c r="G3904" s="2">
        <v>-110.986172509144</v>
      </c>
      <c r="H3904" s="1">
        <v>138.65394871624599</v>
      </c>
      <c r="I3904" s="1">
        <f t="shared" si="121"/>
        <v>137.03982175748632</v>
      </c>
    </row>
    <row r="3905" spans="1:9" x14ac:dyDescent="0.45">
      <c r="A3905" t="s">
        <v>34</v>
      </c>
      <c r="B3905" t="s">
        <v>64</v>
      </c>
      <c r="C3905" t="str">
        <f t="shared" si="120"/>
        <v>LipscombTroy</v>
      </c>
      <c r="D3905" t="s">
        <v>64</v>
      </c>
      <c r="E3905">
        <v>45.5</v>
      </c>
      <c r="F3905" s="1">
        <v>1.1811320754717001</v>
      </c>
      <c r="G3905" s="2">
        <v>119.764864128369</v>
      </c>
      <c r="H3905" s="1">
        <v>139.06026691383801</v>
      </c>
      <c r="I3905" s="1">
        <f t="shared" si="121"/>
        <v>142.7452263275504</v>
      </c>
    </row>
    <row r="3906" spans="1:9" x14ac:dyDescent="0.45">
      <c r="A3906" t="s">
        <v>35</v>
      </c>
      <c r="B3906" t="s">
        <v>64</v>
      </c>
      <c r="C3906" t="str">
        <f t="shared" si="120"/>
        <v>LouisvilleTroy</v>
      </c>
      <c r="D3906" t="s">
        <v>35</v>
      </c>
      <c r="E3906">
        <v>67.8</v>
      </c>
      <c r="F3906" s="1">
        <v>-4.8679245283018897</v>
      </c>
      <c r="G3906" s="2">
        <v>-210.09146472088801</v>
      </c>
      <c r="H3906" s="1">
        <v>138.30562891965499</v>
      </c>
      <c r="I3906" s="1">
        <f t="shared" si="121"/>
        <v>132.14881423901542</v>
      </c>
    </row>
    <row r="3907" spans="1:9" x14ac:dyDescent="0.45">
      <c r="A3907" t="s">
        <v>36</v>
      </c>
      <c r="B3907" t="s">
        <v>64</v>
      </c>
      <c r="C3907" t="str">
        <f t="shared" ref="C3907:C3970" si="122">A3907&amp;B3907</f>
        <v>MarquetteTroy</v>
      </c>
      <c r="D3907" t="s">
        <v>36</v>
      </c>
      <c r="E3907">
        <v>96.6</v>
      </c>
      <c r="F3907" s="1">
        <v>-21.9358490566038</v>
      </c>
      <c r="G3907" s="2">
        <v>-2838.9105342886701</v>
      </c>
      <c r="H3907" s="1">
        <v>139.567762763117</v>
      </c>
      <c r="I3907" s="1">
        <f t="shared" ref="I3907:I3970" si="123">18*(H3907-AVERAGE($H$2:$H$4625))/_xlfn.STDEV.P($H$2:$H$4625)+AVERAGE($H$2:$H$4625)</f>
        <v>149.87133870677565</v>
      </c>
    </row>
    <row r="3908" spans="1:9" x14ac:dyDescent="0.45">
      <c r="A3908" t="s">
        <v>37</v>
      </c>
      <c r="B3908" t="s">
        <v>64</v>
      </c>
      <c r="C3908" t="str">
        <f t="shared" si="122"/>
        <v>MarylandTroy</v>
      </c>
      <c r="D3908" t="s">
        <v>37</v>
      </c>
      <c r="E3908">
        <v>94.6</v>
      </c>
      <c r="F3908" s="1">
        <v>-18.7660377358491</v>
      </c>
      <c r="G3908" s="2">
        <v>-1751.1279287304001</v>
      </c>
      <c r="H3908" s="1">
        <v>139.02613236165999</v>
      </c>
      <c r="I3908" s="1">
        <f t="shared" si="123"/>
        <v>142.26591865403807</v>
      </c>
    </row>
    <row r="3909" spans="1:9" x14ac:dyDescent="0.45">
      <c r="A3909" t="s">
        <v>38</v>
      </c>
      <c r="B3909" t="s">
        <v>64</v>
      </c>
      <c r="C3909" t="str">
        <f t="shared" si="122"/>
        <v>McNeese St.Troy</v>
      </c>
      <c r="D3909" t="s">
        <v>38</v>
      </c>
      <c r="E3909">
        <v>80.3</v>
      </c>
      <c r="F3909" s="1">
        <v>-9.2264150943396199</v>
      </c>
      <c r="G3909" s="2">
        <v>-408.55280919026001</v>
      </c>
      <c r="H3909" s="1">
        <v>139.619367774625</v>
      </c>
      <c r="I3909" s="1">
        <f t="shared" si="123"/>
        <v>150.59596160144503</v>
      </c>
    </row>
    <row r="3910" spans="1:9" x14ac:dyDescent="0.45">
      <c r="A3910" t="s">
        <v>39</v>
      </c>
      <c r="B3910" t="s">
        <v>64</v>
      </c>
      <c r="C3910" t="str">
        <f t="shared" si="122"/>
        <v>MemphisTroy</v>
      </c>
      <c r="D3910" t="s">
        <v>39</v>
      </c>
      <c r="E3910">
        <v>90.8</v>
      </c>
      <c r="F3910" s="1">
        <v>-15.0037735849057</v>
      </c>
      <c r="G3910" s="2">
        <v>-986.09216467653596</v>
      </c>
      <c r="H3910" s="1">
        <v>138.15364960114999</v>
      </c>
      <c r="I3910" s="1">
        <f t="shared" si="123"/>
        <v>130.01476387284328</v>
      </c>
    </row>
    <row r="3911" spans="1:9" x14ac:dyDescent="0.45">
      <c r="A3911" t="s">
        <v>40</v>
      </c>
      <c r="B3911" t="s">
        <v>64</v>
      </c>
      <c r="C3911" t="str">
        <f t="shared" si="122"/>
        <v>MichiganTroy</v>
      </c>
      <c r="D3911" t="s">
        <v>40</v>
      </c>
      <c r="E3911">
        <v>83</v>
      </c>
      <c r="F3911" s="1">
        <v>-10.377358490565999</v>
      </c>
      <c r="G3911" s="2">
        <v>-486.99317385121401</v>
      </c>
      <c r="H3911" s="1">
        <v>137.71627089806699</v>
      </c>
      <c r="I3911" s="1">
        <f t="shared" si="123"/>
        <v>123.87321651855986</v>
      </c>
    </row>
    <row r="3912" spans="1:9" x14ac:dyDescent="0.45">
      <c r="A3912" t="s">
        <v>41</v>
      </c>
      <c r="B3912" t="s">
        <v>64</v>
      </c>
      <c r="C3912" t="str">
        <f t="shared" si="122"/>
        <v>Michigan St.Troy</v>
      </c>
      <c r="D3912" t="s">
        <v>41</v>
      </c>
      <c r="E3912">
        <v>97.9</v>
      </c>
      <c r="F3912" s="1">
        <v>-25.124528301886802</v>
      </c>
      <c r="G3912" s="2">
        <v>-4618.2561283968698</v>
      </c>
      <c r="H3912" s="1">
        <v>139.36335060727399</v>
      </c>
      <c r="I3912" s="1">
        <f t="shared" si="123"/>
        <v>147.00104135107011</v>
      </c>
    </row>
    <row r="3913" spans="1:9" x14ac:dyDescent="0.45">
      <c r="A3913" t="s">
        <v>42</v>
      </c>
      <c r="B3913" t="s">
        <v>64</v>
      </c>
      <c r="C3913" t="str">
        <f t="shared" si="122"/>
        <v>MississippiTroy</v>
      </c>
      <c r="D3913" t="s">
        <v>42</v>
      </c>
      <c r="E3913">
        <v>92.7</v>
      </c>
      <c r="F3913" s="1">
        <v>-16.626415094339599</v>
      </c>
      <c r="G3913" s="2">
        <v>-1263.59122149676</v>
      </c>
      <c r="H3913" s="1">
        <v>138.63104195716301</v>
      </c>
      <c r="I3913" s="1">
        <f t="shared" si="123"/>
        <v>136.71817156132983</v>
      </c>
    </row>
    <row r="3914" spans="1:9" x14ac:dyDescent="0.45">
      <c r="A3914" t="s">
        <v>43</v>
      </c>
      <c r="B3914" t="s">
        <v>64</v>
      </c>
      <c r="C3914" t="str">
        <f t="shared" si="122"/>
        <v>Mississippi St.Troy</v>
      </c>
      <c r="D3914" t="s">
        <v>43</v>
      </c>
      <c r="E3914">
        <v>90.7</v>
      </c>
      <c r="F3914" s="1">
        <v>-14.905660377358499</v>
      </c>
      <c r="G3914" s="2">
        <v>-971.46975477920103</v>
      </c>
      <c r="H3914" s="1">
        <v>138.77078842984</v>
      </c>
      <c r="I3914" s="1">
        <f t="shared" si="123"/>
        <v>138.68045178551563</v>
      </c>
    </row>
    <row r="3915" spans="1:9" x14ac:dyDescent="0.45">
      <c r="A3915" t="s">
        <v>44</v>
      </c>
      <c r="B3915" t="s">
        <v>64</v>
      </c>
      <c r="C3915" t="str">
        <f t="shared" si="122"/>
        <v>MissouriTroy</v>
      </c>
      <c r="D3915" t="s">
        <v>44</v>
      </c>
      <c r="E3915">
        <v>82.1</v>
      </c>
      <c r="F3915" s="1">
        <v>-9.9698113207547205</v>
      </c>
      <c r="G3915" s="2">
        <v>-457.66847886873302</v>
      </c>
      <c r="H3915" s="1">
        <v>138.188450328486</v>
      </c>
      <c r="I3915" s="1">
        <f t="shared" si="123"/>
        <v>130.50342578845792</v>
      </c>
    </row>
    <row r="3916" spans="1:9" x14ac:dyDescent="0.45">
      <c r="A3916" t="s">
        <v>45</v>
      </c>
      <c r="B3916" t="s">
        <v>64</v>
      </c>
      <c r="C3916" t="str">
        <f t="shared" si="122"/>
        <v>MontanaTroy</v>
      </c>
      <c r="D3916" t="s">
        <v>64</v>
      </c>
      <c r="E3916">
        <v>29.1</v>
      </c>
      <c r="F3916" s="1">
        <v>5.8339622641509399</v>
      </c>
      <c r="G3916" s="2">
        <v>243.55370494333599</v>
      </c>
      <c r="H3916" s="1">
        <v>137.32516189189201</v>
      </c>
      <c r="I3916" s="1">
        <f t="shared" si="123"/>
        <v>118.38137508874385</v>
      </c>
    </row>
    <row r="3917" spans="1:9" x14ac:dyDescent="0.45">
      <c r="A3917" t="s">
        <v>46</v>
      </c>
      <c r="B3917" t="s">
        <v>64</v>
      </c>
      <c r="C3917" t="str">
        <f t="shared" si="122"/>
        <v>Mount St. Mary'sTroy</v>
      </c>
      <c r="D3917" t="s">
        <v>64</v>
      </c>
      <c r="E3917">
        <v>13.5</v>
      </c>
      <c r="F3917" s="1">
        <v>12.1698113207547</v>
      </c>
      <c r="G3917" s="2">
        <v>640.05733504748298</v>
      </c>
      <c r="H3917" s="1">
        <v>138.628449846043</v>
      </c>
      <c r="I3917" s="1">
        <f t="shared" si="123"/>
        <v>136.68177387420221</v>
      </c>
    </row>
    <row r="3918" spans="1:9" x14ac:dyDescent="0.45">
      <c r="A3918" t="s">
        <v>47</v>
      </c>
      <c r="B3918" t="s">
        <v>64</v>
      </c>
      <c r="C3918" t="str">
        <f t="shared" si="122"/>
        <v>Nebraska OmahaTroy</v>
      </c>
      <c r="D3918" t="s">
        <v>64</v>
      </c>
      <c r="E3918">
        <v>17.899999999999999</v>
      </c>
      <c r="F3918" s="1">
        <v>9.97735849056604</v>
      </c>
      <c r="G3918" s="2">
        <v>458.26465001603702</v>
      </c>
      <c r="H3918" s="1">
        <v>138.046225978146</v>
      </c>
      <c r="I3918" s="1">
        <f t="shared" si="123"/>
        <v>128.50635191085863</v>
      </c>
    </row>
    <row r="3919" spans="1:9" x14ac:dyDescent="0.45">
      <c r="A3919" t="s">
        <v>48</v>
      </c>
      <c r="B3919" t="s">
        <v>64</v>
      </c>
      <c r="C3919" t="str">
        <f t="shared" si="122"/>
        <v>New MexicoTroy</v>
      </c>
      <c r="D3919" t="s">
        <v>48</v>
      </c>
      <c r="E3919">
        <v>84</v>
      </c>
      <c r="F3919" s="1">
        <v>-10.852830188679199</v>
      </c>
      <c r="G3919" s="2">
        <v>-523.56045457226799</v>
      </c>
      <c r="H3919" s="1">
        <v>138.81621590996301</v>
      </c>
      <c r="I3919" s="1">
        <f t="shared" si="123"/>
        <v>139.31833154142203</v>
      </c>
    </row>
    <row r="3920" spans="1:9" x14ac:dyDescent="0.45">
      <c r="A3920" t="s">
        <v>49</v>
      </c>
      <c r="B3920" t="s">
        <v>64</v>
      </c>
      <c r="C3920" t="str">
        <f t="shared" si="122"/>
        <v>Norfolk St.Troy</v>
      </c>
      <c r="D3920" t="s">
        <v>64</v>
      </c>
      <c r="E3920">
        <v>23.6</v>
      </c>
      <c r="F3920" s="1">
        <v>7.7132075471698096</v>
      </c>
      <c r="G3920" s="2">
        <v>324.38705966216799</v>
      </c>
      <c r="H3920" s="1">
        <v>137.85234167392699</v>
      </c>
      <c r="I3920" s="1">
        <f t="shared" si="123"/>
        <v>125.78388365344236</v>
      </c>
    </row>
    <row r="3921" spans="1:9" x14ac:dyDescent="0.45">
      <c r="A3921" t="s">
        <v>50</v>
      </c>
      <c r="B3921" t="s">
        <v>64</v>
      </c>
      <c r="C3921" t="str">
        <f t="shared" si="122"/>
        <v>North CarolinaTroy</v>
      </c>
      <c r="D3921" t="s">
        <v>50</v>
      </c>
      <c r="E3921">
        <v>94.7</v>
      </c>
      <c r="F3921" s="1">
        <v>-18.9018867924528</v>
      </c>
      <c r="G3921" s="2">
        <v>-1787.8202032413001</v>
      </c>
      <c r="H3921" s="1">
        <v>139.92594762839599</v>
      </c>
      <c r="I3921" s="1">
        <f t="shared" si="123"/>
        <v>154.90086871404964</v>
      </c>
    </row>
    <row r="3922" spans="1:9" x14ac:dyDescent="0.45">
      <c r="A3922" t="s">
        <v>51</v>
      </c>
      <c r="B3922" t="s">
        <v>64</v>
      </c>
      <c r="C3922" t="str">
        <f t="shared" si="122"/>
        <v>OklahomaTroy</v>
      </c>
      <c r="D3922" t="s">
        <v>51</v>
      </c>
      <c r="E3922">
        <v>86.2</v>
      </c>
      <c r="F3922" s="1">
        <v>-12.018867924528299</v>
      </c>
      <c r="G3922" s="2">
        <v>-625.67185721459305</v>
      </c>
      <c r="H3922" s="1">
        <v>138.349570754571</v>
      </c>
      <c r="I3922" s="1">
        <f t="shared" si="123"/>
        <v>132.76583298745592</v>
      </c>
    </row>
    <row r="3923" spans="1:9" x14ac:dyDescent="0.45">
      <c r="A3923" t="s">
        <v>52</v>
      </c>
      <c r="B3923" t="s">
        <v>64</v>
      </c>
      <c r="C3923" t="str">
        <f t="shared" si="122"/>
        <v>OregonTroy</v>
      </c>
      <c r="D3923" t="s">
        <v>52</v>
      </c>
      <c r="E3923">
        <v>94.6</v>
      </c>
      <c r="F3923" s="1">
        <v>-18.784905660377401</v>
      </c>
      <c r="G3923" s="2">
        <v>-1756.3572858378</v>
      </c>
      <c r="H3923" s="1">
        <v>138.6402881461</v>
      </c>
      <c r="I3923" s="1">
        <f t="shared" si="123"/>
        <v>136.84800391668449</v>
      </c>
    </row>
    <row r="3924" spans="1:9" x14ac:dyDescent="0.45">
      <c r="A3924" t="s">
        <v>53</v>
      </c>
      <c r="B3924" t="s">
        <v>64</v>
      </c>
      <c r="C3924" t="str">
        <f t="shared" si="122"/>
        <v>PurdueTroy</v>
      </c>
      <c r="D3924" t="s">
        <v>53</v>
      </c>
      <c r="E3924">
        <v>99</v>
      </c>
      <c r="F3924" s="1">
        <v>-30.158490566037699</v>
      </c>
      <c r="G3924" s="2">
        <v>-9954.3403703298009</v>
      </c>
      <c r="H3924" s="1">
        <v>140.12837534589801</v>
      </c>
      <c r="I3924" s="1">
        <f t="shared" si="123"/>
        <v>157.74330115096288</v>
      </c>
    </row>
    <row r="3925" spans="1:9" x14ac:dyDescent="0.45">
      <c r="A3925" t="s">
        <v>54</v>
      </c>
      <c r="B3925" t="s">
        <v>64</v>
      </c>
      <c r="C3925" t="str">
        <f t="shared" si="122"/>
        <v>Robert MorrisTroy</v>
      </c>
      <c r="D3925" t="s">
        <v>64</v>
      </c>
      <c r="E3925">
        <v>11</v>
      </c>
      <c r="F3925" s="1">
        <v>13.728301886792501</v>
      </c>
      <c r="G3925" s="2">
        <v>812.12412887756204</v>
      </c>
      <c r="H3925" s="1">
        <v>137.21134067458499</v>
      </c>
      <c r="I3925" s="1">
        <f t="shared" si="123"/>
        <v>116.78312992708906</v>
      </c>
    </row>
    <row r="3926" spans="1:9" x14ac:dyDescent="0.45">
      <c r="A3926" t="s">
        <v>55</v>
      </c>
      <c r="B3926" t="s">
        <v>64</v>
      </c>
      <c r="C3926" t="str">
        <f t="shared" si="122"/>
        <v>Saint FrancisTroy</v>
      </c>
      <c r="D3926" t="s">
        <v>64</v>
      </c>
      <c r="E3926">
        <v>6.9</v>
      </c>
      <c r="F3926" s="1">
        <v>17.094339622641499</v>
      </c>
      <c r="G3926" s="2">
        <v>1356.4525564224</v>
      </c>
      <c r="H3926" s="1">
        <v>137.918188556628</v>
      </c>
      <c r="I3926" s="1">
        <f t="shared" si="123"/>
        <v>126.70848685288863</v>
      </c>
    </row>
    <row r="3927" spans="1:9" x14ac:dyDescent="0.45">
      <c r="A3927" t="s">
        <v>56</v>
      </c>
      <c r="B3927" t="s">
        <v>64</v>
      </c>
      <c r="C3927" t="str">
        <f t="shared" si="122"/>
        <v>Saint Mary'sTroy</v>
      </c>
      <c r="D3927" t="s">
        <v>56</v>
      </c>
      <c r="E3927">
        <v>94.5</v>
      </c>
      <c r="F3927" s="1">
        <v>-18.641509433962302</v>
      </c>
      <c r="G3927" s="2">
        <v>-1718.1440265472199</v>
      </c>
      <c r="H3927" s="1">
        <v>139.64739467256999</v>
      </c>
      <c r="I3927" s="1">
        <f t="shared" si="123"/>
        <v>150.98950733128848</v>
      </c>
    </row>
    <row r="3928" spans="1:9" x14ac:dyDescent="0.45">
      <c r="A3928" t="s">
        <v>57</v>
      </c>
      <c r="B3928" t="s">
        <v>64</v>
      </c>
      <c r="C3928" t="str">
        <f t="shared" si="122"/>
        <v>San Diego St.Troy</v>
      </c>
      <c r="D3928" t="s">
        <v>57</v>
      </c>
      <c r="E3928">
        <v>84.2</v>
      </c>
      <c r="F3928" s="1">
        <v>-10.969811320754699</v>
      </c>
      <c r="G3928" s="2">
        <v>-532.91752284747201</v>
      </c>
      <c r="H3928" s="1">
        <v>138.86209383559901</v>
      </c>
      <c r="I3928" s="1">
        <f t="shared" si="123"/>
        <v>139.96253632511119</v>
      </c>
    </row>
    <row r="3929" spans="1:9" x14ac:dyDescent="0.45">
      <c r="A3929" t="s">
        <v>58</v>
      </c>
      <c r="B3929" t="s">
        <v>64</v>
      </c>
      <c r="C3929" t="str">
        <f t="shared" si="122"/>
        <v>SIU EdwardsvilleTroy</v>
      </c>
      <c r="D3929" t="s">
        <v>64</v>
      </c>
      <c r="E3929">
        <v>20.2</v>
      </c>
      <c r="F3929" s="1">
        <v>9.0037735849056606</v>
      </c>
      <c r="G3929" s="2">
        <v>395.02108624071002</v>
      </c>
      <c r="H3929" s="1">
        <v>138.92135201578299</v>
      </c>
      <c r="I3929" s="1">
        <f t="shared" si="123"/>
        <v>140.79462283769905</v>
      </c>
    </row>
    <row r="3930" spans="1:9" x14ac:dyDescent="0.45">
      <c r="A3930" t="s">
        <v>59</v>
      </c>
      <c r="B3930" t="s">
        <v>64</v>
      </c>
      <c r="C3930" t="str">
        <f t="shared" si="122"/>
        <v>St. John'sTroy</v>
      </c>
      <c r="D3930" t="s">
        <v>59</v>
      </c>
      <c r="E3930">
        <v>98</v>
      </c>
      <c r="F3930" s="1">
        <v>-25.626415094339599</v>
      </c>
      <c r="G3930" s="2">
        <v>-4985.5056855393404</v>
      </c>
      <c r="H3930" s="1">
        <v>139.74080846433699</v>
      </c>
      <c r="I3930" s="1">
        <f t="shared" si="123"/>
        <v>152.30119722756439</v>
      </c>
    </row>
    <row r="3931" spans="1:9" x14ac:dyDescent="0.45">
      <c r="A3931" t="s">
        <v>60</v>
      </c>
      <c r="B3931" t="s">
        <v>64</v>
      </c>
      <c r="C3931" t="str">
        <f t="shared" si="122"/>
        <v>TennesseeTroy</v>
      </c>
      <c r="D3931" t="s">
        <v>60</v>
      </c>
      <c r="E3931">
        <v>99.1</v>
      </c>
      <c r="F3931" s="1">
        <v>-30.841509433962301</v>
      </c>
      <c r="G3931" s="2">
        <v>-11047.568635551101</v>
      </c>
      <c r="H3931" s="1">
        <v>140.53404083847099</v>
      </c>
      <c r="I3931" s="1">
        <f t="shared" si="123"/>
        <v>163.43954062278479</v>
      </c>
    </row>
    <row r="3932" spans="1:9" x14ac:dyDescent="0.45">
      <c r="A3932" t="s">
        <v>61</v>
      </c>
      <c r="B3932" t="s">
        <v>64</v>
      </c>
      <c r="C3932" t="str">
        <f t="shared" si="122"/>
        <v>TexasTroy</v>
      </c>
      <c r="D3932" t="s">
        <v>61</v>
      </c>
      <c r="E3932">
        <v>81.599999999999994</v>
      </c>
      <c r="F3932" s="1">
        <v>-9.74339622641509</v>
      </c>
      <c r="G3932" s="2">
        <v>-442.20320382648799</v>
      </c>
      <c r="H3932" s="1">
        <v>138.23392266611</v>
      </c>
      <c r="I3932" s="1">
        <f t="shared" si="123"/>
        <v>131.14193542063541</v>
      </c>
    </row>
    <row r="3933" spans="1:9" x14ac:dyDescent="0.45">
      <c r="A3933" t="s">
        <v>62</v>
      </c>
      <c r="B3933" t="s">
        <v>64</v>
      </c>
      <c r="C3933" t="str">
        <f t="shared" si="122"/>
        <v>Texas A&amp;MTroy</v>
      </c>
      <c r="D3933" t="s">
        <v>62</v>
      </c>
      <c r="E3933">
        <v>96.2</v>
      </c>
      <c r="F3933" s="1">
        <v>-21.147169811320801</v>
      </c>
      <c r="G3933" s="2">
        <v>-2517.53875004883</v>
      </c>
      <c r="H3933" s="1">
        <v>139.02089797550701</v>
      </c>
      <c r="I3933" s="1">
        <f t="shared" si="123"/>
        <v>142.19241889238413</v>
      </c>
    </row>
    <row r="3934" spans="1:9" x14ac:dyDescent="0.45">
      <c r="A3934" t="s">
        <v>63</v>
      </c>
      <c r="B3934" t="s">
        <v>64</v>
      </c>
      <c r="C3934" t="str">
        <f t="shared" si="122"/>
        <v>Texas TechTroy</v>
      </c>
      <c r="D3934" t="s">
        <v>63</v>
      </c>
      <c r="E3934">
        <v>98</v>
      </c>
      <c r="F3934" s="1">
        <v>-25.479245283018901</v>
      </c>
      <c r="G3934" s="2">
        <v>-4876.31335015676</v>
      </c>
      <c r="H3934" s="1">
        <v>140.011410580747</v>
      </c>
      <c r="I3934" s="1">
        <f t="shared" si="123"/>
        <v>156.10091518453584</v>
      </c>
    </row>
    <row r="3935" spans="1:9" x14ac:dyDescent="0.45">
      <c r="A3935" t="s">
        <v>64</v>
      </c>
      <c r="B3935" t="s">
        <v>64</v>
      </c>
      <c r="C3935" t="str">
        <f t="shared" si="122"/>
        <v>TroyTroy</v>
      </c>
      <c r="D3935" t="s">
        <v>64</v>
      </c>
      <c r="E3935">
        <v>41.2</v>
      </c>
      <c r="F3935" s="1">
        <v>2.3283018867924499</v>
      </c>
      <c r="G3935" s="2">
        <v>142.64273539779199</v>
      </c>
      <c r="H3935" s="1">
        <v>138.77771517530499</v>
      </c>
      <c r="I3935" s="1">
        <f t="shared" si="123"/>
        <v>138.77771517530684</v>
      </c>
    </row>
    <row r="3936" spans="1:9" x14ac:dyDescent="0.45">
      <c r="A3936" t="s">
        <v>65</v>
      </c>
      <c r="B3936" t="s">
        <v>64</v>
      </c>
      <c r="C3936" t="str">
        <f t="shared" si="122"/>
        <v>UC San DiegoTroy</v>
      </c>
      <c r="D3936" t="s">
        <v>65</v>
      </c>
      <c r="E3936">
        <v>64.3</v>
      </c>
      <c r="F3936" s="1">
        <v>-3.85283018867925</v>
      </c>
      <c r="G3936" s="2">
        <v>-180.00238272289101</v>
      </c>
      <c r="H3936" s="1">
        <v>138.84783540496801</v>
      </c>
      <c r="I3936" s="1">
        <f t="shared" si="123"/>
        <v>139.76232349741559</v>
      </c>
    </row>
    <row r="3937" spans="1:9" x14ac:dyDescent="0.45">
      <c r="A3937" t="s">
        <v>66</v>
      </c>
      <c r="B3937" t="s">
        <v>64</v>
      </c>
      <c r="C3937" t="str">
        <f t="shared" si="122"/>
        <v>UCLATroy</v>
      </c>
      <c r="D3937" t="s">
        <v>66</v>
      </c>
      <c r="E3937">
        <v>86.1</v>
      </c>
      <c r="F3937" s="1">
        <v>-11.954716981132099</v>
      </c>
      <c r="G3937" s="2">
        <v>-619.39786711562704</v>
      </c>
      <c r="H3937" s="1">
        <v>138.06909398418099</v>
      </c>
      <c r="I3937" s="1">
        <f t="shared" si="123"/>
        <v>128.82745794773697</v>
      </c>
    </row>
    <row r="3938" spans="1:9" x14ac:dyDescent="0.45">
      <c r="A3938" t="s">
        <v>67</v>
      </c>
      <c r="B3938" t="s">
        <v>64</v>
      </c>
      <c r="C3938" t="str">
        <f t="shared" si="122"/>
        <v>UNC WilmingtonTroy</v>
      </c>
      <c r="D3938" t="s">
        <v>67</v>
      </c>
      <c r="E3938">
        <v>51</v>
      </c>
      <c r="F3938" s="1">
        <v>-0.26037735849056598</v>
      </c>
      <c r="G3938" s="2">
        <v>-104.067534117489</v>
      </c>
      <c r="H3938" s="1">
        <v>139.38450387563299</v>
      </c>
      <c r="I3938" s="1">
        <f t="shared" si="123"/>
        <v>147.29806952918884</v>
      </c>
    </row>
    <row r="3939" spans="1:9" x14ac:dyDescent="0.45">
      <c r="A3939" t="s">
        <v>68</v>
      </c>
      <c r="B3939" t="s">
        <v>64</v>
      </c>
      <c r="C3939" t="str">
        <f t="shared" si="122"/>
        <v>Utah St.Troy</v>
      </c>
      <c r="D3939" t="s">
        <v>68</v>
      </c>
      <c r="E3939">
        <v>85.4</v>
      </c>
      <c r="F3939" s="1">
        <v>-11.588679245283</v>
      </c>
      <c r="G3939" s="2">
        <v>-585.80551023431894</v>
      </c>
      <c r="H3939" s="1">
        <v>138.931690374212</v>
      </c>
      <c r="I3939" s="1">
        <f t="shared" si="123"/>
        <v>140.93979112643777</v>
      </c>
    </row>
    <row r="3940" spans="1:9" x14ac:dyDescent="0.45">
      <c r="A3940" t="s">
        <v>69</v>
      </c>
      <c r="B3940" t="s">
        <v>64</v>
      </c>
      <c r="C3940" t="str">
        <f t="shared" si="122"/>
        <v>VanderbiltTroy</v>
      </c>
      <c r="D3940" t="s">
        <v>69</v>
      </c>
      <c r="E3940">
        <v>53.6</v>
      </c>
      <c r="F3940" s="1">
        <v>-0.93962264150943398</v>
      </c>
      <c r="G3940" s="2">
        <v>-115.434196387113</v>
      </c>
      <c r="H3940" s="1">
        <v>137.36572825549499</v>
      </c>
      <c r="I3940" s="1">
        <f t="shared" si="123"/>
        <v>118.95099642902088</v>
      </c>
    </row>
    <row r="3941" spans="1:9" x14ac:dyDescent="0.45">
      <c r="A3941" t="s">
        <v>70</v>
      </c>
      <c r="B3941" t="s">
        <v>64</v>
      </c>
      <c r="C3941" t="str">
        <f t="shared" si="122"/>
        <v>VCUTroy</v>
      </c>
      <c r="D3941" t="s">
        <v>70</v>
      </c>
      <c r="E3941">
        <v>78.7</v>
      </c>
      <c r="F3941" s="1">
        <v>-8.5849056603773608</v>
      </c>
      <c r="G3941" s="2">
        <v>-370.55803423432502</v>
      </c>
      <c r="H3941" s="1">
        <v>139.290901384688</v>
      </c>
      <c r="I3941" s="1">
        <f t="shared" si="123"/>
        <v>145.98372997272341</v>
      </c>
    </row>
    <row r="3942" spans="1:9" x14ac:dyDescent="0.45">
      <c r="A3942" t="s">
        <v>71</v>
      </c>
      <c r="B3942" t="s">
        <v>64</v>
      </c>
      <c r="C3942" t="str">
        <f t="shared" si="122"/>
        <v>WisconsinTroy</v>
      </c>
      <c r="D3942" t="s">
        <v>71</v>
      </c>
      <c r="E3942">
        <v>97.7</v>
      </c>
      <c r="F3942" s="1">
        <v>-24.5396226415094</v>
      </c>
      <c r="G3942" s="2">
        <v>-4224.1747150952697</v>
      </c>
      <c r="H3942" s="1">
        <v>139.94415699301999</v>
      </c>
      <c r="I3942" s="1">
        <f t="shared" si="123"/>
        <v>155.15655943319396</v>
      </c>
    </row>
    <row r="3943" spans="1:9" x14ac:dyDescent="0.45">
      <c r="A3943" t="s">
        <v>80</v>
      </c>
      <c r="B3943" t="s">
        <v>64</v>
      </c>
      <c r="C3943" t="str">
        <f t="shared" si="122"/>
        <v>WoffordTroy</v>
      </c>
      <c r="D3943" t="s">
        <v>64</v>
      </c>
      <c r="E3943">
        <v>26.7</v>
      </c>
      <c r="F3943" s="1">
        <v>6.6339622641509397</v>
      </c>
      <c r="G3943" s="2">
        <v>275.13396751688299</v>
      </c>
      <c r="H3943" s="1">
        <v>138.041805422246</v>
      </c>
      <c r="I3943" s="1">
        <f t="shared" si="123"/>
        <v>128.44427972215641</v>
      </c>
    </row>
    <row r="3944" spans="1:9" x14ac:dyDescent="0.45">
      <c r="A3944" t="s">
        <v>72</v>
      </c>
      <c r="B3944" t="s">
        <v>64</v>
      </c>
      <c r="C3944" t="str">
        <f t="shared" si="122"/>
        <v>XavierTroy</v>
      </c>
      <c r="D3944" t="s">
        <v>72</v>
      </c>
      <c r="E3944">
        <v>78.599999999999994</v>
      </c>
      <c r="F3944" s="1">
        <v>-8.5132075471698094</v>
      </c>
      <c r="G3944" s="2">
        <v>-366.44622191815603</v>
      </c>
      <c r="H3944" s="1">
        <v>138.78460759286801</v>
      </c>
      <c r="I3944" s="1">
        <f t="shared" si="123"/>
        <v>138.87449654246171</v>
      </c>
    </row>
    <row r="3945" spans="1:9" x14ac:dyDescent="0.45">
      <c r="A3945" t="s">
        <v>73</v>
      </c>
      <c r="B3945" t="s">
        <v>64</v>
      </c>
      <c r="C3945" t="str">
        <f t="shared" si="122"/>
        <v>YaleTroy</v>
      </c>
      <c r="D3945" t="s">
        <v>73</v>
      </c>
      <c r="E3945">
        <v>65.7</v>
      </c>
      <c r="F3945" s="1">
        <v>-4.2641509433962304</v>
      </c>
      <c r="G3945" s="2">
        <v>-191.63055482104599</v>
      </c>
      <c r="H3945" s="1">
        <v>139.384313729262</v>
      </c>
      <c r="I3945" s="1">
        <f t="shared" si="123"/>
        <v>147.29539954792682</v>
      </c>
    </row>
    <row r="3946" spans="1:9" x14ac:dyDescent="0.45">
      <c r="A3946" t="s">
        <v>7</v>
      </c>
      <c r="B3946" t="s">
        <v>65</v>
      </c>
      <c r="C3946" t="str">
        <f t="shared" si="122"/>
        <v>AkronUC San Diego</v>
      </c>
      <c r="D3946" t="s">
        <v>65</v>
      </c>
      <c r="E3946">
        <v>28</v>
      </c>
      <c r="F3946" s="1">
        <v>6.1811320754716998</v>
      </c>
      <c r="G3946" s="2">
        <v>256.76575594315</v>
      </c>
      <c r="H3946" s="1">
        <v>138.131020560179</v>
      </c>
      <c r="I3946" s="1">
        <f t="shared" si="123"/>
        <v>129.69701331542981</v>
      </c>
    </row>
    <row r="3947" spans="1:9" x14ac:dyDescent="0.45">
      <c r="A3947" t="s">
        <v>8</v>
      </c>
      <c r="B3947" t="s">
        <v>65</v>
      </c>
      <c r="C3947" t="str">
        <f t="shared" si="122"/>
        <v>AlabamaUC San Diego</v>
      </c>
      <c r="D3947" t="s">
        <v>8</v>
      </c>
      <c r="E3947">
        <v>96.7</v>
      </c>
      <c r="F3947" s="1">
        <v>-22.158490566037699</v>
      </c>
      <c r="G3947" s="2">
        <v>-2937.6063721749902</v>
      </c>
      <c r="H3947" s="1">
        <v>139.938631747774</v>
      </c>
      <c r="I3947" s="1">
        <f t="shared" si="123"/>
        <v>155.07897551087882</v>
      </c>
    </row>
    <row r="3948" spans="1:9" x14ac:dyDescent="0.45">
      <c r="A3948" t="s">
        <v>9</v>
      </c>
      <c r="B3948" t="s">
        <v>65</v>
      </c>
      <c r="C3948" t="str">
        <f t="shared" si="122"/>
        <v>Alabama St.UC San Diego</v>
      </c>
      <c r="D3948" t="s">
        <v>65</v>
      </c>
      <c r="E3948">
        <v>5.6</v>
      </c>
      <c r="F3948" s="1">
        <v>18.501886792452801</v>
      </c>
      <c r="G3948" s="2">
        <v>1681.2287972244101</v>
      </c>
      <c r="H3948" s="1">
        <v>138.31778231960001</v>
      </c>
      <c r="I3948" s="1">
        <f t="shared" si="123"/>
        <v>132.31946882450796</v>
      </c>
    </row>
    <row r="3949" spans="1:9" x14ac:dyDescent="0.45">
      <c r="A3949" t="s">
        <v>10</v>
      </c>
      <c r="B3949" t="s">
        <v>65</v>
      </c>
      <c r="C3949" t="str">
        <f t="shared" si="122"/>
        <v>AmericanUC San Diego</v>
      </c>
      <c r="D3949" t="s">
        <v>65</v>
      </c>
      <c r="E3949">
        <v>6.3</v>
      </c>
      <c r="F3949" s="1">
        <v>17.743396226415101</v>
      </c>
      <c r="G3949" s="2">
        <v>1497.89216867704</v>
      </c>
      <c r="H3949" s="1">
        <v>138.08107183936201</v>
      </c>
      <c r="I3949" s="1">
        <f t="shared" si="123"/>
        <v>128.99564758357985</v>
      </c>
    </row>
    <row r="3950" spans="1:9" x14ac:dyDescent="0.45">
      <c r="A3950" t="s">
        <v>11</v>
      </c>
      <c r="B3950" t="s">
        <v>65</v>
      </c>
      <c r="C3950" t="str">
        <f t="shared" si="122"/>
        <v>ArizonaUC San Diego</v>
      </c>
      <c r="D3950" t="s">
        <v>11</v>
      </c>
      <c r="E3950">
        <v>95.1</v>
      </c>
      <c r="F3950" s="1">
        <v>-19.4037735849057</v>
      </c>
      <c r="G3950" s="2">
        <v>-1929.4761682870901</v>
      </c>
      <c r="H3950" s="1">
        <v>139.54911108795099</v>
      </c>
      <c r="I3950" s="1">
        <f t="shared" si="123"/>
        <v>149.60943718879744</v>
      </c>
    </row>
    <row r="3951" spans="1:9" x14ac:dyDescent="0.45">
      <c r="A3951" t="s">
        <v>12</v>
      </c>
      <c r="B3951" t="s">
        <v>65</v>
      </c>
      <c r="C3951" t="str">
        <f t="shared" si="122"/>
        <v>ArkansasUC San Diego</v>
      </c>
      <c r="D3951" t="s">
        <v>12</v>
      </c>
      <c r="E3951">
        <v>55.7</v>
      </c>
      <c r="F3951" s="1">
        <v>-1.5018867924528301</v>
      </c>
      <c r="G3951" s="2">
        <v>-125.759214115021</v>
      </c>
      <c r="H3951" s="1">
        <v>137.87503506574001</v>
      </c>
      <c r="I3951" s="1">
        <f t="shared" si="123"/>
        <v>126.10253780707758</v>
      </c>
    </row>
    <row r="3952" spans="1:9" x14ac:dyDescent="0.45">
      <c r="A3952" t="s">
        <v>13</v>
      </c>
      <c r="B3952" t="s">
        <v>65</v>
      </c>
      <c r="C3952" t="str">
        <f t="shared" si="122"/>
        <v>AuburnUC San Diego</v>
      </c>
      <c r="D3952" t="s">
        <v>13</v>
      </c>
      <c r="E3952">
        <v>98.3</v>
      </c>
      <c r="F3952" s="1">
        <v>-26.5962264150943</v>
      </c>
      <c r="G3952" s="2">
        <v>-5782.3466600791198</v>
      </c>
      <c r="H3952" s="1">
        <v>140.96084798112599</v>
      </c>
      <c r="I3952" s="1">
        <f t="shared" si="123"/>
        <v>169.43264513218455</v>
      </c>
    </row>
    <row r="3953" spans="1:9" x14ac:dyDescent="0.45">
      <c r="A3953" t="s">
        <v>14</v>
      </c>
      <c r="B3953" t="s">
        <v>65</v>
      </c>
      <c r="C3953" t="str">
        <f t="shared" si="122"/>
        <v>BaylorUC San Diego</v>
      </c>
      <c r="D3953" t="s">
        <v>14</v>
      </c>
      <c r="E3953">
        <v>85.3</v>
      </c>
      <c r="F3953" s="1">
        <v>-11.550943396226399</v>
      </c>
      <c r="G3953" s="2">
        <v>-582.293471898181</v>
      </c>
      <c r="H3953" s="1">
        <v>139.42376534230701</v>
      </c>
      <c r="I3953" s="1">
        <f t="shared" si="123"/>
        <v>147.84936787791378</v>
      </c>
    </row>
    <row r="3954" spans="1:9" x14ac:dyDescent="0.45">
      <c r="A3954" t="s">
        <v>15</v>
      </c>
      <c r="B3954" t="s">
        <v>65</v>
      </c>
      <c r="C3954" t="str">
        <f t="shared" si="122"/>
        <v>BryantUC San Diego</v>
      </c>
      <c r="D3954" t="s">
        <v>65</v>
      </c>
      <c r="E3954">
        <v>21.4</v>
      </c>
      <c r="F3954" s="1">
        <v>8.5207547169811306</v>
      </c>
      <c r="G3954" s="2">
        <v>366.91873676231802</v>
      </c>
      <c r="H3954" s="1">
        <v>139.01608521795299</v>
      </c>
      <c r="I3954" s="1">
        <f t="shared" si="123"/>
        <v>142.12483951960178</v>
      </c>
    </row>
    <row r="3955" spans="1:9" x14ac:dyDescent="0.45">
      <c r="A3955" t="s">
        <v>16</v>
      </c>
      <c r="B3955" t="s">
        <v>65</v>
      </c>
      <c r="C3955" t="str">
        <f t="shared" si="122"/>
        <v>BYUUC San Diego</v>
      </c>
      <c r="D3955" t="s">
        <v>16</v>
      </c>
      <c r="E3955">
        <v>87.3</v>
      </c>
      <c r="F3955" s="1">
        <v>-12.6452830188679</v>
      </c>
      <c r="G3955" s="2">
        <v>-688.10016712791696</v>
      </c>
      <c r="H3955" s="1">
        <v>139.18612589239601</v>
      </c>
      <c r="I3955" s="1">
        <f t="shared" si="123"/>
        <v>144.51250230904469</v>
      </c>
    </row>
    <row r="3956" spans="1:9" x14ac:dyDescent="0.45">
      <c r="A3956" t="s">
        <v>17</v>
      </c>
      <c r="B3956" t="s">
        <v>65</v>
      </c>
      <c r="C3956" t="str">
        <f t="shared" si="122"/>
        <v>ClemsonUC San Diego</v>
      </c>
      <c r="D3956" t="s">
        <v>17</v>
      </c>
      <c r="E3956">
        <v>90.6</v>
      </c>
      <c r="F3956" s="1">
        <v>-14.849056603773599</v>
      </c>
      <c r="G3956" s="2">
        <v>-963.14756082936594</v>
      </c>
      <c r="H3956" s="1">
        <v>139.53617611483801</v>
      </c>
      <c r="I3956" s="1">
        <f t="shared" si="123"/>
        <v>149.42780797516687</v>
      </c>
    </row>
    <row r="3957" spans="1:9" x14ac:dyDescent="0.45">
      <c r="A3957" t="s">
        <v>18</v>
      </c>
      <c r="B3957" t="s">
        <v>65</v>
      </c>
      <c r="C3957" t="str">
        <f t="shared" si="122"/>
        <v>Colorado St.UC San Diego</v>
      </c>
      <c r="D3957" t="s">
        <v>18</v>
      </c>
      <c r="E3957">
        <v>61.5</v>
      </c>
      <c r="F3957" s="1">
        <v>-3.0679245283018899</v>
      </c>
      <c r="G3957" s="2">
        <v>-159.63529978941</v>
      </c>
      <c r="H3957" s="1">
        <v>138.925787089632</v>
      </c>
      <c r="I3957" s="1">
        <f t="shared" si="123"/>
        <v>140.85689888331223</v>
      </c>
    </row>
    <row r="3958" spans="1:9" x14ac:dyDescent="0.45">
      <c r="A3958" t="s">
        <v>19</v>
      </c>
      <c r="B3958" t="s">
        <v>65</v>
      </c>
      <c r="C3958" t="str">
        <f t="shared" si="122"/>
        <v>ConnecticutUC San Diego</v>
      </c>
      <c r="D3958" t="s">
        <v>19</v>
      </c>
      <c r="E3958">
        <v>93.7</v>
      </c>
      <c r="F3958" s="1">
        <v>-17.743396226415101</v>
      </c>
      <c r="G3958" s="2">
        <v>-1497.54250359154</v>
      </c>
      <c r="H3958" s="1">
        <v>139.336426945586</v>
      </c>
      <c r="I3958" s="1">
        <f t="shared" si="123"/>
        <v>146.62298695097715</v>
      </c>
    </row>
    <row r="3959" spans="1:9" x14ac:dyDescent="0.45">
      <c r="A3959" t="s">
        <v>20</v>
      </c>
      <c r="B3959" t="s">
        <v>65</v>
      </c>
      <c r="C3959" t="str">
        <f t="shared" si="122"/>
        <v>CreightonUC San Diego</v>
      </c>
      <c r="D3959" t="s">
        <v>20</v>
      </c>
      <c r="E3959">
        <v>82.2</v>
      </c>
      <c r="F3959" s="1">
        <v>-10.033962264150899</v>
      </c>
      <c r="G3959" s="2">
        <v>-462.11120327707698</v>
      </c>
      <c r="H3959" s="1">
        <v>138.88572369842501</v>
      </c>
      <c r="I3959" s="1">
        <f t="shared" si="123"/>
        <v>140.2943401383699</v>
      </c>
    </row>
    <row r="3960" spans="1:9" x14ac:dyDescent="0.45">
      <c r="A3960" t="s">
        <v>21</v>
      </c>
      <c r="B3960" t="s">
        <v>65</v>
      </c>
      <c r="C3960" t="str">
        <f t="shared" si="122"/>
        <v>DrakeUC San Diego</v>
      </c>
      <c r="D3960" t="s">
        <v>21</v>
      </c>
      <c r="E3960">
        <v>60.7</v>
      </c>
      <c r="F3960" s="1">
        <v>-2.8603773584905698</v>
      </c>
      <c r="G3960" s="2">
        <v>-154.72439888664201</v>
      </c>
      <c r="H3960" s="1">
        <v>139.12039950409999</v>
      </c>
      <c r="I3960" s="1">
        <f t="shared" si="123"/>
        <v>143.5895910577637</v>
      </c>
    </row>
    <row r="3961" spans="1:9" x14ac:dyDescent="0.45">
      <c r="A3961" t="s">
        <v>22</v>
      </c>
      <c r="B3961" t="s">
        <v>65</v>
      </c>
      <c r="C3961" t="str">
        <f t="shared" si="122"/>
        <v>DukeUC San Diego</v>
      </c>
      <c r="D3961" t="s">
        <v>22</v>
      </c>
      <c r="E3961">
        <v>98.8</v>
      </c>
      <c r="F3961" s="1">
        <v>-28.811320754716998</v>
      </c>
      <c r="G3961" s="2">
        <v>-8106.0864308453401</v>
      </c>
      <c r="H3961" s="1">
        <v>141.20073939270301</v>
      </c>
      <c r="I3961" s="1">
        <f t="shared" si="123"/>
        <v>172.80113210628986</v>
      </c>
    </row>
    <row r="3962" spans="1:9" x14ac:dyDescent="0.45">
      <c r="A3962" t="s">
        <v>23</v>
      </c>
      <c r="B3962" t="s">
        <v>65</v>
      </c>
      <c r="C3962" t="str">
        <f t="shared" si="122"/>
        <v>FloridaUC San Diego</v>
      </c>
      <c r="D3962" t="s">
        <v>23</v>
      </c>
      <c r="E3962">
        <v>97.8</v>
      </c>
      <c r="F3962" s="1">
        <v>-24.954716981132101</v>
      </c>
      <c r="G3962" s="2">
        <v>-4500.6896833392302</v>
      </c>
      <c r="H3962" s="1">
        <v>140.93538992025699</v>
      </c>
      <c r="I3962" s="1">
        <f t="shared" si="123"/>
        <v>169.07517028196185</v>
      </c>
    </row>
    <row r="3963" spans="1:9" x14ac:dyDescent="0.45">
      <c r="A3963" t="s">
        <v>24</v>
      </c>
      <c r="B3963" t="s">
        <v>65</v>
      </c>
      <c r="C3963" t="str">
        <f t="shared" si="122"/>
        <v>GeorgiaUC San Diego</v>
      </c>
      <c r="D3963" t="s">
        <v>24</v>
      </c>
      <c r="E3963">
        <v>64.400000000000006</v>
      </c>
      <c r="F3963" s="1">
        <v>-3.8943396226415099</v>
      </c>
      <c r="G3963" s="2">
        <v>-181.11880828848999</v>
      </c>
      <c r="H3963" s="1">
        <v>138.19934821654201</v>
      </c>
      <c r="I3963" s="1">
        <f t="shared" si="123"/>
        <v>130.65645083308371</v>
      </c>
    </row>
    <row r="3964" spans="1:9" x14ac:dyDescent="0.45">
      <c r="A3964" t="s">
        <v>25</v>
      </c>
      <c r="B3964" t="s">
        <v>65</v>
      </c>
      <c r="C3964" t="str">
        <f t="shared" si="122"/>
        <v>GonzagaUC San Diego</v>
      </c>
      <c r="D3964" t="s">
        <v>25</v>
      </c>
      <c r="E3964">
        <v>90.2</v>
      </c>
      <c r="F3964" s="1">
        <v>-14.5245283018868</v>
      </c>
      <c r="G3964" s="2">
        <v>-916.64757665795298</v>
      </c>
      <c r="H3964" s="1">
        <v>140.176309947048</v>
      </c>
      <c r="I3964" s="1">
        <f t="shared" si="123"/>
        <v>158.41638518728251</v>
      </c>
    </row>
    <row r="3965" spans="1:9" x14ac:dyDescent="0.45">
      <c r="A3965" t="s">
        <v>26</v>
      </c>
      <c r="B3965" t="s">
        <v>65</v>
      </c>
      <c r="C3965" t="str">
        <f t="shared" si="122"/>
        <v>Grand CanyonUC San Diego</v>
      </c>
      <c r="D3965" t="s">
        <v>65</v>
      </c>
      <c r="E3965">
        <v>49.9</v>
      </c>
      <c r="F3965" s="1">
        <v>2.6415094339622601E-2</v>
      </c>
      <c r="G3965" s="2">
        <v>100.409878216808</v>
      </c>
      <c r="H3965" s="1">
        <v>138.99428166458699</v>
      </c>
      <c r="I3965" s="1">
        <f t="shared" si="123"/>
        <v>141.81868022436169</v>
      </c>
    </row>
    <row r="3966" spans="1:9" x14ac:dyDescent="0.45">
      <c r="A3966" t="s">
        <v>27</v>
      </c>
      <c r="B3966" t="s">
        <v>65</v>
      </c>
      <c r="C3966" t="str">
        <f t="shared" si="122"/>
        <v>High PointUC San Diego</v>
      </c>
      <c r="D3966" t="s">
        <v>65</v>
      </c>
      <c r="E3966">
        <v>38.299999999999997</v>
      </c>
      <c r="F3966" s="1">
        <v>3.1169811320754701</v>
      </c>
      <c r="G3966" s="2">
        <v>160.863865924431</v>
      </c>
      <c r="H3966" s="1">
        <v>139.185488798135</v>
      </c>
      <c r="I3966" s="1">
        <f t="shared" si="123"/>
        <v>144.50355641262689</v>
      </c>
    </row>
    <row r="3967" spans="1:9" x14ac:dyDescent="0.45">
      <c r="A3967" t="s">
        <v>28</v>
      </c>
      <c r="B3967" t="s">
        <v>65</v>
      </c>
      <c r="C3967" t="str">
        <f t="shared" si="122"/>
        <v>HoustonUC San Diego</v>
      </c>
      <c r="D3967" t="s">
        <v>28</v>
      </c>
      <c r="E3967">
        <v>99.3</v>
      </c>
      <c r="F3967" s="1">
        <v>-32.166037735849102</v>
      </c>
      <c r="G3967" s="2">
        <v>-13522.014292686201</v>
      </c>
      <c r="H3967" s="1">
        <v>141.29895115533901</v>
      </c>
      <c r="I3967" s="1">
        <f t="shared" si="123"/>
        <v>174.18019374492243</v>
      </c>
    </row>
    <row r="3968" spans="1:9" x14ac:dyDescent="0.45">
      <c r="A3968" t="s">
        <v>29</v>
      </c>
      <c r="B3968" t="s">
        <v>65</v>
      </c>
      <c r="C3968" t="str">
        <f t="shared" si="122"/>
        <v>IllinoisUC San Diego</v>
      </c>
      <c r="D3968" t="s">
        <v>29</v>
      </c>
      <c r="E3968">
        <v>93</v>
      </c>
      <c r="F3968" s="1">
        <v>-16.977358490566001</v>
      </c>
      <c r="G3968" s="2">
        <v>-1332.9928217065701</v>
      </c>
      <c r="H3968" s="1">
        <v>139.3574149303</v>
      </c>
      <c r="I3968" s="1">
        <f t="shared" si="123"/>
        <v>146.91769426316085</v>
      </c>
    </row>
    <row r="3969" spans="1:9" x14ac:dyDescent="0.45">
      <c r="A3969" t="s">
        <v>30</v>
      </c>
      <c r="B3969" t="s">
        <v>65</v>
      </c>
      <c r="C3969" t="str">
        <f t="shared" si="122"/>
        <v>Iowa St.UC San Diego</v>
      </c>
      <c r="D3969" t="s">
        <v>30</v>
      </c>
      <c r="E3969">
        <v>96.5</v>
      </c>
      <c r="F3969" s="1">
        <v>-21.841509433962301</v>
      </c>
      <c r="G3969" s="2">
        <v>-2798.2329741879498</v>
      </c>
      <c r="H3969" s="1">
        <v>140.253957221886</v>
      </c>
      <c r="I3969" s="1">
        <f t="shared" si="123"/>
        <v>159.50668613697951</v>
      </c>
    </row>
    <row r="3970" spans="1:9" x14ac:dyDescent="0.45">
      <c r="A3970" t="s">
        <v>31</v>
      </c>
      <c r="B3970" t="s">
        <v>65</v>
      </c>
      <c r="C3970" t="str">
        <f t="shared" si="122"/>
        <v>KansasUC San Diego</v>
      </c>
      <c r="D3970" t="s">
        <v>31</v>
      </c>
      <c r="E3970">
        <v>89.6</v>
      </c>
      <c r="F3970" s="1">
        <v>-14.1245283018868</v>
      </c>
      <c r="G3970" s="2">
        <v>-862.34874200926197</v>
      </c>
      <c r="H3970" s="1">
        <v>139.30454511074001</v>
      </c>
      <c r="I3970" s="1">
        <f t="shared" si="123"/>
        <v>146.17531129354822</v>
      </c>
    </row>
    <row r="3971" spans="1:9" x14ac:dyDescent="0.45">
      <c r="A3971" t="s">
        <v>32</v>
      </c>
      <c r="B3971" t="s">
        <v>65</v>
      </c>
      <c r="C3971" t="str">
        <f t="shared" ref="C3971:C4034" si="124">A3971&amp;B3971</f>
        <v>KentuckyUC San Diego</v>
      </c>
      <c r="D3971" t="s">
        <v>32</v>
      </c>
      <c r="E3971">
        <v>93.5</v>
      </c>
      <c r="F3971" s="1">
        <v>-17.486792452830201</v>
      </c>
      <c r="G3971" s="2">
        <v>-1440.68447749759</v>
      </c>
      <c r="H3971" s="1">
        <v>139.23882744286499</v>
      </c>
      <c r="I3971" s="1">
        <f t="shared" ref="I3971:I4034" si="125">18*(H3971-AVERAGE($H$2:$H$4625))/_xlfn.STDEV.P($H$2:$H$4625)+AVERAGE($H$2:$H$4625)</f>
        <v>145.25252249193866</v>
      </c>
    </row>
    <row r="3972" spans="1:9" x14ac:dyDescent="0.45">
      <c r="A3972" t="s">
        <v>33</v>
      </c>
      <c r="B3972" t="s">
        <v>65</v>
      </c>
      <c r="C3972" t="str">
        <f t="shared" si="124"/>
        <v>LibertyUC San Diego</v>
      </c>
      <c r="D3972" t="s">
        <v>65</v>
      </c>
      <c r="E3972">
        <v>30.2</v>
      </c>
      <c r="F3972" s="1">
        <v>5.4981132075471697</v>
      </c>
      <c r="G3972" s="2">
        <v>231.34442488858801</v>
      </c>
      <c r="H3972" s="1">
        <v>138.583828486583</v>
      </c>
      <c r="I3972" s="1">
        <f t="shared" si="125"/>
        <v>136.05521343537796</v>
      </c>
    </row>
    <row r="3973" spans="1:9" x14ac:dyDescent="0.45">
      <c r="A3973" t="s">
        <v>34</v>
      </c>
      <c r="B3973" t="s">
        <v>65</v>
      </c>
      <c r="C3973" t="str">
        <f t="shared" si="124"/>
        <v>LipscombUC San Diego</v>
      </c>
      <c r="D3973" t="s">
        <v>65</v>
      </c>
      <c r="E3973">
        <v>24.5</v>
      </c>
      <c r="F3973" s="1">
        <v>7.3622641509433997</v>
      </c>
      <c r="G3973" s="2">
        <v>307.50865137425598</v>
      </c>
      <c r="H3973" s="1">
        <v>138.99014668417499</v>
      </c>
      <c r="I3973" s="1">
        <f t="shared" si="125"/>
        <v>141.76061800544164</v>
      </c>
    </row>
    <row r="3974" spans="1:9" x14ac:dyDescent="0.45">
      <c r="A3974" t="s">
        <v>35</v>
      </c>
      <c r="B3974" t="s">
        <v>65</v>
      </c>
      <c r="C3974" t="str">
        <f t="shared" si="124"/>
        <v>LouisvilleUC San Diego</v>
      </c>
      <c r="D3974" t="s">
        <v>65</v>
      </c>
      <c r="E3974">
        <v>45</v>
      </c>
      <c r="F3974" s="1">
        <v>1.3132075471698099</v>
      </c>
      <c r="G3974" s="2">
        <v>122.213590560781</v>
      </c>
      <c r="H3974" s="1">
        <v>138.235508689992</v>
      </c>
      <c r="I3974" s="1">
        <f t="shared" si="125"/>
        <v>131.16420591690706</v>
      </c>
    </row>
    <row r="3975" spans="1:9" x14ac:dyDescent="0.45">
      <c r="A3975" t="s">
        <v>36</v>
      </c>
      <c r="B3975" t="s">
        <v>65</v>
      </c>
      <c r="C3975" t="str">
        <f t="shared" si="124"/>
        <v>MarquetteUC San Diego</v>
      </c>
      <c r="D3975" t="s">
        <v>36</v>
      </c>
      <c r="E3975">
        <v>91.7</v>
      </c>
      <c r="F3975" s="1">
        <v>-15.7509433962264</v>
      </c>
      <c r="G3975" s="2">
        <v>-1105.6655898694601</v>
      </c>
      <c r="H3975" s="1">
        <v>139.49764253345501</v>
      </c>
      <c r="I3975" s="1">
        <f t="shared" si="125"/>
        <v>148.88673038468124</v>
      </c>
    </row>
    <row r="3976" spans="1:9" x14ac:dyDescent="0.45">
      <c r="A3976" t="s">
        <v>37</v>
      </c>
      <c r="B3976" t="s">
        <v>65</v>
      </c>
      <c r="C3976" t="str">
        <f t="shared" si="124"/>
        <v>MarylandUC San Diego</v>
      </c>
      <c r="D3976" t="s">
        <v>37</v>
      </c>
      <c r="E3976">
        <v>87.2</v>
      </c>
      <c r="F3976" s="1">
        <v>-12.5849056603774</v>
      </c>
      <c r="G3976" s="2">
        <v>-682.00877444759499</v>
      </c>
      <c r="H3976" s="1">
        <v>138.956012131997</v>
      </c>
      <c r="I3976" s="1">
        <f t="shared" si="125"/>
        <v>141.28131033192972</v>
      </c>
    </row>
    <row r="3977" spans="1:9" x14ac:dyDescent="0.45">
      <c r="A3977" t="s">
        <v>38</v>
      </c>
      <c r="B3977" t="s">
        <v>65</v>
      </c>
      <c r="C3977" t="str">
        <f t="shared" si="124"/>
        <v>McNeese St.UC San Diego</v>
      </c>
      <c r="D3977" t="s">
        <v>38</v>
      </c>
      <c r="E3977">
        <v>61.4</v>
      </c>
      <c r="F3977" s="1">
        <v>-3.0452830188679201</v>
      </c>
      <c r="G3977" s="2">
        <v>-159.11835801453299</v>
      </c>
      <c r="H3977" s="1">
        <v>139.54924754496199</v>
      </c>
      <c r="I3977" s="1">
        <f t="shared" si="125"/>
        <v>149.61135327933624</v>
      </c>
    </row>
    <row r="3978" spans="1:9" x14ac:dyDescent="0.45">
      <c r="A3978" t="s">
        <v>39</v>
      </c>
      <c r="B3978" t="s">
        <v>65</v>
      </c>
      <c r="C3978" t="str">
        <f t="shared" si="124"/>
        <v>MemphisUC San Diego</v>
      </c>
      <c r="D3978" t="s">
        <v>39</v>
      </c>
      <c r="E3978">
        <v>79.3</v>
      </c>
      <c r="F3978" s="1">
        <v>-8.8226415094339607</v>
      </c>
      <c r="G3978" s="2">
        <v>-384.05161478465698</v>
      </c>
      <c r="H3978" s="1">
        <v>138.083529371487</v>
      </c>
      <c r="I3978" s="1">
        <f t="shared" si="125"/>
        <v>129.03015555073492</v>
      </c>
    </row>
    <row r="3979" spans="1:9" x14ac:dyDescent="0.45">
      <c r="A3979" t="s">
        <v>40</v>
      </c>
      <c r="B3979" t="s">
        <v>65</v>
      </c>
      <c r="C3979" t="str">
        <f t="shared" si="124"/>
        <v>MichiganUC San Diego</v>
      </c>
      <c r="D3979" t="s">
        <v>40</v>
      </c>
      <c r="E3979">
        <v>65.5</v>
      </c>
      <c r="F3979" s="1">
        <v>-4.1962264150943396</v>
      </c>
      <c r="G3979" s="2">
        <v>-189.668391562583</v>
      </c>
      <c r="H3979" s="1">
        <v>137.646150668404</v>
      </c>
      <c r="I3979" s="1">
        <f t="shared" si="125"/>
        <v>122.88860819645149</v>
      </c>
    </row>
    <row r="3980" spans="1:9" x14ac:dyDescent="0.45">
      <c r="A3980" t="s">
        <v>41</v>
      </c>
      <c r="B3980" t="s">
        <v>65</v>
      </c>
      <c r="C3980" t="str">
        <f t="shared" si="124"/>
        <v>Michigan St.UC San Diego</v>
      </c>
      <c r="D3980" t="s">
        <v>41</v>
      </c>
      <c r="E3980">
        <v>94.7</v>
      </c>
      <c r="F3980" s="1">
        <v>-18.9433962264151</v>
      </c>
      <c r="G3980" s="2">
        <v>-1798.6642497882001</v>
      </c>
      <c r="H3980" s="1">
        <v>139.293230377611</v>
      </c>
      <c r="I3980" s="1">
        <f t="shared" si="125"/>
        <v>146.01643302896176</v>
      </c>
    </row>
    <row r="3981" spans="1:9" x14ac:dyDescent="0.45">
      <c r="A3981" t="s">
        <v>42</v>
      </c>
      <c r="B3981" t="s">
        <v>65</v>
      </c>
      <c r="C3981" t="str">
        <f t="shared" si="124"/>
        <v>MississippiUC San Diego</v>
      </c>
      <c r="D3981" t="s">
        <v>42</v>
      </c>
      <c r="E3981">
        <v>83.1</v>
      </c>
      <c r="F3981" s="1">
        <v>-10.445283018867899</v>
      </c>
      <c r="G3981" s="2">
        <v>-492.12869387592502</v>
      </c>
      <c r="H3981" s="1">
        <v>138.56092172749999</v>
      </c>
      <c r="I3981" s="1">
        <f t="shared" si="125"/>
        <v>135.73356323922107</v>
      </c>
    </row>
    <row r="3982" spans="1:9" x14ac:dyDescent="0.45">
      <c r="A3982" t="s">
        <v>43</v>
      </c>
      <c r="B3982" t="s">
        <v>65</v>
      </c>
      <c r="C3982" t="str">
        <f t="shared" si="124"/>
        <v>Mississippi St.UC San Diego</v>
      </c>
      <c r="D3982" t="s">
        <v>43</v>
      </c>
      <c r="E3982">
        <v>79.099999999999994</v>
      </c>
      <c r="F3982" s="1">
        <v>-8.7245283018867905</v>
      </c>
      <c r="G3982" s="2">
        <v>-378.35665001941402</v>
      </c>
      <c r="H3982" s="1">
        <v>138.70066820017701</v>
      </c>
      <c r="I3982" s="1">
        <f t="shared" si="125"/>
        <v>137.69584346340727</v>
      </c>
    </row>
    <row r="3983" spans="1:9" x14ac:dyDescent="0.45">
      <c r="A3983" t="s">
        <v>44</v>
      </c>
      <c r="B3983" t="s">
        <v>65</v>
      </c>
      <c r="C3983" t="str">
        <f t="shared" si="124"/>
        <v>MissouriUC San Diego</v>
      </c>
      <c r="D3983" t="s">
        <v>44</v>
      </c>
      <c r="E3983">
        <v>64.099999999999994</v>
      </c>
      <c r="F3983" s="1">
        <v>-3.7886792452830198</v>
      </c>
      <c r="G3983" s="2">
        <v>-178.247353180451</v>
      </c>
      <c r="H3983" s="1">
        <v>138.11833009882301</v>
      </c>
      <c r="I3983" s="1">
        <f t="shared" si="125"/>
        <v>129.51881746634956</v>
      </c>
    </row>
    <row r="3984" spans="1:9" x14ac:dyDescent="0.45">
      <c r="A3984" t="s">
        <v>45</v>
      </c>
      <c r="B3984" t="s">
        <v>65</v>
      </c>
      <c r="C3984" t="str">
        <f t="shared" si="124"/>
        <v>MontanaUC San Diego</v>
      </c>
      <c r="D3984" t="s">
        <v>65</v>
      </c>
      <c r="E3984">
        <v>13.8</v>
      </c>
      <c r="F3984" s="1">
        <v>12.0150943396226</v>
      </c>
      <c r="G3984" s="2">
        <v>625.349278266228</v>
      </c>
      <c r="H3984" s="1">
        <v>137.25504166222899</v>
      </c>
      <c r="I3984" s="1">
        <f t="shared" si="125"/>
        <v>117.39676676663508</v>
      </c>
    </row>
    <row r="3985" spans="1:9" x14ac:dyDescent="0.45">
      <c r="A3985" t="s">
        <v>46</v>
      </c>
      <c r="B3985" t="s">
        <v>65</v>
      </c>
      <c r="C3985" t="str">
        <f t="shared" si="124"/>
        <v>Mount St. Mary'sUC San Diego</v>
      </c>
      <c r="D3985" t="s">
        <v>65</v>
      </c>
      <c r="E3985">
        <v>5.7</v>
      </c>
      <c r="F3985" s="1">
        <v>18.350943396226398</v>
      </c>
      <c r="G3985" s="2">
        <v>1643.41327763448</v>
      </c>
      <c r="H3985" s="1">
        <v>138.55832961638001</v>
      </c>
      <c r="I3985" s="1">
        <f t="shared" si="125"/>
        <v>135.69716555209385</v>
      </c>
    </row>
    <row r="3986" spans="1:9" x14ac:dyDescent="0.45">
      <c r="A3986" t="s">
        <v>47</v>
      </c>
      <c r="B3986" t="s">
        <v>65</v>
      </c>
      <c r="C3986" t="str">
        <f t="shared" si="124"/>
        <v>Nebraska OmahaUC San Diego</v>
      </c>
      <c r="D3986" t="s">
        <v>65</v>
      </c>
      <c r="E3986">
        <v>7.8</v>
      </c>
      <c r="F3986" s="1">
        <v>16.1622641509434</v>
      </c>
      <c r="G3986" s="2">
        <v>1176.6417932715401</v>
      </c>
      <c r="H3986" s="1">
        <v>137.97610574848301</v>
      </c>
      <c r="I3986" s="1">
        <f t="shared" si="125"/>
        <v>127.52174358875025</v>
      </c>
    </row>
    <row r="3987" spans="1:9" x14ac:dyDescent="0.45">
      <c r="A3987" t="s">
        <v>48</v>
      </c>
      <c r="B3987" t="s">
        <v>65</v>
      </c>
      <c r="C3987" t="str">
        <f t="shared" si="124"/>
        <v>New MexicoUC San Diego</v>
      </c>
      <c r="D3987" t="s">
        <v>48</v>
      </c>
      <c r="E3987">
        <v>67.099999999999994</v>
      </c>
      <c r="F3987" s="1">
        <v>-4.6716981132075501</v>
      </c>
      <c r="G3987" s="2">
        <v>-203.91018732191799</v>
      </c>
      <c r="H3987" s="1">
        <v>138.74609568029999</v>
      </c>
      <c r="I3987" s="1">
        <f t="shared" si="125"/>
        <v>138.33372321931327</v>
      </c>
    </row>
    <row r="3988" spans="1:9" x14ac:dyDescent="0.45">
      <c r="A3988" t="s">
        <v>49</v>
      </c>
      <c r="B3988" t="s">
        <v>65</v>
      </c>
      <c r="C3988" t="str">
        <f t="shared" si="124"/>
        <v>Norfolk St.UC San Diego</v>
      </c>
      <c r="D3988" t="s">
        <v>65</v>
      </c>
      <c r="E3988">
        <v>10.7</v>
      </c>
      <c r="F3988" s="1">
        <v>13.8943396226415</v>
      </c>
      <c r="G3988" s="2">
        <v>832.89726052755498</v>
      </c>
      <c r="H3988" s="1">
        <v>137.782221444264</v>
      </c>
      <c r="I3988" s="1">
        <f t="shared" si="125"/>
        <v>124.799275331334</v>
      </c>
    </row>
    <row r="3989" spans="1:9" x14ac:dyDescent="0.45">
      <c r="A3989" t="s">
        <v>50</v>
      </c>
      <c r="B3989" t="s">
        <v>65</v>
      </c>
      <c r="C3989" t="str">
        <f t="shared" si="124"/>
        <v>North CarolinaUC San Diego</v>
      </c>
      <c r="D3989" t="s">
        <v>50</v>
      </c>
      <c r="E3989">
        <v>87.4</v>
      </c>
      <c r="F3989" s="1">
        <v>-12.7207547169811</v>
      </c>
      <c r="G3989" s="2">
        <v>-696.29925132270102</v>
      </c>
      <c r="H3989" s="1">
        <v>139.85582739873399</v>
      </c>
      <c r="I3989" s="1">
        <f t="shared" si="125"/>
        <v>153.91626039195523</v>
      </c>
    </row>
    <row r="3990" spans="1:9" x14ac:dyDescent="0.45">
      <c r="A3990" t="s">
        <v>51</v>
      </c>
      <c r="B3990" t="s">
        <v>65</v>
      </c>
      <c r="C3990" t="str">
        <f t="shared" si="124"/>
        <v>OklahomaUC San Diego</v>
      </c>
      <c r="D3990" t="s">
        <v>51</v>
      </c>
      <c r="E3990">
        <v>70.900000000000006</v>
      </c>
      <c r="F3990" s="1">
        <v>-5.8377358490565996</v>
      </c>
      <c r="G3990" s="2">
        <v>-243.679339210043</v>
      </c>
      <c r="H3990" s="1">
        <v>138.27945052490799</v>
      </c>
      <c r="I3990" s="1">
        <f t="shared" si="125"/>
        <v>131.78122466534714</v>
      </c>
    </row>
    <row r="3991" spans="1:9" x14ac:dyDescent="0.45">
      <c r="A3991" t="s">
        <v>52</v>
      </c>
      <c r="B3991" t="s">
        <v>65</v>
      </c>
      <c r="C3991" t="str">
        <f t="shared" si="124"/>
        <v>OregonUC San Diego</v>
      </c>
      <c r="D3991" t="s">
        <v>52</v>
      </c>
      <c r="E3991">
        <v>87.2</v>
      </c>
      <c r="F3991" s="1">
        <v>-12.603773584905699</v>
      </c>
      <c r="G3991" s="2">
        <v>-684.04544314178497</v>
      </c>
      <c r="H3991" s="1">
        <v>138.57016791643699</v>
      </c>
      <c r="I3991" s="1">
        <f t="shared" si="125"/>
        <v>135.86339559457571</v>
      </c>
    </row>
    <row r="3992" spans="1:9" x14ac:dyDescent="0.45">
      <c r="A3992" t="s">
        <v>53</v>
      </c>
      <c r="B3992" t="s">
        <v>65</v>
      </c>
      <c r="C3992" t="str">
        <f t="shared" si="124"/>
        <v>PurdueUC San Diego</v>
      </c>
      <c r="D3992" t="s">
        <v>53</v>
      </c>
      <c r="E3992">
        <v>97.5</v>
      </c>
      <c r="F3992" s="1">
        <v>-23.977358490566001</v>
      </c>
      <c r="G3992" s="2">
        <v>-3876.8997770054398</v>
      </c>
      <c r="H3992" s="1">
        <v>140.05825511623499</v>
      </c>
      <c r="I3992" s="1">
        <f t="shared" si="125"/>
        <v>156.75869282885409</v>
      </c>
    </row>
    <row r="3993" spans="1:9" x14ac:dyDescent="0.45">
      <c r="A3993" t="s">
        <v>54</v>
      </c>
      <c r="B3993" t="s">
        <v>65</v>
      </c>
      <c r="C3993" t="str">
        <f t="shared" si="124"/>
        <v>Robert MorrisUC San Diego</v>
      </c>
      <c r="D3993" t="s">
        <v>65</v>
      </c>
      <c r="E3993">
        <v>4.5999999999999996</v>
      </c>
      <c r="F3993" s="1">
        <v>19.913207547169801</v>
      </c>
      <c r="G3993" s="2">
        <v>2085.2125323830701</v>
      </c>
      <c r="H3993" s="1">
        <v>137.141220444922</v>
      </c>
      <c r="I3993" s="1">
        <f t="shared" si="125"/>
        <v>115.79852160498069</v>
      </c>
    </row>
    <row r="3994" spans="1:9" x14ac:dyDescent="0.45">
      <c r="A3994" t="s">
        <v>55</v>
      </c>
      <c r="B3994" t="s">
        <v>65</v>
      </c>
      <c r="C3994" t="str">
        <f t="shared" si="124"/>
        <v>Saint FrancisUC San Diego</v>
      </c>
      <c r="D3994" t="s">
        <v>65</v>
      </c>
      <c r="E3994">
        <v>2.8</v>
      </c>
      <c r="F3994" s="1">
        <v>23.275471698113201</v>
      </c>
      <c r="G3994" s="2">
        <v>3482.8319583907701</v>
      </c>
      <c r="H3994" s="1">
        <v>137.848068326966</v>
      </c>
      <c r="I3994" s="1">
        <f t="shared" si="125"/>
        <v>125.72387853079424</v>
      </c>
    </row>
    <row r="3995" spans="1:9" x14ac:dyDescent="0.45">
      <c r="A3995" t="s">
        <v>56</v>
      </c>
      <c r="B3995" t="s">
        <v>65</v>
      </c>
      <c r="C3995" t="str">
        <f t="shared" si="124"/>
        <v>Saint Mary'sUC San Diego</v>
      </c>
      <c r="D3995" t="s">
        <v>56</v>
      </c>
      <c r="E3995">
        <v>87</v>
      </c>
      <c r="F3995" s="1">
        <v>-12.4603773584906</v>
      </c>
      <c r="G3995" s="2">
        <v>-669.16259094759198</v>
      </c>
      <c r="H3995" s="1">
        <v>139.577274442907</v>
      </c>
      <c r="I3995" s="1">
        <f t="shared" si="125"/>
        <v>150.00489900918012</v>
      </c>
    </row>
    <row r="3996" spans="1:9" x14ac:dyDescent="0.45">
      <c r="A3996" t="s">
        <v>57</v>
      </c>
      <c r="B3996" t="s">
        <v>65</v>
      </c>
      <c r="C3996" t="str">
        <f t="shared" si="124"/>
        <v>San Diego St.UC San Diego</v>
      </c>
      <c r="D3996" t="s">
        <v>57</v>
      </c>
      <c r="E3996">
        <v>67.5</v>
      </c>
      <c r="F3996" s="1">
        <v>-4.7886792452830198</v>
      </c>
      <c r="G3996" s="2">
        <v>-207.55446856607699</v>
      </c>
      <c r="H3996" s="1">
        <v>138.79197360593599</v>
      </c>
      <c r="I3996" s="1">
        <f t="shared" si="125"/>
        <v>138.9779280030024</v>
      </c>
    </row>
    <row r="3997" spans="1:9" x14ac:dyDescent="0.45">
      <c r="A3997" t="s">
        <v>58</v>
      </c>
      <c r="B3997" t="s">
        <v>65</v>
      </c>
      <c r="C3997" t="str">
        <f t="shared" si="124"/>
        <v>SIU EdwardsvilleUC San Diego</v>
      </c>
      <c r="D3997" t="s">
        <v>65</v>
      </c>
      <c r="E3997">
        <v>9</v>
      </c>
      <c r="F3997" s="1">
        <v>15.188679245283</v>
      </c>
      <c r="G3997" s="2">
        <v>1014.25741496333</v>
      </c>
      <c r="H3997" s="1">
        <v>138.85123178612</v>
      </c>
      <c r="I3997" s="1">
        <f t="shared" si="125"/>
        <v>139.81001451559069</v>
      </c>
    </row>
    <row r="3998" spans="1:9" x14ac:dyDescent="0.45">
      <c r="A3998" t="s">
        <v>59</v>
      </c>
      <c r="B3998" t="s">
        <v>65</v>
      </c>
      <c r="C3998" t="str">
        <f t="shared" si="124"/>
        <v>St. John'sUC San Diego</v>
      </c>
      <c r="D3998" t="s">
        <v>59</v>
      </c>
      <c r="E3998">
        <v>95.1</v>
      </c>
      <c r="F3998" s="1">
        <v>-19.445283018867901</v>
      </c>
      <c r="G3998" s="2">
        <v>-1941.69630145834</v>
      </c>
      <c r="H3998" s="1">
        <v>139.670688234674</v>
      </c>
      <c r="I3998" s="1">
        <f t="shared" si="125"/>
        <v>151.31658890545603</v>
      </c>
    </row>
    <row r="3999" spans="1:9" x14ac:dyDescent="0.45">
      <c r="A3999" t="s">
        <v>60</v>
      </c>
      <c r="B3999" t="s">
        <v>65</v>
      </c>
      <c r="C3999" t="str">
        <f t="shared" si="124"/>
        <v>TennesseeUC San Diego</v>
      </c>
      <c r="D3999" t="s">
        <v>60</v>
      </c>
      <c r="E3999">
        <v>97.7</v>
      </c>
      <c r="F3999" s="1">
        <v>-24.660377358490599</v>
      </c>
      <c r="G3999" s="2">
        <v>-4302.6775041047404</v>
      </c>
      <c r="H3999" s="1">
        <v>140.46392060880899</v>
      </c>
      <c r="I3999" s="1">
        <f t="shared" si="125"/>
        <v>162.45493230069039</v>
      </c>
    </row>
    <row r="4000" spans="1:9" x14ac:dyDescent="0.45">
      <c r="A4000" t="s">
        <v>61</v>
      </c>
      <c r="B4000" t="s">
        <v>65</v>
      </c>
      <c r="C4000" t="str">
        <f t="shared" si="124"/>
        <v>TexasUC San Diego</v>
      </c>
      <c r="D4000" t="s">
        <v>61</v>
      </c>
      <c r="E4000">
        <v>63.3</v>
      </c>
      <c r="F4000" s="1">
        <v>-3.5622641509433999</v>
      </c>
      <c r="G4000" s="2">
        <v>-172.22411918080701</v>
      </c>
      <c r="H4000" s="1">
        <v>138.16380243644701</v>
      </c>
      <c r="I4000" s="1">
        <f t="shared" si="125"/>
        <v>130.15732709852705</v>
      </c>
    </row>
    <row r="4001" spans="1:9" x14ac:dyDescent="0.45">
      <c r="A4001" t="s">
        <v>62</v>
      </c>
      <c r="B4001" t="s">
        <v>65</v>
      </c>
      <c r="C4001" t="str">
        <f t="shared" si="124"/>
        <v>Texas A&amp;MUC San Diego</v>
      </c>
      <c r="D4001" t="s">
        <v>62</v>
      </c>
      <c r="E4001">
        <v>90.7</v>
      </c>
      <c r="F4001" s="1">
        <v>-14.966037735849101</v>
      </c>
      <c r="G4001" s="2">
        <v>-980.50147529197295</v>
      </c>
      <c r="H4001" s="1">
        <v>138.95077774584399</v>
      </c>
      <c r="I4001" s="1">
        <f t="shared" si="125"/>
        <v>141.20781057027537</v>
      </c>
    </row>
    <row r="4002" spans="1:9" x14ac:dyDescent="0.45">
      <c r="A4002" t="s">
        <v>63</v>
      </c>
      <c r="B4002" t="s">
        <v>65</v>
      </c>
      <c r="C4002" t="str">
        <f t="shared" si="124"/>
        <v>Texas TechUC San Diego</v>
      </c>
      <c r="D4002" t="s">
        <v>63</v>
      </c>
      <c r="E4002">
        <v>95</v>
      </c>
      <c r="F4002" s="1">
        <v>-19.2981132075472</v>
      </c>
      <c r="G4002" s="2">
        <v>-1899.1693509074701</v>
      </c>
      <c r="H4002" s="1">
        <v>139.94129035108401</v>
      </c>
      <c r="I4002" s="1">
        <f t="shared" si="125"/>
        <v>155.11630686242748</v>
      </c>
    </row>
    <row r="4003" spans="1:9" x14ac:dyDescent="0.45">
      <c r="A4003" t="s">
        <v>64</v>
      </c>
      <c r="B4003" t="s">
        <v>65</v>
      </c>
      <c r="C4003" t="str">
        <f t="shared" si="124"/>
        <v>TroyUC San Diego</v>
      </c>
      <c r="D4003" t="s">
        <v>65</v>
      </c>
      <c r="E4003">
        <v>21.4</v>
      </c>
      <c r="F4003" s="1">
        <v>8.5094339622641506</v>
      </c>
      <c r="G4003" s="2">
        <v>366.24994742610397</v>
      </c>
      <c r="H4003" s="1">
        <v>138.707594945643</v>
      </c>
      <c r="I4003" s="1">
        <f t="shared" si="125"/>
        <v>137.79310685321244</v>
      </c>
    </row>
    <row r="4004" spans="1:9" x14ac:dyDescent="0.45">
      <c r="A4004" t="s">
        <v>65</v>
      </c>
      <c r="B4004" t="s">
        <v>65</v>
      </c>
      <c r="C4004" t="str">
        <f t="shared" si="124"/>
        <v>UC San DiegoUC San Diego</v>
      </c>
      <c r="D4004" t="s">
        <v>65</v>
      </c>
      <c r="E4004">
        <v>41.2</v>
      </c>
      <c r="F4004" s="1">
        <v>2.3283018867924499</v>
      </c>
      <c r="G4004" s="2">
        <v>142.64273539779199</v>
      </c>
      <c r="H4004" s="1">
        <v>138.77771517530499</v>
      </c>
      <c r="I4004" s="1">
        <f t="shared" si="125"/>
        <v>138.77771517530684</v>
      </c>
    </row>
    <row r="4005" spans="1:9" x14ac:dyDescent="0.45">
      <c r="A4005" t="s">
        <v>66</v>
      </c>
      <c r="B4005" t="s">
        <v>65</v>
      </c>
      <c r="C4005" t="str">
        <f t="shared" si="124"/>
        <v>UCLAUC San Diego</v>
      </c>
      <c r="D4005" t="s">
        <v>66</v>
      </c>
      <c r="E4005">
        <v>70.7</v>
      </c>
      <c r="F4005" s="1">
        <v>-5.7735849056603801</v>
      </c>
      <c r="G4005" s="2">
        <v>-241.23581910617901</v>
      </c>
      <c r="H4005" s="1">
        <v>137.998973754518</v>
      </c>
      <c r="I4005" s="1">
        <f t="shared" si="125"/>
        <v>127.84284962562862</v>
      </c>
    </row>
    <row r="4006" spans="1:9" x14ac:dyDescent="0.45">
      <c r="A4006" t="s">
        <v>67</v>
      </c>
      <c r="B4006" t="s">
        <v>65</v>
      </c>
      <c r="C4006" t="str">
        <f t="shared" si="124"/>
        <v>UNC WilmingtonUC San Diego</v>
      </c>
      <c r="D4006" t="s">
        <v>65</v>
      </c>
      <c r="E4006">
        <v>28.8</v>
      </c>
      <c r="F4006" s="1">
        <v>5.9207547169811301</v>
      </c>
      <c r="G4006" s="2">
        <v>246.724710712622</v>
      </c>
      <c r="H4006" s="1">
        <v>139.31438364597</v>
      </c>
      <c r="I4006" s="1">
        <f t="shared" si="125"/>
        <v>146.31346120708048</v>
      </c>
    </row>
    <row r="4007" spans="1:9" x14ac:dyDescent="0.45">
      <c r="A4007" t="s">
        <v>68</v>
      </c>
      <c r="B4007" t="s">
        <v>65</v>
      </c>
      <c r="C4007" t="str">
        <f t="shared" si="124"/>
        <v>Utah St.UC San Diego</v>
      </c>
      <c r="D4007" t="s">
        <v>68</v>
      </c>
      <c r="E4007">
        <v>69.5</v>
      </c>
      <c r="F4007" s="1">
        <v>-5.4075471698113198</v>
      </c>
      <c r="G4007" s="2">
        <v>-228.15266180422299</v>
      </c>
      <c r="H4007" s="1">
        <v>138.86157014454901</v>
      </c>
      <c r="I4007" s="1">
        <f t="shared" si="125"/>
        <v>139.95518280432941</v>
      </c>
    </row>
    <row r="4008" spans="1:9" x14ac:dyDescent="0.45">
      <c r="A4008" t="s">
        <v>69</v>
      </c>
      <c r="B4008" t="s">
        <v>65</v>
      </c>
      <c r="C4008" t="str">
        <f t="shared" si="124"/>
        <v>VanderbiltUC San Diego</v>
      </c>
      <c r="D4008" t="s">
        <v>65</v>
      </c>
      <c r="E4008">
        <v>31</v>
      </c>
      <c r="F4008" s="1">
        <v>5.2415094339622597</v>
      </c>
      <c r="G4008" s="2">
        <v>222.43003419548199</v>
      </c>
      <c r="H4008" s="1">
        <v>137.295608025832</v>
      </c>
      <c r="I4008" s="1">
        <f t="shared" si="125"/>
        <v>117.9663881069125</v>
      </c>
    </row>
    <row r="4009" spans="1:9" x14ac:dyDescent="0.45">
      <c r="A4009" t="s">
        <v>70</v>
      </c>
      <c r="B4009" t="s">
        <v>65</v>
      </c>
      <c r="C4009" t="str">
        <f t="shared" si="124"/>
        <v>VCUUC San Diego</v>
      </c>
      <c r="D4009" t="s">
        <v>70</v>
      </c>
      <c r="E4009">
        <v>59.1</v>
      </c>
      <c r="F4009" s="1">
        <v>-2.4037735849056601</v>
      </c>
      <c r="G4009" s="2">
        <v>-144.320598537362</v>
      </c>
      <c r="H4009" s="1">
        <v>139.22078115502501</v>
      </c>
      <c r="I4009" s="1">
        <f t="shared" si="125"/>
        <v>144.99912165061505</v>
      </c>
    </row>
    <row r="4010" spans="1:9" x14ac:dyDescent="0.45">
      <c r="A4010" t="s">
        <v>71</v>
      </c>
      <c r="B4010" t="s">
        <v>65</v>
      </c>
      <c r="C4010" t="str">
        <f t="shared" si="124"/>
        <v>WisconsinUC San Diego</v>
      </c>
      <c r="D4010" t="s">
        <v>71</v>
      </c>
      <c r="E4010">
        <v>94.3</v>
      </c>
      <c r="F4010" s="1">
        <v>-18.358490566037698</v>
      </c>
      <c r="G4010" s="2">
        <v>-1645.1820413733999</v>
      </c>
      <c r="H4010" s="1">
        <v>139.874036763357</v>
      </c>
      <c r="I4010" s="1">
        <f t="shared" si="125"/>
        <v>154.1719511110856</v>
      </c>
    </row>
    <row r="4011" spans="1:9" x14ac:dyDescent="0.45">
      <c r="A4011" t="s">
        <v>80</v>
      </c>
      <c r="B4011" t="s">
        <v>65</v>
      </c>
      <c r="C4011" t="str">
        <f t="shared" si="124"/>
        <v>WoffordUC San Diego</v>
      </c>
      <c r="D4011" t="s">
        <v>65</v>
      </c>
      <c r="E4011">
        <v>12.4</v>
      </c>
      <c r="F4011" s="1">
        <v>12.8150943396226</v>
      </c>
      <c r="G4011" s="2">
        <v>706.43486229551002</v>
      </c>
      <c r="H4011" s="1">
        <v>137.97168519258301</v>
      </c>
      <c r="I4011" s="1">
        <f t="shared" si="125"/>
        <v>127.45967140004805</v>
      </c>
    </row>
    <row r="4012" spans="1:9" x14ac:dyDescent="0.45">
      <c r="A4012" t="s">
        <v>72</v>
      </c>
      <c r="B4012" t="s">
        <v>65</v>
      </c>
      <c r="C4012" t="str">
        <f t="shared" si="124"/>
        <v>XavierUC San Diego</v>
      </c>
      <c r="D4012" t="s">
        <v>72</v>
      </c>
      <c r="E4012">
        <v>58.8</v>
      </c>
      <c r="F4012" s="1">
        <v>-2.33207547169811</v>
      </c>
      <c r="G4012" s="2">
        <v>-142.71917808572101</v>
      </c>
      <c r="H4012" s="1">
        <v>138.714487363205</v>
      </c>
      <c r="I4012" s="1">
        <f t="shared" si="125"/>
        <v>137.88988822035296</v>
      </c>
    </row>
    <row r="4013" spans="1:9" x14ac:dyDescent="0.45">
      <c r="A4013" t="s">
        <v>73</v>
      </c>
      <c r="B4013" t="s">
        <v>65</v>
      </c>
      <c r="C4013" t="str">
        <f t="shared" si="124"/>
        <v>YaleUC San Diego</v>
      </c>
      <c r="D4013" t="s">
        <v>65</v>
      </c>
      <c r="E4013">
        <v>42.7</v>
      </c>
      <c r="F4013" s="1">
        <v>1.9169811320754699</v>
      </c>
      <c r="G4013" s="2">
        <v>133.98715185942501</v>
      </c>
      <c r="H4013" s="1">
        <v>139.31419349959901</v>
      </c>
      <c r="I4013" s="1">
        <f t="shared" si="125"/>
        <v>146.31079122581846</v>
      </c>
    </row>
    <row r="4014" spans="1:9" x14ac:dyDescent="0.45">
      <c r="A4014" t="s">
        <v>7</v>
      </c>
      <c r="B4014" t="s">
        <v>66</v>
      </c>
      <c r="C4014" t="str">
        <f t="shared" si="124"/>
        <v>AkronUCLA</v>
      </c>
      <c r="D4014" t="s">
        <v>66</v>
      </c>
      <c r="E4014">
        <v>10.199999999999999</v>
      </c>
      <c r="F4014" s="1">
        <v>14.2830188679245</v>
      </c>
      <c r="G4014" s="2">
        <v>883.54475742888997</v>
      </c>
      <c r="H4014" s="1">
        <v>138.90976198096601</v>
      </c>
      <c r="I4014" s="1">
        <f t="shared" si="125"/>
        <v>140.63187886510843</v>
      </c>
    </row>
    <row r="4015" spans="1:9" x14ac:dyDescent="0.45">
      <c r="A4015" t="s">
        <v>8</v>
      </c>
      <c r="B4015" t="s">
        <v>66</v>
      </c>
      <c r="C4015" t="str">
        <f t="shared" si="124"/>
        <v>AlabamaUCLA</v>
      </c>
      <c r="D4015" t="s">
        <v>8</v>
      </c>
      <c r="E4015">
        <v>89.5</v>
      </c>
      <c r="F4015" s="1">
        <v>-14.0566037735849</v>
      </c>
      <c r="G4015" s="2">
        <v>-853.69384456523801</v>
      </c>
      <c r="H4015" s="1">
        <v>140.71737316856201</v>
      </c>
      <c r="I4015" s="1">
        <f t="shared" si="125"/>
        <v>166.01384106057142</v>
      </c>
    </row>
    <row r="4016" spans="1:9" x14ac:dyDescent="0.45">
      <c r="A4016" t="s">
        <v>9</v>
      </c>
      <c r="B4016" t="s">
        <v>66</v>
      </c>
      <c r="C4016" t="str">
        <f t="shared" si="124"/>
        <v>Alabama St.UCLA</v>
      </c>
      <c r="D4016" t="s">
        <v>66</v>
      </c>
      <c r="E4016">
        <v>1.7</v>
      </c>
      <c r="F4016" s="1">
        <v>26.6</v>
      </c>
      <c r="G4016" s="2">
        <v>5785.1985922725298</v>
      </c>
      <c r="H4016" s="1">
        <v>139.09652374038799</v>
      </c>
      <c r="I4016" s="1">
        <f t="shared" si="125"/>
        <v>143.25433437420017</v>
      </c>
    </row>
    <row r="4017" spans="1:9" x14ac:dyDescent="0.45">
      <c r="A4017" t="s">
        <v>10</v>
      </c>
      <c r="B4017" t="s">
        <v>66</v>
      </c>
      <c r="C4017" t="str">
        <f t="shared" si="124"/>
        <v>AmericanUCLA</v>
      </c>
      <c r="D4017" t="s">
        <v>66</v>
      </c>
      <c r="E4017">
        <v>1.9</v>
      </c>
      <c r="F4017" s="1">
        <v>25.845283018867899</v>
      </c>
      <c r="G4017" s="2">
        <v>5154.3274061881002</v>
      </c>
      <c r="H4017" s="1">
        <v>138.85981326014999</v>
      </c>
      <c r="I4017" s="1">
        <f t="shared" si="125"/>
        <v>139.93051313327206</v>
      </c>
    </row>
    <row r="4018" spans="1:9" x14ac:dyDescent="0.45">
      <c r="A4018" t="s">
        <v>11</v>
      </c>
      <c r="B4018" t="s">
        <v>66</v>
      </c>
      <c r="C4018" t="str">
        <f t="shared" si="124"/>
        <v>ArizonaUCLA</v>
      </c>
      <c r="D4018" t="s">
        <v>11</v>
      </c>
      <c r="E4018">
        <v>84.9</v>
      </c>
      <c r="F4018" s="1">
        <v>-11.3018867924528</v>
      </c>
      <c r="G4018" s="2">
        <v>-560.72247926206899</v>
      </c>
      <c r="H4018" s="1">
        <v>140.327852508739</v>
      </c>
      <c r="I4018" s="1">
        <f t="shared" si="125"/>
        <v>160.54430273849005</v>
      </c>
    </row>
    <row r="4019" spans="1:9" x14ac:dyDescent="0.45">
      <c r="A4019" t="s">
        <v>12</v>
      </c>
      <c r="B4019" t="s">
        <v>66</v>
      </c>
      <c r="C4019" t="str">
        <f t="shared" si="124"/>
        <v>ArkansasUCLA</v>
      </c>
      <c r="D4019" t="s">
        <v>66</v>
      </c>
      <c r="E4019">
        <v>26.8</v>
      </c>
      <c r="F4019" s="1">
        <v>6.6</v>
      </c>
      <c r="G4019" s="2">
        <v>273.62239304199198</v>
      </c>
      <c r="H4019" s="1">
        <v>138.65377648652799</v>
      </c>
      <c r="I4019" s="1">
        <f t="shared" si="125"/>
        <v>137.03740335676977</v>
      </c>
    </row>
    <row r="4020" spans="1:9" x14ac:dyDescent="0.45">
      <c r="A4020" t="s">
        <v>13</v>
      </c>
      <c r="B4020" t="s">
        <v>66</v>
      </c>
      <c r="C4020" t="str">
        <f t="shared" si="124"/>
        <v>AuburnUCLA</v>
      </c>
      <c r="D4020" t="s">
        <v>13</v>
      </c>
      <c r="E4020">
        <v>94.4</v>
      </c>
      <c r="F4020" s="1">
        <v>-18.498113207547199</v>
      </c>
      <c r="G4020" s="2">
        <v>-1680.40000103792</v>
      </c>
      <c r="H4020" s="1">
        <v>141.739589401914</v>
      </c>
      <c r="I4020" s="1">
        <f t="shared" si="125"/>
        <v>180.36751068187715</v>
      </c>
    </row>
    <row r="4021" spans="1:9" x14ac:dyDescent="0.45">
      <c r="A4021" t="s">
        <v>14</v>
      </c>
      <c r="B4021" t="s">
        <v>66</v>
      </c>
      <c r="C4021" t="str">
        <f t="shared" si="124"/>
        <v>BaylorUCLA</v>
      </c>
      <c r="D4021" t="s">
        <v>14</v>
      </c>
      <c r="E4021">
        <v>62.9</v>
      </c>
      <c r="F4021" s="1">
        <v>-3.4490566037735899</v>
      </c>
      <c r="G4021" s="2">
        <v>-169.219524235286</v>
      </c>
      <c r="H4021" s="1">
        <v>140.20250676309499</v>
      </c>
      <c r="I4021" s="1">
        <f t="shared" si="125"/>
        <v>158.78423342760598</v>
      </c>
    </row>
    <row r="4022" spans="1:9" x14ac:dyDescent="0.45">
      <c r="A4022" t="s">
        <v>15</v>
      </c>
      <c r="B4022" t="s">
        <v>66</v>
      </c>
      <c r="C4022" t="str">
        <f t="shared" si="124"/>
        <v>BryantUCLA</v>
      </c>
      <c r="D4022" t="s">
        <v>66</v>
      </c>
      <c r="E4022">
        <v>7.3</v>
      </c>
      <c r="F4022" s="1">
        <v>16.622641509434001</v>
      </c>
      <c r="G4022" s="2">
        <v>1262.5870808899999</v>
      </c>
      <c r="H4022" s="1">
        <v>139.79482663874001</v>
      </c>
      <c r="I4022" s="1">
        <f t="shared" si="125"/>
        <v>153.05970506928043</v>
      </c>
    </row>
    <row r="4023" spans="1:9" x14ac:dyDescent="0.45">
      <c r="A4023" t="s">
        <v>16</v>
      </c>
      <c r="B4023" t="s">
        <v>66</v>
      </c>
      <c r="C4023" t="str">
        <f t="shared" si="124"/>
        <v>BYUUCLA</v>
      </c>
      <c r="D4023" t="s">
        <v>16</v>
      </c>
      <c r="E4023">
        <v>66.7</v>
      </c>
      <c r="F4023" s="1">
        <v>-4.5433962264150898</v>
      </c>
      <c r="G4023" s="2">
        <v>-199.967865907945</v>
      </c>
      <c r="H4023" s="1">
        <v>139.96486731318399</v>
      </c>
      <c r="I4023" s="1">
        <f t="shared" si="125"/>
        <v>155.4473678587369</v>
      </c>
    </row>
    <row r="4024" spans="1:9" x14ac:dyDescent="0.45">
      <c r="A4024" t="s">
        <v>17</v>
      </c>
      <c r="B4024" t="s">
        <v>66</v>
      </c>
      <c r="C4024" t="str">
        <f t="shared" si="124"/>
        <v>ClemsonUCLA</v>
      </c>
      <c r="D4024" t="s">
        <v>17</v>
      </c>
      <c r="E4024">
        <v>73.7</v>
      </c>
      <c r="F4024" s="1">
        <v>-6.7471698113207497</v>
      </c>
      <c r="G4024" s="2">
        <v>-279.89901978571498</v>
      </c>
      <c r="H4024" s="1">
        <v>140.31491753562599</v>
      </c>
      <c r="I4024" s="1">
        <f t="shared" si="125"/>
        <v>160.36267352485908</v>
      </c>
    </row>
    <row r="4025" spans="1:9" x14ac:dyDescent="0.45">
      <c r="A4025" t="s">
        <v>18</v>
      </c>
      <c r="B4025" t="s">
        <v>66</v>
      </c>
      <c r="C4025" t="str">
        <f t="shared" si="124"/>
        <v>Colorado St.UCLA</v>
      </c>
      <c r="D4025" t="s">
        <v>66</v>
      </c>
      <c r="E4025">
        <v>31.7</v>
      </c>
      <c r="F4025" s="1">
        <v>5.0339622641509401</v>
      </c>
      <c r="G4025" s="2">
        <v>215.55719291802299</v>
      </c>
      <c r="H4025" s="1">
        <v>139.70452851042</v>
      </c>
      <c r="I4025" s="1">
        <f t="shared" si="125"/>
        <v>151.79176443300483</v>
      </c>
    </row>
    <row r="4026" spans="1:9" x14ac:dyDescent="0.45">
      <c r="A4026" t="s">
        <v>19</v>
      </c>
      <c r="B4026" t="s">
        <v>66</v>
      </c>
      <c r="C4026" t="str">
        <f t="shared" si="124"/>
        <v>ConnecticutUCLA</v>
      </c>
      <c r="D4026" t="s">
        <v>19</v>
      </c>
      <c r="E4026">
        <v>81.3</v>
      </c>
      <c r="F4026" s="1">
        <v>-9.6415094339622591</v>
      </c>
      <c r="G4026" s="2">
        <v>-435.19881676467099</v>
      </c>
      <c r="H4026" s="1">
        <v>140.11516836637401</v>
      </c>
      <c r="I4026" s="1">
        <f t="shared" si="125"/>
        <v>157.55785250066975</v>
      </c>
    </row>
    <row r="4027" spans="1:9" x14ac:dyDescent="0.45">
      <c r="A4027" t="s">
        <v>20</v>
      </c>
      <c r="B4027" t="s">
        <v>66</v>
      </c>
      <c r="C4027" t="str">
        <f t="shared" si="124"/>
        <v>CreightonUCLA</v>
      </c>
      <c r="D4027" t="s">
        <v>20</v>
      </c>
      <c r="E4027">
        <v>57.3</v>
      </c>
      <c r="F4027" s="1">
        <v>-1.9320754716981099</v>
      </c>
      <c r="G4027" s="2">
        <v>-134.29351647620101</v>
      </c>
      <c r="H4027" s="1">
        <v>139.66446511921299</v>
      </c>
      <c r="I4027" s="1">
        <f t="shared" si="125"/>
        <v>151.22920568806211</v>
      </c>
    </row>
    <row r="4028" spans="1:9" x14ac:dyDescent="0.45">
      <c r="A4028" t="s">
        <v>21</v>
      </c>
      <c r="B4028" t="s">
        <v>66</v>
      </c>
      <c r="C4028" t="str">
        <f t="shared" si="124"/>
        <v>DrakeUCLA</v>
      </c>
      <c r="D4028" t="s">
        <v>66</v>
      </c>
      <c r="E4028">
        <v>31</v>
      </c>
      <c r="F4028" s="1">
        <v>5.2415094339622597</v>
      </c>
      <c r="G4028" s="2">
        <v>222.39890644812101</v>
      </c>
      <c r="H4028" s="1">
        <v>139.89914092488701</v>
      </c>
      <c r="I4028" s="1">
        <f t="shared" si="125"/>
        <v>154.52445660744232</v>
      </c>
    </row>
    <row r="4029" spans="1:9" x14ac:dyDescent="0.45">
      <c r="A4029" t="s">
        <v>22</v>
      </c>
      <c r="B4029" t="s">
        <v>66</v>
      </c>
      <c r="C4029" t="str">
        <f t="shared" si="124"/>
        <v>DukeUCLA</v>
      </c>
      <c r="D4029" t="s">
        <v>22</v>
      </c>
      <c r="E4029">
        <v>95.9</v>
      </c>
      <c r="F4029" s="1">
        <v>-20.7094339622641</v>
      </c>
      <c r="G4029" s="2">
        <v>-2355.6988965825699</v>
      </c>
      <c r="H4029" s="1">
        <v>141.97948081349</v>
      </c>
      <c r="I4029" s="1">
        <f t="shared" si="125"/>
        <v>183.73599765596811</v>
      </c>
    </row>
    <row r="4030" spans="1:9" x14ac:dyDescent="0.45">
      <c r="A4030" t="s">
        <v>23</v>
      </c>
      <c r="B4030" t="s">
        <v>66</v>
      </c>
      <c r="C4030" t="str">
        <f t="shared" si="124"/>
        <v>FloridaUCLA</v>
      </c>
      <c r="D4030" t="s">
        <v>23</v>
      </c>
      <c r="E4030">
        <v>92.9</v>
      </c>
      <c r="F4030" s="1">
        <v>-16.852830188679199</v>
      </c>
      <c r="G4030" s="2">
        <v>-1307.93938744087</v>
      </c>
      <c r="H4030" s="1">
        <v>141.71413134104401</v>
      </c>
      <c r="I4030" s="1">
        <f t="shared" si="125"/>
        <v>180.01003583164049</v>
      </c>
    </row>
    <row r="4031" spans="1:9" x14ac:dyDescent="0.45">
      <c r="A4031" t="s">
        <v>24</v>
      </c>
      <c r="B4031" t="s">
        <v>66</v>
      </c>
      <c r="C4031" t="str">
        <f t="shared" si="124"/>
        <v>GeorgiaUCLA</v>
      </c>
      <c r="D4031" t="s">
        <v>66</v>
      </c>
      <c r="E4031">
        <v>34.5</v>
      </c>
      <c r="F4031" s="1">
        <v>4.2075471698113196</v>
      </c>
      <c r="G4031" s="2">
        <v>189.98875621146101</v>
      </c>
      <c r="H4031" s="1">
        <v>138.97808963732899</v>
      </c>
      <c r="I4031" s="1">
        <f t="shared" si="125"/>
        <v>141.59131638276193</v>
      </c>
    </row>
    <row r="4032" spans="1:9" x14ac:dyDescent="0.45">
      <c r="A4032" t="s">
        <v>25</v>
      </c>
      <c r="B4032" t="s">
        <v>66</v>
      </c>
      <c r="C4032" t="str">
        <f t="shared" si="124"/>
        <v>GonzagaUCLA</v>
      </c>
      <c r="D4032" t="s">
        <v>25</v>
      </c>
      <c r="E4032">
        <v>72.7</v>
      </c>
      <c r="F4032" s="1">
        <v>-6.4226415094339604</v>
      </c>
      <c r="G4032" s="2">
        <v>-266.38572180422801</v>
      </c>
      <c r="H4032" s="1">
        <v>140.95505136783501</v>
      </c>
      <c r="I4032" s="1">
        <f t="shared" si="125"/>
        <v>169.35125073696113</v>
      </c>
    </row>
    <row r="4033" spans="1:9" x14ac:dyDescent="0.45">
      <c r="A4033" t="s">
        <v>26</v>
      </c>
      <c r="B4033" t="s">
        <v>66</v>
      </c>
      <c r="C4033" t="str">
        <f t="shared" si="124"/>
        <v>Grand CanyonUCLA</v>
      </c>
      <c r="D4033" t="s">
        <v>66</v>
      </c>
      <c r="E4033">
        <v>22.4</v>
      </c>
      <c r="F4033" s="1">
        <v>8.1283018867924497</v>
      </c>
      <c r="G4033" s="2">
        <v>345.51578409145799</v>
      </c>
      <c r="H4033" s="1">
        <v>139.773023085375</v>
      </c>
      <c r="I4033" s="1">
        <f t="shared" si="125"/>
        <v>152.75354577405426</v>
      </c>
    </row>
    <row r="4034" spans="1:9" x14ac:dyDescent="0.45">
      <c r="A4034" t="s">
        <v>27</v>
      </c>
      <c r="B4034" t="s">
        <v>66</v>
      </c>
      <c r="C4034" t="str">
        <f t="shared" si="124"/>
        <v>High PointUCLA</v>
      </c>
      <c r="D4034" t="s">
        <v>66</v>
      </c>
      <c r="E4034">
        <v>15.3</v>
      </c>
      <c r="F4034" s="1">
        <v>11.218867924528301</v>
      </c>
      <c r="G4034" s="2">
        <v>553.54120285706495</v>
      </c>
      <c r="H4034" s="1">
        <v>139.96423021892301</v>
      </c>
      <c r="I4034" s="1">
        <f t="shared" si="125"/>
        <v>155.4384219623195</v>
      </c>
    </row>
    <row r="4035" spans="1:9" x14ac:dyDescent="0.45">
      <c r="A4035" t="s">
        <v>28</v>
      </c>
      <c r="B4035" t="s">
        <v>66</v>
      </c>
      <c r="C4035" t="str">
        <f t="shared" ref="C4035:C4098" si="126">A4035&amp;B4035</f>
        <v>HoustonUCLA</v>
      </c>
      <c r="D4035" t="s">
        <v>28</v>
      </c>
      <c r="E4035">
        <v>97.5</v>
      </c>
      <c r="F4035" s="1">
        <v>-24.0641509433962</v>
      </c>
      <c r="G4035" s="2">
        <v>-3929.6144225212702</v>
      </c>
      <c r="H4035" s="1">
        <v>142.077692576126</v>
      </c>
      <c r="I4035" s="1">
        <f t="shared" ref="I4035:I4098" si="127">18*(H4035-AVERAGE($H$2:$H$4625))/_xlfn.STDEV.P($H$2:$H$4625)+AVERAGE($H$2:$H$4625)</f>
        <v>185.11505929460066</v>
      </c>
    </row>
    <row r="4036" spans="1:9" x14ac:dyDescent="0.45">
      <c r="A4036" t="s">
        <v>29</v>
      </c>
      <c r="B4036" t="s">
        <v>66</v>
      </c>
      <c r="C4036" t="str">
        <f t="shared" si="126"/>
        <v>IllinoisUCLA</v>
      </c>
      <c r="D4036" t="s">
        <v>29</v>
      </c>
      <c r="E4036">
        <v>79.5</v>
      </c>
      <c r="F4036" s="1">
        <v>-8.8792452830188697</v>
      </c>
      <c r="G4036" s="2">
        <v>-387.37925459291603</v>
      </c>
      <c r="H4036" s="1">
        <v>140.136156351088</v>
      </c>
      <c r="I4036" s="1">
        <f t="shared" si="127"/>
        <v>157.85255981285346</v>
      </c>
    </row>
    <row r="4037" spans="1:9" x14ac:dyDescent="0.45">
      <c r="A4037" t="s">
        <v>30</v>
      </c>
      <c r="B4037" t="s">
        <v>66</v>
      </c>
      <c r="C4037" t="str">
        <f t="shared" si="126"/>
        <v>Iowa St.UCLA</v>
      </c>
      <c r="D4037" t="s">
        <v>30</v>
      </c>
      <c r="E4037">
        <v>89</v>
      </c>
      <c r="F4037" s="1">
        <v>-13.739622641509399</v>
      </c>
      <c r="G4037" s="2">
        <v>-813.19072846204404</v>
      </c>
      <c r="H4037" s="1">
        <v>141.03269864267401</v>
      </c>
      <c r="I4037" s="1">
        <f t="shared" si="127"/>
        <v>170.44155168667211</v>
      </c>
    </row>
    <row r="4038" spans="1:9" x14ac:dyDescent="0.45">
      <c r="A4038" t="s">
        <v>31</v>
      </c>
      <c r="B4038" t="s">
        <v>66</v>
      </c>
      <c r="C4038" t="str">
        <f t="shared" si="126"/>
        <v>KansasUCLA</v>
      </c>
      <c r="D4038" t="s">
        <v>31</v>
      </c>
      <c r="E4038">
        <v>71.5</v>
      </c>
      <c r="F4038" s="1">
        <v>-6.02264150943396</v>
      </c>
      <c r="G4038" s="2">
        <v>-250.60601035421001</v>
      </c>
      <c r="H4038" s="1">
        <v>140.08328653152799</v>
      </c>
      <c r="I4038" s="1">
        <f t="shared" si="127"/>
        <v>157.11017684324042</v>
      </c>
    </row>
    <row r="4039" spans="1:9" x14ac:dyDescent="0.45">
      <c r="A4039" t="s">
        <v>32</v>
      </c>
      <c r="B4039" t="s">
        <v>66</v>
      </c>
      <c r="C4039" t="str">
        <f t="shared" si="126"/>
        <v>KentuckyUCLA</v>
      </c>
      <c r="D4039" t="s">
        <v>32</v>
      </c>
      <c r="E4039">
        <v>80.7</v>
      </c>
      <c r="F4039" s="1">
        <v>-9.3886792452830203</v>
      </c>
      <c r="G4039" s="2">
        <v>-418.67538212403798</v>
      </c>
      <c r="H4039" s="1">
        <v>140.017568863653</v>
      </c>
      <c r="I4039" s="1">
        <f t="shared" si="127"/>
        <v>156.18738804163127</v>
      </c>
    </row>
    <row r="4040" spans="1:9" x14ac:dyDescent="0.45">
      <c r="A4040" t="s">
        <v>33</v>
      </c>
      <c r="B4040" t="s">
        <v>66</v>
      </c>
      <c r="C4040" t="str">
        <f t="shared" si="126"/>
        <v>LibertyUCLA</v>
      </c>
      <c r="D4040" t="s">
        <v>66</v>
      </c>
      <c r="E4040">
        <v>11.2</v>
      </c>
      <c r="F4040" s="1">
        <v>13.6</v>
      </c>
      <c r="G4040" s="2">
        <v>796.06859185681105</v>
      </c>
      <c r="H4040" s="1">
        <v>139.36256990737101</v>
      </c>
      <c r="I4040" s="1">
        <f t="shared" si="127"/>
        <v>146.99007898507057</v>
      </c>
    </row>
    <row r="4041" spans="1:9" x14ac:dyDescent="0.45">
      <c r="A4041" t="s">
        <v>34</v>
      </c>
      <c r="B4041" t="s">
        <v>66</v>
      </c>
      <c r="C4041" t="str">
        <f t="shared" si="126"/>
        <v>LipscombUCLA</v>
      </c>
      <c r="D4041" t="s">
        <v>66</v>
      </c>
      <c r="E4041">
        <v>8.6</v>
      </c>
      <c r="F4041" s="1">
        <v>15.4641509433962</v>
      </c>
      <c r="G4041" s="2">
        <v>1058.1537860753799</v>
      </c>
      <c r="H4041" s="1">
        <v>139.768888104962</v>
      </c>
      <c r="I4041" s="1">
        <f t="shared" si="127"/>
        <v>152.69548355512029</v>
      </c>
    </row>
    <row r="4042" spans="1:9" x14ac:dyDescent="0.45">
      <c r="A4042" t="s">
        <v>35</v>
      </c>
      <c r="B4042" t="s">
        <v>66</v>
      </c>
      <c r="C4042" t="str">
        <f t="shared" si="126"/>
        <v>LouisvilleUCLA</v>
      </c>
      <c r="D4042" t="s">
        <v>66</v>
      </c>
      <c r="E4042">
        <v>19.2</v>
      </c>
      <c r="F4042" s="1">
        <v>9.4150943396226392</v>
      </c>
      <c r="G4042" s="2">
        <v>420.54352937331299</v>
      </c>
      <c r="H4042" s="1">
        <v>139.01425011078001</v>
      </c>
      <c r="I4042" s="1">
        <f t="shared" si="127"/>
        <v>142.09907146659967</v>
      </c>
    </row>
    <row r="4043" spans="1:9" x14ac:dyDescent="0.45">
      <c r="A4043" t="s">
        <v>36</v>
      </c>
      <c r="B4043" t="s">
        <v>66</v>
      </c>
      <c r="C4043" t="str">
        <f t="shared" si="126"/>
        <v>MarquetteUCLA</v>
      </c>
      <c r="D4043" t="s">
        <v>36</v>
      </c>
      <c r="E4043">
        <v>76.3</v>
      </c>
      <c r="F4043" s="1">
        <v>-7.6528301886792498</v>
      </c>
      <c r="G4043" s="2">
        <v>-321.31599289808599</v>
      </c>
      <c r="H4043" s="1">
        <v>140.27638395424199</v>
      </c>
      <c r="I4043" s="1">
        <f t="shared" si="127"/>
        <v>159.82159593435949</v>
      </c>
    </row>
    <row r="4044" spans="1:9" x14ac:dyDescent="0.45">
      <c r="A4044" t="s">
        <v>37</v>
      </c>
      <c r="B4044" t="s">
        <v>66</v>
      </c>
      <c r="C4044" t="str">
        <f t="shared" si="126"/>
        <v>MarylandUCLA</v>
      </c>
      <c r="D4044" t="s">
        <v>37</v>
      </c>
      <c r="E4044">
        <v>66.5</v>
      </c>
      <c r="F4044" s="1">
        <v>-4.48301886792453</v>
      </c>
      <c r="G4044" s="2">
        <v>-198.197654457807</v>
      </c>
      <c r="H4044" s="1">
        <v>139.73475355278501</v>
      </c>
      <c r="I4044" s="1">
        <f t="shared" si="127"/>
        <v>152.21617588162232</v>
      </c>
    </row>
    <row r="4045" spans="1:9" x14ac:dyDescent="0.45">
      <c r="A4045" t="s">
        <v>38</v>
      </c>
      <c r="B4045" t="s">
        <v>66</v>
      </c>
      <c r="C4045" t="str">
        <f t="shared" si="126"/>
        <v>McNeese St.UCLA</v>
      </c>
      <c r="D4045" t="s">
        <v>66</v>
      </c>
      <c r="E4045">
        <v>31.6</v>
      </c>
      <c r="F4045" s="1">
        <v>5.0566037735849099</v>
      </c>
      <c r="G4045" s="2">
        <v>216.25749248926601</v>
      </c>
      <c r="H4045" s="1">
        <v>140.327988965749</v>
      </c>
      <c r="I4045" s="1">
        <f t="shared" si="127"/>
        <v>160.54621882901489</v>
      </c>
    </row>
    <row r="4046" spans="1:9" x14ac:dyDescent="0.45">
      <c r="A4046" t="s">
        <v>39</v>
      </c>
      <c r="B4046" t="s">
        <v>66</v>
      </c>
      <c r="C4046" t="str">
        <f t="shared" si="126"/>
        <v>MemphisUCLA</v>
      </c>
      <c r="D4046" t="s">
        <v>39</v>
      </c>
      <c r="E4046">
        <v>52.7</v>
      </c>
      <c r="F4046" s="1">
        <v>-0.72075471698113203</v>
      </c>
      <c r="G4046" s="2">
        <v>-111.608724246555</v>
      </c>
      <c r="H4046" s="1">
        <v>138.86227079227501</v>
      </c>
      <c r="I4046" s="1">
        <f t="shared" si="127"/>
        <v>139.96502110042752</v>
      </c>
    </row>
    <row r="4047" spans="1:9" x14ac:dyDescent="0.45">
      <c r="A4047" t="s">
        <v>40</v>
      </c>
      <c r="B4047" t="s">
        <v>66</v>
      </c>
      <c r="C4047" t="str">
        <f t="shared" si="126"/>
        <v>MichiganUCLA</v>
      </c>
      <c r="D4047" t="s">
        <v>66</v>
      </c>
      <c r="E4047">
        <v>35.5</v>
      </c>
      <c r="F4047" s="1">
        <v>3.9056603773584899</v>
      </c>
      <c r="G4047" s="2">
        <v>181.42473202699199</v>
      </c>
      <c r="H4047" s="1">
        <v>138.42489208919201</v>
      </c>
      <c r="I4047" s="1">
        <f t="shared" si="127"/>
        <v>133.82347374614409</v>
      </c>
    </row>
    <row r="4048" spans="1:9" x14ac:dyDescent="0.45">
      <c r="A4048" t="s">
        <v>41</v>
      </c>
      <c r="B4048" t="s">
        <v>66</v>
      </c>
      <c r="C4048" t="str">
        <f t="shared" si="126"/>
        <v>Michigan St.UCLA</v>
      </c>
      <c r="D4048" t="s">
        <v>41</v>
      </c>
      <c r="E4048">
        <v>83.9</v>
      </c>
      <c r="F4048" s="1">
        <v>-10.841509433962299</v>
      </c>
      <c r="G4048" s="2">
        <v>-522.70740322055303</v>
      </c>
      <c r="H4048" s="1">
        <v>140.07197179839901</v>
      </c>
      <c r="I4048" s="1">
        <f t="shared" si="127"/>
        <v>156.95129857865436</v>
      </c>
    </row>
    <row r="4049" spans="1:9" x14ac:dyDescent="0.45">
      <c r="A4049" t="s">
        <v>42</v>
      </c>
      <c r="B4049" t="s">
        <v>66</v>
      </c>
      <c r="C4049" t="str">
        <f t="shared" si="126"/>
        <v>MississippiUCLA</v>
      </c>
      <c r="D4049" t="s">
        <v>42</v>
      </c>
      <c r="E4049">
        <v>58.9</v>
      </c>
      <c r="F4049" s="1">
        <v>-2.3471698113207502</v>
      </c>
      <c r="G4049" s="2">
        <v>-143.01685912559699</v>
      </c>
      <c r="H4049" s="1">
        <v>139.339663148288</v>
      </c>
      <c r="I4049" s="1">
        <f t="shared" si="127"/>
        <v>146.66842878891367</v>
      </c>
    </row>
    <row r="4050" spans="1:9" x14ac:dyDescent="0.45">
      <c r="A4050" t="s">
        <v>43</v>
      </c>
      <c r="B4050" t="s">
        <v>66</v>
      </c>
      <c r="C4050" t="str">
        <f t="shared" si="126"/>
        <v>Mississippi St.UCLA</v>
      </c>
      <c r="D4050" t="s">
        <v>43</v>
      </c>
      <c r="E4050">
        <v>52.4</v>
      </c>
      <c r="F4050" s="1">
        <v>-0.62264150943396201</v>
      </c>
      <c r="G4050" s="2">
        <v>-109.953718180679</v>
      </c>
      <c r="H4050" s="1">
        <v>139.47940962096499</v>
      </c>
      <c r="I4050" s="1">
        <f t="shared" si="127"/>
        <v>148.63070901309948</v>
      </c>
    </row>
    <row r="4051" spans="1:9" x14ac:dyDescent="0.45">
      <c r="A4051" t="s">
        <v>44</v>
      </c>
      <c r="B4051" t="s">
        <v>66</v>
      </c>
      <c r="C4051" t="str">
        <f t="shared" si="126"/>
        <v>MissouriUCLA</v>
      </c>
      <c r="D4051" t="s">
        <v>66</v>
      </c>
      <c r="E4051">
        <v>34.1</v>
      </c>
      <c r="F4051" s="1">
        <v>4.3132075471698101</v>
      </c>
      <c r="G4051" s="2">
        <v>193.049358092831</v>
      </c>
      <c r="H4051" s="1">
        <v>138.89707151961099</v>
      </c>
      <c r="I4051" s="1">
        <f t="shared" si="127"/>
        <v>140.45368301604174</v>
      </c>
    </row>
    <row r="4052" spans="1:9" x14ac:dyDescent="0.45">
      <c r="A4052" t="s">
        <v>45</v>
      </c>
      <c r="B4052" t="s">
        <v>66</v>
      </c>
      <c r="C4052" t="str">
        <f t="shared" si="126"/>
        <v>MontanaUCLA</v>
      </c>
      <c r="D4052" t="s">
        <v>66</v>
      </c>
      <c r="E4052">
        <v>4.4000000000000004</v>
      </c>
      <c r="F4052" s="1">
        <v>20.116981132075502</v>
      </c>
      <c r="G4052" s="2">
        <v>2151.8604548512999</v>
      </c>
      <c r="H4052" s="1">
        <v>138.033783083017</v>
      </c>
      <c r="I4052" s="1">
        <f t="shared" si="127"/>
        <v>128.3316323163277</v>
      </c>
    </row>
    <row r="4053" spans="1:9" x14ac:dyDescent="0.45">
      <c r="A4053" t="s">
        <v>46</v>
      </c>
      <c r="B4053" t="s">
        <v>66</v>
      </c>
      <c r="C4053" t="str">
        <f t="shared" si="126"/>
        <v>Mount St. Mary'sUCLA</v>
      </c>
      <c r="D4053" t="s">
        <v>66</v>
      </c>
      <c r="E4053">
        <v>1.7</v>
      </c>
      <c r="F4053" s="1">
        <v>26.452830188679201</v>
      </c>
      <c r="G4053" s="2">
        <v>5655.0733582419798</v>
      </c>
      <c r="H4053" s="1">
        <v>139.33707103716799</v>
      </c>
      <c r="I4053" s="1">
        <f t="shared" si="127"/>
        <v>146.63203110178605</v>
      </c>
    </row>
    <row r="4054" spans="1:9" x14ac:dyDescent="0.45">
      <c r="A4054" t="s">
        <v>47</v>
      </c>
      <c r="B4054" t="s">
        <v>66</v>
      </c>
      <c r="C4054" t="str">
        <f t="shared" si="126"/>
        <v>Nebraska OmahaUCLA</v>
      </c>
      <c r="D4054" t="s">
        <v>66</v>
      </c>
      <c r="E4054">
        <v>2.4</v>
      </c>
      <c r="F4054" s="1">
        <v>24.260377358490601</v>
      </c>
      <c r="G4054" s="2">
        <v>4048.88760963504</v>
      </c>
      <c r="H4054" s="1">
        <v>138.75484716927099</v>
      </c>
      <c r="I4054" s="1">
        <f t="shared" si="127"/>
        <v>138.45660913844247</v>
      </c>
    </row>
    <row r="4055" spans="1:9" x14ac:dyDescent="0.45">
      <c r="A4055" t="s">
        <v>48</v>
      </c>
      <c r="B4055" t="s">
        <v>66</v>
      </c>
      <c r="C4055" t="str">
        <f t="shared" si="126"/>
        <v>New MexicoUCLA</v>
      </c>
      <c r="D4055" t="s">
        <v>66</v>
      </c>
      <c r="E4055">
        <v>37.200000000000003</v>
      </c>
      <c r="F4055" s="1">
        <v>3.4301886792452798</v>
      </c>
      <c r="G4055" s="2">
        <v>168.75339856810299</v>
      </c>
      <c r="H4055" s="1">
        <v>139.524837101088</v>
      </c>
      <c r="I4055" s="1">
        <f t="shared" si="127"/>
        <v>149.26858876900587</v>
      </c>
    </row>
    <row r="4056" spans="1:9" x14ac:dyDescent="0.45">
      <c r="A4056" t="s">
        <v>49</v>
      </c>
      <c r="B4056" t="s">
        <v>66</v>
      </c>
      <c r="C4056" t="str">
        <f t="shared" si="126"/>
        <v>Norfolk St.UCLA</v>
      </c>
      <c r="D4056" t="s">
        <v>66</v>
      </c>
      <c r="E4056">
        <v>3.4</v>
      </c>
      <c r="F4056" s="1">
        <v>21.996226415094299</v>
      </c>
      <c r="G4056" s="2">
        <v>2866.0442094892801</v>
      </c>
      <c r="H4056" s="1">
        <v>138.56096286505201</v>
      </c>
      <c r="I4056" s="1">
        <f t="shared" si="127"/>
        <v>135.7341408810266</v>
      </c>
    </row>
    <row r="4057" spans="1:9" x14ac:dyDescent="0.45">
      <c r="A4057" t="s">
        <v>50</v>
      </c>
      <c r="B4057" t="s">
        <v>66</v>
      </c>
      <c r="C4057" t="str">
        <f t="shared" si="126"/>
        <v>North CarolinaUCLA</v>
      </c>
      <c r="D4057" t="s">
        <v>50</v>
      </c>
      <c r="E4057">
        <v>66.900000000000006</v>
      </c>
      <c r="F4057" s="1">
        <v>-4.6188679245283</v>
      </c>
      <c r="G4057" s="2">
        <v>-202.35059075987101</v>
      </c>
      <c r="H4057" s="1">
        <v>140.63456881952101</v>
      </c>
      <c r="I4057" s="1">
        <f t="shared" si="127"/>
        <v>164.85112594163388</v>
      </c>
    </row>
    <row r="4058" spans="1:9" x14ac:dyDescent="0.45">
      <c r="A4058" t="s">
        <v>51</v>
      </c>
      <c r="B4058" t="s">
        <v>66</v>
      </c>
      <c r="C4058" t="str">
        <f t="shared" si="126"/>
        <v>OklahomaUCLA</v>
      </c>
      <c r="D4058" t="s">
        <v>66</v>
      </c>
      <c r="E4058">
        <v>41.5</v>
      </c>
      <c r="F4058" s="1">
        <v>2.2603773584905702</v>
      </c>
      <c r="G4058" s="2">
        <v>141.21237042411499</v>
      </c>
      <c r="H4058" s="1">
        <v>139.058191945696</v>
      </c>
      <c r="I4058" s="1">
        <f t="shared" si="127"/>
        <v>142.71609021503974</v>
      </c>
    </row>
    <row r="4059" spans="1:9" x14ac:dyDescent="0.45">
      <c r="A4059" t="s">
        <v>52</v>
      </c>
      <c r="B4059" t="s">
        <v>66</v>
      </c>
      <c r="C4059" t="str">
        <f t="shared" si="126"/>
        <v>OregonUCLA</v>
      </c>
      <c r="D4059" t="s">
        <v>52</v>
      </c>
      <c r="E4059">
        <v>66.5</v>
      </c>
      <c r="F4059" s="1">
        <v>-4.50566037735849</v>
      </c>
      <c r="G4059" s="2">
        <v>-198.789528013134</v>
      </c>
      <c r="H4059" s="1">
        <v>139.348909337225</v>
      </c>
      <c r="I4059" s="1">
        <f t="shared" si="127"/>
        <v>146.79826114426831</v>
      </c>
    </row>
    <row r="4060" spans="1:9" x14ac:dyDescent="0.45">
      <c r="A4060" t="s">
        <v>53</v>
      </c>
      <c r="B4060" t="s">
        <v>66</v>
      </c>
      <c r="C4060" t="str">
        <f t="shared" si="126"/>
        <v>PurdueUCLA</v>
      </c>
      <c r="D4060" t="s">
        <v>53</v>
      </c>
      <c r="E4060">
        <v>91.8</v>
      </c>
      <c r="F4060" s="1">
        <v>-15.8754716981132</v>
      </c>
      <c r="G4060" s="2">
        <v>-1126.6606400963799</v>
      </c>
      <c r="H4060" s="1">
        <v>140.836996537023</v>
      </c>
      <c r="I4060" s="1">
        <f t="shared" si="127"/>
        <v>167.6935583785467</v>
      </c>
    </row>
    <row r="4061" spans="1:9" x14ac:dyDescent="0.45">
      <c r="A4061" t="s">
        <v>54</v>
      </c>
      <c r="B4061" t="s">
        <v>66</v>
      </c>
      <c r="C4061" t="str">
        <f t="shared" si="126"/>
        <v>Robert MorrisUCLA</v>
      </c>
      <c r="D4061" t="s">
        <v>66</v>
      </c>
      <c r="E4061">
        <v>1.4</v>
      </c>
      <c r="F4061" s="1">
        <v>28.011320754717001</v>
      </c>
      <c r="G4061" s="2">
        <v>7175.3283234544397</v>
      </c>
      <c r="H4061" s="1">
        <v>137.91996186571001</v>
      </c>
      <c r="I4061" s="1">
        <f t="shared" si="127"/>
        <v>126.7333871546733</v>
      </c>
    </row>
    <row r="4062" spans="1:9" x14ac:dyDescent="0.45">
      <c r="A4062" t="s">
        <v>55</v>
      </c>
      <c r="B4062" t="s">
        <v>66</v>
      </c>
      <c r="C4062" t="str">
        <f t="shared" si="126"/>
        <v>Saint FrancisUCLA</v>
      </c>
      <c r="D4062" t="s">
        <v>66</v>
      </c>
      <c r="E4062">
        <v>0.8</v>
      </c>
      <c r="F4062" s="1">
        <v>31.373584905660401</v>
      </c>
      <c r="G4062" s="2">
        <v>11984.6118363357</v>
      </c>
      <c r="H4062" s="1">
        <v>138.62680974775299</v>
      </c>
      <c r="I4062" s="1">
        <f t="shared" si="127"/>
        <v>136.65874408047247</v>
      </c>
    </row>
    <row r="4063" spans="1:9" x14ac:dyDescent="0.45">
      <c r="A4063" t="s">
        <v>56</v>
      </c>
      <c r="B4063" t="s">
        <v>66</v>
      </c>
      <c r="C4063" t="str">
        <f t="shared" si="126"/>
        <v>Saint Mary'sUCLA</v>
      </c>
      <c r="D4063" t="s">
        <v>56</v>
      </c>
      <c r="E4063">
        <v>66</v>
      </c>
      <c r="F4063" s="1">
        <v>-4.35849056603774</v>
      </c>
      <c r="G4063" s="2">
        <v>-194.46444231475601</v>
      </c>
      <c r="H4063" s="1">
        <v>140.35601586369501</v>
      </c>
      <c r="I4063" s="1">
        <f t="shared" si="127"/>
        <v>160.9397645588727</v>
      </c>
    </row>
    <row r="4064" spans="1:9" x14ac:dyDescent="0.45">
      <c r="A4064" t="s">
        <v>57</v>
      </c>
      <c r="B4064" t="s">
        <v>66</v>
      </c>
      <c r="C4064" t="str">
        <f t="shared" si="126"/>
        <v>San Diego St.UCLA</v>
      </c>
      <c r="D4064" t="s">
        <v>66</v>
      </c>
      <c r="E4064">
        <v>37.6</v>
      </c>
      <c r="F4064" s="1">
        <v>3.3132075471698101</v>
      </c>
      <c r="G4064" s="2">
        <v>165.79039396724599</v>
      </c>
      <c r="H4064" s="1">
        <v>139.570715026724</v>
      </c>
      <c r="I4064" s="1">
        <f t="shared" si="127"/>
        <v>149.91279355269501</v>
      </c>
    </row>
    <row r="4065" spans="1:9" x14ac:dyDescent="0.45">
      <c r="A4065" t="s">
        <v>58</v>
      </c>
      <c r="B4065" t="s">
        <v>66</v>
      </c>
      <c r="C4065" t="str">
        <f t="shared" si="126"/>
        <v>SIU EdwardsvilleUCLA</v>
      </c>
      <c r="D4065" t="s">
        <v>66</v>
      </c>
      <c r="E4065">
        <v>2.8</v>
      </c>
      <c r="F4065" s="1">
        <v>23.286792452830198</v>
      </c>
      <c r="G4065" s="2">
        <v>3490.11424199666</v>
      </c>
      <c r="H4065" s="1">
        <v>139.62997320690801</v>
      </c>
      <c r="I4065" s="1">
        <f t="shared" si="127"/>
        <v>150.7448800652833</v>
      </c>
    </row>
    <row r="4066" spans="1:9" x14ac:dyDescent="0.45">
      <c r="A4066" t="s">
        <v>59</v>
      </c>
      <c r="B4066" t="s">
        <v>66</v>
      </c>
      <c r="C4066" t="str">
        <f t="shared" si="126"/>
        <v>St. John'sUCLA</v>
      </c>
      <c r="D4066" t="s">
        <v>59</v>
      </c>
      <c r="E4066">
        <v>84.9</v>
      </c>
      <c r="F4066" s="1">
        <v>-11.3433962264151</v>
      </c>
      <c r="G4066" s="2">
        <v>-564.27375575944802</v>
      </c>
      <c r="H4066" s="1">
        <v>140.44942965546201</v>
      </c>
      <c r="I4066" s="1">
        <f t="shared" si="127"/>
        <v>162.25145445514863</v>
      </c>
    </row>
    <row r="4067" spans="1:9" x14ac:dyDescent="0.45">
      <c r="A4067" t="s">
        <v>60</v>
      </c>
      <c r="B4067" t="s">
        <v>66</v>
      </c>
      <c r="C4067" t="str">
        <f t="shared" si="126"/>
        <v>TennesseeUCLA</v>
      </c>
      <c r="D4067" t="s">
        <v>60</v>
      </c>
      <c r="E4067">
        <v>92.6</v>
      </c>
      <c r="F4067" s="1">
        <v>-16.558490566037701</v>
      </c>
      <c r="G4067" s="2">
        <v>-1250.3953338322699</v>
      </c>
      <c r="H4067" s="1">
        <v>141.242662029596</v>
      </c>
      <c r="I4067" s="1">
        <f t="shared" si="127"/>
        <v>173.38979785036904</v>
      </c>
    </row>
    <row r="4068" spans="1:9" x14ac:dyDescent="0.45">
      <c r="A4068" t="s">
        <v>61</v>
      </c>
      <c r="B4068" t="s">
        <v>66</v>
      </c>
      <c r="C4068" t="str">
        <f t="shared" si="126"/>
        <v>TexasUCLA</v>
      </c>
      <c r="D4068" t="s">
        <v>66</v>
      </c>
      <c r="E4068">
        <v>33.4</v>
      </c>
      <c r="F4068" s="1">
        <v>4.5358490566037704</v>
      </c>
      <c r="G4068" s="2">
        <v>199.800917995155</v>
      </c>
      <c r="H4068" s="1">
        <v>138.942543857234</v>
      </c>
      <c r="I4068" s="1">
        <f t="shared" si="127"/>
        <v>141.09219264820527</v>
      </c>
    </row>
    <row r="4069" spans="1:9" x14ac:dyDescent="0.45">
      <c r="A4069" t="s">
        <v>62</v>
      </c>
      <c r="B4069" t="s">
        <v>66</v>
      </c>
      <c r="C4069" t="str">
        <f t="shared" si="126"/>
        <v>Texas A&amp;MUCLA</v>
      </c>
      <c r="D4069" t="s">
        <v>62</v>
      </c>
      <c r="E4069">
        <v>74</v>
      </c>
      <c r="F4069" s="1">
        <v>-6.86415094339623</v>
      </c>
      <c r="G4069" s="2">
        <v>-284.94221757292303</v>
      </c>
      <c r="H4069" s="1">
        <v>139.729519166632</v>
      </c>
      <c r="I4069" s="1">
        <f t="shared" si="127"/>
        <v>152.14267611996797</v>
      </c>
    </row>
    <row r="4070" spans="1:9" x14ac:dyDescent="0.45">
      <c r="A4070" t="s">
        <v>63</v>
      </c>
      <c r="B4070" t="s">
        <v>66</v>
      </c>
      <c r="C4070" t="str">
        <f t="shared" si="126"/>
        <v>Texas TechUCLA</v>
      </c>
      <c r="D4070" t="s">
        <v>63</v>
      </c>
      <c r="E4070">
        <v>84.7</v>
      </c>
      <c r="F4070" s="1">
        <v>-11.1962264150943</v>
      </c>
      <c r="G4070" s="2">
        <v>-551.91505574528503</v>
      </c>
      <c r="H4070" s="1">
        <v>140.72003177187199</v>
      </c>
      <c r="I4070" s="1">
        <f t="shared" si="127"/>
        <v>166.05117241211968</v>
      </c>
    </row>
    <row r="4071" spans="1:9" x14ac:dyDescent="0.45">
      <c r="A4071" t="s">
        <v>64</v>
      </c>
      <c r="B4071" t="s">
        <v>66</v>
      </c>
      <c r="C4071" t="str">
        <f t="shared" si="126"/>
        <v>TroyUCLA</v>
      </c>
      <c r="D4071" t="s">
        <v>66</v>
      </c>
      <c r="E4071">
        <v>7.4</v>
      </c>
      <c r="F4071" s="1">
        <v>16.611320754716999</v>
      </c>
      <c r="G4071" s="2">
        <v>1260.28574086253</v>
      </c>
      <c r="H4071" s="1">
        <v>139.48633636643001</v>
      </c>
      <c r="I4071" s="1">
        <f t="shared" si="127"/>
        <v>148.72797240289108</v>
      </c>
    </row>
    <row r="4072" spans="1:9" x14ac:dyDescent="0.45">
      <c r="A4072" t="s">
        <v>65</v>
      </c>
      <c r="B4072" t="s">
        <v>66</v>
      </c>
      <c r="C4072" t="str">
        <f t="shared" si="126"/>
        <v>UC San DiegoUCLA</v>
      </c>
      <c r="D4072" t="s">
        <v>66</v>
      </c>
      <c r="E4072">
        <v>16.899999999999999</v>
      </c>
      <c r="F4072" s="1">
        <v>10.430188679245299</v>
      </c>
      <c r="G4072" s="2">
        <v>490.841314033868</v>
      </c>
      <c r="H4072" s="1">
        <v>139.556456596093</v>
      </c>
      <c r="I4072" s="1">
        <f t="shared" si="127"/>
        <v>149.71258072499944</v>
      </c>
    </row>
    <row r="4073" spans="1:9" x14ac:dyDescent="0.45">
      <c r="A4073" t="s">
        <v>66</v>
      </c>
      <c r="B4073" t="s">
        <v>66</v>
      </c>
      <c r="C4073" t="str">
        <f t="shared" si="126"/>
        <v>UCLAUCLA</v>
      </c>
      <c r="D4073" t="s">
        <v>66</v>
      </c>
      <c r="E4073">
        <v>41.2</v>
      </c>
      <c r="F4073" s="1">
        <v>2.3283018867924499</v>
      </c>
      <c r="G4073" s="2">
        <v>142.64273539779199</v>
      </c>
      <c r="H4073" s="1">
        <v>138.77771517530499</v>
      </c>
      <c r="I4073" s="1">
        <f t="shared" si="127"/>
        <v>138.77771517530684</v>
      </c>
    </row>
    <row r="4074" spans="1:9" x14ac:dyDescent="0.45">
      <c r="A4074" t="s">
        <v>67</v>
      </c>
      <c r="B4074" t="s">
        <v>66</v>
      </c>
      <c r="C4074" t="str">
        <f t="shared" si="126"/>
        <v>UNC WilmingtonUCLA</v>
      </c>
      <c r="D4074" t="s">
        <v>66</v>
      </c>
      <c r="E4074">
        <v>10.5</v>
      </c>
      <c r="F4074" s="1">
        <v>14.022641509433999</v>
      </c>
      <c r="G4074" s="2">
        <v>848.99298147281502</v>
      </c>
      <c r="H4074" s="1">
        <v>140.09312506675801</v>
      </c>
      <c r="I4074" s="1">
        <f t="shared" si="127"/>
        <v>157.24832675677305</v>
      </c>
    </row>
    <row r="4075" spans="1:9" x14ac:dyDescent="0.45">
      <c r="A4075" t="s">
        <v>68</v>
      </c>
      <c r="B4075" t="s">
        <v>66</v>
      </c>
      <c r="C4075" t="str">
        <f t="shared" si="126"/>
        <v>Utah St.UCLA</v>
      </c>
      <c r="D4075" t="s">
        <v>66</v>
      </c>
      <c r="E4075">
        <v>39.9</v>
      </c>
      <c r="F4075" s="1">
        <v>2.6943396226415102</v>
      </c>
      <c r="G4075" s="2">
        <v>150.82242232510001</v>
      </c>
      <c r="H4075" s="1">
        <v>139.64031156533699</v>
      </c>
      <c r="I4075" s="1">
        <f t="shared" si="127"/>
        <v>150.89004835402162</v>
      </c>
    </row>
    <row r="4076" spans="1:9" x14ac:dyDescent="0.45">
      <c r="A4076" t="s">
        <v>69</v>
      </c>
      <c r="B4076" t="s">
        <v>66</v>
      </c>
      <c r="C4076" t="str">
        <f t="shared" si="126"/>
        <v>VanderbiltUCLA</v>
      </c>
      <c r="D4076" t="s">
        <v>66</v>
      </c>
      <c r="E4076">
        <v>11.6</v>
      </c>
      <c r="F4076" s="1">
        <v>13.3433962264151</v>
      </c>
      <c r="G4076" s="2">
        <v>765.393694678114</v>
      </c>
      <c r="H4076" s="1">
        <v>138.07434944662</v>
      </c>
      <c r="I4076" s="1">
        <f t="shared" si="127"/>
        <v>128.90125365660512</v>
      </c>
    </row>
    <row r="4077" spans="1:9" x14ac:dyDescent="0.45">
      <c r="A4077" t="s">
        <v>70</v>
      </c>
      <c r="B4077" t="s">
        <v>66</v>
      </c>
      <c r="C4077" t="str">
        <f t="shared" si="126"/>
        <v>VCUUCLA</v>
      </c>
      <c r="D4077" t="s">
        <v>66</v>
      </c>
      <c r="E4077">
        <v>29.5</v>
      </c>
      <c r="F4077" s="1">
        <v>5.6943396226415102</v>
      </c>
      <c r="G4077" s="2">
        <v>238.43122507785299</v>
      </c>
      <c r="H4077" s="1">
        <v>139.99952257581299</v>
      </c>
      <c r="I4077" s="1">
        <f t="shared" si="127"/>
        <v>155.93398720030723</v>
      </c>
    </row>
    <row r="4078" spans="1:9" x14ac:dyDescent="0.45">
      <c r="A4078" t="s">
        <v>71</v>
      </c>
      <c r="B4078" t="s">
        <v>66</v>
      </c>
      <c r="C4078" t="str">
        <f t="shared" si="126"/>
        <v>WisconsinUCLA</v>
      </c>
      <c r="D4078" t="s">
        <v>71</v>
      </c>
      <c r="E4078">
        <v>82.7</v>
      </c>
      <c r="F4078" s="1">
        <v>-10.256603773584899</v>
      </c>
      <c r="G4078" s="2">
        <v>-478.10414465770202</v>
      </c>
      <c r="H4078" s="1">
        <v>140.65277818414501</v>
      </c>
      <c r="I4078" s="1">
        <f t="shared" si="127"/>
        <v>165.10681666077821</v>
      </c>
    </row>
    <row r="4079" spans="1:9" x14ac:dyDescent="0.45">
      <c r="A4079" t="s">
        <v>80</v>
      </c>
      <c r="B4079" t="s">
        <v>66</v>
      </c>
      <c r="C4079" t="str">
        <f t="shared" si="126"/>
        <v>WoffordUCLA</v>
      </c>
      <c r="D4079" t="s">
        <v>66</v>
      </c>
      <c r="E4079">
        <v>4</v>
      </c>
      <c r="F4079" s="1">
        <v>20.916981132075499</v>
      </c>
      <c r="G4079" s="2">
        <v>2430.88030471007</v>
      </c>
      <c r="H4079" s="1">
        <v>138.75042661337099</v>
      </c>
      <c r="I4079" s="1">
        <f t="shared" si="127"/>
        <v>138.39453694974026</v>
      </c>
    </row>
    <row r="4080" spans="1:9" x14ac:dyDescent="0.45">
      <c r="A4080" t="s">
        <v>72</v>
      </c>
      <c r="B4080" t="s">
        <v>66</v>
      </c>
      <c r="C4080" t="str">
        <f t="shared" si="126"/>
        <v>XavierUCLA</v>
      </c>
      <c r="D4080" t="s">
        <v>66</v>
      </c>
      <c r="E4080">
        <v>29.3</v>
      </c>
      <c r="F4080" s="1">
        <v>5.7698113207547204</v>
      </c>
      <c r="G4080" s="2">
        <v>241.106609320328</v>
      </c>
      <c r="H4080" s="1">
        <v>139.493228783993</v>
      </c>
      <c r="I4080" s="1">
        <f t="shared" si="127"/>
        <v>148.82475377004556</v>
      </c>
    </row>
    <row r="4081" spans="1:9" x14ac:dyDescent="0.45">
      <c r="A4081" t="s">
        <v>73</v>
      </c>
      <c r="B4081" t="s">
        <v>66</v>
      </c>
      <c r="C4081" t="str">
        <f t="shared" si="126"/>
        <v>YaleUCLA</v>
      </c>
      <c r="D4081" t="s">
        <v>66</v>
      </c>
      <c r="E4081">
        <v>17.8</v>
      </c>
      <c r="F4081" s="1">
        <v>10.018867924528299</v>
      </c>
      <c r="G4081" s="2">
        <v>461.056986175502</v>
      </c>
      <c r="H4081" s="1">
        <v>140.09293492038699</v>
      </c>
      <c r="I4081" s="1">
        <f t="shared" si="127"/>
        <v>157.24565677551067</v>
      </c>
    </row>
    <row r="4082" spans="1:9" x14ac:dyDescent="0.45">
      <c r="A4082" t="s">
        <v>7</v>
      </c>
      <c r="B4082" t="s">
        <v>67</v>
      </c>
      <c r="C4082" t="str">
        <f t="shared" si="126"/>
        <v>AkronUNC Wilmington</v>
      </c>
      <c r="D4082" t="s">
        <v>67</v>
      </c>
      <c r="E4082">
        <v>40.200000000000003</v>
      </c>
      <c r="F4082" s="1">
        <v>2.5886792452830201</v>
      </c>
      <c r="G4082" s="2">
        <v>148.44791864757099</v>
      </c>
      <c r="H4082" s="1">
        <v>137.59435208951399</v>
      </c>
      <c r="I4082" s="1">
        <f t="shared" si="127"/>
        <v>122.16126728365619</v>
      </c>
    </row>
    <row r="4083" spans="1:9" x14ac:dyDescent="0.45">
      <c r="A4083" t="s">
        <v>8</v>
      </c>
      <c r="B4083" t="s">
        <v>67</v>
      </c>
      <c r="C4083" t="str">
        <f t="shared" si="126"/>
        <v>AlabamaUNC Wilmington</v>
      </c>
      <c r="D4083" t="s">
        <v>8</v>
      </c>
      <c r="E4083">
        <v>98.1</v>
      </c>
      <c r="F4083" s="1">
        <v>-25.7509433962264</v>
      </c>
      <c r="G4083" s="2">
        <v>-5081.0865365222799</v>
      </c>
      <c r="H4083" s="1">
        <v>139.40196327710899</v>
      </c>
      <c r="I4083" s="1">
        <f t="shared" si="127"/>
        <v>147.54322947910521</v>
      </c>
    </row>
    <row r="4084" spans="1:9" x14ac:dyDescent="0.45">
      <c r="A4084" t="s">
        <v>9</v>
      </c>
      <c r="B4084" t="s">
        <v>67</v>
      </c>
      <c r="C4084" t="str">
        <f t="shared" si="126"/>
        <v>Alabama St.UNC Wilmington</v>
      </c>
      <c r="D4084" t="s">
        <v>67</v>
      </c>
      <c r="E4084">
        <v>9.3000000000000007</v>
      </c>
      <c r="F4084" s="1">
        <v>14.909433962264201</v>
      </c>
      <c r="G4084" s="2">
        <v>971.99455122660697</v>
      </c>
      <c r="H4084" s="1">
        <v>137.781113848936</v>
      </c>
      <c r="I4084" s="1">
        <f t="shared" si="127"/>
        <v>124.78372279274831</v>
      </c>
    </row>
    <row r="4085" spans="1:9" x14ac:dyDescent="0.45">
      <c r="A4085" t="s">
        <v>10</v>
      </c>
      <c r="B4085" t="s">
        <v>67</v>
      </c>
      <c r="C4085" t="str">
        <f t="shared" si="126"/>
        <v>AmericanUNC Wilmington</v>
      </c>
      <c r="D4085" t="s">
        <v>67</v>
      </c>
      <c r="E4085">
        <v>10.4</v>
      </c>
      <c r="F4085" s="1">
        <v>14.150943396226401</v>
      </c>
      <c r="G4085" s="2">
        <v>865.999338509278</v>
      </c>
      <c r="H4085" s="1">
        <v>137.544403368697</v>
      </c>
      <c r="I4085" s="1">
        <f t="shared" si="127"/>
        <v>121.45990155180623</v>
      </c>
    </row>
    <row r="4086" spans="1:9" x14ac:dyDescent="0.45">
      <c r="A4086" t="s">
        <v>11</v>
      </c>
      <c r="B4086" t="s">
        <v>67</v>
      </c>
      <c r="C4086" t="str">
        <f t="shared" si="126"/>
        <v>ArizonaUNC Wilmington</v>
      </c>
      <c r="D4086" t="s">
        <v>11</v>
      </c>
      <c r="E4086">
        <v>97.1</v>
      </c>
      <c r="F4086" s="1">
        <v>-22.996226415094299</v>
      </c>
      <c r="G4086" s="2">
        <v>-3337.35502281249</v>
      </c>
      <c r="H4086" s="1">
        <v>139.01244261728601</v>
      </c>
      <c r="I4086" s="1">
        <f t="shared" si="127"/>
        <v>142.07369115702423</v>
      </c>
    </row>
    <row r="4087" spans="1:9" x14ac:dyDescent="0.45">
      <c r="A4087" t="s">
        <v>12</v>
      </c>
      <c r="B4087" t="s">
        <v>67</v>
      </c>
      <c r="C4087" t="str">
        <f t="shared" si="126"/>
        <v>ArkansasUNC Wilmington</v>
      </c>
      <c r="D4087" t="s">
        <v>12</v>
      </c>
      <c r="E4087">
        <v>68.5</v>
      </c>
      <c r="F4087" s="1">
        <v>-5.0943396226415096</v>
      </c>
      <c r="G4087" s="2">
        <v>-217.521808141485</v>
      </c>
      <c r="H4087" s="1">
        <v>137.338366595076</v>
      </c>
      <c r="I4087" s="1">
        <f t="shared" si="127"/>
        <v>118.56679177531792</v>
      </c>
    </row>
    <row r="4088" spans="1:9" x14ac:dyDescent="0.45">
      <c r="A4088" t="s">
        <v>13</v>
      </c>
      <c r="B4088" t="s">
        <v>67</v>
      </c>
      <c r="C4088" t="str">
        <f t="shared" si="126"/>
        <v>AuburnUNC Wilmington</v>
      </c>
      <c r="D4088" t="s">
        <v>13</v>
      </c>
      <c r="E4088">
        <v>99</v>
      </c>
      <c r="F4088" s="1">
        <v>-30.188679245283002</v>
      </c>
      <c r="G4088" s="2">
        <v>-10001.5454903439</v>
      </c>
      <c r="H4088" s="1">
        <v>140.42417951046201</v>
      </c>
      <c r="I4088" s="1">
        <f t="shared" si="127"/>
        <v>161.89689910042529</v>
      </c>
    </row>
    <row r="4089" spans="1:9" x14ac:dyDescent="0.45">
      <c r="A4089" t="s">
        <v>14</v>
      </c>
      <c r="B4089" t="s">
        <v>67</v>
      </c>
      <c r="C4089" t="str">
        <f t="shared" si="126"/>
        <v>BaylorUNC Wilmington</v>
      </c>
      <c r="D4089" t="s">
        <v>14</v>
      </c>
      <c r="E4089">
        <v>91</v>
      </c>
      <c r="F4089" s="1">
        <v>-15.1396226415094</v>
      </c>
      <c r="G4089" s="2">
        <v>-1007.17493956689</v>
      </c>
      <c r="H4089" s="1">
        <v>138.887096871642</v>
      </c>
      <c r="I4089" s="1">
        <f t="shared" si="127"/>
        <v>140.31362184614017</v>
      </c>
    </row>
    <row r="4090" spans="1:9" x14ac:dyDescent="0.45">
      <c r="A4090" t="s">
        <v>15</v>
      </c>
      <c r="B4090" t="s">
        <v>67</v>
      </c>
      <c r="C4090" t="str">
        <f t="shared" si="126"/>
        <v>BryantUNC Wilmington</v>
      </c>
      <c r="D4090" t="s">
        <v>67</v>
      </c>
      <c r="E4090">
        <v>32</v>
      </c>
      <c r="F4090" s="1">
        <v>4.9283018867924504</v>
      </c>
      <c r="G4090" s="2">
        <v>212.13234835420101</v>
      </c>
      <c r="H4090" s="1">
        <v>138.47941674728801</v>
      </c>
      <c r="I4090" s="1">
        <f t="shared" si="127"/>
        <v>134.58909348782856</v>
      </c>
    </row>
    <row r="4091" spans="1:9" x14ac:dyDescent="0.45">
      <c r="A4091" t="s">
        <v>16</v>
      </c>
      <c r="B4091" t="s">
        <v>67</v>
      </c>
      <c r="C4091" t="str">
        <f t="shared" si="126"/>
        <v>BYUUNC Wilmington</v>
      </c>
      <c r="D4091" t="s">
        <v>16</v>
      </c>
      <c r="E4091">
        <v>92.2</v>
      </c>
      <c r="F4091" s="1">
        <v>-16.2339622641509</v>
      </c>
      <c r="G4091" s="2">
        <v>-1190.18549526897</v>
      </c>
      <c r="H4091" s="1">
        <v>138.649457421731</v>
      </c>
      <c r="I4091" s="1">
        <f t="shared" si="127"/>
        <v>136.97675627727105</v>
      </c>
    </row>
    <row r="4092" spans="1:9" x14ac:dyDescent="0.45">
      <c r="A4092" t="s">
        <v>17</v>
      </c>
      <c r="B4092" t="s">
        <v>67</v>
      </c>
      <c r="C4092" t="str">
        <f t="shared" si="126"/>
        <v>ClemsonUNC Wilmington</v>
      </c>
      <c r="D4092" t="s">
        <v>17</v>
      </c>
      <c r="E4092">
        <v>94.3</v>
      </c>
      <c r="F4092" s="1">
        <v>-18.441509433962299</v>
      </c>
      <c r="G4092" s="2">
        <v>-1665.9264326115201</v>
      </c>
      <c r="H4092" s="1">
        <v>138.999507644174</v>
      </c>
      <c r="I4092" s="1">
        <f t="shared" si="127"/>
        <v>141.89206194340721</v>
      </c>
    </row>
    <row r="4093" spans="1:9" x14ac:dyDescent="0.45">
      <c r="A4093" t="s">
        <v>18</v>
      </c>
      <c r="B4093" t="s">
        <v>67</v>
      </c>
      <c r="C4093" t="str">
        <f t="shared" si="126"/>
        <v>Colorado St.UNC Wilmington</v>
      </c>
      <c r="D4093" t="s">
        <v>18</v>
      </c>
      <c r="E4093">
        <v>73.400000000000006</v>
      </c>
      <c r="F4093" s="1">
        <v>-6.6566037735849104</v>
      </c>
      <c r="G4093" s="2">
        <v>-276.11622176361101</v>
      </c>
      <c r="H4093" s="1">
        <v>138.38911861896801</v>
      </c>
      <c r="I4093" s="1">
        <f t="shared" si="127"/>
        <v>133.32115285155299</v>
      </c>
    </row>
    <row r="4094" spans="1:9" x14ac:dyDescent="0.45">
      <c r="A4094" t="s">
        <v>19</v>
      </c>
      <c r="B4094" t="s">
        <v>67</v>
      </c>
      <c r="C4094" t="str">
        <f t="shared" si="126"/>
        <v>ConnecticutUNC Wilmington</v>
      </c>
      <c r="D4094" t="s">
        <v>19</v>
      </c>
      <c r="E4094">
        <v>96.3</v>
      </c>
      <c r="F4094" s="1">
        <v>-21.332075471698101</v>
      </c>
      <c r="G4094" s="2">
        <v>-2590.2527734629998</v>
      </c>
      <c r="H4094" s="1">
        <v>138.79975847492199</v>
      </c>
      <c r="I4094" s="1">
        <f t="shared" si="127"/>
        <v>139.08724091921749</v>
      </c>
    </row>
    <row r="4095" spans="1:9" x14ac:dyDescent="0.45">
      <c r="A4095" t="s">
        <v>20</v>
      </c>
      <c r="B4095" t="s">
        <v>67</v>
      </c>
      <c r="C4095" t="str">
        <f t="shared" si="126"/>
        <v>CreightonUNC Wilmington</v>
      </c>
      <c r="D4095" t="s">
        <v>20</v>
      </c>
      <c r="E4095">
        <v>88.9</v>
      </c>
      <c r="F4095" s="1">
        <v>-13.626415094339601</v>
      </c>
      <c r="G4095" s="2">
        <v>-799.29940089583897</v>
      </c>
      <c r="H4095" s="1">
        <v>138.349055227761</v>
      </c>
      <c r="I4095" s="1">
        <f t="shared" si="127"/>
        <v>132.75859410661025</v>
      </c>
    </row>
    <row r="4096" spans="1:9" x14ac:dyDescent="0.45">
      <c r="A4096" t="s">
        <v>21</v>
      </c>
      <c r="B4096" t="s">
        <v>67</v>
      </c>
      <c r="C4096" t="str">
        <f t="shared" si="126"/>
        <v>DrakeUNC Wilmington</v>
      </c>
      <c r="D4096" t="s">
        <v>21</v>
      </c>
      <c r="E4096">
        <v>72.8</v>
      </c>
      <c r="F4096" s="1">
        <v>-6.4528301886792496</v>
      </c>
      <c r="G4096" s="2">
        <v>-267.62198894344903</v>
      </c>
      <c r="H4096" s="1">
        <v>138.58373103343499</v>
      </c>
      <c r="I4096" s="1">
        <f t="shared" si="127"/>
        <v>136.05384502599006</v>
      </c>
    </row>
    <row r="4097" spans="1:9" x14ac:dyDescent="0.45">
      <c r="A4097" t="s">
        <v>22</v>
      </c>
      <c r="B4097" t="s">
        <v>67</v>
      </c>
      <c r="C4097" t="str">
        <f t="shared" si="126"/>
        <v>DukeUNC Wilmington</v>
      </c>
      <c r="D4097" t="s">
        <v>22</v>
      </c>
      <c r="E4097">
        <v>99.3</v>
      </c>
      <c r="F4097" s="1">
        <v>-32.4037735849057</v>
      </c>
      <c r="G4097" s="2">
        <v>-14020.8460254529</v>
      </c>
      <c r="H4097" s="1">
        <v>140.66407092203801</v>
      </c>
      <c r="I4097" s="1">
        <f t="shared" si="127"/>
        <v>165.26538607451624</v>
      </c>
    </row>
    <row r="4098" spans="1:9" x14ac:dyDescent="0.45">
      <c r="A4098" t="s">
        <v>23</v>
      </c>
      <c r="B4098" t="s">
        <v>67</v>
      </c>
      <c r="C4098" t="str">
        <f t="shared" si="126"/>
        <v>FloridaUNC Wilmington</v>
      </c>
      <c r="D4098" t="s">
        <v>23</v>
      </c>
      <c r="E4098">
        <v>98.7</v>
      </c>
      <c r="F4098" s="1">
        <v>-28.547169811320799</v>
      </c>
      <c r="G4098" s="2">
        <v>-7784.7032099634498</v>
      </c>
      <c r="H4098" s="1">
        <v>140.39872144959199</v>
      </c>
      <c r="I4098" s="1">
        <f t="shared" si="127"/>
        <v>161.53942425018823</v>
      </c>
    </row>
    <row r="4099" spans="1:9" x14ac:dyDescent="0.45">
      <c r="A4099" t="s">
        <v>24</v>
      </c>
      <c r="B4099" t="s">
        <v>67</v>
      </c>
      <c r="C4099" t="str">
        <f t="shared" ref="C4099:C4162" si="128">A4099&amp;B4099</f>
        <v>GeorgiaUNC Wilmington</v>
      </c>
      <c r="D4099" t="s">
        <v>24</v>
      </c>
      <c r="E4099">
        <v>75.8</v>
      </c>
      <c r="F4099" s="1">
        <v>-7.4867924528301897</v>
      </c>
      <c r="G4099" s="2">
        <v>-313.27557940454602</v>
      </c>
      <c r="H4099" s="1">
        <v>137.662679745877</v>
      </c>
      <c r="I4099" s="1">
        <f t="shared" ref="I4099:I4162" si="129">18*(H4099-AVERAGE($H$2:$H$4625))/_xlfn.STDEV.P($H$2:$H$4625)+AVERAGE($H$2:$H$4625)</f>
        <v>123.12070480131008</v>
      </c>
    </row>
    <row r="4100" spans="1:9" x14ac:dyDescent="0.45">
      <c r="A4100" t="s">
        <v>25</v>
      </c>
      <c r="B4100" t="s">
        <v>67</v>
      </c>
      <c r="C4100" t="str">
        <f t="shared" si="128"/>
        <v>GonzagaUNC Wilmington</v>
      </c>
      <c r="D4100" t="s">
        <v>25</v>
      </c>
      <c r="E4100">
        <v>94.1</v>
      </c>
      <c r="F4100" s="1">
        <v>-18.116981132075502</v>
      </c>
      <c r="G4100" s="2">
        <v>-1585.49685369999</v>
      </c>
      <c r="H4100" s="1">
        <v>139.63964147638299</v>
      </c>
      <c r="I4100" s="1">
        <f t="shared" si="129"/>
        <v>150.88063915550887</v>
      </c>
    </row>
    <row r="4101" spans="1:9" x14ac:dyDescent="0.45">
      <c r="A4101" t="s">
        <v>26</v>
      </c>
      <c r="B4101" t="s">
        <v>67</v>
      </c>
      <c r="C4101" t="str">
        <f t="shared" si="128"/>
        <v>Grand CanyonUNC Wilmington</v>
      </c>
      <c r="D4101" t="s">
        <v>26</v>
      </c>
      <c r="E4101">
        <v>63.3</v>
      </c>
      <c r="F4101" s="1">
        <v>-3.56603773584906</v>
      </c>
      <c r="G4101" s="2">
        <v>-172.260835605529</v>
      </c>
      <c r="H4101" s="1">
        <v>138.45761319392199</v>
      </c>
      <c r="I4101" s="1">
        <f t="shared" si="129"/>
        <v>134.28293419258804</v>
      </c>
    </row>
    <row r="4102" spans="1:9" x14ac:dyDescent="0.45">
      <c r="A4102" t="s">
        <v>27</v>
      </c>
      <c r="B4102" t="s">
        <v>67</v>
      </c>
      <c r="C4102" t="str">
        <f t="shared" si="128"/>
        <v>High PointUNC Wilmington</v>
      </c>
      <c r="D4102" t="s">
        <v>27</v>
      </c>
      <c r="E4102">
        <v>51.8</v>
      </c>
      <c r="F4102" s="1">
        <v>-0.475471698113208</v>
      </c>
      <c r="G4102" s="2">
        <v>-107.52377126633399</v>
      </c>
      <c r="H4102" s="1">
        <v>138.64882032747099</v>
      </c>
      <c r="I4102" s="1">
        <f t="shared" si="129"/>
        <v>136.96781038086723</v>
      </c>
    </row>
    <row r="4103" spans="1:9" x14ac:dyDescent="0.45">
      <c r="A4103" t="s">
        <v>28</v>
      </c>
      <c r="B4103" t="s">
        <v>67</v>
      </c>
      <c r="C4103" t="str">
        <f t="shared" si="128"/>
        <v>HoustonUNC Wilmington</v>
      </c>
      <c r="D4103" t="s">
        <v>28</v>
      </c>
      <c r="E4103">
        <v>99.6</v>
      </c>
      <c r="F4103" s="1">
        <v>-35.7584905660377</v>
      </c>
      <c r="G4103" s="2">
        <v>-23388.608296883001</v>
      </c>
      <c r="H4103" s="1">
        <v>140.76228268467401</v>
      </c>
      <c r="I4103" s="1">
        <f t="shared" si="129"/>
        <v>166.64444771314879</v>
      </c>
    </row>
    <row r="4104" spans="1:9" x14ac:dyDescent="0.45">
      <c r="A4104" t="s">
        <v>29</v>
      </c>
      <c r="B4104" t="s">
        <v>67</v>
      </c>
      <c r="C4104" t="str">
        <f t="shared" si="128"/>
        <v>IllinoisUNC Wilmington</v>
      </c>
      <c r="D4104" t="s">
        <v>29</v>
      </c>
      <c r="E4104">
        <v>95.8</v>
      </c>
      <c r="F4104" s="1">
        <v>-20.569811320754699</v>
      </c>
      <c r="G4104" s="2">
        <v>-2305.63629756814</v>
      </c>
      <c r="H4104" s="1">
        <v>138.82074645963499</v>
      </c>
      <c r="I4104" s="1">
        <f t="shared" si="129"/>
        <v>139.38194823138724</v>
      </c>
    </row>
    <row r="4105" spans="1:9" x14ac:dyDescent="0.45">
      <c r="A4105" t="s">
        <v>30</v>
      </c>
      <c r="B4105" t="s">
        <v>67</v>
      </c>
      <c r="C4105" t="str">
        <f t="shared" si="128"/>
        <v>Iowa St.UNC Wilmington</v>
      </c>
      <c r="D4105" t="s">
        <v>30</v>
      </c>
      <c r="E4105">
        <v>98</v>
      </c>
      <c r="F4105" s="1">
        <v>-25.430188679245301</v>
      </c>
      <c r="G4105" s="2">
        <v>-4840.0166972241996</v>
      </c>
      <c r="H4105" s="1">
        <v>139.71728875122199</v>
      </c>
      <c r="I4105" s="1">
        <f t="shared" si="129"/>
        <v>151.97094010521985</v>
      </c>
    </row>
    <row r="4106" spans="1:9" x14ac:dyDescent="0.45">
      <c r="A4106" t="s">
        <v>31</v>
      </c>
      <c r="B4106" t="s">
        <v>67</v>
      </c>
      <c r="C4106" t="str">
        <f t="shared" si="128"/>
        <v>KansasUNC Wilmington</v>
      </c>
      <c r="D4106" t="s">
        <v>31</v>
      </c>
      <c r="E4106">
        <v>93.7</v>
      </c>
      <c r="F4106" s="1">
        <v>-17.7169811320755</v>
      </c>
      <c r="G4106" s="2">
        <v>-1491.5778452529701</v>
      </c>
      <c r="H4106" s="1">
        <v>138.767876640075</v>
      </c>
      <c r="I4106" s="1">
        <f t="shared" si="129"/>
        <v>138.63956526177461</v>
      </c>
    </row>
    <row r="4107" spans="1:9" x14ac:dyDescent="0.45">
      <c r="A4107" t="s">
        <v>32</v>
      </c>
      <c r="B4107" t="s">
        <v>67</v>
      </c>
      <c r="C4107" t="str">
        <f t="shared" si="128"/>
        <v>KentuckyUNC Wilmington</v>
      </c>
      <c r="D4107" t="s">
        <v>32</v>
      </c>
      <c r="E4107">
        <v>96.1</v>
      </c>
      <c r="F4107" s="1">
        <v>-21.079245283018899</v>
      </c>
      <c r="G4107" s="2">
        <v>-2491.9072110296902</v>
      </c>
      <c r="H4107" s="1">
        <v>138.702158972201</v>
      </c>
      <c r="I4107" s="1">
        <f t="shared" si="129"/>
        <v>137.7167764601794</v>
      </c>
    </row>
    <row r="4108" spans="1:9" x14ac:dyDescent="0.45">
      <c r="A4108" t="s">
        <v>33</v>
      </c>
      <c r="B4108" t="s">
        <v>67</v>
      </c>
      <c r="C4108" t="str">
        <f t="shared" si="128"/>
        <v>LibertyUNC Wilmington</v>
      </c>
      <c r="D4108" t="s">
        <v>67</v>
      </c>
      <c r="E4108">
        <v>42.8</v>
      </c>
      <c r="F4108" s="1">
        <v>1.9056603773584899</v>
      </c>
      <c r="G4108" s="2">
        <v>133.75069521744899</v>
      </c>
      <c r="H4108" s="1">
        <v>138.047160015918</v>
      </c>
      <c r="I4108" s="1">
        <f t="shared" si="129"/>
        <v>128.51946740360432</v>
      </c>
    </row>
    <row r="4109" spans="1:9" x14ac:dyDescent="0.45">
      <c r="A4109" t="s">
        <v>34</v>
      </c>
      <c r="B4109" t="s">
        <v>67</v>
      </c>
      <c r="C4109" t="str">
        <f t="shared" si="128"/>
        <v>LipscombUNC Wilmington</v>
      </c>
      <c r="D4109" t="s">
        <v>67</v>
      </c>
      <c r="E4109">
        <v>36</v>
      </c>
      <c r="F4109" s="1">
        <v>3.7735849056603801</v>
      </c>
      <c r="G4109" s="2">
        <v>177.78468587040399</v>
      </c>
      <c r="H4109" s="1">
        <v>138.45347821351001</v>
      </c>
      <c r="I4109" s="1">
        <f t="shared" si="129"/>
        <v>134.22487197366843</v>
      </c>
    </row>
    <row r="4110" spans="1:9" x14ac:dyDescent="0.45">
      <c r="A4110" t="s">
        <v>35</v>
      </c>
      <c r="B4110" t="s">
        <v>67</v>
      </c>
      <c r="C4110" t="str">
        <f t="shared" si="128"/>
        <v>LouisvilleUNC Wilmington</v>
      </c>
      <c r="D4110" t="s">
        <v>35</v>
      </c>
      <c r="E4110">
        <v>58.6</v>
      </c>
      <c r="F4110" s="1">
        <v>-2.2754716981132099</v>
      </c>
      <c r="G4110" s="2">
        <v>-141.52836395126101</v>
      </c>
      <c r="H4110" s="1">
        <v>137.69884021932799</v>
      </c>
      <c r="I4110" s="1">
        <f t="shared" si="129"/>
        <v>123.62845988514741</v>
      </c>
    </row>
    <row r="4111" spans="1:9" x14ac:dyDescent="0.45">
      <c r="A4111" t="s">
        <v>36</v>
      </c>
      <c r="B4111" t="s">
        <v>67</v>
      </c>
      <c r="C4111" t="str">
        <f t="shared" si="128"/>
        <v>MarquetteUNC Wilmington</v>
      </c>
      <c r="D4111" t="s">
        <v>36</v>
      </c>
      <c r="E4111">
        <v>95</v>
      </c>
      <c r="F4111" s="1">
        <v>-19.343396226415098</v>
      </c>
      <c r="G4111" s="2">
        <v>-1912.4354426090699</v>
      </c>
      <c r="H4111" s="1">
        <v>138.96097406279</v>
      </c>
      <c r="I4111" s="1">
        <f t="shared" si="129"/>
        <v>141.35098435290763</v>
      </c>
    </row>
    <row r="4112" spans="1:9" x14ac:dyDescent="0.45">
      <c r="A4112" t="s">
        <v>37</v>
      </c>
      <c r="B4112" t="s">
        <v>67</v>
      </c>
      <c r="C4112" t="str">
        <f t="shared" si="128"/>
        <v>MarylandUNC Wilmington</v>
      </c>
      <c r="D4112" t="s">
        <v>37</v>
      </c>
      <c r="E4112">
        <v>92.2</v>
      </c>
      <c r="F4112" s="1">
        <v>-16.177358490566</v>
      </c>
      <c r="G4112" s="2">
        <v>-1179.64940247253</v>
      </c>
      <c r="H4112" s="1">
        <v>138.41934366133299</v>
      </c>
      <c r="I4112" s="1">
        <f t="shared" si="129"/>
        <v>133.74556430017006</v>
      </c>
    </row>
    <row r="4113" spans="1:9" x14ac:dyDescent="0.45">
      <c r="A4113" t="s">
        <v>38</v>
      </c>
      <c r="B4113" t="s">
        <v>67</v>
      </c>
      <c r="C4113" t="str">
        <f t="shared" si="128"/>
        <v>McNeese St.UNC Wilmington</v>
      </c>
      <c r="D4113" t="s">
        <v>38</v>
      </c>
      <c r="E4113">
        <v>73.3</v>
      </c>
      <c r="F4113" s="1">
        <v>-6.6377358490566003</v>
      </c>
      <c r="G4113" s="2">
        <v>-275.22208362537299</v>
      </c>
      <c r="H4113" s="1">
        <v>139.01257907429701</v>
      </c>
      <c r="I4113" s="1">
        <f t="shared" si="129"/>
        <v>142.07560724756303</v>
      </c>
    </row>
    <row r="4114" spans="1:9" x14ac:dyDescent="0.45">
      <c r="A4114" t="s">
        <v>39</v>
      </c>
      <c r="B4114" t="s">
        <v>67</v>
      </c>
      <c r="C4114" t="str">
        <f t="shared" si="128"/>
        <v>MemphisUNC Wilmington</v>
      </c>
      <c r="D4114" t="s">
        <v>39</v>
      </c>
      <c r="E4114">
        <v>86.9</v>
      </c>
      <c r="F4114" s="1">
        <v>-12.411320754717</v>
      </c>
      <c r="G4114" s="2">
        <v>-664.28215423809502</v>
      </c>
      <c r="H4114" s="1">
        <v>137.54686090082299</v>
      </c>
      <c r="I4114" s="1">
        <f t="shared" si="129"/>
        <v>121.49440951897526</v>
      </c>
    </row>
    <row r="4115" spans="1:9" x14ac:dyDescent="0.45">
      <c r="A4115" t="s">
        <v>40</v>
      </c>
      <c r="B4115" t="s">
        <v>67</v>
      </c>
      <c r="C4115" t="str">
        <f t="shared" si="128"/>
        <v>MichiganUNC Wilmington</v>
      </c>
      <c r="D4115" t="s">
        <v>40</v>
      </c>
      <c r="E4115">
        <v>76.599999999999994</v>
      </c>
      <c r="F4115" s="1">
        <v>-7.7886792452830198</v>
      </c>
      <c r="G4115" s="2">
        <v>-328.063528150281</v>
      </c>
      <c r="H4115" s="1">
        <v>137.109482197739</v>
      </c>
      <c r="I4115" s="1">
        <f t="shared" si="129"/>
        <v>115.35286216467787</v>
      </c>
    </row>
    <row r="4116" spans="1:9" x14ac:dyDescent="0.45">
      <c r="A4116" t="s">
        <v>41</v>
      </c>
      <c r="B4116" t="s">
        <v>67</v>
      </c>
      <c r="C4116" t="str">
        <f t="shared" si="128"/>
        <v>Michigan St.UNC Wilmington</v>
      </c>
      <c r="D4116" t="s">
        <v>41</v>
      </c>
      <c r="E4116">
        <v>96.9</v>
      </c>
      <c r="F4116" s="1">
        <v>-22.535849056603801</v>
      </c>
      <c r="G4116" s="2">
        <v>-3111.09370877221</v>
      </c>
      <c r="H4116" s="1">
        <v>138.75656190694599</v>
      </c>
      <c r="I4116" s="1">
        <f t="shared" si="129"/>
        <v>138.48068699718814</v>
      </c>
    </row>
    <row r="4117" spans="1:9" x14ac:dyDescent="0.45">
      <c r="A4117" t="s">
        <v>42</v>
      </c>
      <c r="B4117" t="s">
        <v>67</v>
      </c>
      <c r="C4117" t="str">
        <f t="shared" si="128"/>
        <v>MississippiUNC Wilmington</v>
      </c>
      <c r="D4117" t="s">
        <v>42</v>
      </c>
      <c r="E4117">
        <v>89.5</v>
      </c>
      <c r="F4117" s="1">
        <v>-14.037735849056601</v>
      </c>
      <c r="G4117" s="2">
        <v>-851.21972241565402</v>
      </c>
      <c r="H4117" s="1">
        <v>138.024253256836</v>
      </c>
      <c r="I4117" s="1">
        <f t="shared" si="129"/>
        <v>128.19781720746181</v>
      </c>
    </row>
    <row r="4118" spans="1:9" x14ac:dyDescent="0.45">
      <c r="A4118" t="s">
        <v>43</v>
      </c>
      <c r="B4118" t="s">
        <v>67</v>
      </c>
      <c r="C4118" t="str">
        <f t="shared" si="128"/>
        <v>Mississippi St.UNC Wilmington</v>
      </c>
      <c r="D4118" t="s">
        <v>43</v>
      </c>
      <c r="E4118">
        <v>86.7</v>
      </c>
      <c r="F4118" s="1">
        <v>-12.313207547169799</v>
      </c>
      <c r="G4118" s="2">
        <v>-654.431750498258</v>
      </c>
      <c r="H4118" s="1">
        <v>138.16399972951299</v>
      </c>
      <c r="I4118" s="1">
        <f t="shared" si="129"/>
        <v>130.16009743164761</v>
      </c>
    </row>
    <row r="4119" spans="1:9" x14ac:dyDescent="0.45">
      <c r="A4119" t="s">
        <v>44</v>
      </c>
      <c r="B4119" t="s">
        <v>67</v>
      </c>
      <c r="C4119" t="str">
        <f t="shared" si="128"/>
        <v>MissouriUNC Wilmington</v>
      </c>
      <c r="D4119" t="s">
        <v>44</v>
      </c>
      <c r="E4119">
        <v>75.5</v>
      </c>
      <c r="F4119" s="1">
        <v>-7.3811320754717</v>
      </c>
      <c r="G4119" s="2">
        <v>-308.30891265576599</v>
      </c>
      <c r="H4119" s="1">
        <v>137.581661628158</v>
      </c>
      <c r="I4119" s="1">
        <f t="shared" si="129"/>
        <v>121.98307143457592</v>
      </c>
    </row>
    <row r="4120" spans="1:9" x14ac:dyDescent="0.45">
      <c r="A4120" t="s">
        <v>45</v>
      </c>
      <c r="B4120" t="s">
        <v>67</v>
      </c>
      <c r="C4120" t="str">
        <f t="shared" si="128"/>
        <v>MontanaUNC Wilmington</v>
      </c>
      <c r="D4120" t="s">
        <v>67</v>
      </c>
      <c r="E4120">
        <v>21.7</v>
      </c>
      <c r="F4120" s="1">
        <v>8.4264150943396192</v>
      </c>
      <c r="G4120" s="2">
        <v>361.54275497288597</v>
      </c>
      <c r="H4120" s="1">
        <v>136.71837319156401</v>
      </c>
      <c r="I4120" s="1">
        <f t="shared" si="129"/>
        <v>109.86102073486187</v>
      </c>
    </row>
    <row r="4121" spans="1:9" x14ac:dyDescent="0.45">
      <c r="A4121" t="s">
        <v>46</v>
      </c>
      <c r="B4121" t="s">
        <v>67</v>
      </c>
      <c r="C4121" t="str">
        <f t="shared" si="128"/>
        <v>Mount St. Mary'sUNC Wilmington</v>
      </c>
      <c r="D4121" t="s">
        <v>67</v>
      </c>
      <c r="E4121">
        <v>9.5</v>
      </c>
      <c r="F4121" s="1">
        <v>14.7584905660377</v>
      </c>
      <c r="G4121" s="2">
        <v>950.131685771354</v>
      </c>
      <c r="H4121" s="1">
        <v>138.021661145715</v>
      </c>
      <c r="I4121" s="1">
        <f t="shared" si="129"/>
        <v>128.16141952032021</v>
      </c>
    </row>
    <row r="4122" spans="1:9" x14ac:dyDescent="0.45">
      <c r="A4122" t="s">
        <v>47</v>
      </c>
      <c r="B4122" t="s">
        <v>67</v>
      </c>
      <c r="C4122" t="str">
        <f t="shared" si="128"/>
        <v>Nebraska OmahaUNC Wilmington</v>
      </c>
      <c r="D4122" t="s">
        <v>67</v>
      </c>
      <c r="E4122">
        <v>12.8</v>
      </c>
      <c r="F4122" s="1">
        <v>12.569811320754701</v>
      </c>
      <c r="G4122" s="2">
        <v>680.26993928107299</v>
      </c>
      <c r="H4122" s="1">
        <v>137.439437277818</v>
      </c>
      <c r="I4122" s="1">
        <f t="shared" si="129"/>
        <v>119.98599755697663</v>
      </c>
    </row>
    <row r="4123" spans="1:9" x14ac:dyDescent="0.45">
      <c r="A4123" t="s">
        <v>48</v>
      </c>
      <c r="B4123" t="s">
        <v>67</v>
      </c>
      <c r="C4123" t="str">
        <f t="shared" si="128"/>
        <v>New MexicoUNC Wilmington</v>
      </c>
      <c r="D4123" t="s">
        <v>48</v>
      </c>
      <c r="E4123">
        <v>77.900000000000006</v>
      </c>
      <c r="F4123" s="1">
        <v>-8.2641509433962295</v>
      </c>
      <c r="G4123" s="2">
        <v>-352.697120102589</v>
      </c>
      <c r="H4123" s="1">
        <v>138.209427209636</v>
      </c>
      <c r="I4123" s="1">
        <f t="shared" si="129"/>
        <v>130.79797718755401</v>
      </c>
    </row>
    <row r="4124" spans="1:9" x14ac:dyDescent="0.45">
      <c r="A4124" t="s">
        <v>49</v>
      </c>
      <c r="B4124" t="s">
        <v>67</v>
      </c>
      <c r="C4124" t="str">
        <f t="shared" si="128"/>
        <v>Norfolk St.UNC Wilmington</v>
      </c>
      <c r="D4124" t="s">
        <v>67</v>
      </c>
      <c r="E4124">
        <v>17.2</v>
      </c>
      <c r="F4124" s="1">
        <v>10.3056603773585</v>
      </c>
      <c r="G4124" s="2">
        <v>481.53564839056799</v>
      </c>
      <c r="H4124" s="1">
        <v>137.24555297359899</v>
      </c>
      <c r="I4124" s="1">
        <f t="shared" si="129"/>
        <v>117.26352929956039</v>
      </c>
    </row>
    <row r="4125" spans="1:9" x14ac:dyDescent="0.45">
      <c r="A4125" t="s">
        <v>50</v>
      </c>
      <c r="B4125" t="s">
        <v>67</v>
      </c>
      <c r="C4125" t="str">
        <f t="shared" si="128"/>
        <v>North CarolinaUNC Wilmington</v>
      </c>
      <c r="D4125" t="s">
        <v>50</v>
      </c>
      <c r="E4125">
        <v>92.3</v>
      </c>
      <c r="F4125" s="1">
        <v>-16.313207547169799</v>
      </c>
      <c r="G4125" s="2">
        <v>-1204.3671966393599</v>
      </c>
      <c r="H4125" s="1">
        <v>139.31915892806899</v>
      </c>
      <c r="I4125" s="1">
        <f t="shared" si="129"/>
        <v>146.38051436018162</v>
      </c>
    </row>
    <row r="4126" spans="1:9" x14ac:dyDescent="0.45">
      <c r="A4126" t="s">
        <v>51</v>
      </c>
      <c r="B4126" t="s">
        <v>67</v>
      </c>
      <c r="C4126" t="str">
        <f t="shared" si="128"/>
        <v>OklahomaUNC Wilmington</v>
      </c>
      <c r="D4126" t="s">
        <v>51</v>
      </c>
      <c r="E4126">
        <v>80.8</v>
      </c>
      <c r="F4126" s="1">
        <v>-9.4301886792452798</v>
      </c>
      <c r="G4126" s="2">
        <v>-421.48458738944998</v>
      </c>
      <c r="H4126" s="1">
        <v>137.74278205424301</v>
      </c>
      <c r="I4126" s="1">
        <f t="shared" si="129"/>
        <v>124.24547863357392</v>
      </c>
    </row>
    <row r="4127" spans="1:9" x14ac:dyDescent="0.45">
      <c r="A4127" t="s">
        <v>52</v>
      </c>
      <c r="B4127" t="s">
        <v>67</v>
      </c>
      <c r="C4127" t="str">
        <f t="shared" si="128"/>
        <v>OregonUNC Wilmington</v>
      </c>
      <c r="D4127" t="s">
        <v>52</v>
      </c>
      <c r="E4127">
        <v>92.2</v>
      </c>
      <c r="F4127" s="1">
        <v>-16.196226415094301</v>
      </c>
      <c r="G4127" s="2">
        <v>-1183.1721650793399</v>
      </c>
      <c r="H4127" s="1">
        <v>138.03349944577201</v>
      </c>
      <c r="I4127" s="1">
        <f t="shared" si="129"/>
        <v>128.32764956280249</v>
      </c>
    </row>
    <row r="4128" spans="1:9" x14ac:dyDescent="0.45">
      <c r="A4128" t="s">
        <v>53</v>
      </c>
      <c r="B4128" t="s">
        <v>67</v>
      </c>
      <c r="C4128" t="str">
        <f t="shared" si="128"/>
        <v>PurdueUNC Wilmington</v>
      </c>
      <c r="D4128" t="s">
        <v>53</v>
      </c>
      <c r="E4128">
        <v>98.5</v>
      </c>
      <c r="F4128" s="1">
        <v>-27.569811320754699</v>
      </c>
      <c r="G4128" s="2">
        <v>-6705.7531761151204</v>
      </c>
      <c r="H4128" s="1">
        <v>139.52158664557101</v>
      </c>
      <c r="I4128" s="1">
        <f t="shared" si="129"/>
        <v>149.22294679709486</v>
      </c>
    </row>
    <row r="4129" spans="1:9" x14ac:dyDescent="0.45">
      <c r="A4129" t="s">
        <v>54</v>
      </c>
      <c r="B4129" t="s">
        <v>67</v>
      </c>
      <c r="C4129" t="str">
        <f t="shared" si="128"/>
        <v>Robert MorrisUNC Wilmington</v>
      </c>
      <c r="D4129" t="s">
        <v>67</v>
      </c>
      <c r="E4129">
        <v>7.7</v>
      </c>
      <c r="F4129" s="1">
        <v>16.320754716981099</v>
      </c>
      <c r="G4129" s="2">
        <v>1205.5558547247699</v>
      </c>
      <c r="H4129" s="1">
        <v>136.60455197425799</v>
      </c>
      <c r="I4129" s="1">
        <f t="shared" si="129"/>
        <v>108.26277557322105</v>
      </c>
    </row>
    <row r="4130" spans="1:9" x14ac:dyDescent="0.45">
      <c r="A4130" t="s">
        <v>55</v>
      </c>
      <c r="B4130" t="s">
        <v>67</v>
      </c>
      <c r="C4130" t="str">
        <f t="shared" si="128"/>
        <v>Saint FrancisUNC Wilmington</v>
      </c>
      <c r="D4130" t="s">
        <v>67</v>
      </c>
      <c r="E4130">
        <v>4.7</v>
      </c>
      <c r="F4130" s="1">
        <v>19.683018867924499</v>
      </c>
      <c r="G4130" s="2">
        <v>2013.582976917</v>
      </c>
      <c r="H4130" s="1">
        <v>137.31139985630099</v>
      </c>
      <c r="I4130" s="1">
        <f t="shared" si="129"/>
        <v>118.18813249902061</v>
      </c>
    </row>
    <row r="4131" spans="1:9" x14ac:dyDescent="0.45">
      <c r="A4131" t="s">
        <v>56</v>
      </c>
      <c r="B4131" t="s">
        <v>67</v>
      </c>
      <c r="C4131" t="str">
        <f t="shared" si="128"/>
        <v>Saint Mary'sUNC Wilmington</v>
      </c>
      <c r="D4131" t="s">
        <v>56</v>
      </c>
      <c r="E4131">
        <v>92</v>
      </c>
      <c r="F4131" s="1">
        <v>-16.052830188679199</v>
      </c>
      <c r="G4131" s="2">
        <v>-1157.42975771488</v>
      </c>
      <c r="H4131" s="1">
        <v>139.04060597224299</v>
      </c>
      <c r="I4131" s="1">
        <f t="shared" si="129"/>
        <v>142.46915297742046</v>
      </c>
    </row>
    <row r="4132" spans="1:9" x14ac:dyDescent="0.45">
      <c r="A4132" t="s">
        <v>57</v>
      </c>
      <c r="B4132" t="s">
        <v>67</v>
      </c>
      <c r="C4132" t="str">
        <f t="shared" si="128"/>
        <v>San Diego St.UNC Wilmington</v>
      </c>
      <c r="D4132" t="s">
        <v>57</v>
      </c>
      <c r="E4132">
        <v>78.2</v>
      </c>
      <c r="F4132" s="1">
        <v>-8.3773584905660403</v>
      </c>
      <c r="G4132" s="2">
        <v>-359.00052022467099</v>
      </c>
      <c r="H4132" s="1">
        <v>138.25530513527099</v>
      </c>
      <c r="I4132" s="1">
        <f t="shared" si="129"/>
        <v>131.44218197122879</v>
      </c>
    </row>
    <row r="4133" spans="1:9" x14ac:dyDescent="0.45">
      <c r="A4133" t="s">
        <v>58</v>
      </c>
      <c r="B4133" t="s">
        <v>67</v>
      </c>
      <c r="C4133" t="str">
        <f t="shared" si="128"/>
        <v>SIU EdwardsvilleUNC Wilmington</v>
      </c>
      <c r="D4133" t="s">
        <v>67</v>
      </c>
      <c r="E4133">
        <v>14.6</v>
      </c>
      <c r="F4133" s="1">
        <v>11.5962264150943</v>
      </c>
      <c r="G4133" s="2">
        <v>586.38817186162498</v>
      </c>
      <c r="H4133" s="1">
        <v>138.31456331545499</v>
      </c>
      <c r="I4133" s="1">
        <f t="shared" si="129"/>
        <v>132.27426848381705</v>
      </c>
    </row>
    <row r="4134" spans="1:9" x14ac:dyDescent="0.45">
      <c r="A4134" t="s">
        <v>59</v>
      </c>
      <c r="B4134" t="s">
        <v>67</v>
      </c>
      <c r="C4134" t="str">
        <f t="shared" si="128"/>
        <v>St. John'sUNC Wilmington</v>
      </c>
      <c r="D4134" t="s">
        <v>59</v>
      </c>
      <c r="E4134">
        <v>97.1</v>
      </c>
      <c r="F4134" s="1">
        <v>-23.037735849056599</v>
      </c>
      <c r="G4134" s="2">
        <v>-3358.4918077538</v>
      </c>
      <c r="H4134" s="1">
        <v>139.13401976400999</v>
      </c>
      <c r="I4134" s="1">
        <f t="shared" si="129"/>
        <v>143.78084287369637</v>
      </c>
    </row>
    <row r="4135" spans="1:9" x14ac:dyDescent="0.45">
      <c r="A4135" t="s">
        <v>60</v>
      </c>
      <c r="B4135" t="s">
        <v>67</v>
      </c>
      <c r="C4135" t="str">
        <f t="shared" si="128"/>
        <v>TennesseeUNC Wilmington</v>
      </c>
      <c r="D4135" t="s">
        <v>60</v>
      </c>
      <c r="E4135">
        <v>98.7</v>
      </c>
      <c r="F4135" s="1">
        <v>-28.252830188679201</v>
      </c>
      <c r="G4135" s="2">
        <v>-7442.2076913311403</v>
      </c>
      <c r="H4135" s="1">
        <v>139.92725213814401</v>
      </c>
      <c r="I4135" s="1">
        <f t="shared" si="129"/>
        <v>154.91918626891717</v>
      </c>
    </row>
    <row r="4136" spans="1:9" x14ac:dyDescent="0.45">
      <c r="A4136" t="s">
        <v>61</v>
      </c>
      <c r="B4136" t="s">
        <v>67</v>
      </c>
      <c r="C4136" t="str">
        <f t="shared" si="128"/>
        <v>TexasUNC Wilmington</v>
      </c>
      <c r="D4136" t="s">
        <v>61</v>
      </c>
      <c r="E4136">
        <v>74.900000000000006</v>
      </c>
      <c r="F4136" s="1">
        <v>-7.1547169811320801</v>
      </c>
      <c r="G4136" s="2">
        <v>-297.89071181313301</v>
      </c>
      <c r="H4136" s="1">
        <v>137.62713396578201</v>
      </c>
      <c r="I4136" s="1">
        <f t="shared" si="129"/>
        <v>122.62158106675341</v>
      </c>
    </row>
    <row r="4137" spans="1:9" x14ac:dyDescent="0.45">
      <c r="A4137" t="s">
        <v>62</v>
      </c>
      <c r="B4137" t="s">
        <v>67</v>
      </c>
      <c r="C4137" t="str">
        <f t="shared" si="128"/>
        <v>Texas A&amp;MUNC Wilmington</v>
      </c>
      <c r="D4137" t="s">
        <v>62</v>
      </c>
      <c r="E4137">
        <v>94.4</v>
      </c>
      <c r="F4137" s="1">
        <v>-18.558490566037701</v>
      </c>
      <c r="G4137" s="2">
        <v>-1695.9429596612799</v>
      </c>
      <c r="H4137" s="1">
        <v>138.41410927518001</v>
      </c>
      <c r="I4137" s="1">
        <f t="shared" si="129"/>
        <v>133.67206453851611</v>
      </c>
    </row>
    <row r="4138" spans="1:9" x14ac:dyDescent="0.45">
      <c r="A4138" t="s">
        <v>63</v>
      </c>
      <c r="B4138" t="s">
        <v>67</v>
      </c>
      <c r="C4138" t="str">
        <f t="shared" si="128"/>
        <v>Texas TechUNC Wilmington</v>
      </c>
      <c r="D4138" t="s">
        <v>63</v>
      </c>
      <c r="E4138">
        <v>97</v>
      </c>
      <c r="F4138" s="1">
        <v>-22.890566037735901</v>
      </c>
      <c r="G4138" s="2">
        <v>-3284.9342617428301</v>
      </c>
      <c r="H4138" s="1">
        <v>139.404621880419</v>
      </c>
      <c r="I4138" s="1">
        <f t="shared" si="129"/>
        <v>147.58056083065387</v>
      </c>
    </row>
    <row r="4139" spans="1:9" x14ac:dyDescent="0.45">
      <c r="A4139" t="s">
        <v>64</v>
      </c>
      <c r="B4139" t="s">
        <v>67</v>
      </c>
      <c r="C4139" t="str">
        <f t="shared" si="128"/>
        <v>TroyUNC Wilmington</v>
      </c>
      <c r="D4139" t="s">
        <v>67</v>
      </c>
      <c r="E4139">
        <v>32.1</v>
      </c>
      <c r="F4139" s="1">
        <v>4.9169811320754704</v>
      </c>
      <c r="G4139" s="2">
        <v>211.74569093327699</v>
      </c>
      <c r="H4139" s="1">
        <v>138.17092647497799</v>
      </c>
      <c r="I4139" s="1">
        <f t="shared" si="129"/>
        <v>130.25736082143882</v>
      </c>
    </row>
    <row r="4140" spans="1:9" x14ac:dyDescent="0.45">
      <c r="A4140" t="s">
        <v>65</v>
      </c>
      <c r="B4140" t="s">
        <v>67</v>
      </c>
      <c r="C4140" t="str">
        <f t="shared" si="128"/>
        <v>UC San DiegoUNC Wilmington</v>
      </c>
      <c r="D4140" t="s">
        <v>65</v>
      </c>
      <c r="E4140">
        <v>54.8</v>
      </c>
      <c r="F4140" s="1">
        <v>-1.2641509433962299</v>
      </c>
      <c r="G4140" s="2">
        <v>-121.25881823873399</v>
      </c>
      <c r="H4140" s="1">
        <v>138.24104670464101</v>
      </c>
      <c r="I4140" s="1">
        <f t="shared" si="129"/>
        <v>131.24196914354758</v>
      </c>
    </row>
    <row r="4141" spans="1:9" x14ac:dyDescent="0.45">
      <c r="A4141" t="s">
        <v>66</v>
      </c>
      <c r="B4141" t="s">
        <v>67</v>
      </c>
      <c r="C4141" t="str">
        <f t="shared" si="128"/>
        <v>UCLAUNC Wilmington</v>
      </c>
      <c r="D4141" t="s">
        <v>66</v>
      </c>
      <c r="E4141">
        <v>80.7</v>
      </c>
      <c r="F4141" s="1">
        <v>-9.3660377358490603</v>
      </c>
      <c r="G4141" s="2">
        <v>-417.25810653106402</v>
      </c>
      <c r="H4141" s="1">
        <v>137.462305283853</v>
      </c>
      <c r="I4141" s="1">
        <f t="shared" si="129"/>
        <v>120.30710359385499</v>
      </c>
    </row>
    <row r="4142" spans="1:9" x14ac:dyDescent="0.45">
      <c r="A4142" t="s">
        <v>67</v>
      </c>
      <c r="B4142" t="s">
        <v>67</v>
      </c>
      <c r="C4142" t="str">
        <f t="shared" si="128"/>
        <v>UNC WilmingtonUNC Wilmington</v>
      </c>
      <c r="D4142" t="s">
        <v>67</v>
      </c>
      <c r="E4142">
        <v>41.2</v>
      </c>
      <c r="F4142" s="1">
        <v>2.3283018867924499</v>
      </c>
      <c r="G4142" s="2">
        <v>142.64273539779199</v>
      </c>
      <c r="H4142" s="1">
        <v>138.77771517530499</v>
      </c>
      <c r="I4142" s="1">
        <f t="shared" si="129"/>
        <v>138.77771517530684</v>
      </c>
    </row>
    <row r="4143" spans="1:9" x14ac:dyDescent="0.45">
      <c r="A4143" t="s">
        <v>68</v>
      </c>
      <c r="B4143" t="s">
        <v>67</v>
      </c>
      <c r="C4143" t="str">
        <f t="shared" si="128"/>
        <v>Utah St.UNC Wilmington</v>
      </c>
      <c r="D4143" t="s">
        <v>68</v>
      </c>
      <c r="E4143">
        <v>79.8</v>
      </c>
      <c r="F4143" s="1">
        <v>-9</v>
      </c>
      <c r="G4143" s="2">
        <v>-394.628575545621</v>
      </c>
      <c r="H4143" s="1">
        <v>138.324901673884</v>
      </c>
      <c r="I4143" s="1">
        <f t="shared" si="129"/>
        <v>132.41943677255577</v>
      </c>
    </row>
    <row r="4144" spans="1:9" x14ac:dyDescent="0.45">
      <c r="A4144" t="s">
        <v>69</v>
      </c>
      <c r="B4144" t="s">
        <v>67</v>
      </c>
      <c r="C4144" t="str">
        <f t="shared" si="128"/>
        <v>VanderbiltUNC Wilmington</v>
      </c>
      <c r="D4144" t="s">
        <v>67</v>
      </c>
      <c r="E4144">
        <v>43.7</v>
      </c>
      <c r="F4144" s="1">
        <v>1.6490566037735801</v>
      </c>
      <c r="G4144" s="2">
        <v>128.59688200921201</v>
      </c>
      <c r="H4144" s="1">
        <v>136.75893955516699</v>
      </c>
      <c r="I4144" s="1">
        <f t="shared" si="129"/>
        <v>110.43064207513889</v>
      </c>
    </row>
    <row r="4145" spans="1:9" x14ac:dyDescent="0.45">
      <c r="A4145" t="s">
        <v>70</v>
      </c>
      <c r="B4145" t="s">
        <v>67</v>
      </c>
      <c r="C4145" t="str">
        <f t="shared" si="128"/>
        <v>VCUUNC Wilmington</v>
      </c>
      <c r="D4145" t="s">
        <v>70</v>
      </c>
      <c r="E4145">
        <v>71.400000000000006</v>
      </c>
      <c r="F4145" s="1">
        <v>-5.9962264150943403</v>
      </c>
      <c r="G4145" s="2">
        <v>-249.626858491626</v>
      </c>
      <c r="H4145" s="1">
        <v>138.68411268436</v>
      </c>
      <c r="I4145" s="1">
        <f t="shared" si="129"/>
        <v>137.46337561884141</v>
      </c>
    </row>
    <row r="4146" spans="1:9" x14ac:dyDescent="0.45">
      <c r="A4146" t="s">
        <v>71</v>
      </c>
      <c r="B4146" t="s">
        <v>67</v>
      </c>
      <c r="C4146" t="str">
        <f t="shared" si="128"/>
        <v>WisconsinUNC Wilmington</v>
      </c>
      <c r="D4146" t="s">
        <v>71</v>
      </c>
      <c r="E4146">
        <v>96.6</v>
      </c>
      <c r="F4146" s="1">
        <v>-21.9509433962264</v>
      </c>
      <c r="G4146" s="2">
        <v>-2845.6202981209499</v>
      </c>
      <c r="H4146" s="1">
        <v>139.33736829269199</v>
      </c>
      <c r="I4146" s="1">
        <f t="shared" si="129"/>
        <v>146.63620507931196</v>
      </c>
    </row>
    <row r="4147" spans="1:9" x14ac:dyDescent="0.45">
      <c r="A4147" t="s">
        <v>80</v>
      </c>
      <c r="B4147" t="s">
        <v>67</v>
      </c>
      <c r="C4147" t="str">
        <f t="shared" si="128"/>
        <v>WoffordUNC Wilmington</v>
      </c>
      <c r="D4147" t="s">
        <v>67</v>
      </c>
      <c r="E4147">
        <v>19.7</v>
      </c>
      <c r="F4147" s="1">
        <v>9.2226415094339593</v>
      </c>
      <c r="G4147" s="2">
        <v>408.42200542922302</v>
      </c>
      <c r="H4147" s="1">
        <v>137.435016721919</v>
      </c>
      <c r="I4147" s="1">
        <f t="shared" si="129"/>
        <v>119.92392536828839</v>
      </c>
    </row>
    <row r="4148" spans="1:9" x14ac:dyDescent="0.45">
      <c r="A4148" t="s">
        <v>72</v>
      </c>
      <c r="B4148" t="s">
        <v>67</v>
      </c>
      <c r="C4148" t="str">
        <f t="shared" si="128"/>
        <v>XavierUNC Wilmington</v>
      </c>
      <c r="D4148" t="s">
        <v>72</v>
      </c>
      <c r="E4148">
        <v>71.2</v>
      </c>
      <c r="F4148" s="1">
        <v>-5.9245283018867898</v>
      </c>
      <c r="G4148" s="2">
        <v>-246.85693125657599</v>
      </c>
      <c r="H4148" s="1">
        <v>138.17781889253999</v>
      </c>
      <c r="I4148" s="1">
        <f t="shared" si="129"/>
        <v>130.35414218857935</v>
      </c>
    </row>
    <row r="4149" spans="1:9" x14ac:dyDescent="0.45">
      <c r="A4149" t="s">
        <v>73</v>
      </c>
      <c r="B4149" t="s">
        <v>67</v>
      </c>
      <c r="C4149" t="str">
        <f t="shared" si="128"/>
        <v>YaleUNC Wilmington</v>
      </c>
      <c r="D4149" t="s">
        <v>73</v>
      </c>
      <c r="E4149">
        <v>56.3</v>
      </c>
      <c r="F4149" s="1">
        <v>-1.6754716981132101</v>
      </c>
      <c r="G4149" s="2">
        <v>-129.092150140066</v>
      </c>
      <c r="H4149" s="1">
        <v>138.77752502893401</v>
      </c>
      <c r="I4149" s="1">
        <f t="shared" si="129"/>
        <v>138.77504519404482</v>
      </c>
    </row>
    <row r="4150" spans="1:9" x14ac:dyDescent="0.45">
      <c r="A4150" t="s">
        <v>7</v>
      </c>
      <c r="B4150" t="s">
        <v>68</v>
      </c>
      <c r="C4150" t="str">
        <f t="shared" si="128"/>
        <v>AkronUtah St.</v>
      </c>
      <c r="D4150" t="s">
        <v>68</v>
      </c>
      <c r="E4150">
        <v>10.7</v>
      </c>
      <c r="F4150" s="1">
        <v>13.916981132075501</v>
      </c>
      <c r="G4150" s="2">
        <v>835.62668668968399</v>
      </c>
      <c r="H4150" s="1">
        <v>138.04716559093501</v>
      </c>
      <c r="I4150" s="1">
        <f t="shared" si="129"/>
        <v>128.51954568640764</v>
      </c>
    </row>
    <row r="4151" spans="1:9" x14ac:dyDescent="0.45">
      <c r="A4151" t="s">
        <v>8</v>
      </c>
      <c r="B4151" t="s">
        <v>68</v>
      </c>
      <c r="C4151" t="str">
        <f t="shared" si="128"/>
        <v>AlabamaUtah St.</v>
      </c>
      <c r="D4151" t="s">
        <v>8</v>
      </c>
      <c r="E4151">
        <v>90</v>
      </c>
      <c r="F4151" s="1">
        <v>-14.422641509433999</v>
      </c>
      <c r="G4151" s="2">
        <v>-902.64795611420698</v>
      </c>
      <c r="H4151" s="1">
        <v>139.85477677853001</v>
      </c>
      <c r="I4151" s="1">
        <f t="shared" si="129"/>
        <v>153.90150788185667</v>
      </c>
    </row>
    <row r="4152" spans="1:9" x14ac:dyDescent="0.45">
      <c r="A4152" t="s">
        <v>9</v>
      </c>
      <c r="B4152" t="s">
        <v>68</v>
      </c>
      <c r="C4152" t="str">
        <f t="shared" si="128"/>
        <v>Alabama St.Utah St.</v>
      </c>
      <c r="D4152" t="s">
        <v>68</v>
      </c>
      <c r="E4152">
        <v>1.8</v>
      </c>
      <c r="F4152" s="1">
        <v>26.2339622641509</v>
      </c>
      <c r="G4152" s="2">
        <v>5471.44475801113</v>
      </c>
      <c r="H4152" s="1">
        <v>138.23392735035699</v>
      </c>
      <c r="I4152" s="1">
        <f t="shared" si="129"/>
        <v>131.14200119549938</v>
      </c>
    </row>
    <row r="4153" spans="1:9" x14ac:dyDescent="0.45">
      <c r="A4153" t="s">
        <v>10</v>
      </c>
      <c r="B4153" t="s">
        <v>68</v>
      </c>
      <c r="C4153" t="str">
        <f t="shared" si="128"/>
        <v>AmericanUtah St.</v>
      </c>
      <c r="D4153" t="s">
        <v>68</v>
      </c>
      <c r="E4153">
        <v>2</v>
      </c>
      <c r="F4153" s="1">
        <v>25.479245283018901</v>
      </c>
      <c r="G4153" s="2">
        <v>4874.7881715471003</v>
      </c>
      <c r="H4153" s="1">
        <v>137.997216870118</v>
      </c>
      <c r="I4153" s="1">
        <f t="shared" si="129"/>
        <v>127.81817995455728</v>
      </c>
    </row>
    <row r="4154" spans="1:9" x14ac:dyDescent="0.45">
      <c r="A4154" t="s">
        <v>11</v>
      </c>
      <c r="B4154" t="s">
        <v>68</v>
      </c>
      <c r="C4154" t="str">
        <f t="shared" si="128"/>
        <v>ArizonaUtah St.</v>
      </c>
      <c r="D4154" t="s">
        <v>11</v>
      </c>
      <c r="E4154">
        <v>85.6</v>
      </c>
      <c r="F4154" s="1">
        <v>-11.667924528301899</v>
      </c>
      <c r="G4154" s="2">
        <v>-592.87647799657896</v>
      </c>
      <c r="H4154" s="1">
        <v>139.465256118707</v>
      </c>
      <c r="I4154" s="1">
        <f t="shared" si="129"/>
        <v>148.4319695597753</v>
      </c>
    </row>
    <row r="4155" spans="1:9" x14ac:dyDescent="0.45">
      <c r="A4155" t="s">
        <v>12</v>
      </c>
      <c r="B4155" t="s">
        <v>68</v>
      </c>
      <c r="C4155" t="str">
        <f t="shared" si="128"/>
        <v>ArkansasUtah St.</v>
      </c>
      <c r="D4155" t="s">
        <v>68</v>
      </c>
      <c r="E4155">
        <v>27.9</v>
      </c>
      <c r="F4155" s="1">
        <v>6.2339622641509402</v>
      </c>
      <c r="G4155" s="2">
        <v>258.78278579473601</v>
      </c>
      <c r="H4155" s="1">
        <v>137.79118009649699</v>
      </c>
      <c r="I4155" s="1">
        <f t="shared" si="129"/>
        <v>124.92507017806899</v>
      </c>
    </row>
    <row r="4156" spans="1:9" x14ac:dyDescent="0.45">
      <c r="A4156" t="s">
        <v>13</v>
      </c>
      <c r="B4156" t="s">
        <v>68</v>
      </c>
      <c r="C4156" t="str">
        <f t="shared" si="128"/>
        <v>AuburnUtah St.</v>
      </c>
      <c r="D4156" t="s">
        <v>13</v>
      </c>
      <c r="E4156">
        <v>94.7</v>
      </c>
      <c r="F4156" s="1">
        <v>-18.864150943396201</v>
      </c>
      <c r="G4156" s="2">
        <v>-1776.76064557272</v>
      </c>
      <c r="H4156" s="1">
        <v>140.876993011883</v>
      </c>
      <c r="I4156" s="1">
        <f t="shared" si="129"/>
        <v>168.25517750317636</v>
      </c>
    </row>
    <row r="4157" spans="1:9" x14ac:dyDescent="0.45">
      <c r="A4157" t="s">
        <v>14</v>
      </c>
      <c r="B4157" t="s">
        <v>68</v>
      </c>
      <c r="C4157" t="str">
        <f t="shared" si="128"/>
        <v>BaylorUtah St.</v>
      </c>
      <c r="D4157" t="s">
        <v>14</v>
      </c>
      <c r="E4157">
        <v>64.099999999999994</v>
      </c>
      <c r="F4157" s="1">
        <v>-3.81509433962264</v>
      </c>
      <c r="G4157" s="2">
        <v>-178.923227170964</v>
      </c>
      <c r="H4157" s="1">
        <v>139.33991037306299</v>
      </c>
      <c r="I4157" s="1">
        <f t="shared" si="129"/>
        <v>146.67190024889121</v>
      </c>
    </row>
    <row r="4158" spans="1:9" x14ac:dyDescent="0.45">
      <c r="A4158" t="s">
        <v>15</v>
      </c>
      <c r="B4158" t="s">
        <v>68</v>
      </c>
      <c r="C4158" t="str">
        <f t="shared" si="128"/>
        <v>BryantUtah St.</v>
      </c>
      <c r="D4158" t="s">
        <v>68</v>
      </c>
      <c r="E4158">
        <v>7.7</v>
      </c>
      <c r="F4158" s="1">
        <v>16.256603773584899</v>
      </c>
      <c r="G4158" s="2">
        <v>1194.1120698078801</v>
      </c>
      <c r="H4158" s="1">
        <v>138.932230248709</v>
      </c>
      <c r="I4158" s="1">
        <f t="shared" si="129"/>
        <v>140.94737189057963</v>
      </c>
    </row>
    <row r="4159" spans="1:9" x14ac:dyDescent="0.45">
      <c r="A4159" t="s">
        <v>16</v>
      </c>
      <c r="B4159" t="s">
        <v>68</v>
      </c>
      <c r="C4159" t="str">
        <f t="shared" si="128"/>
        <v>BYUUtah St.</v>
      </c>
      <c r="D4159" t="s">
        <v>16</v>
      </c>
      <c r="E4159">
        <v>67.900000000000006</v>
      </c>
      <c r="F4159" s="1">
        <v>-4.9094339622641501</v>
      </c>
      <c r="G4159" s="2">
        <v>-211.43479784869501</v>
      </c>
      <c r="H4159" s="1">
        <v>139.10227092315199</v>
      </c>
      <c r="I4159" s="1">
        <f t="shared" si="129"/>
        <v>143.33503468002212</v>
      </c>
    </row>
    <row r="4160" spans="1:9" x14ac:dyDescent="0.45">
      <c r="A4160" t="s">
        <v>17</v>
      </c>
      <c r="B4160" t="s">
        <v>68</v>
      </c>
      <c r="C4160" t="str">
        <f t="shared" si="128"/>
        <v>ClemsonUtah St.</v>
      </c>
      <c r="D4160" t="s">
        <v>17</v>
      </c>
      <c r="E4160">
        <v>74.7</v>
      </c>
      <c r="F4160" s="1">
        <v>-7.11320754716981</v>
      </c>
      <c r="G4160" s="2">
        <v>-295.949513676783</v>
      </c>
      <c r="H4160" s="1">
        <v>139.45232114559499</v>
      </c>
      <c r="I4160" s="1">
        <f t="shared" si="129"/>
        <v>148.25034034615828</v>
      </c>
    </row>
    <row r="4161" spans="1:9" x14ac:dyDescent="0.45">
      <c r="A4161" t="s">
        <v>18</v>
      </c>
      <c r="B4161" t="s">
        <v>68</v>
      </c>
      <c r="C4161" t="str">
        <f t="shared" si="128"/>
        <v>Colorado St.Utah St.</v>
      </c>
      <c r="D4161" t="s">
        <v>68</v>
      </c>
      <c r="E4161">
        <v>32.9</v>
      </c>
      <c r="F4161" s="1">
        <v>4.6679245283018904</v>
      </c>
      <c r="G4161" s="2">
        <v>203.86668744929199</v>
      </c>
      <c r="H4161" s="1">
        <v>138.841932120389</v>
      </c>
      <c r="I4161" s="1">
        <f t="shared" si="129"/>
        <v>139.67943125430403</v>
      </c>
    </row>
    <row r="4162" spans="1:9" x14ac:dyDescent="0.45">
      <c r="A4162" t="s">
        <v>19</v>
      </c>
      <c r="B4162" t="s">
        <v>68</v>
      </c>
      <c r="C4162" t="str">
        <f t="shared" si="128"/>
        <v>ConnecticutUtah St.</v>
      </c>
      <c r="D4162" t="s">
        <v>19</v>
      </c>
      <c r="E4162">
        <v>82.1</v>
      </c>
      <c r="F4162" s="1">
        <v>-10.0075471698113</v>
      </c>
      <c r="G4162" s="2">
        <v>-460.15480251706498</v>
      </c>
      <c r="H4162" s="1">
        <v>139.25257197634301</v>
      </c>
      <c r="I4162" s="1">
        <f t="shared" si="129"/>
        <v>145.44551932196896</v>
      </c>
    </row>
    <row r="4163" spans="1:9" x14ac:dyDescent="0.45">
      <c r="A4163" t="s">
        <v>20</v>
      </c>
      <c r="B4163" t="s">
        <v>68</v>
      </c>
      <c r="C4163" t="str">
        <f t="shared" ref="C4163:C4226" si="130">A4163&amp;B4163</f>
        <v>CreightonUtah St.</v>
      </c>
      <c r="D4163" t="s">
        <v>20</v>
      </c>
      <c r="E4163">
        <v>58.7</v>
      </c>
      <c r="F4163" s="1">
        <v>-2.29811320754717</v>
      </c>
      <c r="G4163" s="2">
        <v>-141.99442685259899</v>
      </c>
      <c r="H4163" s="1">
        <v>138.80186872918199</v>
      </c>
      <c r="I4163" s="1">
        <f t="shared" ref="I4163:I4226" si="131">18*(H4163-AVERAGE($H$2:$H$4625))/_xlfn.STDEV.P($H$2:$H$4625)+AVERAGE($H$2:$H$4625)</f>
        <v>139.11687250936131</v>
      </c>
    </row>
    <row r="4164" spans="1:9" x14ac:dyDescent="0.45">
      <c r="A4164" t="s">
        <v>21</v>
      </c>
      <c r="B4164" t="s">
        <v>68</v>
      </c>
      <c r="C4164" t="str">
        <f t="shared" si="130"/>
        <v>DrakeUtah St.</v>
      </c>
      <c r="D4164" t="s">
        <v>68</v>
      </c>
      <c r="E4164">
        <v>32.200000000000003</v>
      </c>
      <c r="F4164" s="1">
        <v>4.87547169811321</v>
      </c>
      <c r="G4164" s="2">
        <v>210.33734822834899</v>
      </c>
      <c r="H4164" s="1">
        <v>139.03654453485601</v>
      </c>
      <c r="I4164" s="1">
        <f t="shared" si="131"/>
        <v>142.41212342874152</v>
      </c>
    </row>
    <row r="4165" spans="1:9" x14ac:dyDescent="0.45">
      <c r="A4165" t="s">
        <v>22</v>
      </c>
      <c r="B4165" t="s">
        <v>68</v>
      </c>
      <c r="C4165" t="str">
        <f t="shared" si="130"/>
        <v>DukeUtah St.</v>
      </c>
      <c r="D4165" t="s">
        <v>22</v>
      </c>
      <c r="E4165">
        <v>96.1</v>
      </c>
      <c r="F4165" s="1">
        <v>-21.075471698113201</v>
      </c>
      <c r="G4165" s="2">
        <v>-2490.7837953354801</v>
      </c>
      <c r="H4165" s="1">
        <v>141.116884423459</v>
      </c>
      <c r="I4165" s="1">
        <f t="shared" si="131"/>
        <v>171.62366447726731</v>
      </c>
    </row>
    <row r="4166" spans="1:9" x14ac:dyDescent="0.45">
      <c r="A4166" t="s">
        <v>23</v>
      </c>
      <c r="B4166" t="s">
        <v>68</v>
      </c>
      <c r="C4166" t="str">
        <f t="shared" si="130"/>
        <v>FloridaUtah St.</v>
      </c>
      <c r="D4166" t="s">
        <v>23</v>
      </c>
      <c r="E4166">
        <v>93.3</v>
      </c>
      <c r="F4166" s="1">
        <v>-17.218867924528301</v>
      </c>
      <c r="G4166" s="2">
        <v>-1382.9416977886499</v>
      </c>
      <c r="H4166" s="1">
        <v>140.85153495101301</v>
      </c>
      <c r="I4166" s="1">
        <f t="shared" si="131"/>
        <v>167.8977026529397</v>
      </c>
    </row>
    <row r="4167" spans="1:9" x14ac:dyDescent="0.45">
      <c r="A4167" t="s">
        <v>24</v>
      </c>
      <c r="B4167" t="s">
        <v>68</v>
      </c>
      <c r="C4167" t="str">
        <f t="shared" si="130"/>
        <v>GeorgiaUtah St.</v>
      </c>
      <c r="D4167" t="s">
        <v>68</v>
      </c>
      <c r="E4167">
        <v>35.799999999999997</v>
      </c>
      <c r="F4167" s="1">
        <v>3.8415094339622602</v>
      </c>
      <c r="G4167" s="2">
        <v>179.68492657153701</v>
      </c>
      <c r="H4167" s="1">
        <v>138.11549324729799</v>
      </c>
      <c r="I4167" s="1">
        <f t="shared" si="131"/>
        <v>129.47898320406114</v>
      </c>
    </row>
    <row r="4168" spans="1:9" x14ac:dyDescent="0.45">
      <c r="A4168" t="s">
        <v>25</v>
      </c>
      <c r="B4168" t="s">
        <v>68</v>
      </c>
      <c r="C4168" t="str">
        <f t="shared" si="130"/>
        <v>GonzagaUtah St.</v>
      </c>
      <c r="D4168" t="s">
        <v>25</v>
      </c>
      <c r="E4168">
        <v>73.8</v>
      </c>
      <c r="F4168" s="1">
        <v>-6.7886792452830198</v>
      </c>
      <c r="G4168" s="2">
        <v>-281.66131084973398</v>
      </c>
      <c r="H4168" s="1">
        <v>140.09245497780401</v>
      </c>
      <c r="I4168" s="1">
        <f t="shared" si="131"/>
        <v>157.23891755826034</v>
      </c>
    </row>
    <row r="4169" spans="1:9" x14ac:dyDescent="0.45">
      <c r="A4169" t="s">
        <v>26</v>
      </c>
      <c r="B4169" t="s">
        <v>68</v>
      </c>
      <c r="C4169" t="str">
        <f t="shared" si="130"/>
        <v>Grand CanyonUtah St.</v>
      </c>
      <c r="D4169" t="s">
        <v>68</v>
      </c>
      <c r="E4169">
        <v>23.4</v>
      </c>
      <c r="F4169" s="1">
        <v>7.7622641509434001</v>
      </c>
      <c r="G4169" s="2">
        <v>326.77711845579103</v>
      </c>
      <c r="H4169" s="1">
        <v>138.91042669534301</v>
      </c>
      <c r="I4169" s="1">
        <f t="shared" si="131"/>
        <v>140.64121259533951</v>
      </c>
    </row>
    <row r="4170" spans="1:9" x14ac:dyDescent="0.45">
      <c r="A4170" t="s">
        <v>27</v>
      </c>
      <c r="B4170" t="s">
        <v>68</v>
      </c>
      <c r="C4170" t="str">
        <f t="shared" si="130"/>
        <v>High PointUtah St.</v>
      </c>
      <c r="D4170" t="s">
        <v>68</v>
      </c>
      <c r="E4170">
        <v>16</v>
      </c>
      <c r="F4170" s="1">
        <v>10.852830188679199</v>
      </c>
      <c r="G4170" s="2">
        <v>523.52050917680799</v>
      </c>
      <c r="H4170" s="1">
        <v>139.10163382889201</v>
      </c>
      <c r="I4170" s="1">
        <f t="shared" si="131"/>
        <v>143.3260887836187</v>
      </c>
    </row>
    <row r="4171" spans="1:9" x14ac:dyDescent="0.45">
      <c r="A4171" t="s">
        <v>28</v>
      </c>
      <c r="B4171" t="s">
        <v>68</v>
      </c>
      <c r="C4171" t="str">
        <f t="shared" si="130"/>
        <v>HoustonUtah St.</v>
      </c>
      <c r="D4171" t="s">
        <v>28</v>
      </c>
      <c r="E4171">
        <v>97.6</v>
      </c>
      <c r="F4171" s="1">
        <v>-24.430188679245301</v>
      </c>
      <c r="G4171" s="2">
        <v>-4154.9537335742598</v>
      </c>
      <c r="H4171" s="1">
        <v>141.215096186095</v>
      </c>
      <c r="I4171" s="1">
        <f t="shared" si="131"/>
        <v>173.00272611589986</v>
      </c>
    </row>
    <row r="4172" spans="1:9" x14ac:dyDescent="0.45">
      <c r="A4172" t="s">
        <v>29</v>
      </c>
      <c r="B4172" t="s">
        <v>68</v>
      </c>
      <c r="C4172" t="str">
        <f t="shared" si="130"/>
        <v>IllinoisUtah St.</v>
      </c>
      <c r="D4172" t="s">
        <v>29</v>
      </c>
      <c r="E4172">
        <v>80.400000000000006</v>
      </c>
      <c r="F4172" s="1">
        <v>-9.2415094339622605</v>
      </c>
      <c r="G4172" s="2">
        <v>-409.59308143707699</v>
      </c>
      <c r="H4172" s="1">
        <v>139.27355996105601</v>
      </c>
      <c r="I4172" s="1">
        <f t="shared" si="131"/>
        <v>145.74022663413871</v>
      </c>
    </row>
    <row r="4173" spans="1:9" x14ac:dyDescent="0.45">
      <c r="A4173" t="s">
        <v>30</v>
      </c>
      <c r="B4173" t="s">
        <v>68</v>
      </c>
      <c r="C4173" t="str">
        <f t="shared" si="130"/>
        <v>Iowa St.Utah St.</v>
      </c>
      <c r="D4173" t="s">
        <v>30</v>
      </c>
      <c r="E4173">
        <v>89.6</v>
      </c>
      <c r="F4173" s="1">
        <v>-14.1056603773585</v>
      </c>
      <c r="G4173" s="2">
        <v>-859.82223445819295</v>
      </c>
      <c r="H4173" s="1">
        <v>140.17010225264301</v>
      </c>
      <c r="I4173" s="1">
        <f t="shared" si="131"/>
        <v>158.32921850797132</v>
      </c>
    </row>
    <row r="4174" spans="1:9" x14ac:dyDescent="0.45">
      <c r="A4174" t="s">
        <v>31</v>
      </c>
      <c r="B4174" t="s">
        <v>68</v>
      </c>
      <c r="C4174" t="str">
        <f t="shared" si="130"/>
        <v>KansasUtah St.</v>
      </c>
      <c r="D4174" t="s">
        <v>31</v>
      </c>
      <c r="E4174">
        <v>72.599999999999994</v>
      </c>
      <c r="F4174" s="1">
        <v>-6.3886792452830203</v>
      </c>
      <c r="G4174" s="2">
        <v>-264.97672962766399</v>
      </c>
      <c r="H4174" s="1">
        <v>139.22069014149599</v>
      </c>
      <c r="I4174" s="1">
        <f t="shared" si="131"/>
        <v>144.99784366452567</v>
      </c>
    </row>
    <row r="4175" spans="1:9" x14ac:dyDescent="0.45">
      <c r="A4175" t="s">
        <v>32</v>
      </c>
      <c r="B4175" t="s">
        <v>68</v>
      </c>
      <c r="C4175" t="str">
        <f t="shared" si="130"/>
        <v>KentuckyUtah St.</v>
      </c>
      <c r="D4175" t="s">
        <v>32</v>
      </c>
      <c r="E4175">
        <v>81.599999999999994</v>
      </c>
      <c r="F4175" s="1">
        <v>-9.7509433962264094</v>
      </c>
      <c r="G4175" s="2">
        <v>-442.68385013606297</v>
      </c>
      <c r="H4175" s="1">
        <v>139.154972473622</v>
      </c>
      <c r="I4175" s="1">
        <f t="shared" si="131"/>
        <v>144.07505486293047</v>
      </c>
    </row>
    <row r="4176" spans="1:9" x14ac:dyDescent="0.45">
      <c r="A4176" t="s">
        <v>33</v>
      </c>
      <c r="B4176" t="s">
        <v>68</v>
      </c>
      <c r="C4176" t="str">
        <f t="shared" si="130"/>
        <v>LibertyUtah St.</v>
      </c>
      <c r="D4176" t="s">
        <v>68</v>
      </c>
      <c r="E4176">
        <v>11.7</v>
      </c>
      <c r="F4176" s="1">
        <v>13.2339622641509</v>
      </c>
      <c r="G4176" s="2">
        <v>752.89469401279098</v>
      </c>
      <c r="H4176" s="1">
        <v>138.49997351733899</v>
      </c>
      <c r="I4176" s="1">
        <f t="shared" si="131"/>
        <v>134.87774580635539</v>
      </c>
    </row>
    <row r="4177" spans="1:9" x14ac:dyDescent="0.45">
      <c r="A4177" t="s">
        <v>34</v>
      </c>
      <c r="B4177" t="s">
        <v>68</v>
      </c>
      <c r="C4177" t="str">
        <f t="shared" si="130"/>
        <v>LipscombUtah St.</v>
      </c>
      <c r="D4177" t="s">
        <v>68</v>
      </c>
      <c r="E4177">
        <v>9.1</v>
      </c>
      <c r="F4177" s="1">
        <v>15.0981132075472</v>
      </c>
      <c r="G4177" s="2">
        <v>1000.7659881763</v>
      </c>
      <c r="H4177" s="1">
        <v>138.906291714931</v>
      </c>
      <c r="I4177" s="1">
        <f t="shared" si="131"/>
        <v>140.5831503764195</v>
      </c>
    </row>
    <row r="4178" spans="1:9" x14ac:dyDescent="0.45">
      <c r="A4178" t="s">
        <v>35</v>
      </c>
      <c r="B4178" t="s">
        <v>68</v>
      </c>
      <c r="C4178" t="str">
        <f t="shared" si="130"/>
        <v>LouisvilleUtah St.</v>
      </c>
      <c r="D4178" t="s">
        <v>68</v>
      </c>
      <c r="E4178">
        <v>20.100000000000001</v>
      </c>
      <c r="F4178" s="1">
        <v>9.0490566037735896</v>
      </c>
      <c r="G4178" s="2">
        <v>397.73581712105897</v>
      </c>
      <c r="H4178" s="1">
        <v>138.15165372074901</v>
      </c>
      <c r="I4178" s="1">
        <f t="shared" si="131"/>
        <v>129.98673828789887</v>
      </c>
    </row>
    <row r="4179" spans="1:9" x14ac:dyDescent="0.45">
      <c r="A4179" t="s">
        <v>36</v>
      </c>
      <c r="B4179" t="s">
        <v>68</v>
      </c>
      <c r="C4179" t="str">
        <f t="shared" si="130"/>
        <v>MarquetteUtah St.</v>
      </c>
      <c r="D4179" t="s">
        <v>36</v>
      </c>
      <c r="E4179">
        <v>77.3</v>
      </c>
      <c r="F4179" s="1">
        <v>-8.0188679245282994</v>
      </c>
      <c r="G4179" s="2">
        <v>-339.74149644240498</v>
      </c>
      <c r="H4179" s="1">
        <v>139.41378756421099</v>
      </c>
      <c r="I4179" s="1">
        <f t="shared" si="131"/>
        <v>147.7092627556587</v>
      </c>
    </row>
    <row r="4180" spans="1:9" x14ac:dyDescent="0.45">
      <c r="A4180" t="s">
        <v>37</v>
      </c>
      <c r="B4180" t="s">
        <v>68</v>
      </c>
      <c r="C4180" t="str">
        <f t="shared" si="130"/>
        <v>MarylandUtah St.</v>
      </c>
      <c r="D4180" t="s">
        <v>37</v>
      </c>
      <c r="E4180">
        <v>67.7</v>
      </c>
      <c r="F4180" s="1">
        <v>-4.8490566037735796</v>
      </c>
      <c r="G4180" s="2">
        <v>-209.56307561767599</v>
      </c>
      <c r="H4180" s="1">
        <v>138.87215716275401</v>
      </c>
      <c r="I4180" s="1">
        <f t="shared" si="131"/>
        <v>140.10384270292153</v>
      </c>
    </row>
    <row r="4181" spans="1:9" x14ac:dyDescent="0.45">
      <c r="A4181" t="s">
        <v>38</v>
      </c>
      <c r="B4181" t="s">
        <v>68</v>
      </c>
      <c r="C4181" t="str">
        <f t="shared" si="130"/>
        <v>McNeese St.Utah St.</v>
      </c>
      <c r="D4181" t="s">
        <v>68</v>
      </c>
      <c r="E4181">
        <v>32.799999999999997</v>
      </c>
      <c r="F4181" s="1">
        <v>4.6905660377358496</v>
      </c>
      <c r="G4181" s="2">
        <v>204.52900704938901</v>
      </c>
      <c r="H4181" s="1">
        <v>139.465392575718</v>
      </c>
      <c r="I4181" s="1">
        <f t="shared" si="131"/>
        <v>148.4338856503141</v>
      </c>
    </row>
    <row r="4182" spans="1:9" x14ac:dyDescent="0.45">
      <c r="A4182" t="s">
        <v>39</v>
      </c>
      <c r="B4182" t="s">
        <v>68</v>
      </c>
      <c r="C4182" t="str">
        <f t="shared" si="130"/>
        <v>MemphisUtah St.</v>
      </c>
      <c r="D4182" t="s">
        <v>39</v>
      </c>
      <c r="E4182">
        <v>54.1</v>
      </c>
      <c r="F4182" s="1">
        <v>-1.08679245283019</v>
      </c>
      <c r="G4182" s="2">
        <v>-118.00880077444199</v>
      </c>
      <c r="H4182" s="1">
        <v>137.99967440224401</v>
      </c>
      <c r="I4182" s="1">
        <f t="shared" si="131"/>
        <v>127.85268792172673</v>
      </c>
    </row>
    <row r="4183" spans="1:9" x14ac:dyDescent="0.45">
      <c r="A4183" t="s">
        <v>40</v>
      </c>
      <c r="B4183" t="s">
        <v>68</v>
      </c>
      <c r="C4183" t="str">
        <f t="shared" si="130"/>
        <v>MichiganUtah St.</v>
      </c>
      <c r="D4183" t="s">
        <v>68</v>
      </c>
      <c r="E4183">
        <v>36.799999999999997</v>
      </c>
      <c r="F4183" s="1">
        <v>3.5396226415094301</v>
      </c>
      <c r="G4183" s="2">
        <v>171.585362747716</v>
      </c>
      <c r="H4183" s="1">
        <v>137.56229569915999</v>
      </c>
      <c r="I4183" s="1">
        <f t="shared" si="131"/>
        <v>121.71114056742893</v>
      </c>
    </row>
    <row r="4184" spans="1:9" x14ac:dyDescent="0.45">
      <c r="A4184" t="s">
        <v>41</v>
      </c>
      <c r="B4184" t="s">
        <v>68</v>
      </c>
      <c r="C4184" t="str">
        <f t="shared" si="130"/>
        <v>Michigan St.Utah St.</v>
      </c>
      <c r="D4184" t="s">
        <v>41</v>
      </c>
      <c r="E4184">
        <v>84.7</v>
      </c>
      <c r="F4184" s="1">
        <v>-11.207547169811299</v>
      </c>
      <c r="G4184" s="2">
        <v>-552.68147025598103</v>
      </c>
      <c r="H4184" s="1">
        <v>139.20937540836701</v>
      </c>
      <c r="I4184" s="1">
        <f t="shared" si="131"/>
        <v>144.83896539993958</v>
      </c>
    </row>
    <row r="4185" spans="1:9" x14ac:dyDescent="0.45">
      <c r="A4185" t="s">
        <v>42</v>
      </c>
      <c r="B4185" t="s">
        <v>68</v>
      </c>
      <c r="C4185" t="str">
        <f t="shared" si="130"/>
        <v>MississippiUtah St.</v>
      </c>
      <c r="D4185" t="s">
        <v>42</v>
      </c>
      <c r="E4185">
        <v>60.2</v>
      </c>
      <c r="F4185" s="1">
        <v>-2.7094339622641499</v>
      </c>
      <c r="G4185" s="2">
        <v>-151.217999756502</v>
      </c>
      <c r="H4185" s="1">
        <v>138.477066758257</v>
      </c>
      <c r="I4185" s="1">
        <f t="shared" si="131"/>
        <v>134.55609561021288</v>
      </c>
    </row>
    <row r="4186" spans="1:9" x14ac:dyDescent="0.45">
      <c r="A4186" t="s">
        <v>43</v>
      </c>
      <c r="B4186" t="s">
        <v>68</v>
      </c>
      <c r="C4186" t="str">
        <f t="shared" si="130"/>
        <v>Mississippi St.Utah St.</v>
      </c>
      <c r="D4186" t="s">
        <v>43</v>
      </c>
      <c r="E4186">
        <v>53.8</v>
      </c>
      <c r="F4186" s="1">
        <v>-0.98867924528301898</v>
      </c>
      <c r="G4186" s="2">
        <v>-116.25889025062899</v>
      </c>
      <c r="H4186" s="1">
        <v>138.61681323093401</v>
      </c>
      <c r="I4186" s="1">
        <f t="shared" si="131"/>
        <v>136.51837583439908</v>
      </c>
    </row>
    <row r="4187" spans="1:9" x14ac:dyDescent="0.45">
      <c r="A4187" t="s">
        <v>44</v>
      </c>
      <c r="B4187" t="s">
        <v>68</v>
      </c>
      <c r="C4187" t="str">
        <f t="shared" si="130"/>
        <v>MissouriUtah St.</v>
      </c>
      <c r="D4187" t="s">
        <v>68</v>
      </c>
      <c r="E4187">
        <v>35.4</v>
      </c>
      <c r="F4187" s="1">
        <v>3.9471698113207498</v>
      </c>
      <c r="G4187" s="2">
        <v>182.57954010175399</v>
      </c>
      <c r="H4187" s="1">
        <v>138.03447512957899</v>
      </c>
      <c r="I4187" s="1">
        <f t="shared" si="131"/>
        <v>128.34134983732699</v>
      </c>
    </row>
    <row r="4188" spans="1:9" x14ac:dyDescent="0.45">
      <c r="A4188" t="s">
        <v>45</v>
      </c>
      <c r="B4188" t="s">
        <v>68</v>
      </c>
      <c r="C4188" t="str">
        <f t="shared" si="130"/>
        <v>MontanaUtah St.</v>
      </c>
      <c r="D4188" t="s">
        <v>68</v>
      </c>
      <c r="E4188">
        <v>4.7</v>
      </c>
      <c r="F4188" s="1">
        <v>19.7509433962264</v>
      </c>
      <c r="G4188" s="2">
        <v>2035.1566878610199</v>
      </c>
      <c r="H4188" s="1">
        <v>137.171186692985</v>
      </c>
      <c r="I4188" s="1">
        <f t="shared" si="131"/>
        <v>116.21929913761292</v>
      </c>
    </row>
    <row r="4189" spans="1:9" x14ac:dyDescent="0.45">
      <c r="A4189" t="s">
        <v>46</v>
      </c>
      <c r="B4189" t="s">
        <v>68</v>
      </c>
      <c r="C4189" t="str">
        <f t="shared" si="130"/>
        <v>Mount St. Mary'sUtah St.</v>
      </c>
      <c r="D4189" t="s">
        <v>68</v>
      </c>
      <c r="E4189">
        <v>1.8</v>
      </c>
      <c r="F4189" s="1">
        <v>26.086792452830199</v>
      </c>
      <c r="G4189" s="2">
        <v>5348.37672183819</v>
      </c>
      <c r="H4189" s="1">
        <v>138.47447464713599</v>
      </c>
      <c r="I4189" s="1">
        <f t="shared" si="131"/>
        <v>134.51969792307128</v>
      </c>
    </row>
    <row r="4190" spans="1:9" x14ac:dyDescent="0.45">
      <c r="A4190" t="s">
        <v>47</v>
      </c>
      <c r="B4190" t="s">
        <v>68</v>
      </c>
      <c r="C4190" t="str">
        <f t="shared" si="130"/>
        <v>Nebraska OmahaUtah St.</v>
      </c>
      <c r="D4190" t="s">
        <v>68</v>
      </c>
      <c r="E4190">
        <v>2.5</v>
      </c>
      <c r="F4190" s="1">
        <v>23.8943396226415</v>
      </c>
      <c r="G4190" s="2">
        <v>3829.3006772671001</v>
      </c>
      <c r="H4190" s="1">
        <v>137.89225077923899</v>
      </c>
      <c r="I4190" s="1">
        <f t="shared" si="131"/>
        <v>126.3442759597277</v>
      </c>
    </row>
    <row r="4191" spans="1:9" x14ac:dyDescent="0.45">
      <c r="A4191" t="s">
        <v>48</v>
      </c>
      <c r="B4191" t="s">
        <v>68</v>
      </c>
      <c r="C4191" t="str">
        <f t="shared" si="130"/>
        <v>New MexicoUtah St.</v>
      </c>
      <c r="D4191" t="s">
        <v>68</v>
      </c>
      <c r="E4191">
        <v>38.5</v>
      </c>
      <c r="F4191" s="1">
        <v>3.0641509433962302</v>
      </c>
      <c r="G4191" s="2">
        <v>159.60124501608701</v>
      </c>
      <c r="H4191" s="1">
        <v>138.662240711056</v>
      </c>
      <c r="I4191" s="1">
        <f t="shared" si="131"/>
        <v>137.1562555902911</v>
      </c>
    </row>
    <row r="4192" spans="1:9" x14ac:dyDescent="0.45">
      <c r="A4192" t="s">
        <v>49</v>
      </c>
      <c r="B4192" t="s">
        <v>68</v>
      </c>
      <c r="C4192" t="str">
        <f t="shared" si="130"/>
        <v>Norfolk St.Utah St.</v>
      </c>
      <c r="D4192" t="s">
        <v>68</v>
      </c>
      <c r="E4192">
        <v>3.6</v>
      </c>
      <c r="F4192" s="1">
        <v>21.6301886792453</v>
      </c>
      <c r="G4192" s="2">
        <v>2710.60747805346</v>
      </c>
      <c r="H4192" s="1">
        <v>137.69836647502001</v>
      </c>
      <c r="I4192" s="1">
        <f t="shared" si="131"/>
        <v>123.62180770231184</v>
      </c>
    </row>
    <row r="4193" spans="1:9" x14ac:dyDescent="0.45">
      <c r="A4193" t="s">
        <v>50</v>
      </c>
      <c r="B4193" t="s">
        <v>68</v>
      </c>
      <c r="C4193" t="str">
        <f t="shared" si="130"/>
        <v>North CarolinaUtah St.</v>
      </c>
      <c r="D4193" t="s">
        <v>50</v>
      </c>
      <c r="E4193">
        <v>68.099999999999994</v>
      </c>
      <c r="F4193" s="1">
        <v>-4.9849056603773603</v>
      </c>
      <c r="G4193" s="2">
        <v>-213.95415737233</v>
      </c>
      <c r="H4193" s="1">
        <v>139.77197242949001</v>
      </c>
      <c r="I4193" s="1">
        <f t="shared" si="131"/>
        <v>152.73879276293309</v>
      </c>
    </row>
    <row r="4194" spans="1:9" x14ac:dyDescent="0.45">
      <c r="A4194" t="s">
        <v>51</v>
      </c>
      <c r="B4194" t="s">
        <v>68</v>
      </c>
      <c r="C4194" t="str">
        <f t="shared" si="130"/>
        <v>OklahomaUtah St.</v>
      </c>
      <c r="D4194" t="s">
        <v>68</v>
      </c>
      <c r="E4194">
        <v>42.8</v>
      </c>
      <c r="F4194" s="1">
        <v>1.8981132075471701</v>
      </c>
      <c r="G4194" s="2">
        <v>133.55387401140999</v>
      </c>
      <c r="H4194" s="1">
        <v>138.195595555664</v>
      </c>
      <c r="I4194" s="1">
        <f t="shared" si="131"/>
        <v>130.60375703632499</v>
      </c>
    </row>
    <row r="4195" spans="1:9" x14ac:dyDescent="0.45">
      <c r="A4195" t="s">
        <v>52</v>
      </c>
      <c r="B4195" t="s">
        <v>68</v>
      </c>
      <c r="C4195" t="str">
        <f t="shared" si="130"/>
        <v>OregonUtah St.</v>
      </c>
      <c r="D4195" t="s">
        <v>52</v>
      </c>
      <c r="E4195">
        <v>67.8</v>
      </c>
      <c r="F4195" s="1">
        <v>-4.8679245283018897</v>
      </c>
      <c r="G4195" s="2">
        <v>-210.18888949509201</v>
      </c>
      <c r="H4195" s="1">
        <v>138.486312947193</v>
      </c>
      <c r="I4195" s="1">
        <f t="shared" si="131"/>
        <v>134.68592796555356</v>
      </c>
    </row>
    <row r="4196" spans="1:9" x14ac:dyDescent="0.45">
      <c r="A4196" t="s">
        <v>53</v>
      </c>
      <c r="B4196" t="s">
        <v>68</v>
      </c>
      <c r="C4196" t="str">
        <f t="shared" si="130"/>
        <v>PurdueUtah St.</v>
      </c>
      <c r="D4196" t="s">
        <v>53</v>
      </c>
      <c r="E4196">
        <v>92.3</v>
      </c>
      <c r="F4196" s="1">
        <v>-16.2415094339623</v>
      </c>
      <c r="G4196" s="2">
        <v>-1191.26772494798</v>
      </c>
      <c r="H4196" s="1">
        <v>139.974400146991</v>
      </c>
      <c r="I4196" s="1">
        <f t="shared" si="131"/>
        <v>155.58122519983195</v>
      </c>
    </row>
    <row r="4197" spans="1:9" x14ac:dyDescent="0.45">
      <c r="A4197" t="s">
        <v>54</v>
      </c>
      <c r="B4197" t="s">
        <v>68</v>
      </c>
      <c r="C4197" t="str">
        <f t="shared" si="130"/>
        <v>Robert MorrisUtah St.</v>
      </c>
      <c r="D4197" t="s">
        <v>68</v>
      </c>
      <c r="E4197">
        <v>1.5</v>
      </c>
      <c r="F4197" s="1">
        <v>27.649056603773602</v>
      </c>
      <c r="G4197" s="2">
        <v>6786.18234382025</v>
      </c>
      <c r="H4197" s="1">
        <v>137.05736547567801</v>
      </c>
      <c r="I4197" s="1">
        <f t="shared" si="131"/>
        <v>114.62105397595855</v>
      </c>
    </row>
    <row r="4198" spans="1:9" x14ac:dyDescent="0.45">
      <c r="A4198" t="s">
        <v>55</v>
      </c>
      <c r="B4198" t="s">
        <v>68</v>
      </c>
      <c r="C4198" t="str">
        <f t="shared" si="130"/>
        <v>Saint FrancisUtah St.</v>
      </c>
      <c r="D4198" t="s">
        <v>68</v>
      </c>
      <c r="E4198">
        <v>0.9</v>
      </c>
      <c r="F4198" s="1">
        <v>31.011320754717001</v>
      </c>
      <c r="G4198" s="2">
        <v>11334.6396952224</v>
      </c>
      <c r="H4198" s="1">
        <v>137.76421335772201</v>
      </c>
      <c r="I4198" s="1">
        <f t="shared" si="131"/>
        <v>124.54641090177208</v>
      </c>
    </row>
    <row r="4199" spans="1:9" x14ac:dyDescent="0.45">
      <c r="A4199" t="s">
        <v>56</v>
      </c>
      <c r="B4199" t="s">
        <v>68</v>
      </c>
      <c r="C4199" t="str">
        <f t="shared" si="130"/>
        <v>Saint Mary'sUtah St.</v>
      </c>
      <c r="D4199" t="s">
        <v>56</v>
      </c>
      <c r="E4199">
        <v>67.3</v>
      </c>
      <c r="F4199" s="1">
        <v>-4.7245283018867896</v>
      </c>
      <c r="G4199" s="2">
        <v>-205.615786630976</v>
      </c>
      <c r="H4199" s="1">
        <v>139.49341947366401</v>
      </c>
      <c r="I4199" s="1">
        <f t="shared" si="131"/>
        <v>148.8274313801719</v>
      </c>
    </row>
    <row r="4200" spans="1:9" x14ac:dyDescent="0.45">
      <c r="A4200" t="s">
        <v>57</v>
      </c>
      <c r="B4200" t="s">
        <v>68</v>
      </c>
      <c r="C4200" t="str">
        <f t="shared" si="130"/>
        <v>San Diego St.Utah St.</v>
      </c>
      <c r="D4200" t="s">
        <v>68</v>
      </c>
      <c r="E4200">
        <v>38.9</v>
      </c>
      <c r="F4200" s="1">
        <v>2.9471698113207498</v>
      </c>
      <c r="G4200" s="2">
        <v>156.798935686036</v>
      </c>
      <c r="H4200" s="1">
        <v>138.70811863669201</v>
      </c>
      <c r="I4200" s="1">
        <f t="shared" si="131"/>
        <v>137.80046037398026</v>
      </c>
    </row>
    <row r="4201" spans="1:9" x14ac:dyDescent="0.45">
      <c r="A4201" t="s">
        <v>58</v>
      </c>
      <c r="B4201" t="s">
        <v>68</v>
      </c>
      <c r="C4201" t="str">
        <f t="shared" si="130"/>
        <v>SIU EdwardsvilleUtah St.</v>
      </c>
      <c r="D4201" t="s">
        <v>68</v>
      </c>
      <c r="E4201">
        <v>2.9</v>
      </c>
      <c r="F4201" s="1">
        <v>22.920754716981101</v>
      </c>
      <c r="G4201" s="2">
        <v>3300.8317639673901</v>
      </c>
      <c r="H4201" s="1">
        <v>138.76737681687601</v>
      </c>
      <c r="I4201" s="1">
        <f t="shared" si="131"/>
        <v>138.63254688656852</v>
      </c>
    </row>
    <row r="4202" spans="1:9" x14ac:dyDescent="0.45">
      <c r="A4202" t="s">
        <v>59</v>
      </c>
      <c r="B4202" t="s">
        <v>68</v>
      </c>
      <c r="C4202" t="str">
        <f t="shared" si="130"/>
        <v>St. John'sUtah St.</v>
      </c>
      <c r="D4202" t="s">
        <v>59</v>
      </c>
      <c r="E4202">
        <v>85.6</v>
      </c>
      <c r="F4202" s="1">
        <v>-11.7094339622642</v>
      </c>
      <c r="G4202" s="2">
        <v>-596.631398443016</v>
      </c>
      <c r="H4202" s="1">
        <v>139.58683326543101</v>
      </c>
      <c r="I4202" s="1">
        <f t="shared" si="131"/>
        <v>150.13912127644784</v>
      </c>
    </row>
    <row r="4203" spans="1:9" x14ac:dyDescent="0.45">
      <c r="A4203" t="s">
        <v>60</v>
      </c>
      <c r="B4203" t="s">
        <v>68</v>
      </c>
      <c r="C4203" t="str">
        <f t="shared" si="130"/>
        <v>TennesseeUtah St.</v>
      </c>
      <c r="D4203" t="s">
        <v>60</v>
      </c>
      <c r="E4203">
        <v>93</v>
      </c>
      <c r="F4203" s="1">
        <v>-16.924528301886799</v>
      </c>
      <c r="G4203" s="2">
        <v>-1322.09784526822</v>
      </c>
      <c r="H4203" s="1">
        <v>140.380065639565</v>
      </c>
      <c r="I4203" s="1">
        <f t="shared" si="131"/>
        <v>161.27746467166824</v>
      </c>
    </row>
    <row r="4204" spans="1:9" x14ac:dyDescent="0.45">
      <c r="A4204" t="s">
        <v>61</v>
      </c>
      <c r="B4204" t="s">
        <v>68</v>
      </c>
      <c r="C4204" t="str">
        <f t="shared" si="130"/>
        <v>TexasUtah St.</v>
      </c>
      <c r="D4204" t="s">
        <v>68</v>
      </c>
      <c r="E4204">
        <v>34.6</v>
      </c>
      <c r="F4204" s="1">
        <v>4.1735849056603804</v>
      </c>
      <c r="G4204" s="2">
        <v>188.964936635127</v>
      </c>
      <c r="H4204" s="1">
        <v>138.079947467203</v>
      </c>
      <c r="I4204" s="1">
        <f t="shared" si="131"/>
        <v>128.97985946950448</v>
      </c>
    </row>
    <row r="4205" spans="1:9" x14ac:dyDescent="0.45">
      <c r="A4205" t="s">
        <v>62</v>
      </c>
      <c r="B4205" t="s">
        <v>68</v>
      </c>
      <c r="C4205" t="str">
        <f t="shared" si="130"/>
        <v>Texas A&amp;MUtah St.</v>
      </c>
      <c r="D4205" t="s">
        <v>62</v>
      </c>
      <c r="E4205">
        <v>75.099999999999994</v>
      </c>
      <c r="F4205" s="1">
        <v>-7.2301886792452796</v>
      </c>
      <c r="G4205" s="2">
        <v>-301.281907958273</v>
      </c>
      <c r="H4205" s="1">
        <v>138.866922776601</v>
      </c>
      <c r="I4205" s="1">
        <f t="shared" si="131"/>
        <v>140.03034294126718</v>
      </c>
    </row>
    <row r="4206" spans="1:9" x14ac:dyDescent="0.45">
      <c r="A4206" t="s">
        <v>63</v>
      </c>
      <c r="B4206" t="s">
        <v>68</v>
      </c>
      <c r="C4206" t="str">
        <f t="shared" si="130"/>
        <v>Texas TechUtah St.</v>
      </c>
      <c r="D4206" t="s">
        <v>63</v>
      </c>
      <c r="E4206">
        <v>85.4</v>
      </c>
      <c r="F4206" s="1">
        <v>-11.562264150943401</v>
      </c>
      <c r="G4206" s="2">
        <v>-583.56400270269205</v>
      </c>
      <c r="H4206" s="1">
        <v>139.85743538183999</v>
      </c>
      <c r="I4206" s="1">
        <f t="shared" si="131"/>
        <v>153.93883923340491</v>
      </c>
    </row>
    <row r="4207" spans="1:9" x14ac:dyDescent="0.45">
      <c r="A4207" t="s">
        <v>64</v>
      </c>
      <c r="B4207" t="s">
        <v>68</v>
      </c>
      <c r="C4207" t="str">
        <f t="shared" si="130"/>
        <v>TroyUtah St.</v>
      </c>
      <c r="D4207" t="s">
        <v>68</v>
      </c>
      <c r="E4207">
        <v>7.7</v>
      </c>
      <c r="F4207" s="1">
        <v>16.245283018867902</v>
      </c>
      <c r="G4207" s="2">
        <v>1191.9355404063599</v>
      </c>
      <c r="H4207" s="1">
        <v>138.62373997639901</v>
      </c>
      <c r="I4207" s="1">
        <f t="shared" si="131"/>
        <v>136.61563922419029</v>
      </c>
    </row>
    <row r="4208" spans="1:9" x14ac:dyDescent="0.45">
      <c r="A4208" t="s">
        <v>65</v>
      </c>
      <c r="B4208" t="s">
        <v>68</v>
      </c>
      <c r="C4208" t="str">
        <f t="shared" si="130"/>
        <v>UC San DiegoUtah St.</v>
      </c>
      <c r="D4208" t="s">
        <v>68</v>
      </c>
      <c r="E4208">
        <v>17.7</v>
      </c>
      <c r="F4208" s="1">
        <v>10.0641509433962</v>
      </c>
      <c r="G4208" s="2">
        <v>464.22107933738903</v>
      </c>
      <c r="H4208" s="1">
        <v>138.693860206062</v>
      </c>
      <c r="I4208" s="1">
        <f t="shared" si="131"/>
        <v>137.60024754629865</v>
      </c>
    </row>
    <row r="4209" spans="1:9" x14ac:dyDescent="0.45">
      <c r="A4209" t="s">
        <v>66</v>
      </c>
      <c r="B4209" t="s">
        <v>68</v>
      </c>
      <c r="C4209" t="str">
        <f t="shared" si="130"/>
        <v>UCLAUtah St.</v>
      </c>
      <c r="D4209" t="s">
        <v>68</v>
      </c>
      <c r="E4209">
        <v>42.6</v>
      </c>
      <c r="F4209" s="1">
        <v>1.9622641509434</v>
      </c>
      <c r="G4209" s="2">
        <v>134.90666472592699</v>
      </c>
      <c r="H4209" s="1">
        <v>137.91511878527399</v>
      </c>
      <c r="I4209" s="1">
        <f t="shared" si="131"/>
        <v>126.66538199660604</v>
      </c>
    </row>
    <row r="4210" spans="1:9" x14ac:dyDescent="0.45">
      <c r="A4210" t="s">
        <v>67</v>
      </c>
      <c r="B4210" t="s">
        <v>68</v>
      </c>
      <c r="C4210" t="str">
        <f t="shared" si="130"/>
        <v>UNC WilmingtonUtah St.</v>
      </c>
      <c r="D4210" t="s">
        <v>68</v>
      </c>
      <c r="E4210">
        <v>11.1</v>
      </c>
      <c r="F4210" s="1">
        <v>13.6566037735849</v>
      </c>
      <c r="G4210" s="2">
        <v>802.948788010915</v>
      </c>
      <c r="H4210" s="1">
        <v>139.23052867672601</v>
      </c>
      <c r="I4210" s="1">
        <f t="shared" si="131"/>
        <v>145.1359935780583</v>
      </c>
    </row>
    <row r="4211" spans="1:9" x14ac:dyDescent="0.45">
      <c r="A4211" t="s">
        <v>68</v>
      </c>
      <c r="B4211" t="s">
        <v>68</v>
      </c>
      <c r="C4211" t="str">
        <f t="shared" si="130"/>
        <v>Utah St.Utah St.</v>
      </c>
      <c r="D4211" t="s">
        <v>68</v>
      </c>
      <c r="E4211">
        <v>41.2</v>
      </c>
      <c r="F4211" s="1">
        <v>2.3283018867924499</v>
      </c>
      <c r="G4211" s="2">
        <v>142.64273539779199</v>
      </c>
      <c r="H4211" s="1">
        <v>138.77771517530499</v>
      </c>
      <c r="I4211" s="1">
        <f t="shared" si="131"/>
        <v>138.77771517530684</v>
      </c>
    </row>
    <row r="4212" spans="1:9" x14ac:dyDescent="0.45">
      <c r="A4212" t="s">
        <v>69</v>
      </c>
      <c r="B4212" t="s">
        <v>68</v>
      </c>
      <c r="C4212" t="str">
        <f t="shared" si="130"/>
        <v>VanderbiltUtah St.</v>
      </c>
      <c r="D4212" t="s">
        <v>68</v>
      </c>
      <c r="E4212">
        <v>12.1</v>
      </c>
      <c r="F4212" s="1">
        <v>12.977358490566001</v>
      </c>
      <c r="G4212" s="2">
        <v>723.88341588742105</v>
      </c>
      <c r="H4212" s="1">
        <v>137.21175305658801</v>
      </c>
      <c r="I4212" s="1">
        <f t="shared" si="131"/>
        <v>116.78892047789034</v>
      </c>
    </row>
    <row r="4213" spans="1:9" x14ac:dyDescent="0.45">
      <c r="A4213" t="s">
        <v>70</v>
      </c>
      <c r="B4213" t="s">
        <v>68</v>
      </c>
      <c r="C4213" t="str">
        <f t="shared" si="130"/>
        <v>VCUUtah St.</v>
      </c>
      <c r="D4213" t="s">
        <v>68</v>
      </c>
      <c r="E4213">
        <v>30.7</v>
      </c>
      <c r="F4213" s="1">
        <v>5.3320754716981096</v>
      </c>
      <c r="G4213" s="2">
        <v>225.500171824859</v>
      </c>
      <c r="H4213" s="1">
        <v>139.13692618578099</v>
      </c>
      <c r="I4213" s="1">
        <f t="shared" si="131"/>
        <v>143.82165402159248</v>
      </c>
    </row>
    <row r="4214" spans="1:9" x14ac:dyDescent="0.45">
      <c r="A4214" t="s">
        <v>71</v>
      </c>
      <c r="B4214" t="s">
        <v>68</v>
      </c>
      <c r="C4214" t="str">
        <f t="shared" si="130"/>
        <v>WisconsinUtah St.</v>
      </c>
      <c r="D4214" t="s">
        <v>71</v>
      </c>
      <c r="E4214">
        <v>83.5</v>
      </c>
      <c r="F4214" s="1">
        <v>-10.622641509434001</v>
      </c>
      <c r="G4214" s="2">
        <v>-505.52048809112199</v>
      </c>
      <c r="H4214" s="1">
        <v>139.79018179411301</v>
      </c>
      <c r="I4214" s="1">
        <f t="shared" si="131"/>
        <v>152.99448348206343</v>
      </c>
    </row>
    <row r="4215" spans="1:9" x14ac:dyDescent="0.45">
      <c r="A4215" t="s">
        <v>80</v>
      </c>
      <c r="B4215" t="s">
        <v>68</v>
      </c>
      <c r="C4215" t="str">
        <f t="shared" si="130"/>
        <v>WoffordUtah St.</v>
      </c>
      <c r="D4215" t="s">
        <v>68</v>
      </c>
      <c r="E4215">
        <v>4.2</v>
      </c>
      <c r="F4215" s="1">
        <v>20.550943396226401</v>
      </c>
      <c r="G4215" s="2">
        <v>2299.0442053837601</v>
      </c>
      <c r="H4215" s="1">
        <v>137.88783022333999</v>
      </c>
      <c r="I4215" s="1">
        <f t="shared" si="131"/>
        <v>126.28220377103946</v>
      </c>
    </row>
    <row r="4216" spans="1:9" x14ac:dyDescent="0.45">
      <c r="A4216" t="s">
        <v>72</v>
      </c>
      <c r="B4216" t="s">
        <v>68</v>
      </c>
      <c r="C4216" t="str">
        <f t="shared" si="130"/>
        <v>XavierUtah St.</v>
      </c>
      <c r="D4216" t="s">
        <v>68</v>
      </c>
      <c r="E4216">
        <v>30.5</v>
      </c>
      <c r="F4216" s="1">
        <v>5.4037735849056601</v>
      </c>
      <c r="G4216" s="2">
        <v>228.030459567913</v>
      </c>
      <c r="H4216" s="1">
        <v>138.63063239396101</v>
      </c>
      <c r="I4216" s="1">
        <f t="shared" si="131"/>
        <v>136.71242059133081</v>
      </c>
    </row>
    <row r="4217" spans="1:9" x14ac:dyDescent="0.45">
      <c r="A4217" t="s">
        <v>73</v>
      </c>
      <c r="B4217" t="s">
        <v>68</v>
      </c>
      <c r="C4217" t="str">
        <f t="shared" si="130"/>
        <v>YaleUtah St.</v>
      </c>
      <c r="D4217" t="s">
        <v>68</v>
      </c>
      <c r="E4217">
        <v>18.7</v>
      </c>
      <c r="F4217" s="1">
        <v>9.6528301886792498</v>
      </c>
      <c r="G4217" s="2">
        <v>436.052071492229</v>
      </c>
      <c r="H4217" s="1">
        <v>139.230338530355</v>
      </c>
      <c r="I4217" s="1">
        <f t="shared" si="131"/>
        <v>145.13332359679589</v>
      </c>
    </row>
    <row r="4218" spans="1:9" x14ac:dyDescent="0.45">
      <c r="A4218" t="s">
        <v>7</v>
      </c>
      <c r="B4218" t="s">
        <v>69</v>
      </c>
      <c r="C4218" t="str">
        <f t="shared" si="130"/>
        <v>AkronVanderbilt</v>
      </c>
      <c r="D4218" t="s">
        <v>69</v>
      </c>
      <c r="E4218">
        <v>37.799999999999997</v>
      </c>
      <c r="F4218" s="1">
        <v>3.2679245283018901</v>
      </c>
      <c r="G4218" s="2">
        <v>164.66197973977</v>
      </c>
      <c r="H4218" s="1">
        <v>139.61312770965199</v>
      </c>
      <c r="I4218" s="1">
        <f t="shared" si="131"/>
        <v>150.50834038382413</v>
      </c>
    </row>
    <row r="4219" spans="1:9" x14ac:dyDescent="0.45">
      <c r="A4219" t="s">
        <v>8</v>
      </c>
      <c r="B4219" t="s">
        <v>69</v>
      </c>
      <c r="C4219" t="str">
        <f t="shared" si="130"/>
        <v>AlabamaVanderbilt</v>
      </c>
      <c r="D4219" t="s">
        <v>8</v>
      </c>
      <c r="E4219">
        <v>97.9</v>
      </c>
      <c r="F4219" s="1">
        <v>-25.0716981132075</v>
      </c>
      <c r="G4219" s="2">
        <v>-4580.7582418660204</v>
      </c>
      <c r="H4219" s="1">
        <v>141.42073889724699</v>
      </c>
      <c r="I4219" s="1">
        <f t="shared" si="131"/>
        <v>175.89030257927317</v>
      </c>
    </row>
    <row r="4220" spans="1:9" x14ac:dyDescent="0.45">
      <c r="A4220" t="s">
        <v>9</v>
      </c>
      <c r="B4220" t="s">
        <v>69</v>
      </c>
      <c r="C4220" t="str">
        <f t="shared" si="130"/>
        <v>Alabama St.Vanderbilt</v>
      </c>
      <c r="D4220" t="s">
        <v>69</v>
      </c>
      <c r="E4220">
        <v>8.5</v>
      </c>
      <c r="F4220" s="1">
        <v>15.588679245283</v>
      </c>
      <c r="G4220" s="2">
        <v>1078.15958997187</v>
      </c>
      <c r="H4220" s="1">
        <v>139.799889469074</v>
      </c>
      <c r="I4220" s="1">
        <f t="shared" si="131"/>
        <v>153.13079589291627</v>
      </c>
    </row>
    <row r="4221" spans="1:9" x14ac:dyDescent="0.45">
      <c r="A4221" t="s">
        <v>10</v>
      </c>
      <c r="B4221" t="s">
        <v>69</v>
      </c>
      <c r="C4221" t="str">
        <f t="shared" si="130"/>
        <v>AmericanVanderbilt</v>
      </c>
      <c r="D4221" t="s">
        <v>69</v>
      </c>
      <c r="E4221">
        <v>9.4</v>
      </c>
      <c r="F4221" s="1">
        <v>14.8301886792453</v>
      </c>
      <c r="G4221" s="2">
        <v>960.58716640418197</v>
      </c>
      <c r="H4221" s="1">
        <v>139.56317898883501</v>
      </c>
      <c r="I4221" s="1">
        <f t="shared" si="131"/>
        <v>149.80697465197417</v>
      </c>
    </row>
    <row r="4222" spans="1:9" x14ac:dyDescent="0.45">
      <c r="A4222" t="s">
        <v>11</v>
      </c>
      <c r="B4222" t="s">
        <v>69</v>
      </c>
      <c r="C4222" t="str">
        <f t="shared" si="130"/>
        <v>ArizonaVanderbilt</v>
      </c>
      <c r="D4222" t="s">
        <v>11</v>
      </c>
      <c r="E4222">
        <v>96.8</v>
      </c>
      <c r="F4222" s="1">
        <v>-22.316981132075501</v>
      </c>
      <c r="G4222" s="2">
        <v>-3008.72980944048</v>
      </c>
      <c r="H4222" s="1">
        <v>141.03121823742501</v>
      </c>
      <c r="I4222" s="1">
        <f t="shared" si="131"/>
        <v>170.42076425720614</v>
      </c>
    </row>
    <row r="4223" spans="1:9" x14ac:dyDescent="0.45">
      <c r="A4223" t="s">
        <v>12</v>
      </c>
      <c r="B4223" t="s">
        <v>69</v>
      </c>
      <c r="C4223" t="str">
        <f t="shared" si="130"/>
        <v>ArkansasVanderbilt</v>
      </c>
      <c r="D4223" t="s">
        <v>12</v>
      </c>
      <c r="E4223">
        <v>66.2</v>
      </c>
      <c r="F4223" s="1">
        <v>-4.4150943396226401</v>
      </c>
      <c r="G4223" s="2">
        <v>-196.102705251641</v>
      </c>
      <c r="H4223" s="1">
        <v>139.357142215214</v>
      </c>
      <c r="I4223" s="1">
        <f t="shared" si="131"/>
        <v>146.91386487548587</v>
      </c>
    </row>
    <row r="4224" spans="1:9" x14ac:dyDescent="0.45">
      <c r="A4224" t="s">
        <v>13</v>
      </c>
      <c r="B4224" t="s">
        <v>69</v>
      </c>
      <c r="C4224" t="str">
        <f t="shared" si="130"/>
        <v>AuburnVanderbilt</v>
      </c>
      <c r="D4224" t="s">
        <v>13</v>
      </c>
      <c r="E4224">
        <v>98.9</v>
      </c>
      <c r="F4224" s="1">
        <v>-29.5094339622642</v>
      </c>
      <c r="G4224" s="2">
        <v>-9016.7057000466393</v>
      </c>
      <c r="H4224" s="1">
        <v>142.44295513060001</v>
      </c>
      <c r="I4224" s="1">
        <f t="shared" si="131"/>
        <v>190.24397220059325</v>
      </c>
    </row>
    <row r="4225" spans="1:9" x14ac:dyDescent="0.45">
      <c r="A4225" t="s">
        <v>14</v>
      </c>
      <c r="B4225" t="s">
        <v>69</v>
      </c>
      <c r="C4225" t="str">
        <f t="shared" si="130"/>
        <v>BaylorVanderbilt</v>
      </c>
      <c r="D4225" t="s">
        <v>14</v>
      </c>
      <c r="E4225">
        <v>90.1</v>
      </c>
      <c r="F4225" s="1">
        <v>-14.4603773584906</v>
      </c>
      <c r="G4225" s="2">
        <v>-907.99967138125601</v>
      </c>
      <c r="H4225" s="1">
        <v>140.905872491781</v>
      </c>
      <c r="I4225" s="1">
        <f t="shared" si="131"/>
        <v>168.66069494632208</v>
      </c>
    </row>
    <row r="4226" spans="1:9" x14ac:dyDescent="0.45">
      <c r="A4226" t="s">
        <v>15</v>
      </c>
      <c r="B4226" t="s">
        <v>69</v>
      </c>
      <c r="C4226" t="str">
        <f t="shared" si="130"/>
        <v>BryantVanderbilt</v>
      </c>
      <c r="D4226" t="s">
        <v>69</v>
      </c>
      <c r="E4226">
        <v>29.8</v>
      </c>
      <c r="F4226" s="1">
        <v>5.6113207547169797</v>
      </c>
      <c r="G4226" s="2">
        <v>235.302271430134</v>
      </c>
      <c r="H4226" s="1">
        <v>140.49819236742599</v>
      </c>
      <c r="I4226" s="1">
        <f t="shared" si="131"/>
        <v>162.93616658799613</v>
      </c>
    </row>
    <row r="4227" spans="1:9" x14ac:dyDescent="0.45">
      <c r="A4227" t="s">
        <v>16</v>
      </c>
      <c r="B4227" t="s">
        <v>69</v>
      </c>
      <c r="C4227" t="str">
        <f t="shared" ref="C4227:C4290" si="132">A4227&amp;B4227</f>
        <v>BYUVanderbilt</v>
      </c>
      <c r="D4227" t="s">
        <v>16</v>
      </c>
      <c r="E4227">
        <v>91.5</v>
      </c>
      <c r="F4227" s="1">
        <v>-15.554716981132101</v>
      </c>
      <c r="G4227" s="2">
        <v>-1072.9894044540899</v>
      </c>
      <c r="H4227" s="1">
        <v>140.66823304187</v>
      </c>
      <c r="I4227" s="1">
        <f t="shared" ref="I4227:I4290" si="133">18*(H4227-AVERAGE($H$2:$H$4625))/_xlfn.STDEV.P($H$2:$H$4625)+AVERAGE($H$2:$H$4625)</f>
        <v>165.323829377453</v>
      </c>
    </row>
    <row r="4228" spans="1:9" x14ac:dyDescent="0.45">
      <c r="A4228" t="s">
        <v>17</v>
      </c>
      <c r="B4228" t="s">
        <v>69</v>
      </c>
      <c r="C4228" t="str">
        <f t="shared" si="132"/>
        <v>ClemsonVanderbilt</v>
      </c>
      <c r="D4228" t="s">
        <v>17</v>
      </c>
      <c r="E4228">
        <v>93.8</v>
      </c>
      <c r="F4228" s="1">
        <v>-17.762264150943398</v>
      </c>
      <c r="G4228" s="2">
        <v>-1501.8847212452399</v>
      </c>
      <c r="H4228" s="1">
        <v>141.018283264312</v>
      </c>
      <c r="I4228" s="1">
        <f t="shared" si="133"/>
        <v>170.23913504357517</v>
      </c>
    </row>
    <row r="4229" spans="1:9" x14ac:dyDescent="0.45">
      <c r="A4229" t="s">
        <v>18</v>
      </c>
      <c r="B4229" t="s">
        <v>69</v>
      </c>
      <c r="C4229" t="str">
        <f t="shared" si="132"/>
        <v>Colorado St.Vanderbilt</v>
      </c>
      <c r="D4229" t="s">
        <v>18</v>
      </c>
      <c r="E4229">
        <v>71.3</v>
      </c>
      <c r="F4229" s="1">
        <v>-5.97735849056604</v>
      </c>
      <c r="G4229" s="2">
        <v>-248.92739957589299</v>
      </c>
      <c r="H4229" s="1">
        <v>140.40789423910601</v>
      </c>
      <c r="I4229" s="1">
        <f t="shared" si="133"/>
        <v>161.66822595172096</v>
      </c>
    </row>
    <row r="4230" spans="1:9" x14ac:dyDescent="0.45">
      <c r="A4230" t="s">
        <v>19</v>
      </c>
      <c r="B4230" t="s">
        <v>69</v>
      </c>
      <c r="C4230" t="str">
        <f t="shared" si="132"/>
        <v>ConnecticutVanderbilt</v>
      </c>
      <c r="D4230" t="s">
        <v>19</v>
      </c>
      <c r="E4230">
        <v>95.9</v>
      </c>
      <c r="F4230" s="1">
        <v>-20.6528301886792</v>
      </c>
      <c r="G4230" s="2">
        <v>-2335.1937927587701</v>
      </c>
      <c r="H4230" s="1">
        <v>140.81853409505999</v>
      </c>
      <c r="I4230" s="1">
        <f t="shared" si="133"/>
        <v>167.43431401938545</v>
      </c>
    </row>
    <row r="4231" spans="1:9" x14ac:dyDescent="0.45">
      <c r="A4231" t="s">
        <v>20</v>
      </c>
      <c r="B4231" t="s">
        <v>69</v>
      </c>
      <c r="C4231" t="str">
        <f t="shared" si="132"/>
        <v>CreightonVanderbilt</v>
      </c>
      <c r="D4231" t="s">
        <v>20</v>
      </c>
      <c r="E4231">
        <v>87.8</v>
      </c>
      <c r="F4231" s="1">
        <v>-12.9471698113208</v>
      </c>
      <c r="G4231" s="2">
        <v>-720.59337939916497</v>
      </c>
      <c r="H4231" s="1">
        <v>140.367830847899</v>
      </c>
      <c r="I4231" s="1">
        <f t="shared" si="133"/>
        <v>161.10566720677821</v>
      </c>
    </row>
    <row r="4232" spans="1:9" x14ac:dyDescent="0.45">
      <c r="A4232" t="s">
        <v>21</v>
      </c>
      <c r="B4232" t="s">
        <v>69</v>
      </c>
      <c r="C4232" t="str">
        <f t="shared" si="132"/>
        <v>DrakeVanderbilt</v>
      </c>
      <c r="D4232" t="s">
        <v>21</v>
      </c>
      <c r="E4232">
        <v>70.7</v>
      </c>
      <c r="F4232" s="1">
        <v>-5.7735849056603801</v>
      </c>
      <c r="G4232" s="2">
        <v>-241.26958333529001</v>
      </c>
      <c r="H4232" s="1">
        <v>140.60250665357299</v>
      </c>
      <c r="I4232" s="1">
        <f t="shared" si="133"/>
        <v>164.40091812615802</v>
      </c>
    </row>
    <row r="4233" spans="1:9" x14ac:dyDescent="0.45">
      <c r="A4233" t="s">
        <v>22</v>
      </c>
      <c r="B4233" t="s">
        <v>69</v>
      </c>
      <c r="C4233" t="str">
        <f t="shared" si="132"/>
        <v>DukeVanderbilt</v>
      </c>
      <c r="D4233" t="s">
        <v>22</v>
      </c>
      <c r="E4233">
        <v>99.2</v>
      </c>
      <c r="F4233" s="1">
        <v>-31.724528301886799</v>
      </c>
      <c r="G4233" s="2">
        <v>-12640.230692269801</v>
      </c>
      <c r="H4233" s="1">
        <v>142.68284654217601</v>
      </c>
      <c r="I4233" s="1">
        <f t="shared" si="133"/>
        <v>193.6124591746842</v>
      </c>
    </row>
    <row r="4234" spans="1:9" x14ac:dyDescent="0.45">
      <c r="A4234" t="s">
        <v>23</v>
      </c>
      <c r="B4234" t="s">
        <v>69</v>
      </c>
      <c r="C4234" t="str">
        <f t="shared" si="132"/>
        <v>FloridaVanderbilt</v>
      </c>
      <c r="D4234" t="s">
        <v>23</v>
      </c>
      <c r="E4234">
        <v>98.6</v>
      </c>
      <c r="F4234" s="1">
        <v>-27.867924528301899</v>
      </c>
      <c r="G4234" s="2">
        <v>-7018.1531318550997</v>
      </c>
      <c r="H4234" s="1">
        <v>142.41749706972999</v>
      </c>
      <c r="I4234" s="1">
        <f t="shared" si="133"/>
        <v>189.88649735035619</v>
      </c>
    </row>
    <row r="4235" spans="1:9" x14ac:dyDescent="0.45">
      <c r="A4235" t="s">
        <v>24</v>
      </c>
      <c r="B4235" t="s">
        <v>69</v>
      </c>
      <c r="C4235" t="str">
        <f t="shared" si="132"/>
        <v>GeorgiaVanderbilt</v>
      </c>
      <c r="D4235" t="s">
        <v>24</v>
      </c>
      <c r="E4235">
        <v>73.900000000000006</v>
      </c>
      <c r="F4235" s="1">
        <v>-6.8075471698113201</v>
      </c>
      <c r="G4235" s="2">
        <v>-282.42772131862398</v>
      </c>
      <c r="H4235" s="1">
        <v>139.681455366015</v>
      </c>
      <c r="I4235" s="1">
        <f t="shared" si="133"/>
        <v>151.46777790147803</v>
      </c>
    </row>
    <row r="4236" spans="1:9" x14ac:dyDescent="0.45">
      <c r="A4236" t="s">
        <v>25</v>
      </c>
      <c r="B4236" t="s">
        <v>69</v>
      </c>
      <c r="C4236" t="str">
        <f t="shared" si="132"/>
        <v>GonzagaVanderbilt</v>
      </c>
      <c r="D4236" t="s">
        <v>25</v>
      </c>
      <c r="E4236">
        <v>93.5</v>
      </c>
      <c r="F4236" s="1">
        <v>-17.437735849056601</v>
      </c>
      <c r="G4236" s="2">
        <v>-1429.3749432990101</v>
      </c>
      <c r="H4236" s="1">
        <v>141.65841709652099</v>
      </c>
      <c r="I4236" s="1">
        <f t="shared" si="133"/>
        <v>179.22771225567683</v>
      </c>
    </row>
    <row r="4237" spans="1:9" x14ac:dyDescent="0.45">
      <c r="A4237" t="s">
        <v>26</v>
      </c>
      <c r="B4237" t="s">
        <v>69</v>
      </c>
      <c r="C4237" t="str">
        <f t="shared" si="132"/>
        <v>Grand CanyonVanderbilt</v>
      </c>
      <c r="D4237" t="s">
        <v>26</v>
      </c>
      <c r="E4237">
        <v>60.8</v>
      </c>
      <c r="F4237" s="1">
        <v>-2.88679245283019</v>
      </c>
      <c r="G4237" s="2">
        <v>-155.29852459290001</v>
      </c>
      <c r="H4237" s="1">
        <v>140.47638881405999</v>
      </c>
      <c r="I4237" s="1">
        <f t="shared" si="133"/>
        <v>162.63000729275601</v>
      </c>
    </row>
    <row r="4238" spans="1:9" x14ac:dyDescent="0.45">
      <c r="A4238" t="s">
        <v>27</v>
      </c>
      <c r="B4238" t="s">
        <v>69</v>
      </c>
      <c r="C4238" t="str">
        <f t="shared" si="132"/>
        <v>High PointVanderbilt</v>
      </c>
      <c r="D4238" t="s">
        <v>69</v>
      </c>
      <c r="E4238">
        <v>49.2</v>
      </c>
      <c r="F4238" s="1">
        <v>0.20377358490566</v>
      </c>
      <c r="G4238" s="2">
        <v>103.16080715052399</v>
      </c>
      <c r="H4238" s="1">
        <v>140.66759594760899</v>
      </c>
      <c r="I4238" s="1">
        <f t="shared" si="133"/>
        <v>165.3148834810352</v>
      </c>
    </row>
    <row r="4239" spans="1:9" x14ac:dyDescent="0.45">
      <c r="A4239" t="s">
        <v>28</v>
      </c>
      <c r="B4239" t="s">
        <v>69</v>
      </c>
      <c r="C4239" t="str">
        <f t="shared" si="132"/>
        <v>HoustonVanderbilt</v>
      </c>
      <c r="D4239" t="s">
        <v>28</v>
      </c>
      <c r="E4239">
        <v>99.5</v>
      </c>
      <c r="F4239" s="1">
        <v>-35.079245283018899</v>
      </c>
      <c r="G4239" s="2">
        <v>-21085.561021571099</v>
      </c>
      <c r="H4239" s="1">
        <v>142.78105830481201</v>
      </c>
      <c r="I4239" s="1">
        <f t="shared" si="133"/>
        <v>194.99152081331675</v>
      </c>
    </row>
    <row r="4240" spans="1:9" x14ac:dyDescent="0.45">
      <c r="A4240" t="s">
        <v>29</v>
      </c>
      <c r="B4240" t="s">
        <v>69</v>
      </c>
      <c r="C4240" t="str">
        <f t="shared" si="132"/>
        <v>IllinoisVanderbilt</v>
      </c>
      <c r="D4240" t="s">
        <v>29</v>
      </c>
      <c r="E4240">
        <v>95.4</v>
      </c>
      <c r="F4240" s="1">
        <v>-19.890566037735901</v>
      </c>
      <c r="G4240" s="2">
        <v>-2078.60314854223</v>
      </c>
      <c r="H4240" s="1">
        <v>140.83952207977401</v>
      </c>
      <c r="I4240" s="1">
        <f t="shared" si="133"/>
        <v>167.72902133156956</v>
      </c>
    </row>
    <row r="4241" spans="1:9" x14ac:dyDescent="0.45">
      <c r="A4241" t="s">
        <v>30</v>
      </c>
      <c r="B4241" t="s">
        <v>69</v>
      </c>
      <c r="C4241" t="str">
        <f t="shared" si="132"/>
        <v>Iowa St.Vanderbilt</v>
      </c>
      <c r="D4241" t="s">
        <v>30</v>
      </c>
      <c r="E4241">
        <v>97.8</v>
      </c>
      <c r="F4241" s="1">
        <v>-24.7509433962264</v>
      </c>
      <c r="G4241" s="2">
        <v>-4363.4262509045302</v>
      </c>
      <c r="H4241" s="1">
        <v>141.73606437135999</v>
      </c>
      <c r="I4241" s="1">
        <f t="shared" si="133"/>
        <v>180.31801320538781</v>
      </c>
    </row>
    <row r="4242" spans="1:9" x14ac:dyDescent="0.45">
      <c r="A4242" t="s">
        <v>31</v>
      </c>
      <c r="B4242" t="s">
        <v>69</v>
      </c>
      <c r="C4242" t="str">
        <f t="shared" si="132"/>
        <v>KansasVanderbilt</v>
      </c>
      <c r="D4242" t="s">
        <v>31</v>
      </c>
      <c r="E4242">
        <v>93.1</v>
      </c>
      <c r="F4242" s="1">
        <v>-17.037735849056599</v>
      </c>
      <c r="G4242" s="2">
        <v>-1344.70402322725</v>
      </c>
      <c r="H4242" s="1">
        <v>140.786652260214</v>
      </c>
      <c r="I4242" s="1">
        <f t="shared" si="133"/>
        <v>166.98663836195652</v>
      </c>
    </row>
    <row r="4243" spans="1:9" x14ac:dyDescent="0.45">
      <c r="A4243" t="s">
        <v>32</v>
      </c>
      <c r="B4243" t="s">
        <v>69</v>
      </c>
      <c r="C4243" t="str">
        <f t="shared" si="132"/>
        <v>KentuckyVanderbilt</v>
      </c>
      <c r="D4243" t="s">
        <v>32</v>
      </c>
      <c r="E4243">
        <v>95.7</v>
      </c>
      <c r="F4243" s="1">
        <v>-20.399999999999999</v>
      </c>
      <c r="G4243" s="2">
        <v>-2246.5321959862699</v>
      </c>
      <c r="H4243" s="1">
        <v>140.72093459233901</v>
      </c>
      <c r="I4243" s="1">
        <f t="shared" si="133"/>
        <v>166.06384956034736</v>
      </c>
    </row>
    <row r="4244" spans="1:9" x14ac:dyDescent="0.45">
      <c r="A4244" t="s">
        <v>33</v>
      </c>
      <c r="B4244" t="s">
        <v>69</v>
      </c>
      <c r="C4244" t="str">
        <f t="shared" si="132"/>
        <v>LibertyVanderbilt</v>
      </c>
      <c r="D4244" t="s">
        <v>69</v>
      </c>
      <c r="E4244">
        <v>40.299999999999997</v>
      </c>
      <c r="F4244" s="1">
        <v>2.5849056603773599</v>
      </c>
      <c r="G4244" s="2">
        <v>148.35946820084399</v>
      </c>
      <c r="H4244" s="1">
        <v>140.06593563605699</v>
      </c>
      <c r="I4244" s="1">
        <f t="shared" si="133"/>
        <v>156.86654050378627</v>
      </c>
    </row>
    <row r="4245" spans="1:9" x14ac:dyDescent="0.45">
      <c r="A4245" t="s">
        <v>34</v>
      </c>
      <c r="B4245" t="s">
        <v>69</v>
      </c>
      <c r="C4245" t="str">
        <f t="shared" si="132"/>
        <v>LipscombVanderbilt</v>
      </c>
      <c r="D4245" t="s">
        <v>69</v>
      </c>
      <c r="E4245">
        <v>33.6</v>
      </c>
      <c r="F4245" s="1">
        <v>4.4528301886792496</v>
      </c>
      <c r="G4245" s="2">
        <v>197.20302318508001</v>
      </c>
      <c r="H4245" s="1">
        <v>140.47225383364801</v>
      </c>
      <c r="I4245" s="1">
        <f t="shared" si="133"/>
        <v>162.57194507383639</v>
      </c>
    </row>
    <row r="4246" spans="1:9" x14ac:dyDescent="0.45">
      <c r="A4246" t="s">
        <v>35</v>
      </c>
      <c r="B4246" t="s">
        <v>69</v>
      </c>
      <c r="C4246" t="str">
        <f t="shared" si="132"/>
        <v>LouisvilleVanderbilt</v>
      </c>
      <c r="D4246" t="s">
        <v>35</v>
      </c>
      <c r="E4246">
        <v>56.1</v>
      </c>
      <c r="F4246" s="1">
        <v>-1.5962264150943399</v>
      </c>
      <c r="G4246" s="2">
        <v>-127.592241338067</v>
      </c>
      <c r="H4246" s="1">
        <v>139.71761583946599</v>
      </c>
      <c r="I4246" s="1">
        <f t="shared" si="133"/>
        <v>151.97553298531537</v>
      </c>
    </row>
    <row r="4247" spans="1:9" x14ac:dyDescent="0.45">
      <c r="A4247" t="s">
        <v>36</v>
      </c>
      <c r="B4247" t="s">
        <v>69</v>
      </c>
      <c r="C4247" t="str">
        <f t="shared" si="132"/>
        <v>MarquetteVanderbilt</v>
      </c>
      <c r="D4247" t="s">
        <v>36</v>
      </c>
      <c r="E4247">
        <v>94.5</v>
      </c>
      <c r="F4247" s="1">
        <v>-18.664150943396201</v>
      </c>
      <c r="G4247" s="2">
        <v>-1724.12029450776</v>
      </c>
      <c r="H4247" s="1">
        <v>140.979749682928</v>
      </c>
      <c r="I4247" s="1">
        <f t="shared" si="133"/>
        <v>169.69805745307559</v>
      </c>
    </row>
    <row r="4248" spans="1:9" x14ac:dyDescent="0.45">
      <c r="A4248" t="s">
        <v>37</v>
      </c>
      <c r="B4248" t="s">
        <v>69</v>
      </c>
      <c r="C4248" t="str">
        <f t="shared" si="132"/>
        <v>MarylandVanderbilt</v>
      </c>
      <c r="D4248" t="s">
        <v>37</v>
      </c>
      <c r="E4248">
        <v>91.4</v>
      </c>
      <c r="F4248" s="1">
        <v>-15.498113207547201</v>
      </c>
      <c r="G4248" s="2">
        <v>-1063.4907876587599</v>
      </c>
      <c r="H4248" s="1">
        <v>140.43811928147099</v>
      </c>
      <c r="I4248" s="1">
        <f t="shared" si="133"/>
        <v>162.09263740033802</v>
      </c>
    </row>
    <row r="4249" spans="1:9" x14ac:dyDescent="0.45">
      <c r="A4249" t="s">
        <v>38</v>
      </c>
      <c r="B4249" t="s">
        <v>69</v>
      </c>
      <c r="C4249" t="str">
        <f t="shared" si="132"/>
        <v>McNeese St.Vanderbilt</v>
      </c>
      <c r="D4249" t="s">
        <v>38</v>
      </c>
      <c r="E4249">
        <v>71.3</v>
      </c>
      <c r="F4249" s="1">
        <v>-5.9584905660377396</v>
      </c>
      <c r="G4249" s="2">
        <v>-248.12130611209099</v>
      </c>
      <c r="H4249" s="1">
        <v>141.03135469443501</v>
      </c>
      <c r="I4249" s="1">
        <f t="shared" si="133"/>
        <v>170.42268034773099</v>
      </c>
    </row>
    <row r="4250" spans="1:9" x14ac:dyDescent="0.45">
      <c r="A4250" t="s">
        <v>39</v>
      </c>
      <c r="B4250" t="s">
        <v>69</v>
      </c>
      <c r="C4250" t="str">
        <f t="shared" si="132"/>
        <v>MemphisVanderbilt</v>
      </c>
      <c r="D4250" t="s">
        <v>39</v>
      </c>
      <c r="E4250">
        <v>85.7</v>
      </c>
      <c r="F4250" s="1">
        <v>-11.732075471698099</v>
      </c>
      <c r="G4250" s="2">
        <v>-598.87111370344405</v>
      </c>
      <c r="H4250" s="1">
        <v>139.56563652096099</v>
      </c>
      <c r="I4250" s="1">
        <f t="shared" si="133"/>
        <v>149.84148261914322</v>
      </c>
    </row>
    <row r="4251" spans="1:9" x14ac:dyDescent="0.45">
      <c r="A4251" t="s">
        <v>40</v>
      </c>
      <c r="B4251" t="s">
        <v>69</v>
      </c>
      <c r="C4251" t="str">
        <f t="shared" si="132"/>
        <v>MichiganVanderbilt</v>
      </c>
      <c r="D4251" t="s">
        <v>40</v>
      </c>
      <c r="E4251">
        <v>74.7</v>
      </c>
      <c r="F4251" s="1">
        <v>-7.1094339622641503</v>
      </c>
      <c r="G4251" s="2">
        <v>-295.75951907692098</v>
      </c>
      <c r="H4251" s="1">
        <v>139.12825781787799</v>
      </c>
      <c r="I4251" s="1">
        <f t="shared" si="133"/>
        <v>143.69993526485979</v>
      </c>
    </row>
    <row r="4252" spans="1:9" x14ac:dyDescent="0.45">
      <c r="A4252" t="s">
        <v>41</v>
      </c>
      <c r="B4252" t="s">
        <v>69</v>
      </c>
      <c r="C4252" t="str">
        <f t="shared" si="132"/>
        <v>Michigan St.Vanderbilt</v>
      </c>
      <c r="D4252" t="s">
        <v>41</v>
      </c>
      <c r="E4252">
        <v>96.6</v>
      </c>
      <c r="F4252" s="1">
        <v>-21.856603773584901</v>
      </c>
      <c r="G4252" s="2">
        <v>-2804.7481666057201</v>
      </c>
      <c r="H4252" s="1">
        <v>140.77533752708499</v>
      </c>
      <c r="I4252" s="1">
        <f t="shared" si="133"/>
        <v>166.82776009737006</v>
      </c>
    </row>
    <row r="4253" spans="1:9" x14ac:dyDescent="0.45">
      <c r="A4253" t="s">
        <v>42</v>
      </c>
      <c r="B4253" t="s">
        <v>69</v>
      </c>
      <c r="C4253" t="str">
        <f t="shared" si="132"/>
        <v>MississippiVanderbilt</v>
      </c>
      <c r="D4253" t="s">
        <v>42</v>
      </c>
      <c r="E4253">
        <v>88.5</v>
      </c>
      <c r="F4253" s="1">
        <v>-13.3584905660377</v>
      </c>
      <c r="G4253" s="2">
        <v>-767.40117119974104</v>
      </c>
      <c r="H4253" s="1">
        <v>140.04302887697401</v>
      </c>
      <c r="I4253" s="1">
        <f t="shared" si="133"/>
        <v>156.54489030762977</v>
      </c>
    </row>
    <row r="4254" spans="1:9" x14ac:dyDescent="0.45">
      <c r="A4254" t="s">
        <v>43</v>
      </c>
      <c r="B4254" t="s">
        <v>69</v>
      </c>
      <c r="C4254" t="str">
        <f t="shared" si="132"/>
        <v>Mississippi St.Vanderbilt</v>
      </c>
      <c r="D4254" t="s">
        <v>43</v>
      </c>
      <c r="E4254">
        <v>85.5</v>
      </c>
      <c r="F4254" s="1">
        <v>-11.633962264150901</v>
      </c>
      <c r="G4254" s="2">
        <v>-589.990667013029</v>
      </c>
      <c r="H4254" s="1">
        <v>140.182775349651</v>
      </c>
      <c r="I4254" s="1">
        <f t="shared" si="133"/>
        <v>158.50717053181558</v>
      </c>
    </row>
    <row r="4255" spans="1:9" x14ac:dyDescent="0.45">
      <c r="A4255" t="s">
        <v>44</v>
      </c>
      <c r="B4255" t="s">
        <v>69</v>
      </c>
      <c r="C4255" t="str">
        <f t="shared" si="132"/>
        <v>MissouriVanderbilt</v>
      </c>
      <c r="D4255" t="s">
        <v>44</v>
      </c>
      <c r="E4255">
        <v>73.5</v>
      </c>
      <c r="F4255" s="1">
        <v>-6.7018867924528296</v>
      </c>
      <c r="G4255" s="2">
        <v>-277.95011608979399</v>
      </c>
      <c r="H4255" s="1">
        <v>139.600437248296</v>
      </c>
      <c r="I4255" s="1">
        <f t="shared" si="133"/>
        <v>150.33014453474388</v>
      </c>
    </row>
    <row r="4256" spans="1:9" x14ac:dyDescent="0.45">
      <c r="A4256" t="s">
        <v>45</v>
      </c>
      <c r="B4256" t="s">
        <v>69</v>
      </c>
      <c r="C4256" t="str">
        <f t="shared" si="132"/>
        <v>MontanaVanderbilt</v>
      </c>
      <c r="D4256" t="s">
        <v>69</v>
      </c>
      <c r="E4256">
        <v>20</v>
      </c>
      <c r="F4256" s="1">
        <v>9.1056603773584897</v>
      </c>
      <c r="G4256" s="2">
        <v>401.03186583397797</v>
      </c>
      <c r="H4256" s="1">
        <v>138.73714881170301</v>
      </c>
      <c r="I4256" s="1">
        <f t="shared" si="133"/>
        <v>138.2080938350438</v>
      </c>
    </row>
    <row r="4257" spans="1:9" x14ac:dyDescent="0.45">
      <c r="A4257" t="s">
        <v>46</v>
      </c>
      <c r="B4257" t="s">
        <v>69</v>
      </c>
      <c r="C4257" t="str">
        <f t="shared" si="132"/>
        <v>Mount St. Mary'sVanderbilt</v>
      </c>
      <c r="D4257" t="s">
        <v>69</v>
      </c>
      <c r="E4257">
        <v>8.6999999999999993</v>
      </c>
      <c r="F4257" s="1">
        <v>15.437735849056599</v>
      </c>
      <c r="G4257" s="2">
        <v>1053.9087770171</v>
      </c>
      <c r="H4257" s="1">
        <v>140.040436765853</v>
      </c>
      <c r="I4257" s="1">
        <f t="shared" si="133"/>
        <v>156.50849262048817</v>
      </c>
    </row>
    <row r="4258" spans="1:9" x14ac:dyDescent="0.45">
      <c r="A4258" t="s">
        <v>47</v>
      </c>
      <c r="B4258" t="s">
        <v>69</v>
      </c>
      <c r="C4258" t="str">
        <f t="shared" si="132"/>
        <v>Nebraska OmahaVanderbilt</v>
      </c>
      <c r="D4258" t="s">
        <v>69</v>
      </c>
      <c r="E4258">
        <v>11.7</v>
      </c>
      <c r="F4258" s="1">
        <v>13.2490566037736</v>
      </c>
      <c r="G4258" s="2">
        <v>754.57167725879299</v>
      </c>
      <c r="H4258" s="1">
        <v>139.458212897957</v>
      </c>
      <c r="I4258" s="1">
        <f t="shared" si="133"/>
        <v>148.33307065715857</v>
      </c>
    </row>
    <row r="4259" spans="1:9" x14ac:dyDescent="0.45">
      <c r="A4259" t="s">
        <v>48</v>
      </c>
      <c r="B4259" t="s">
        <v>69</v>
      </c>
      <c r="C4259" t="str">
        <f t="shared" si="132"/>
        <v>New MexicoVanderbilt</v>
      </c>
      <c r="D4259" t="s">
        <v>48</v>
      </c>
      <c r="E4259">
        <v>76.099999999999994</v>
      </c>
      <c r="F4259" s="1">
        <v>-7.5849056603773599</v>
      </c>
      <c r="G4259" s="2">
        <v>-317.96747175617901</v>
      </c>
      <c r="H4259" s="1">
        <v>140.22820282977401</v>
      </c>
      <c r="I4259" s="1">
        <f t="shared" si="133"/>
        <v>159.14505028772197</v>
      </c>
    </row>
    <row r="4260" spans="1:9" x14ac:dyDescent="0.45">
      <c r="A4260" t="s">
        <v>49</v>
      </c>
      <c r="B4260" t="s">
        <v>69</v>
      </c>
      <c r="C4260" t="str">
        <f t="shared" si="132"/>
        <v>Norfolk St.Vanderbilt</v>
      </c>
      <c r="D4260" t="s">
        <v>69</v>
      </c>
      <c r="E4260">
        <v>15.8</v>
      </c>
      <c r="F4260" s="1">
        <v>10.9849056603774</v>
      </c>
      <c r="G4260" s="2">
        <v>534.13085142343903</v>
      </c>
      <c r="H4260" s="1">
        <v>139.26432859373801</v>
      </c>
      <c r="I4260" s="1">
        <f t="shared" si="133"/>
        <v>145.6106023997427</v>
      </c>
    </row>
    <row r="4261" spans="1:9" x14ac:dyDescent="0.45">
      <c r="A4261" t="s">
        <v>50</v>
      </c>
      <c r="B4261" t="s">
        <v>69</v>
      </c>
      <c r="C4261" t="str">
        <f t="shared" si="132"/>
        <v>North CarolinaVanderbilt</v>
      </c>
      <c r="D4261" t="s">
        <v>50</v>
      </c>
      <c r="E4261">
        <v>91.6</v>
      </c>
      <c r="F4261" s="1">
        <v>-15.633962264150901</v>
      </c>
      <c r="G4261" s="2">
        <v>-1085.77465126481</v>
      </c>
      <c r="H4261" s="1">
        <v>141.33793454820699</v>
      </c>
      <c r="I4261" s="1">
        <f t="shared" si="133"/>
        <v>174.72758746034958</v>
      </c>
    </row>
    <row r="4262" spans="1:9" x14ac:dyDescent="0.45">
      <c r="A4262" t="s">
        <v>51</v>
      </c>
      <c r="B4262" t="s">
        <v>69</v>
      </c>
      <c r="C4262" t="str">
        <f t="shared" si="132"/>
        <v>OklahomaVanderbilt</v>
      </c>
      <c r="D4262" t="s">
        <v>51</v>
      </c>
      <c r="E4262">
        <v>79.2</v>
      </c>
      <c r="F4262" s="1">
        <v>-8.7509433962264094</v>
      </c>
      <c r="G4262" s="2">
        <v>-379.98152238225703</v>
      </c>
      <c r="H4262" s="1">
        <v>139.761557674382</v>
      </c>
      <c r="I4262" s="1">
        <f t="shared" si="133"/>
        <v>152.59255173375584</v>
      </c>
    </row>
    <row r="4263" spans="1:9" x14ac:dyDescent="0.45">
      <c r="A4263" t="s">
        <v>52</v>
      </c>
      <c r="B4263" t="s">
        <v>69</v>
      </c>
      <c r="C4263" t="str">
        <f t="shared" si="132"/>
        <v>OregonVanderbilt</v>
      </c>
      <c r="D4263" t="s">
        <v>52</v>
      </c>
      <c r="E4263">
        <v>91.4</v>
      </c>
      <c r="F4263" s="1">
        <v>-15.5169811320755</v>
      </c>
      <c r="G4263" s="2">
        <v>-1066.6666681971501</v>
      </c>
      <c r="H4263" s="1">
        <v>140.05227506591001</v>
      </c>
      <c r="I4263" s="1">
        <f t="shared" si="133"/>
        <v>156.67472266297045</v>
      </c>
    </row>
    <row r="4264" spans="1:9" x14ac:dyDescent="0.45">
      <c r="A4264" t="s">
        <v>53</v>
      </c>
      <c r="B4264" t="s">
        <v>69</v>
      </c>
      <c r="C4264" t="str">
        <f t="shared" si="132"/>
        <v>PurdueVanderbilt</v>
      </c>
      <c r="D4264" t="s">
        <v>53</v>
      </c>
      <c r="E4264">
        <v>98.4</v>
      </c>
      <c r="F4264" s="1">
        <v>-26.890566037735901</v>
      </c>
      <c r="G4264" s="2">
        <v>-6045.4459707810802</v>
      </c>
      <c r="H4264" s="1">
        <v>141.54036226570901</v>
      </c>
      <c r="I4264" s="1">
        <f t="shared" si="133"/>
        <v>177.5700198972628</v>
      </c>
    </row>
    <row r="4265" spans="1:9" x14ac:dyDescent="0.45">
      <c r="A4265" t="s">
        <v>54</v>
      </c>
      <c r="B4265" t="s">
        <v>69</v>
      </c>
      <c r="C4265" t="str">
        <f t="shared" si="132"/>
        <v>Robert MorrisVanderbilt</v>
      </c>
      <c r="D4265" t="s">
        <v>69</v>
      </c>
      <c r="E4265">
        <v>7</v>
      </c>
      <c r="F4265" s="1">
        <v>17</v>
      </c>
      <c r="G4265" s="2">
        <v>1337.23137066765</v>
      </c>
      <c r="H4265" s="1">
        <v>138.62332759439599</v>
      </c>
      <c r="I4265" s="1">
        <f t="shared" si="133"/>
        <v>136.609848673389</v>
      </c>
    </row>
    <row r="4266" spans="1:9" x14ac:dyDescent="0.45">
      <c r="A4266" t="s">
        <v>55</v>
      </c>
      <c r="B4266" t="s">
        <v>69</v>
      </c>
      <c r="C4266" t="str">
        <f t="shared" si="132"/>
        <v>Saint FrancisVanderbilt</v>
      </c>
      <c r="D4266" t="s">
        <v>69</v>
      </c>
      <c r="E4266">
        <v>4.3</v>
      </c>
      <c r="F4266" s="1">
        <v>20.3622641509434</v>
      </c>
      <c r="G4266" s="2">
        <v>2233.5143690132099</v>
      </c>
      <c r="H4266" s="1">
        <v>139.330175476439</v>
      </c>
      <c r="I4266" s="1">
        <f t="shared" si="133"/>
        <v>146.53520559918857</v>
      </c>
    </row>
    <row r="4267" spans="1:9" x14ac:dyDescent="0.45">
      <c r="A4267" t="s">
        <v>56</v>
      </c>
      <c r="B4267" t="s">
        <v>69</v>
      </c>
      <c r="C4267" t="str">
        <f t="shared" si="132"/>
        <v>Saint Mary'sVanderbilt</v>
      </c>
      <c r="D4267" t="s">
        <v>56</v>
      </c>
      <c r="E4267">
        <v>91.3</v>
      </c>
      <c r="F4267" s="1">
        <v>-15.373584905660399</v>
      </c>
      <c r="G4267" s="2">
        <v>-1043.45908378531</v>
      </c>
      <c r="H4267" s="1">
        <v>141.05938159238099</v>
      </c>
      <c r="I4267" s="1">
        <f t="shared" si="133"/>
        <v>170.8162260775884</v>
      </c>
    </row>
    <row r="4268" spans="1:9" x14ac:dyDescent="0.45">
      <c r="A4268" t="s">
        <v>57</v>
      </c>
      <c r="B4268" t="s">
        <v>69</v>
      </c>
      <c r="C4268" t="str">
        <f t="shared" si="132"/>
        <v>San Diego St.Vanderbilt</v>
      </c>
      <c r="D4268" t="s">
        <v>57</v>
      </c>
      <c r="E4268">
        <v>76.400000000000006</v>
      </c>
      <c r="F4268" s="1">
        <v>-7.6981132075471699</v>
      </c>
      <c r="G4268" s="2">
        <v>-323.650183879552</v>
      </c>
      <c r="H4268" s="1">
        <v>140.27408075540899</v>
      </c>
      <c r="I4268" s="1">
        <f t="shared" si="133"/>
        <v>159.78925507139675</v>
      </c>
    </row>
    <row r="4269" spans="1:9" x14ac:dyDescent="0.45">
      <c r="A4269" t="s">
        <v>58</v>
      </c>
      <c r="B4269" t="s">
        <v>69</v>
      </c>
      <c r="C4269" t="str">
        <f t="shared" si="132"/>
        <v>SIU EdwardsvilleVanderbilt</v>
      </c>
      <c r="D4269" t="s">
        <v>69</v>
      </c>
      <c r="E4269">
        <v>13.3</v>
      </c>
      <c r="F4269" s="1">
        <v>12.275471698113201</v>
      </c>
      <c r="G4269" s="2">
        <v>650.43577676526297</v>
      </c>
      <c r="H4269" s="1">
        <v>140.33333893559299</v>
      </c>
      <c r="I4269" s="1">
        <f t="shared" si="133"/>
        <v>160.62134158398501</v>
      </c>
    </row>
    <row r="4270" spans="1:9" x14ac:dyDescent="0.45">
      <c r="A4270" t="s">
        <v>59</v>
      </c>
      <c r="B4270" t="s">
        <v>69</v>
      </c>
      <c r="C4270" t="str">
        <f t="shared" si="132"/>
        <v>St. John'sVanderbilt</v>
      </c>
      <c r="D4270" t="s">
        <v>59</v>
      </c>
      <c r="E4270">
        <v>96.8</v>
      </c>
      <c r="F4270" s="1">
        <v>-22.358490566037698</v>
      </c>
      <c r="G4270" s="2">
        <v>-3027.7852813618101</v>
      </c>
      <c r="H4270" s="1">
        <v>141.15279538414799</v>
      </c>
      <c r="I4270" s="1">
        <f t="shared" si="133"/>
        <v>172.12791597386433</v>
      </c>
    </row>
    <row r="4271" spans="1:9" x14ac:dyDescent="0.45">
      <c r="A4271" t="s">
        <v>60</v>
      </c>
      <c r="B4271" t="s">
        <v>69</v>
      </c>
      <c r="C4271" t="str">
        <f t="shared" si="132"/>
        <v>TennesseeVanderbilt</v>
      </c>
      <c r="D4271" t="s">
        <v>60</v>
      </c>
      <c r="E4271">
        <v>98.5</v>
      </c>
      <c r="F4271" s="1">
        <v>-27.5735849056604</v>
      </c>
      <c r="G4271" s="2">
        <v>-6709.3827225145396</v>
      </c>
      <c r="H4271" s="1">
        <v>141.94602775828201</v>
      </c>
      <c r="I4271" s="1">
        <f t="shared" si="133"/>
        <v>183.26625936908513</v>
      </c>
    </row>
    <row r="4272" spans="1:9" x14ac:dyDescent="0.45">
      <c r="A4272" t="s">
        <v>61</v>
      </c>
      <c r="B4272" t="s">
        <v>69</v>
      </c>
      <c r="C4272" t="str">
        <f t="shared" si="132"/>
        <v>TexasVanderbilt</v>
      </c>
      <c r="D4272" t="s">
        <v>61</v>
      </c>
      <c r="E4272">
        <v>72.900000000000006</v>
      </c>
      <c r="F4272" s="1">
        <v>-6.4754716981132097</v>
      </c>
      <c r="G4272" s="2">
        <v>-268.55778257366899</v>
      </c>
      <c r="H4272" s="1">
        <v>139.64590958592001</v>
      </c>
      <c r="I4272" s="1">
        <f t="shared" si="133"/>
        <v>150.96865416692137</v>
      </c>
    </row>
    <row r="4273" spans="1:9" x14ac:dyDescent="0.45">
      <c r="A4273" t="s">
        <v>62</v>
      </c>
      <c r="B4273" t="s">
        <v>69</v>
      </c>
      <c r="C4273" t="str">
        <f t="shared" si="132"/>
        <v>Texas A&amp;MVanderbilt</v>
      </c>
      <c r="D4273" t="s">
        <v>62</v>
      </c>
      <c r="E4273">
        <v>93.9</v>
      </c>
      <c r="F4273" s="1">
        <v>-17.8792452830189</v>
      </c>
      <c r="G4273" s="2">
        <v>-1528.94555807355</v>
      </c>
      <c r="H4273" s="1">
        <v>140.43288489531801</v>
      </c>
      <c r="I4273" s="1">
        <f t="shared" si="133"/>
        <v>162.01913763868407</v>
      </c>
    </row>
    <row r="4274" spans="1:9" x14ac:dyDescent="0.45">
      <c r="A4274" t="s">
        <v>63</v>
      </c>
      <c r="B4274" t="s">
        <v>69</v>
      </c>
      <c r="C4274" t="str">
        <f t="shared" si="132"/>
        <v>Texas TechVanderbilt</v>
      </c>
      <c r="D4274" t="s">
        <v>63</v>
      </c>
      <c r="E4274">
        <v>96.7</v>
      </c>
      <c r="F4274" s="1">
        <v>-22.211320754717001</v>
      </c>
      <c r="G4274" s="2">
        <v>-2961.47085575239</v>
      </c>
      <c r="H4274" s="1">
        <v>141.423397500557</v>
      </c>
      <c r="I4274" s="1">
        <f t="shared" si="133"/>
        <v>175.9276339308218</v>
      </c>
    </row>
    <row r="4275" spans="1:9" x14ac:dyDescent="0.45">
      <c r="A4275" t="s">
        <v>64</v>
      </c>
      <c r="B4275" t="s">
        <v>69</v>
      </c>
      <c r="C4275" t="str">
        <f t="shared" si="132"/>
        <v>TroyVanderbilt</v>
      </c>
      <c r="D4275" t="s">
        <v>69</v>
      </c>
      <c r="E4275">
        <v>29.9</v>
      </c>
      <c r="F4275" s="1">
        <v>5.5962264150943399</v>
      </c>
      <c r="G4275" s="2">
        <v>234.87338177650699</v>
      </c>
      <c r="H4275" s="1">
        <v>140.18970209511599</v>
      </c>
      <c r="I4275" s="1">
        <f t="shared" si="133"/>
        <v>158.60443392160678</v>
      </c>
    </row>
    <row r="4276" spans="1:9" x14ac:dyDescent="0.45">
      <c r="A4276" t="s">
        <v>65</v>
      </c>
      <c r="B4276" t="s">
        <v>69</v>
      </c>
      <c r="C4276" t="str">
        <f t="shared" si="132"/>
        <v>UC San DiegoVanderbilt</v>
      </c>
      <c r="D4276" t="s">
        <v>65</v>
      </c>
      <c r="E4276">
        <v>52.2</v>
      </c>
      <c r="F4276" s="1">
        <v>-0.58490566037735803</v>
      </c>
      <c r="G4276" s="2">
        <v>-109.31861267338201</v>
      </c>
      <c r="H4276" s="1">
        <v>140.25982232477901</v>
      </c>
      <c r="I4276" s="1">
        <f t="shared" si="133"/>
        <v>159.58904224371554</v>
      </c>
    </row>
    <row r="4277" spans="1:9" x14ac:dyDescent="0.45">
      <c r="A4277" t="s">
        <v>66</v>
      </c>
      <c r="B4277" t="s">
        <v>69</v>
      </c>
      <c r="C4277" t="str">
        <f t="shared" si="132"/>
        <v>UCLAVanderbilt</v>
      </c>
      <c r="D4277" t="s">
        <v>66</v>
      </c>
      <c r="E4277">
        <v>79</v>
      </c>
      <c r="F4277" s="1">
        <v>-8.6867924528301899</v>
      </c>
      <c r="G4277" s="2">
        <v>-376.17121785644798</v>
      </c>
      <c r="H4277" s="1">
        <v>139.481080903991</v>
      </c>
      <c r="I4277" s="1">
        <f t="shared" si="133"/>
        <v>148.65417669402294</v>
      </c>
    </row>
    <row r="4278" spans="1:9" x14ac:dyDescent="0.45">
      <c r="A4278" t="s">
        <v>67</v>
      </c>
      <c r="B4278" t="s">
        <v>69</v>
      </c>
      <c r="C4278" t="str">
        <f t="shared" si="132"/>
        <v>UNC WilmingtonVanderbilt</v>
      </c>
      <c r="D4278" t="s">
        <v>69</v>
      </c>
      <c r="E4278">
        <v>38.700000000000003</v>
      </c>
      <c r="F4278" s="1">
        <v>3.0075471698113199</v>
      </c>
      <c r="G4278" s="2">
        <v>158.22273171683099</v>
      </c>
      <c r="H4278" s="1">
        <v>140.79649079544399</v>
      </c>
      <c r="I4278" s="1">
        <f t="shared" si="133"/>
        <v>167.12478827548875</v>
      </c>
    </row>
    <row r="4279" spans="1:9" x14ac:dyDescent="0.45">
      <c r="A4279" t="s">
        <v>68</v>
      </c>
      <c r="B4279" t="s">
        <v>69</v>
      </c>
      <c r="C4279" t="str">
        <f t="shared" si="132"/>
        <v>Utah St.Vanderbilt</v>
      </c>
      <c r="D4279" t="s">
        <v>68</v>
      </c>
      <c r="E4279">
        <v>78.099999999999994</v>
      </c>
      <c r="F4279" s="1">
        <v>-8.3207547169811296</v>
      </c>
      <c r="G4279" s="2">
        <v>-355.76998874412499</v>
      </c>
      <c r="H4279" s="1">
        <v>140.343677294023</v>
      </c>
      <c r="I4279" s="1">
        <f t="shared" si="133"/>
        <v>160.76650987273771</v>
      </c>
    </row>
    <row r="4280" spans="1:9" x14ac:dyDescent="0.45">
      <c r="A4280" t="s">
        <v>69</v>
      </c>
      <c r="B4280" t="s">
        <v>69</v>
      </c>
      <c r="C4280" t="str">
        <f t="shared" si="132"/>
        <v>VanderbiltVanderbilt</v>
      </c>
      <c r="D4280" t="s">
        <v>69</v>
      </c>
      <c r="E4280">
        <v>41.2</v>
      </c>
      <c r="F4280" s="1">
        <v>2.3283018867924499</v>
      </c>
      <c r="G4280" s="2">
        <v>142.64273539779199</v>
      </c>
      <c r="H4280" s="1">
        <v>138.77771517530499</v>
      </c>
      <c r="I4280" s="1">
        <f t="shared" si="133"/>
        <v>138.77771517530684</v>
      </c>
    </row>
    <row r="4281" spans="1:9" x14ac:dyDescent="0.45">
      <c r="A4281" t="s">
        <v>70</v>
      </c>
      <c r="B4281" t="s">
        <v>69</v>
      </c>
      <c r="C4281" t="str">
        <f t="shared" si="132"/>
        <v>VCUVanderbilt</v>
      </c>
      <c r="D4281" t="s">
        <v>70</v>
      </c>
      <c r="E4281">
        <v>69.2</v>
      </c>
      <c r="F4281" s="1">
        <v>-5.3169811320754699</v>
      </c>
      <c r="G4281" s="2">
        <v>-225.04641107909401</v>
      </c>
      <c r="H4281" s="1">
        <v>140.702888304498</v>
      </c>
      <c r="I4281" s="1">
        <f t="shared" si="133"/>
        <v>165.81044871900937</v>
      </c>
    </row>
    <row r="4282" spans="1:9" x14ac:dyDescent="0.45">
      <c r="A4282" t="s">
        <v>71</v>
      </c>
      <c r="B4282" t="s">
        <v>69</v>
      </c>
      <c r="C4282" t="str">
        <f t="shared" si="132"/>
        <v>WisconsinVanderbilt</v>
      </c>
      <c r="D4282" t="s">
        <v>71</v>
      </c>
      <c r="E4282">
        <v>96.2</v>
      </c>
      <c r="F4282" s="1">
        <v>-21.271698113207499</v>
      </c>
      <c r="G4282" s="2">
        <v>-2565.4155937207502</v>
      </c>
      <c r="H4282" s="1">
        <v>141.35614391282999</v>
      </c>
      <c r="I4282" s="1">
        <f t="shared" si="133"/>
        <v>174.98327817947992</v>
      </c>
    </row>
    <row r="4283" spans="1:9" x14ac:dyDescent="0.45">
      <c r="A4283" t="s">
        <v>80</v>
      </c>
      <c r="B4283" t="s">
        <v>69</v>
      </c>
      <c r="C4283" t="str">
        <f t="shared" si="132"/>
        <v>WoffordVanderbilt</v>
      </c>
      <c r="D4283" t="s">
        <v>69</v>
      </c>
      <c r="E4283">
        <v>18.100000000000001</v>
      </c>
      <c r="F4283" s="1">
        <v>9.9056603773584904</v>
      </c>
      <c r="G4283" s="2">
        <v>453.03145100285502</v>
      </c>
      <c r="H4283" s="1">
        <v>139.453792342057</v>
      </c>
      <c r="I4283" s="1">
        <f t="shared" si="133"/>
        <v>148.27099846845636</v>
      </c>
    </row>
    <row r="4284" spans="1:9" x14ac:dyDescent="0.45">
      <c r="A4284" t="s">
        <v>72</v>
      </c>
      <c r="B4284" t="s">
        <v>69</v>
      </c>
      <c r="C4284" t="str">
        <f t="shared" si="132"/>
        <v>XavierVanderbilt</v>
      </c>
      <c r="D4284" t="s">
        <v>72</v>
      </c>
      <c r="E4284">
        <v>69</v>
      </c>
      <c r="F4284" s="1">
        <v>-5.2452830188679203</v>
      </c>
      <c r="G4284" s="2">
        <v>-222.54923514632301</v>
      </c>
      <c r="H4284" s="1">
        <v>140.19659451267901</v>
      </c>
      <c r="I4284" s="1">
        <f t="shared" si="133"/>
        <v>158.70121528876166</v>
      </c>
    </row>
    <row r="4285" spans="1:9" x14ac:dyDescent="0.45">
      <c r="A4285" t="s">
        <v>73</v>
      </c>
      <c r="B4285" t="s">
        <v>69</v>
      </c>
      <c r="C4285" t="str">
        <f t="shared" si="132"/>
        <v>YaleVanderbilt</v>
      </c>
      <c r="D4285" t="s">
        <v>73</v>
      </c>
      <c r="E4285">
        <v>53.8</v>
      </c>
      <c r="F4285" s="1">
        <v>-0.99622641509433996</v>
      </c>
      <c r="G4285" s="2">
        <v>-116.380606089628</v>
      </c>
      <c r="H4285" s="1">
        <v>140.796300649073</v>
      </c>
      <c r="I4285" s="1">
        <f t="shared" si="133"/>
        <v>167.12211829422677</v>
      </c>
    </row>
    <row r="4286" spans="1:9" x14ac:dyDescent="0.45">
      <c r="A4286" t="s">
        <v>7</v>
      </c>
      <c r="B4286" t="s">
        <v>70</v>
      </c>
      <c r="C4286" t="str">
        <f t="shared" si="132"/>
        <v>AkronVCU</v>
      </c>
      <c r="D4286" t="s">
        <v>70</v>
      </c>
      <c r="E4286">
        <v>15.9</v>
      </c>
      <c r="F4286" s="1">
        <v>10.913207547169799</v>
      </c>
      <c r="G4286" s="2">
        <v>528.585301714921</v>
      </c>
      <c r="H4286" s="1">
        <v>137.68795458045901</v>
      </c>
      <c r="I4286" s="1">
        <f t="shared" si="133"/>
        <v>123.47560684012201</v>
      </c>
    </row>
    <row r="4287" spans="1:9" x14ac:dyDescent="0.45">
      <c r="A4287" t="s">
        <v>8</v>
      </c>
      <c r="B4287" t="s">
        <v>70</v>
      </c>
      <c r="C4287" t="str">
        <f t="shared" si="132"/>
        <v>AlabamaVCU</v>
      </c>
      <c r="D4287" t="s">
        <v>8</v>
      </c>
      <c r="E4287">
        <v>93.5</v>
      </c>
      <c r="F4287" s="1">
        <v>-17.4264150943396</v>
      </c>
      <c r="G4287" s="2">
        <v>-1426.9725593348601</v>
      </c>
      <c r="H4287" s="1">
        <v>139.49556576805401</v>
      </c>
      <c r="I4287" s="1">
        <f t="shared" si="133"/>
        <v>148.85756903557103</v>
      </c>
    </row>
    <row r="4288" spans="1:9" x14ac:dyDescent="0.45">
      <c r="A4288" t="s">
        <v>9</v>
      </c>
      <c r="B4288" t="s">
        <v>70</v>
      </c>
      <c r="C4288" t="str">
        <f t="shared" si="132"/>
        <v>Alabama St.VCU</v>
      </c>
      <c r="D4288" t="s">
        <v>70</v>
      </c>
      <c r="E4288">
        <v>2.8</v>
      </c>
      <c r="F4288" s="1">
        <v>23.2339622641509</v>
      </c>
      <c r="G4288" s="2">
        <v>3461.0255085161698</v>
      </c>
      <c r="H4288" s="1">
        <v>137.87471633988099</v>
      </c>
      <c r="I4288" s="1">
        <f t="shared" si="133"/>
        <v>126.09806234921373</v>
      </c>
    </row>
    <row r="4289" spans="1:9" x14ac:dyDescent="0.45">
      <c r="A4289" t="s">
        <v>10</v>
      </c>
      <c r="B4289" t="s">
        <v>70</v>
      </c>
      <c r="C4289" t="str">
        <f t="shared" si="132"/>
        <v>AmericanVCU</v>
      </c>
      <c r="D4289" t="s">
        <v>70</v>
      </c>
      <c r="E4289">
        <v>3.1</v>
      </c>
      <c r="F4289" s="1">
        <v>22.4754716981132</v>
      </c>
      <c r="G4289" s="2">
        <v>3083.6035008183599</v>
      </c>
      <c r="H4289" s="1">
        <v>137.63800585964199</v>
      </c>
      <c r="I4289" s="1">
        <f t="shared" si="133"/>
        <v>122.77424110827165</v>
      </c>
    </row>
    <row r="4290" spans="1:9" x14ac:dyDescent="0.45">
      <c r="A4290" t="s">
        <v>11</v>
      </c>
      <c r="B4290" t="s">
        <v>70</v>
      </c>
      <c r="C4290" t="str">
        <f t="shared" si="132"/>
        <v>ArizonaVCU</v>
      </c>
      <c r="D4290" t="s">
        <v>11</v>
      </c>
      <c r="E4290">
        <v>90.4</v>
      </c>
      <c r="F4290" s="1">
        <v>-14.667924528301899</v>
      </c>
      <c r="G4290" s="2">
        <v>-937.26292675410696</v>
      </c>
      <c r="H4290" s="1">
        <v>139.106045108232</v>
      </c>
      <c r="I4290" s="1">
        <f t="shared" si="133"/>
        <v>143.38803071350361</v>
      </c>
    </row>
    <row r="4291" spans="1:9" x14ac:dyDescent="0.45">
      <c r="A4291" t="s">
        <v>12</v>
      </c>
      <c r="B4291" t="s">
        <v>70</v>
      </c>
      <c r="C4291" t="str">
        <f t="shared" ref="C4291:C4354" si="134">A4291&amp;B4291</f>
        <v>ArkansasVCU</v>
      </c>
      <c r="D4291" t="s">
        <v>70</v>
      </c>
      <c r="E4291">
        <v>37.9</v>
      </c>
      <c r="F4291" s="1">
        <v>3.2301886792452801</v>
      </c>
      <c r="G4291" s="2">
        <v>163.69603686285299</v>
      </c>
      <c r="H4291" s="1">
        <v>137.43196908602101</v>
      </c>
      <c r="I4291" s="1">
        <f t="shared" ref="I4291:I4354" si="135">18*(H4291-AVERAGE($H$2:$H$4625))/_xlfn.STDEV.P($H$2:$H$4625)+AVERAGE($H$2:$H$4625)</f>
        <v>119.88113133178375</v>
      </c>
    </row>
    <row r="4292" spans="1:9" x14ac:dyDescent="0.45">
      <c r="A4292" t="s">
        <v>13</v>
      </c>
      <c r="B4292" t="s">
        <v>70</v>
      </c>
      <c r="C4292" t="str">
        <f t="shared" si="134"/>
        <v>AuburnVCU</v>
      </c>
      <c r="D4292" t="s">
        <v>13</v>
      </c>
      <c r="E4292">
        <v>96.6</v>
      </c>
      <c r="F4292" s="1">
        <v>-21.864150943396201</v>
      </c>
      <c r="G4292" s="2">
        <v>-2808.8344615024698</v>
      </c>
      <c r="H4292" s="1">
        <v>140.517782001407</v>
      </c>
      <c r="I4292" s="1">
        <f t="shared" si="135"/>
        <v>163.21123865689071</v>
      </c>
    </row>
    <row r="4293" spans="1:9" x14ac:dyDescent="0.45">
      <c r="A4293" t="s">
        <v>14</v>
      </c>
      <c r="B4293" t="s">
        <v>70</v>
      </c>
      <c r="C4293" t="str">
        <f t="shared" si="134"/>
        <v>BaylorVCU</v>
      </c>
      <c r="D4293" t="s">
        <v>14</v>
      </c>
      <c r="E4293">
        <v>73.900000000000006</v>
      </c>
      <c r="F4293" s="1">
        <v>-6.8150943396226404</v>
      </c>
      <c r="G4293" s="2">
        <v>-282.85505292641301</v>
      </c>
      <c r="H4293" s="1">
        <v>138.98069936258699</v>
      </c>
      <c r="I4293" s="1">
        <f t="shared" si="135"/>
        <v>141.62796140260556</v>
      </c>
    </row>
    <row r="4294" spans="1:9" x14ac:dyDescent="0.45">
      <c r="A4294" t="s">
        <v>15</v>
      </c>
      <c r="B4294" t="s">
        <v>70</v>
      </c>
      <c r="C4294" t="str">
        <f t="shared" si="134"/>
        <v>BryantVCU</v>
      </c>
      <c r="D4294" t="s">
        <v>70</v>
      </c>
      <c r="E4294">
        <v>11.7</v>
      </c>
      <c r="F4294" s="1">
        <v>13.256603773584899</v>
      </c>
      <c r="G4294" s="2">
        <v>755.34936683421699</v>
      </c>
      <c r="H4294" s="1">
        <v>138.573019238233</v>
      </c>
      <c r="I4294" s="1">
        <f t="shared" si="135"/>
        <v>135.90343304429399</v>
      </c>
    </row>
    <row r="4295" spans="1:9" x14ac:dyDescent="0.45">
      <c r="A4295" t="s">
        <v>16</v>
      </c>
      <c r="B4295" t="s">
        <v>70</v>
      </c>
      <c r="C4295" t="str">
        <f t="shared" si="134"/>
        <v>BYUVCU</v>
      </c>
      <c r="D4295" t="s">
        <v>16</v>
      </c>
      <c r="E4295">
        <v>77</v>
      </c>
      <c r="F4295" s="1">
        <v>-7.9094339622641501</v>
      </c>
      <c r="G4295" s="2">
        <v>-334.25174518472699</v>
      </c>
      <c r="H4295" s="1">
        <v>138.74305991267701</v>
      </c>
      <c r="I4295" s="1">
        <f t="shared" si="135"/>
        <v>138.29109583375086</v>
      </c>
    </row>
    <row r="4296" spans="1:9" x14ac:dyDescent="0.45">
      <c r="A4296" t="s">
        <v>17</v>
      </c>
      <c r="B4296" t="s">
        <v>70</v>
      </c>
      <c r="C4296" t="str">
        <f t="shared" si="134"/>
        <v>ClemsonVCU</v>
      </c>
      <c r="D4296" t="s">
        <v>17</v>
      </c>
      <c r="E4296">
        <v>82.4</v>
      </c>
      <c r="F4296" s="1">
        <v>-10.1132075471698</v>
      </c>
      <c r="G4296" s="2">
        <v>-467.85885029116901</v>
      </c>
      <c r="H4296" s="1">
        <v>139.09311013511899</v>
      </c>
      <c r="I4296" s="1">
        <f t="shared" si="135"/>
        <v>143.20640149987264</v>
      </c>
    </row>
    <row r="4297" spans="1:9" x14ac:dyDescent="0.45">
      <c r="A4297" t="s">
        <v>18</v>
      </c>
      <c r="B4297" t="s">
        <v>70</v>
      </c>
      <c r="C4297" t="str">
        <f t="shared" si="134"/>
        <v>Colorado St.VCU</v>
      </c>
      <c r="D4297" t="s">
        <v>70</v>
      </c>
      <c r="E4297">
        <v>43.7</v>
      </c>
      <c r="F4297" s="1">
        <v>1.66792452830189</v>
      </c>
      <c r="G4297" s="2">
        <v>128.95822525953301</v>
      </c>
      <c r="H4297" s="1">
        <v>138.482721109913</v>
      </c>
      <c r="I4297" s="1">
        <f t="shared" si="135"/>
        <v>134.63549240801842</v>
      </c>
    </row>
    <row r="4298" spans="1:9" x14ac:dyDescent="0.45">
      <c r="A4298" t="s">
        <v>19</v>
      </c>
      <c r="B4298" t="s">
        <v>70</v>
      </c>
      <c r="C4298" t="str">
        <f t="shared" si="134"/>
        <v>ConnecticutVCU</v>
      </c>
      <c r="D4298" t="s">
        <v>19</v>
      </c>
      <c r="E4298">
        <v>87.9</v>
      </c>
      <c r="F4298" s="1">
        <v>-13.0075471698113</v>
      </c>
      <c r="G4298" s="2">
        <v>-727.44669922558705</v>
      </c>
      <c r="H4298" s="1">
        <v>138.893360965867</v>
      </c>
      <c r="I4298" s="1">
        <f t="shared" si="135"/>
        <v>140.40158047568332</v>
      </c>
    </row>
    <row r="4299" spans="1:9" x14ac:dyDescent="0.45">
      <c r="A4299" t="s">
        <v>20</v>
      </c>
      <c r="B4299" t="s">
        <v>70</v>
      </c>
      <c r="C4299" t="str">
        <f t="shared" si="134"/>
        <v>CreightonVCU</v>
      </c>
      <c r="D4299" t="s">
        <v>20</v>
      </c>
      <c r="E4299">
        <v>69.2</v>
      </c>
      <c r="F4299" s="1">
        <v>-5.3018867924528301</v>
      </c>
      <c r="G4299" s="2">
        <v>-224.475277792024</v>
      </c>
      <c r="H4299" s="1">
        <v>138.44265771870599</v>
      </c>
      <c r="I4299" s="1">
        <f t="shared" si="135"/>
        <v>134.07293366307567</v>
      </c>
    </row>
    <row r="4300" spans="1:9" x14ac:dyDescent="0.45">
      <c r="A4300" t="s">
        <v>21</v>
      </c>
      <c r="B4300" t="s">
        <v>70</v>
      </c>
      <c r="C4300" t="str">
        <f t="shared" si="134"/>
        <v>DrakeVCU</v>
      </c>
      <c r="D4300" t="s">
        <v>70</v>
      </c>
      <c r="E4300">
        <v>42.9</v>
      </c>
      <c r="F4300" s="1">
        <v>1.8716981132075501</v>
      </c>
      <c r="G4300" s="2">
        <v>133.051316390625</v>
      </c>
      <c r="H4300" s="1">
        <v>138.67733352438</v>
      </c>
      <c r="I4300" s="1">
        <f t="shared" si="135"/>
        <v>137.36818458245588</v>
      </c>
    </row>
    <row r="4301" spans="1:9" x14ac:dyDescent="0.45">
      <c r="A4301" t="s">
        <v>22</v>
      </c>
      <c r="B4301" t="s">
        <v>70</v>
      </c>
      <c r="C4301" t="str">
        <f t="shared" si="134"/>
        <v>DukeVCU</v>
      </c>
      <c r="D4301" t="s">
        <v>22</v>
      </c>
      <c r="E4301">
        <v>97.5</v>
      </c>
      <c r="F4301" s="1">
        <v>-24.079245283018899</v>
      </c>
      <c r="G4301" s="2">
        <v>-3937.6149949759301</v>
      </c>
      <c r="H4301" s="1">
        <v>140.757673412983</v>
      </c>
      <c r="I4301" s="1">
        <f t="shared" si="135"/>
        <v>166.57972563098167</v>
      </c>
    </row>
    <row r="4302" spans="1:9" x14ac:dyDescent="0.45">
      <c r="A4302" t="s">
        <v>23</v>
      </c>
      <c r="B4302" t="s">
        <v>70</v>
      </c>
      <c r="C4302" t="str">
        <f t="shared" si="134"/>
        <v>FloridaVCU</v>
      </c>
      <c r="D4302" t="s">
        <v>23</v>
      </c>
      <c r="E4302">
        <v>95.6</v>
      </c>
      <c r="F4302" s="1">
        <v>-20.222641509433998</v>
      </c>
      <c r="G4302" s="2">
        <v>-2186.2563810587999</v>
      </c>
      <c r="H4302" s="1">
        <v>140.49232394053701</v>
      </c>
      <c r="I4302" s="1">
        <f t="shared" si="135"/>
        <v>162.85376380665406</v>
      </c>
    </row>
    <row r="4303" spans="1:9" x14ac:dyDescent="0.45">
      <c r="A4303" t="s">
        <v>24</v>
      </c>
      <c r="B4303" t="s">
        <v>70</v>
      </c>
      <c r="C4303" t="str">
        <f t="shared" si="134"/>
        <v>GeorgiaVCU</v>
      </c>
      <c r="D4303" t="s">
        <v>70</v>
      </c>
      <c r="E4303">
        <v>46.8</v>
      </c>
      <c r="F4303" s="1">
        <v>0.83773584905660403</v>
      </c>
      <c r="G4303" s="2">
        <v>113.661773419056</v>
      </c>
      <c r="H4303" s="1">
        <v>137.75628223682199</v>
      </c>
      <c r="I4303" s="1">
        <f t="shared" si="135"/>
        <v>124.43504435777551</v>
      </c>
    </row>
    <row r="4304" spans="1:9" x14ac:dyDescent="0.45">
      <c r="A4304" t="s">
        <v>25</v>
      </c>
      <c r="B4304" t="s">
        <v>70</v>
      </c>
      <c r="C4304" t="str">
        <f t="shared" si="134"/>
        <v>GonzagaVCU</v>
      </c>
      <c r="D4304" t="s">
        <v>25</v>
      </c>
      <c r="E4304">
        <v>81.7</v>
      </c>
      <c r="F4304" s="1">
        <v>-9.7886792452830207</v>
      </c>
      <c r="G4304" s="2">
        <v>-445.27100392392902</v>
      </c>
      <c r="H4304" s="1">
        <v>139.73324396732801</v>
      </c>
      <c r="I4304" s="1">
        <f t="shared" si="135"/>
        <v>152.1949787119747</v>
      </c>
    </row>
    <row r="4305" spans="1:9" x14ac:dyDescent="0.45">
      <c r="A4305" t="s">
        <v>26</v>
      </c>
      <c r="B4305" t="s">
        <v>70</v>
      </c>
      <c r="C4305" t="str">
        <f t="shared" si="134"/>
        <v>Grand CanyonVCU</v>
      </c>
      <c r="D4305" t="s">
        <v>70</v>
      </c>
      <c r="E4305">
        <v>32.6</v>
      </c>
      <c r="F4305" s="1">
        <v>4.7584905660377403</v>
      </c>
      <c r="G4305" s="2">
        <v>206.70663647274301</v>
      </c>
      <c r="H4305" s="1">
        <v>138.551215684867</v>
      </c>
      <c r="I4305" s="1">
        <f t="shared" si="135"/>
        <v>135.59727374905387</v>
      </c>
    </row>
    <row r="4306" spans="1:9" x14ac:dyDescent="0.45">
      <c r="A4306" t="s">
        <v>27</v>
      </c>
      <c r="B4306" t="s">
        <v>70</v>
      </c>
      <c r="C4306" t="str">
        <f t="shared" si="134"/>
        <v>High PointVCU</v>
      </c>
      <c r="D4306" t="s">
        <v>70</v>
      </c>
      <c r="E4306">
        <v>23.2</v>
      </c>
      <c r="F4306" s="1">
        <v>7.8490566037735796</v>
      </c>
      <c r="G4306" s="2">
        <v>331.15893820171499</v>
      </c>
      <c r="H4306" s="1">
        <v>138.742422818416</v>
      </c>
      <c r="I4306" s="1">
        <f t="shared" si="135"/>
        <v>138.28214993733306</v>
      </c>
    </row>
    <row r="4307" spans="1:9" x14ac:dyDescent="0.45">
      <c r="A4307" t="s">
        <v>28</v>
      </c>
      <c r="B4307" t="s">
        <v>70</v>
      </c>
      <c r="C4307" t="str">
        <f t="shared" si="134"/>
        <v>HoustonVCU</v>
      </c>
      <c r="D4307" t="s">
        <v>28</v>
      </c>
      <c r="E4307">
        <v>98.5</v>
      </c>
      <c r="F4307" s="1">
        <v>-27.4339622641509</v>
      </c>
      <c r="G4307" s="2">
        <v>-6568.4577502840402</v>
      </c>
      <c r="H4307" s="1">
        <v>140.85588517561899</v>
      </c>
      <c r="I4307" s="1">
        <f t="shared" si="135"/>
        <v>167.95878726961422</v>
      </c>
    </row>
    <row r="4308" spans="1:9" x14ac:dyDescent="0.45">
      <c r="A4308" t="s">
        <v>29</v>
      </c>
      <c r="B4308" t="s">
        <v>70</v>
      </c>
      <c r="C4308" t="str">
        <f t="shared" si="134"/>
        <v>IllinoisVCU</v>
      </c>
      <c r="D4308" t="s">
        <v>29</v>
      </c>
      <c r="E4308">
        <v>86.6</v>
      </c>
      <c r="F4308" s="1">
        <v>-12.2452830188679</v>
      </c>
      <c r="G4308" s="2">
        <v>-647.51499601264902</v>
      </c>
      <c r="H4308" s="1">
        <v>138.914348950581</v>
      </c>
      <c r="I4308" s="1">
        <f t="shared" si="135"/>
        <v>140.69628778786702</v>
      </c>
    </row>
    <row r="4309" spans="1:9" x14ac:dyDescent="0.45">
      <c r="A4309" t="s">
        <v>30</v>
      </c>
      <c r="B4309" t="s">
        <v>70</v>
      </c>
      <c r="C4309" t="str">
        <f t="shared" si="134"/>
        <v>Iowa St.VCU</v>
      </c>
      <c r="D4309" t="s">
        <v>30</v>
      </c>
      <c r="E4309">
        <v>93.1</v>
      </c>
      <c r="F4309" s="1">
        <v>-17.1056603773585</v>
      </c>
      <c r="G4309" s="2">
        <v>-1359.2704953985301</v>
      </c>
      <c r="H4309" s="1">
        <v>139.810891242167</v>
      </c>
      <c r="I4309" s="1">
        <f t="shared" si="135"/>
        <v>153.28527966168568</v>
      </c>
    </row>
    <row r="4310" spans="1:9" x14ac:dyDescent="0.45">
      <c r="A4310" t="s">
        <v>31</v>
      </c>
      <c r="B4310" t="s">
        <v>70</v>
      </c>
      <c r="C4310" t="str">
        <f t="shared" si="134"/>
        <v>KansasVCU</v>
      </c>
      <c r="D4310" t="s">
        <v>31</v>
      </c>
      <c r="E4310">
        <v>80.7</v>
      </c>
      <c r="F4310" s="1">
        <v>-9.3886792452830203</v>
      </c>
      <c r="G4310" s="2">
        <v>-418.89478559139098</v>
      </c>
      <c r="H4310" s="1">
        <v>138.86147913102101</v>
      </c>
      <c r="I4310" s="1">
        <f t="shared" si="135"/>
        <v>139.95390481825439</v>
      </c>
    </row>
    <row r="4311" spans="1:9" x14ac:dyDescent="0.45">
      <c r="A4311" t="s">
        <v>32</v>
      </c>
      <c r="B4311" t="s">
        <v>70</v>
      </c>
      <c r="C4311" t="str">
        <f t="shared" si="134"/>
        <v>KentuckyVCU</v>
      </c>
      <c r="D4311" t="s">
        <v>32</v>
      </c>
      <c r="E4311">
        <v>87.5</v>
      </c>
      <c r="F4311" s="1">
        <v>-12.7547169811321</v>
      </c>
      <c r="G4311" s="2">
        <v>-699.82732728299902</v>
      </c>
      <c r="H4311" s="1">
        <v>138.79576146314599</v>
      </c>
      <c r="I4311" s="1">
        <f t="shared" si="135"/>
        <v>139.03111601664483</v>
      </c>
    </row>
    <row r="4312" spans="1:9" x14ac:dyDescent="0.45">
      <c r="A4312" t="s">
        <v>33</v>
      </c>
      <c r="B4312" t="s">
        <v>70</v>
      </c>
      <c r="C4312" t="str">
        <f t="shared" si="134"/>
        <v>LibertyVCU</v>
      </c>
      <c r="D4312" t="s">
        <v>70</v>
      </c>
      <c r="E4312">
        <v>17.399999999999999</v>
      </c>
      <c r="F4312" s="1">
        <v>10.2301886792453</v>
      </c>
      <c r="G4312" s="2">
        <v>476.252225226147</v>
      </c>
      <c r="H4312" s="1">
        <v>138.14076250686401</v>
      </c>
      <c r="I4312" s="1">
        <f t="shared" si="135"/>
        <v>129.83380696008413</v>
      </c>
    </row>
    <row r="4313" spans="1:9" x14ac:dyDescent="0.45">
      <c r="A4313" t="s">
        <v>34</v>
      </c>
      <c r="B4313" t="s">
        <v>70</v>
      </c>
      <c r="C4313" t="str">
        <f t="shared" si="134"/>
        <v>LipscombVCU</v>
      </c>
      <c r="D4313" t="s">
        <v>70</v>
      </c>
      <c r="E4313">
        <v>13.6</v>
      </c>
      <c r="F4313" s="1">
        <v>12.0981132075472</v>
      </c>
      <c r="G4313" s="2">
        <v>633.04607216625004</v>
      </c>
      <c r="H4313" s="1">
        <v>138.547080704455</v>
      </c>
      <c r="I4313" s="1">
        <f t="shared" si="135"/>
        <v>135.53921153013385</v>
      </c>
    </row>
    <row r="4314" spans="1:9" x14ac:dyDescent="0.45">
      <c r="A4314" t="s">
        <v>35</v>
      </c>
      <c r="B4314" t="s">
        <v>70</v>
      </c>
      <c r="C4314" t="str">
        <f t="shared" si="134"/>
        <v>LouisvilleVCU</v>
      </c>
      <c r="D4314" t="s">
        <v>70</v>
      </c>
      <c r="E4314">
        <v>28.4</v>
      </c>
      <c r="F4314" s="1">
        <v>6.0490566037735896</v>
      </c>
      <c r="G4314" s="2">
        <v>251.592379999993</v>
      </c>
      <c r="H4314" s="1">
        <v>137.79244271027301</v>
      </c>
      <c r="I4314" s="1">
        <f t="shared" si="135"/>
        <v>124.94279944161323</v>
      </c>
    </row>
    <row r="4315" spans="1:9" x14ac:dyDescent="0.45">
      <c r="A4315" t="s">
        <v>36</v>
      </c>
      <c r="B4315" t="s">
        <v>70</v>
      </c>
      <c r="C4315" t="str">
        <f t="shared" si="134"/>
        <v>MarquetteVCU</v>
      </c>
      <c r="D4315" t="s">
        <v>36</v>
      </c>
      <c r="E4315">
        <v>84.3</v>
      </c>
      <c r="F4315" s="1">
        <v>-11.018867924528299</v>
      </c>
      <c r="G4315" s="2">
        <v>-537.08845115839904</v>
      </c>
      <c r="H4315" s="1">
        <v>139.05457655373499</v>
      </c>
      <c r="I4315" s="1">
        <f t="shared" si="135"/>
        <v>142.66532390937306</v>
      </c>
    </row>
    <row r="4316" spans="1:9" x14ac:dyDescent="0.45">
      <c r="A4316" t="s">
        <v>37</v>
      </c>
      <c r="B4316" t="s">
        <v>70</v>
      </c>
      <c r="C4316" t="str">
        <f t="shared" si="134"/>
        <v>MarylandVCU</v>
      </c>
      <c r="D4316" t="s">
        <v>37</v>
      </c>
      <c r="E4316">
        <v>76.8</v>
      </c>
      <c r="F4316" s="1">
        <v>-7.8528301886792402</v>
      </c>
      <c r="G4316" s="2">
        <v>-331.29278843501203</v>
      </c>
      <c r="H4316" s="1">
        <v>138.512946152278</v>
      </c>
      <c r="I4316" s="1">
        <f t="shared" si="135"/>
        <v>135.05990385663588</v>
      </c>
    </row>
    <row r="4317" spans="1:9" x14ac:dyDescent="0.45">
      <c r="A4317" t="s">
        <v>38</v>
      </c>
      <c r="B4317" t="s">
        <v>70</v>
      </c>
      <c r="C4317" t="str">
        <f t="shared" si="134"/>
        <v>McNeese St.VCU</v>
      </c>
      <c r="D4317" t="s">
        <v>70</v>
      </c>
      <c r="E4317">
        <v>43.6</v>
      </c>
      <c r="F4317" s="1">
        <v>1.6867924528301901</v>
      </c>
      <c r="G4317" s="2">
        <v>129.377183164092</v>
      </c>
      <c r="H4317" s="1">
        <v>139.106181565242</v>
      </c>
      <c r="I4317" s="1">
        <f t="shared" si="135"/>
        <v>143.38994680402845</v>
      </c>
    </row>
    <row r="4318" spans="1:9" x14ac:dyDescent="0.45">
      <c r="A4318" t="s">
        <v>39</v>
      </c>
      <c r="B4318" t="s">
        <v>70</v>
      </c>
      <c r="C4318" t="str">
        <f t="shared" si="134"/>
        <v>MemphisVCU</v>
      </c>
      <c r="D4318" t="s">
        <v>39</v>
      </c>
      <c r="E4318">
        <v>65.099999999999994</v>
      </c>
      <c r="F4318" s="1">
        <v>-4.0867924528301902</v>
      </c>
      <c r="G4318" s="2">
        <v>-186.55702848989401</v>
      </c>
      <c r="H4318" s="1">
        <v>137.64046339176801</v>
      </c>
      <c r="I4318" s="1">
        <f t="shared" si="135"/>
        <v>122.80874907544109</v>
      </c>
    </row>
    <row r="4319" spans="1:9" x14ac:dyDescent="0.45">
      <c r="A4319" t="s">
        <v>40</v>
      </c>
      <c r="B4319" t="s">
        <v>70</v>
      </c>
      <c r="C4319" t="str">
        <f t="shared" si="134"/>
        <v>MichiganVCU</v>
      </c>
      <c r="D4319" t="s">
        <v>70</v>
      </c>
      <c r="E4319">
        <v>48</v>
      </c>
      <c r="F4319" s="1">
        <v>0.53584905660377402</v>
      </c>
      <c r="G4319" s="2">
        <v>108.538300873518</v>
      </c>
      <c r="H4319" s="1">
        <v>137.20308468868399</v>
      </c>
      <c r="I4319" s="1">
        <f t="shared" si="135"/>
        <v>116.6672017211433</v>
      </c>
    </row>
    <row r="4320" spans="1:9" x14ac:dyDescent="0.45">
      <c r="A4320" t="s">
        <v>41</v>
      </c>
      <c r="B4320" t="s">
        <v>70</v>
      </c>
      <c r="C4320" t="str">
        <f t="shared" si="134"/>
        <v>Michigan St.VCU</v>
      </c>
      <c r="D4320" t="s">
        <v>41</v>
      </c>
      <c r="E4320">
        <v>89.7</v>
      </c>
      <c r="F4320" s="1">
        <v>-14.207547169811299</v>
      </c>
      <c r="G4320" s="2">
        <v>-873.71968968192505</v>
      </c>
      <c r="H4320" s="1">
        <v>138.850164397892</v>
      </c>
      <c r="I4320" s="1">
        <f t="shared" si="135"/>
        <v>139.79502655366792</v>
      </c>
    </row>
    <row r="4321" spans="1:9" x14ac:dyDescent="0.45">
      <c r="A4321" t="s">
        <v>42</v>
      </c>
      <c r="B4321" t="s">
        <v>70</v>
      </c>
      <c r="C4321" t="str">
        <f t="shared" si="134"/>
        <v>MississippiVCU</v>
      </c>
      <c r="D4321" t="s">
        <v>42</v>
      </c>
      <c r="E4321">
        <v>70.5</v>
      </c>
      <c r="F4321" s="1">
        <v>-5.7132075471698096</v>
      </c>
      <c r="G4321" s="2">
        <v>-239.05658309908301</v>
      </c>
      <c r="H4321" s="1">
        <v>138.11785574778099</v>
      </c>
      <c r="I4321" s="1">
        <f t="shared" si="135"/>
        <v>129.51215676392724</v>
      </c>
    </row>
    <row r="4322" spans="1:9" x14ac:dyDescent="0.45">
      <c r="A4322" t="s">
        <v>43</v>
      </c>
      <c r="B4322" t="s">
        <v>70</v>
      </c>
      <c r="C4322" t="str">
        <f t="shared" si="134"/>
        <v>Mississippi St.VCU</v>
      </c>
      <c r="D4322" t="s">
        <v>43</v>
      </c>
      <c r="E4322">
        <v>64.8</v>
      </c>
      <c r="F4322" s="1">
        <v>-3.98867924528302</v>
      </c>
      <c r="G4322" s="2">
        <v>-183.79064068404199</v>
      </c>
      <c r="H4322" s="1">
        <v>138.25760222045801</v>
      </c>
      <c r="I4322" s="1">
        <f t="shared" si="135"/>
        <v>131.47443698811344</v>
      </c>
    </row>
    <row r="4323" spans="1:9" x14ac:dyDescent="0.45">
      <c r="A4323" t="s">
        <v>44</v>
      </c>
      <c r="B4323" t="s">
        <v>70</v>
      </c>
      <c r="C4323" t="str">
        <f t="shared" si="134"/>
        <v>MissouriVCU</v>
      </c>
      <c r="D4323" t="s">
        <v>70</v>
      </c>
      <c r="E4323">
        <v>46.4</v>
      </c>
      <c r="F4323" s="1">
        <v>0.94339622641509402</v>
      </c>
      <c r="G4323" s="2">
        <v>115.492794604221</v>
      </c>
      <c r="H4323" s="1">
        <v>137.67526411910299</v>
      </c>
      <c r="I4323" s="1">
        <f t="shared" si="135"/>
        <v>123.29741099104135</v>
      </c>
    </row>
    <row r="4324" spans="1:9" x14ac:dyDescent="0.45">
      <c r="A4324" t="s">
        <v>45</v>
      </c>
      <c r="B4324" t="s">
        <v>70</v>
      </c>
      <c r="C4324" t="str">
        <f t="shared" si="134"/>
        <v>MontanaVCU</v>
      </c>
      <c r="D4324" t="s">
        <v>70</v>
      </c>
      <c r="E4324">
        <v>7.2</v>
      </c>
      <c r="F4324" s="1">
        <v>16.7509433962264</v>
      </c>
      <c r="G4324" s="2">
        <v>1287.3618435425201</v>
      </c>
      <c r="H4324" s="1">
        <v>136.81197568251</v>
      </c>
      <c r="I4324" s="1">
        <f t="shared" si="135"/>
        <v>111.17536029134126</v>
      </c>
    </row>
    <row r="4325" spans="1:9" x14ac:dyDescent="0.45">
      <c r="A4325" t="s">
        <v>46</v>
      </c>
      <c r="B4325" t="s">
        <v>70</v>
      </c>
      <c r="C4325" t="str">
        <f t="shared" si="134"/>
        <v>Mount St. Mary'sVCU</v>
      </c>
      <c r="D4325" t="s">
        <v>70</v>
      </c>
      <c r="E4325">
        <v>2.9</v>
      </c>
      <c r="F4325" s="1">
        <v>23.083018867924501</v>
      </c>
      <c r="G4325" s="2">
        <v>3383.1774023365501</v>
      </c>
      <c r="H4325" s="1">
        <v>138.11526363665999</v>
      </c>
      <c r="I4325" s="1">
        <f t="shared" si="135"/>
        <v>129.47575907678564</v>
      </c>
    </row>
    <row r="4326" spans="1:9" x14ac:dyDescent="0.45">
      <c r="A4326" t="s">
        <v>47</v>
      </c>
      <c r="B4326" t="s">
        <v>70</v>
      </c>
      <c r="C4326" t="str">
        <f t="shared" si="134"/>
        <v>Nebraska OmahaVCU</v>
      </c>
      <c r="D4326" t="s">
        <v>70</v>
      </c>
      <c r="E4326">
        <v>4</v>
      </c>
      <c r="F4326" s="1">
        <v>20.8943396226415</v>
      </c>
      <c r="G4326" s="2">
        <v>2422.26832399149</v>
      </c>
      <c r="H4326" s="1">
        <v>137.53303976876299</v>
      </c>
      <c r="I4326" s="1">
        <f t="shared" si="135"/>
        <v>121.30033711344205</v>
      </c>
    </row>
    <row r="4327" spans="1:9" x14ac:dyDescent="0.45">
      <c r="A4327" t="s">
        <v>48</v>
      </c>
      <c r="B4327" t="s">
        <v>70</v>
      </c>
      <c r="C4327" t="str">
        <f t="shared" si="134"/>
        <v>New MexicoVCU</v>
      </c>
      <c r="D4327" t="s">
        <v>70</v>
      </c>
      <c r="E4327">
        <v>49.8</v>
      </c>
      <c r="F4327" s="1">
        <v>6.4150943396226401E-2</v>
      </c>
      <c r="G4327" s="2">
        <v>100.957608935525</v>
      </c>
      <c r="H4327" s="1">
        <v>138.30302970058099</v>
      </c>
      <c r="I4327" s="1">
        <f t="shared" si="135"/>
        <v>132.11231674401944</v>
      </c>
    </row>
    <row r="4328" spans="1:9" x14ac:dyDescent="0.45">
      <c r="A4328" t="s">
        <v>49</v>
      </c>
      <c r="B4328" t="s">
        <v>70</v>
      </c>
      <c r="C4328" t="str">
        <f t="shared" si="134"/>
        <v>Norfolk St.VCU</v>
      </c>
      <c r="D4328" t="s">
        <v>70</v>
      </c>
      <c r="E4328">
        <v>5.5</v>
      </c>
      <c r="F4328" s="1">
        <v>18.6301886792453</v>
      </c>
      <c r="G4328" s="2">
        <v>1714.6260338974701</v>
      </c>
      <c r="H4328" s="1">
        <v>137.33915546454401</v>
      </c>
      <c r="I4328" s="1">
        <f t="shared" si="135"/>
        <v>118.57786885602621</v>
      </c>
    </row>
    <row r="4329" spans="1:9" x14ac:dyDescent="0.45">
      <c r="A4329" t="s">
        <v>50</v>
      </c>
      <c r="B4329" t="s">
        <v>70</v>
      </c>
      <c r="C4329" t="str">
        <f t="shared" si="134"/>
        <v>North CarolinaVCU</v>
      </c>
      <c r="D4329" t="s">
        <v>50</v>
      </c>
      <c r="E4329">
        <v>77.2</v>
      </c>
      <c r="F4329" s="1">
        <v>-7.98867924528302</v>
      </c>
      <c r="G4329" s="2">
        <v>-338.23453480162499</v>
      </c>
      <c r="H4329" s="1">
        <v>139.412761419014</v>
      </c>
      <c r="I4329" s="1">
        <f t="shared" si="135"/>
        <v>147.69485391664745</v>
      </c>
    </row>
    <row r="4330" spans="1:9" x14ac:dyDescent="0.45">
      <c r="A4330" t="s">
        <v>51</v>
      </c>
      <c r="B4330" t="s">
        <v>70</v>
      </c>
      <c r="C4330" t="str">
        <f t="shared" si="134"/>
        <v>OklahomaVCU</v>
      </c>
      <c r="D4330" t="s">
        <v>51</v>
      </c>
      <c r="E4330">
        <v>54.2</v>
      </c>
      <c r="F4330" s="1">
        <v>-1.1056603773584901</v>
      </c>
      <c r="G4330" s="2">
        <v>-118.369749474681</v>
      </c>
      <c r="H4330" s="1">
        <v>137.83638454518899</v>
      </c>
      <c r="I4330" s="1">
        <f t="shared" si="135"/>
        <v>125.55981819005332</v>
      </c>
    </row>
    <row r="4331" spans="1:9" x14ac:dyDescent="0.45">
      <c r="A4331" t="s">
        <v>52</v>
      </c>
      <c r="B4331" t="s">
        <v>70</v>
      </c>
      <c r="C4331" t="str">
        <f t="shared" si="134"/>
        <v>OregonVCU</v>
      </c>
      <c r="D4331" t="s">
        <v>52</v>
      </c>
      <c r="E4331">
        <v>76.900000000000006</v>
      </c>
      <c r="F4331" s="1">
        <v>-7.8716981132075503</v>
      </c>
      <c r="G4331" s="2">
        <v>-332.28212123555102</v>
      </c>
      <c r="H4331" s="1">
        <v>138.127101936717</v>
      </c>
      <c r="I4331" s="1">
        <f t="shared" si="135"/>
        <v>129.64198911926792</v>
      </c>
    </row>
    <row r="4332" spans="1:9" x14ac:dyDescent="0.45">
      <c r="A4332" t="s">
        <v>53</v>
      </c>
      <c r="B4332" t="s">
        <v>70</v>
      </c>
      <c r="C4332" t="str">
        <f t="shared" si="134"/>
        <v>PurdueVCU</v>
      </c>
      <c r="D4332" t="s">
        <v>53</v>
      </c>
      <c r="E4332">
        <v>95</v>
      </c>
      <c r="F4332" s="1">
        <v>-19.245283018867902</v>
      </c>
      <c r="G4332" s="2">
        <v>-1883.24400759729</v>
      </c>
      <c r="H4332" s="1">
        <v>139.61518913651599</v>
      </c>
      <c r="I4332" s="1">
        <f t="shared" si="135"/>
        <v>150.53728635356026</v>
      </c>
    </row>
    <row r="4333" spans="1:9" x14ac:dyDescent="0.45">
      <c r="A4333" t="s">
        <v>54</v>
      </c>
      <c r="B4333" t="s">
        <v>70</v>
      </c>
      <c r="C4333" t="str">
        <f t="shared" si="134"/>
        <v>Robert MorrisVCU</v>
      </c>
      <c r="D4333" t="s">
        <v>70</v>
      </c>
      <c r="E4333">
        <v>2.2999999999999998</v>
      </c>
      <c r="F4333" s="1">
        <v>24.6452830188679</v>
      </c>
      <c r="G4333" s="2">
        <v>4292.6779372147903</v>
      </c>
      <c r="H4333" s="1">
        <v>136.698154465203</v>
      </c>
      <c r="I4333" s="1">
        <f t="shared" si="135"/>
        <v>109.57711512968687</v>
      </c>
    </row>
    <row r="4334" spans="1:9" x14ac:dyDescent="0.45">
      <c r="A4334" t="s">
        <v>55</v>
      </c>
      <c r="B4334" t="s">
        <v>70</v>
      </c>
      <c r="C4334" t="str">
        <f t="shared" si="134"/>
        <v>Saint FrancisVCU</v>
      </c>
      <c r="D4334" t="s">
        <v>70</v>
      </c>
      <c r="E4334">
        <v>1.4</v>
      </c>
      <c r="F4334" s="1">
        <v>28.0075471698113</v>
      </c>
      <c r="G4334" s="2">
        <v>7169.8571127061005</v>
      </c>
      <c r="H4334" s="1">
        <v>137.40500234724601</v>
      </c>
      <c r="I4334" s="1">
        <f t="shared" si="135"/>
        <v>119.50247205548644</v>
      </c>
    </row>
    <row r="4335" spans="1:9" x14ac:dyDescent="0.45">
      <c r="A4335" t="s">
        <v>56</v>
      </c>
      <c r="B4335" t="s">
        <v>70</v>
      </c>
      <c r="C4335" t="str">
        <f t="shared" si="134"/>
        <v>Saint Mary'sVCU</v>
      </c>
      <c r="D4335" t="s">
        <v>56</v>
      </c>
      <c r="E4335">
        <v>76.5</v>
      </c>
      <c r="F4335" s="1">
        <v>-7.7283018867924502</v>
      </c>
      <c r="G4335" s="2">
        <v>-325.05262245487302</v>
      </c>
      <c r="H4335" s="1">
        <v>139.134208463188</v>
      </c>
      <c r="I4335" s="1">
        <f t="shared" si="135"/>
        <v>143.78349253388629</v>
      </c>
    </row>
    <row r="4336" spans="1:9" x14ac:dyDescent="0.45">
      <c r="A4336" t="s">
        <v>57</v>
      </c>
      <c r="B4336" t="s">
        <v>70</v>
      </c>
      <c r="C4336" t="str">
        <f t="shared" si="134"/>
        <v>San Diego St.VCU</v>
      </c>
      <c r="D4336" t="s">
        <v>57</v>
      </c>
      <c r="E4336">
        <v>50.2</v>
      </c>
      <c r="F4336" s="1">
        <v>-5.2830188679245299E-2</v>
      </c>
      <c r="G4336" s="2">
        <v>-100.82172139075</v>
      </c>
      <c r="H4336" s="1">
        <v>138.348907626216</v>
      </c>
      <c r="I4336" s="1">
        <f t="shared" si="135"/>
        <v>132.75652152769462</v>
      </c>
    </row>
    <row r="4337" spans="1:9" x14ac:dyDescent="0.45">
      <c r="A4337" t="s">
        <v>58</v>
      </c>
      <c r="B4337" t="s">
        <v>70</v>
      </c>
      <c r="C4337" t="str">
        <f t="shared" si="134"/>
        <v>SIU EdwardsvilleVCU</v>
      </c>
      <c r="D4337" t="s">
        <v>70</v>
      </c>
      <c r="E4337">
        <v>4.5999999999999996</v>
      </c>
      <c r="F4337" s="1">
        <v>19.920754716981101</v>
      </c>
      <c r="G4337" s="2">
        <v>2087.9792156695898</v>
      </c>
      <c r="H4337" s="1">
        <v>138.40816580640001</v>
      </c>
      <c r="I4337" s="1">
        <f t="shared" si="135"/>
        <v>133.58860804028288</v>
      </c>
    </row>
    <row r="4338" spans="1:9" x14ac:dyDescent="0.45">
      <c r="A4338" t="s">
        <v>59</v>
      </c>
      <c r="B4338" t="s">
        <v>70</v>
      </c>
      <c r="C4338" t="str">
        <f t="shared" si="134"/>
        <v>St. John'sVCU</v>
      </c>
      <c r="D4338" t="s">
        <v>59</v>
      </c>
      <c r="E4338">
        <v>90.4</v>
      </c>
      <c r="F4338" s="1">
        <v>-14.7094339622642</v>
      </c>
      <c r="G4338" s="2">
        <v>-943.19898233730203</v>
      </c>
      <c r="H4338" s="1">
        <v>139.22762225495501</v>
      </c>
      <c r="I4338" s="1">
        <f t="shared" si="135"/>
        <v>145.0951824301622</v>
      </c>
    </row>
    <row r="4339" spans="1:9" x14ac:dyDescent="0.45">
      <c r="A4339" t="s">
        <v>60</v>
      </c>
      <c r="B4339" t="s">
        <v>70</v>
      </c>
      <c r="C4339" t="str">
        <f t="shared" si="134"/>
        <v>TennesseeVCU</v>
      </c>
      <c r="D4339" t="s">
        <v>60</v>
      </c>
      <c r="E4339">
        <v>95.4</v>
      </c>
      <c r="F4339" s="1">
        <v>-19.9283018867925</v>
      </c>
      <c r="G4339" s="2">
        <v>-2090.0699250182402</v>
      </c>
      <c r="H4339" s="1">
        <v>140.020854629089</v>
      </c>
      <c r="I4339" s="1">
        <f t="shared" si="135"/>
        <v>156.2335258253826</v>
      </c>
    </row>
    <row r="4340" spans="1:9" x14ac:dyDescent="0.45">
      <c r="A4340" t="s">
        <v>61</v>
      </c>
      <c r="B4340" t="s">
        <v>70</v>
      </c>
      <c r="C4340" t="str">
        <f t="shared" si="134"/>
        <v>TexasVCU</v>
      </c>
      <c r="D4340" t="s">
        <v>70</v>
      </c>
      <c r="E4340">
        <v>45.6</v>
      </c>
      <c r="F4340" s="1">
        <v>1.1698113207547201</v>
      </c>
      <c r="G4340" s="2">
        <v>119.531950852968</v>
      </c>
      <c r="H4340" s="1">
        <v>137.720736456727</v>
      </c>
      <c r="I4340" s="1">
        <f t="shared" si="135"/>
        <v>123.93592062321883</v>
      </c>
    </row>
    <row r="4341" spans="1:9" x14ac:dyDescent="0.45">
      <c r="A4341" t="s">
        <v>62</v>
      </c>
      <c r="B4341" t="s">
        <v>70</v>
      </c>
      <c r="C4341" t="str">
        <f t="shared" si="134"/>
        <v>Texas A&amp;MVCU</v>
      </c>
      <c r="D4341" t="s">
        <v>62</v>
      </c>
      <c r="E4341">
        <v>82.6</v>
      </c>
      <c r="F4341" s="1">
        <v>-10.2301886792453</v>
      </c>
      <c r="G4341" s="2">
        <v>-476.28869302631</v>
      </c>
      <c r="H4341" s="1">
        <v>138.507711766125</v>
      </c>
      <c r="I4341" s="1">
        <f t="shared" si="135"/>
        <v>134.98640409498154</v>
      </c>
    </row>
    <row r="4342" spans="1:9" x14ac:dyDescent="0.45">
      <c r="A4342" t="s">
        <v>63</v>
      </c>
      <c r="B4342" t="s">
        <v>70</v>
      </c>
      <c r="C4342" t="str">
        <f t="shared" si="134"/>
        <v>Texas TechVCU</v>
      </c>
      <c r="D4342" t="s">
        <v>63</v>
      </c>
      <c r="E4342">
        <v>90.2</v>
      </c>
      <c r="F4342" s="1">
        <v>-14.5660377358491</v>
      </c>
      <c r="G4342" s="2">
        <v>-922.54107798255905</v>
      </c>
      <c r="H4342" s="1">
        <v>139.49822437136399</v>
      </c>
      <c r="I4342" s="1">
        <f t="shared" si="135"/>
        <v>148.89490038711929</v>
      </c>
    </row>
    <row r="4343" spans="1:9" x14ac:dyDescent="0.45">
      <c r="A4343" t="s">
        <v>64</v>
      </c>
      <c r="B4343" t="s">
        <v>70</v>
      </c>
      <c r="C4343" t="str">
        <f t="shared" si="134"/>
        <v>TroyVCU</v>
      </c>
      <c r="D4343" t="s">
        <v>70</v>
      </c>
      <c r="E4343">
        <v>11.7</v>
      </c>
      <c r="F4343" s="1">
        <v>13.2415094339623</v>
      </c>
      <c r="G4343" s="2">
        <v>753.97257804955996</v>
      </c>
      <c r="H4343" s="1">
        <v>138.26452896592301</v>
      </c>
      <c r="I4343" s="1">
        <f t="shared" si="135"/>
        <v>131.57170037790465</v>
      </c>
    </row>
    <row r="4344" spans="1:9" x14ac:dyDescent="0.45">
      <c r="A4344" t="s">
        <v>65</v>
      </c>
      <c r="B4344" t="s">
        <v>70</v>
      </c>
      <c r="C4344" t="str">
        <f t="shared" si="134"/>
        <v>UC San DiegoVCU</v>
      </c>
      <c r="D4344" t="s">
        <v>70</v>
      </c>
      <c r="E4344">
        <v>25.4</v>
      </c>
      <c r="F4344" s="1">
        <v>7.0603773584905696</v>
      </c>
      <c r="G4344" s="2">
        <v>293.64839968915999</v>
      </c>
      <c r="H4344" s="1">
        <v>138.334649195586</v>
      </c>
      <c r="I4344" s="1">
        <f t="shared" si="135"/>
        <v>132.55630870001301</v>
      </c>
    </row>
    <row r="4345" spans="1:9" x14ac:dyDescent="0.45">
      <c r="A4345" t="s">
        <v>66</v>
      </c>
      <c r="B4345" t="s">
        <v>70</v>
      </c>
      <c r="C4345" t="str">
        <f t="shared" si="134"/>
        <v>UCLAVCU</v>
      </c>
      <c r="D4345" t="s">
        <v>66</v>
      </c>
      <c r="E4345">
        <v>54</v>
      </c>
      <c r="F4345" s="1">
        <v>-1.0377358490566</v>
      </c>
      <c r="G4345" s="2">
        <v>-117.182784410395</v>
      </c>
      <c r="H4345" s="1">
        <v>137.55590777479799</v>
      </c>
      <c r="I4345" s="1">
        <f t="shared" si="135"/>
        <v>121.62144315032042</v>
      </c>
    </row>
    <row r="4346" spans="1:9" x14ac:dyDescent="0.45">
      <c r="A4346" t="s">
        <v>67</v>
      </c>
      <c r="B4346" t="s">
        <v>70</v>
      </c>
      <c r="C4346" t="str">
        <f t="shared" si="134"/>
        <v>UNC WilmingtonVCU</v>
      </c>
      <c r="D4346" t="s">
        <v>70</v>
      </c>
      <c r="E4346">
        <v>16.399999999999999</v>
      </c>
      <c r="F4346" s="1">
        <v>10.6528301886792</v>
      </c>
      <c r="G4346" s="2">
        <v>507.91451988415702</v>
      </c>
      <c r="H4346" s="1">
        <v>138.87131766625001</v>
      </c>
      <c r="I4346" s="1">
        <f t="shared" si="135"/>
        <v>140.09205473177266</v>
      </c>
    </row>
    <row r="4347" spans="1:9" x14ac:dyDescent="0.45">
      <c r="A4347" t="s">
        <v>68</v>
      </c>
      <c r="B4347" t="s">
        <v>70</v>
      </c>
      <c r="C4347" t="str">
        <f t="shared" si="134"/>
        <v>Utah St.VCU</v>
      </c>
      <c r="D4347" t="s">
        <v>68</v>
      </c>
      <c r="E4347">
        <v>52.6</v>
      </c>
      <c r="F4347" s="1">
        <v>-0.67547169811320795</v>
      </c>
      <c r="G4347" s="2">
        <v>-110.827505964587</v>
      </c>
      <c r="H4347" s="1">
        <v>138.41850416483001</v>
      </c>
      <c r="I4347" s="1">
        <f t="shared" si="135"/>
        <v>133.73377632903558</v>
      </c>
    </row>
    <row r="4348" spans="1:9" x14ac:dyDescent="0.45">
      <c r="A4348" t="s">
        <v>69</v>
      </c>
      <c r="B4348" t="s">
        <v>70</v>
      </c>
      <c r="C4348" t="str">
        <f t="shared" si="134"/>
        <v>VanderbiltVCU</v>
      </c>
      <c r="D4348" t="s">
        <v>70</v>
      </c>
      <c r="E4348">
        <v>17.899999999999999</v>
      </c>
      <c r="F4348" s="1">
        <v>9.9735849056603794</v>
      </c>
      <c r="G4348" s="2">
        <v>457.90080653009898</v>
      </c>
      <c r="H4348" s="1">
        <v>136.85254204611201</v>
      </c>
      <c r="I4348" s="1">
        <f t="shared" si="135"/>
        <v>111.74498163160472</v>
      </c>
    </row>
    <row r="4349" spans="1:9" x14ac:dyDescent="0.45">
      <c r="A4349" t="s">
        <v>70</v>
      </c>
      <c r="B4349" t="s">
        <v>70</v>
      </c>
      <c r="C4349" t="str">
        <f t="shared" si="134"/>
        <v>VCUVCU</v>
      </c>
      <c r="D4349" t="s">
        <v>70</v>
      </c>
      <c r="E4349">
        <v>41.2</v>
      </c>
      <c r="F4349" s="1">
        <v>2.3283018867924499</v>
      </c>
      <c r="G4349" s="2">
        <v>142.64273539779199</v>
      </c>
      <c r="H4349" s="1">
        <v>138.77771517530499</v>
      </c>
      <c r="I4349" s="1">
        <f t="shared" si="135"/>
        <v>138.77771517530684</v>
      </c>
    </row>
    <row r="4350" spans="1:9" x14ac:dyDescent="0.45">
      <c r="A4350" t="s">
        <v>71</v>
      </c>
      <c r="B4350" t="s">
        <v>70</v>
      </c>
      <c r="C4350" t="str">
        <f t="shared" si="134"/>
        <v>WisconsinVCU</v>
      </c>
      <c r="D4350" t="s">
        <v>71</v>
      </c>
      <c r="E4350">
        <v>88.9</v>
      </c>
      <c r="F4350" s="1">
        <v>-13.626415094339601</v>
      </c>
      <c r="G4350" s="2">
        <v>-799.16412572735703</v>
      </c>
      <c r="H4350" s="1">
        <v>139.43097078363701</v>
      </c>
      <c r="I4350" s="1">
        <f t="shared" si="135"/>
        <v>147.95054463577779</v>
      </c>
    </row>
    <row r="4351" spans="1:9" x14ac:dyDescent="0.45">
      <c r="A4351" t="s">
        <v>80</v>
      </c>
      <c r="B4351" t="s">
        <v>70</v>
      </c>
      <c r="C4351" t="str">
        <f t="shared" si="134"/>
        <v>WoffordVCU</v>
      </c>
      <c r="D4351" t="s">
        <v>70</v>
      </c>
      <c r="E4351">
        <v>6.4</v>
      </c>
      <c r="F4351" s="1">
        <v>17.550943396226401</v>
      </c>
      <c r="G4351" s="2">
        <v>1454.2869373558001</v>
      </c>
      <c r="H4351" s="1">
        <v>137.52861921286399</v>
      </c>
      <c r="I4351" s="1">
        <f t="shared" si="135"/>
        <v>121.23826492475382</v>
      </c>
    </row>
    <row r="4352" spans="1:9" x14ac:dyDescent="0.45">
      <c r="A4352" t="s">
        <v>72</v>
      </c>
      <c r="B4352" t="s">
        <v>70</v>
      </c>
      <c r="C4352" t="str">
        <f t="shared" si="134"/>
        <v>XavierVCU</v>
      </c>
      <c r="D4352" t="s">
        <v>70</v>
      </c>
      <c r="E4352">
        <v>40.9</v>
      </c>
      <c r="F4352" s="1">
        <v>2.4</v>
      </c>
      <c r="G4352" s="2">
        <v>144.243298102875</v>
      </c>
      <c r="H4352" s="1">
        <v>138.27142138348501</v>
      </c>
      <c r="I4352" s="1">
        <f t="shared" si="135"/>
        <v>131.66848174504517</v>
      </c>
    </row>
    <row r="4353" spans="1:9" x14ac:dyDescent="0.45">
      <c r="A4353" t="s">
        <v>73</v>
      </c>
      <c r="B4353" t="s">
        <v>70</v>
      </c>
      <c r="C4353" t="str">
        <f t="shared" si="134"/>
        <v>YaleVCU</v>
      </c>
      <c r="D4353" t="s">
        <v>70</v>
      </c>
      <c r="E4353">
        <v>26.6</v>
      </c>
      <c r="F4353" s="1">
        <v>6.6528301886792498</v>
      </c>
      <c r="G4353" s="2">
        <v>275.82976877655801</v>
      </c>
      <c r="H4353" s="1">
        <v>138.87112751987999</v>
      </c>
      <c r="I4353" s="1">
        <f t="shared" si="135"/>
        <v>140.08938475052423</v>
      </c>
    </row>
    <row r="4354" spans="1:9" x14ac:dyDescent="0.45">
      <c r="A4354" t="s">
        <v>7</v>
      </c>
      <c r="B4354" t="s">
        <v>71</v>
      </c>
      <c r="C4354" t="str">
        <f t="shared" si="134"/>
        <v>AkronWisconsin</v>
      </c>
      <c r="D4354" t="s">
        <v>71</v>
      </c>
      <c r="E4354">
        <v>1.6</v>
      </c>
      <c r="F4354" s="1">
        <v>26.867924528301899</v>
      </c>
      <c r="G4354" s="2">
        <v>6025.60587004633</v>
      </c>
      <c r="H4354" s="1">
        <v>137.03469897212699</v>
      </c>
      <c r="I4354" s="1">
        <f t="shared" si="135"/>
        <v>114.30277737965106</v>
      </c>
    </row>
    <row r="4355" spans="1:9" x14ac:dyDescent="0.45">
      <c r="A4355" t="s">
        <v>8</v>
      </c>
      <c r="B4355" t="s">
        <v>71</v>
      </c>
      <c r="C4355" t="str">
        <f t="shared" ref="C4355:C4418" si="136">A4355&amp;B4355</f>
        <v>AlabamaWisconsin</v>
      </c>
      <c r="D4355" t="s">
        <v>8</v>
      </c>
      <c r="E4355">
        <v>55.6</v>
      </c>
      <c r="F4355" s="1">
        <v>-1.47169811320755</v>
      </c>
      <c r="G4355" s="2">
        <v>-125.178569106965</v>
      </c>
      <c r="H4355" s="1">
        <v>138.84231015972199</v>
      </c>
      <c r="I4355" s="1">
        <f t="shared" ref="I4355:I4418" si="137">18*(H4355-AVERAGE($H$2:$H$4625))/_xlfn.STDEV.P($H$2:$H$4625)+AVERAGE($H$2:$H$4625)</f>
        <v>139.68473957510008</v>
      </c>
    </row>
    <row r="4356" spans="1:9" x14ac:dyDescent="0.45">
      <c r="A4356" t="s">
        <v>9</v>
      </c>
      <c r="B4356" t="s">
        <v>71</v>
      </c>
      <c r="C4356" t="str">
        <f t="shared" si="136"/>
        <v>Alabama St.Wisconsin</v>
      </c>
      <c r="D4356" t="s">
        <v>71</v>
      </c>
      <c r="E4356">
        <v>0.3</v>
      </c>
      <c r="F4356" s="1">
        <v>39.184905660377403</v>
      </c>
      <c r="G4356" s="2">
        <v>39453.945376147698</v>
      </c>
      <c r="H4356" s="1">
        <v>137.221460731549</v>
      </c>
      <c r="I4356" s="1">
        <f t="shared" si="137"/>
        <v>116.92523288874318</v>
      </c>
    </row>
    <row r="4357" spans="1:9" x14ac:dyDescent="0.45">
      <c r="A4357" t="s">
        <v>10</v>
      </c>
      <c r="B4357" t="s">
        <v>71</v>
      </c>
      <c r="C4357" t="str">
        <f t="shared" si="136"/>
        <v>AmericanWisconsin</v>
      </c>
      <c r="D4357" t="s">
        <v>71</v>
      </c>
      <c r="E4357">
        <v>0.3</v>
      </c>
      <c r="F4357" s="1">
        <v>38.430188679245298</v>
      </c>
      <c r="G4357" s="2">
        <v>35151.524825121698</v>
      </c>
      <c r="H4357" s="1">
        <v>136.98475025131</v>
      </c>
      <c r="I4357" s="1">
        <f t="shared" si="137"/>
        <v>113.60141164780109</v>
      </c>
    </row>
    <row r="4358" spans="1:9" x14ac:dyDescent="0.45">
      <c r="A4358" t="s">
        <v>11</v>
      </c>
      <c r="B4358" t="s">
        <v>71</v>
      </c>
      <c r="C4358" t="str">
        <f t="shared" si="136"/>
        <v>ArizonaWisconsin</v>
      </c>
      <c r="D4358" t="s">
        <v>71</v>
      </c>
      <c r="E4358">
        <v>45.1</v>
      </c>
      <c r="F4358" s="1">
        <v>1.28301886792453</v>
      </c>
      <c r="G4358" s="2">
        <v>121.625377118369</v>
      </c>
      <c r="H4358" s="1">
        <v>138.45278949990001</v>
      </c>
      <c r="I4358" s="1">
        <f t="shared" si="137"/>
        <v>134.21520125303306</v>
      </c>
    </row>
    <row r="4359" spans="1:9" x14ac:dyDescent="0.45">
      <c r="A4359" t="s">
        <v>12</v>
      </c>
      <c r="B4359" t="s">
        <v>71</v>
      </c>
      <c r="C4359" t="str">
        <f t="shared" si="136"/>
        <v>ArkansasWisconsin</v>
      </c>
      <c r="D4359" t="s">
        <v>71</v>
      </c>
      <c r="E4359">
        <v>5.0999999999999996</v>
      </c>
      <c r="F4359" s="1">
        <v>19.1849056603774</v>
      </c>
      <c r="G4359" s="2">
        <v>1866.0522671061699</v>
      </c>
      <c r="H4359" s="1">
        <v>136.778713477689</v>
      </c>
      <c r="I4359" s="1">
        <f t="shared" si="137"/>
        <v>110.70830187131278</v>
      </c>
    </row>
    <row r="4360" spans="1:9" x14ac:dyDescent="0.45">
      <c r="A4360" t="s">
        <v>13</v>
      </c>
      <c r="B4360" t="s">
        <v>71</v>
      </c>
      <c r="C4360" t="str">
        <f t="shared" si="136"/>
        <v>AuburnWisconsin</v>
      </c>
      <c r="D4360" t="s">
        <v>13</v>
      </c>
      <c r="E4360">
        <v>71.099999999999994</v>
      </c>
      <c r="F4360" s="1">
        <v>-5.9132075471698098</v>
      </c>
      <c r="G4360" s="2">
        <v>-246.39988796498201</v>
      </c>
      <c r="H4360" s="1">
        <v>139.86452639307501</v>
      </c>
      <c r="I4360" s="1">
        <f t="shared" si="137"/>
        <v>154.03840919642016</v>
      </c>
    </row>
    <row r="4361" spans="1:9" x14ac:dyDescent="0.45">
      <c r="A4361" t="s">
        <v>14</v>
      </c>
      <c r="B4361" t="s">
        <v>71</v>
      </c>
      <c r="C4361" t="str">
        <f t="shared" si="136"/>
        <v>BaylorWisconsin</v>
      </c>
      <c r="D4361" t="s">
        <v>71</v>
      </c>
      <c r="E4361">
        <v>19.899999999999999</v>
      </c>
      <c r="F4361" s="1">
        <v>9.1358490566037691</v>
      </c>
      <c r="G4361" s="2">
        <v>403.01545171686098</v>
      </c>
      <c r="H4361" s="1">
        <v>138.327443754256</v>
      </c>
      <c r="I4361" s="1">
        <f t="shared" si="137"/>
        <v>132.45513194214899</v>
      </c>
    </row>
    <row r="4362" spans="1:9" x14ac:dyDescent="0.45">
      <c r="A4362" t="s">
        <v>15</v>
      </c>
      <c r="B4362" t="s">
        <v>71</v>
      </c>
      <c r="C4362" t="str">
        <f t="shared" si="136"/>
        <v>BryantWisconsin</v>
      </c>
      <c r="D4362" t="s">
        <v>71</v>
      </c>
      <c r="E4362">
        <v>1.1000000000000001</v>
      </c>
      <c r="F4362" s="1">
        <v>29.207547169811299</v>
      </c>
      <c r="G4362" s="2">
        <v>8610.6018535996609</v>
      </c>
      <c r="H4362" s="1">
        <v>137.91976362990101</v>
      </c>
      <c r="I4362" s="1">
        <f t="shared" si="137"/>
        <v>126.73060358382344</v>
      </c>
    </row>
    <row r="4363" spans="1:9" x14ac:dyDescent="0.45">
      <c r="A4363" t="s">
        <v>16</v>
      </c>
      <c r="B4363" t="s">
        <v>71</v>
      </c>
      <c r="C4363" t="str">
        <f t="shared" si="136"/>
        <v>BYUWisconsin</v>
      </c>
      <c r="D4363" t="s">
        <v>71</v>
      </c>
      <c r="E4363">
        <v>22.7</v>
      </c>
      <c r="F4363" s="1">
        <v>8.0415094339622595</v>
      </c>
      <c r="G4363" s="2">
        <v>341.04521088598898</v>
      </c>
      <c r="H4363" s="1">
        <v>138.08980430434499</v>
      </c>
      <c r="I4363" s="1">
        <f t="shared" si="137"/>
        <v>129.11826637327991</v>
      </c>
    </row>
    <row r="4364" spans="1:9" x14ac:dyDescent="0.45">
      <c r="A4364" t="s">
        <v>17</v>
      </c>
      <c r="B4364" t="s">
        <v>71</v>
      </c>
      <c r="C4364" t="str">
        <f t="shared" si="136"/>
        <v>ClemsonWisconsin</v>
      </c>
      <c r="D4364" t="s">
        <v>71</v>
      </c>
      <c r="E4364">
        <v>29.1</v>
      </c>
      <c r="F4364" s="1">
        <v>5.8377358490565996</v>
      </c>
      <c r="G4364" s="2">
        <v>243.65245384284401</v>
      </c>
      <c r="H4364" s="1">
        <v>138.439854526787</v>
      </c>
      <c r="I4364" s="1">
        <f t="shared" si="137"/>
        <v>134.03357203940209</v>
      </c>
    </row>
    <row r="4365" spans="1:9" x14ac:dyDescent="0.45">
      <c r="A4365" t="s">
        <v>18</v>
      </c>
      <c r="B4365" t="s">
        <v>71</v>
      </c>
      <c r="C4365" t="str">
        <f t="shared" si="136"/>
        <v>Colorado St.Wisconsin</v>
      </c>
      <c r="D4365" t="s">
        <v>71</v>
      </c>
      <c r="E4365">
        <v>6.4</v>
      </c>
      <c r="F4365" s="1">
        <v>17.618867924528299</v>
      </c>
      <c r="G4365" s="2">
        <v>1470.05873336539</v>
      </c>
      <c r="H4365" s="1">
        <v>137.82946550158101</v>
      </c>
      <c r="I4365" s="1">
        <f t="shared" si="137"/>
        <v>125.46266294754786</v>
      </c>
    </row>
    <row r="4366" spans="1:9" x14ac:dyDescent="0.45">
      <c r="A4366" t="s">
        <v>19</v>
      </c>
      <c r="B4366" t="s">
        <v>71</v>
      </c>
      <c r="C4366" t="str">
        <f t="shared" si="136"/>
        <v>ConnecticutWisconsin</v>
      </c>
      <c r="D4366" t="s">
        <v>71</v>
      </c>
      <c r="E4366">
        <v>39</v>
      </c>
      <c r="F4366" s="1">
        <v>2.9433962264150901</v>
      </c>
      <c r="G4366" s="2">
        <v>156.705580005916</v>
      </c>
      <c r="H4366" s="1">
        <v>138.24010535753499</v>
      </c>
      <c r="I4366" s="1">
        <f t="shared" si="137"/>
        <v>131.22875101521237</v>
      </c>
    </row>
    <row r="4367" spans="1:9" x14ac:dyDescent="0.45">
      <c r="A4367" t="s">
        <v>20</v>
      </c>
      <c r="B4367" t="s">
        <v>71</v>
      </c>
      <c r="C4367" t="str">
        <f t="shared" si="136"/>
        <v>CreightonWisconsin</v>
      </c>
      <c r="D4367" t="s">
        <v>71</v>
      </c>
      <c r="E4367">
        <v>16.5</v>
      </c>
      <c r="F4367" s="1">
        <v>10.6528301886792</v>
      </c>
      <c r="G4367" s="2">
        <v>507.82855932648101</v>
      </c>
      <c r="H4367" s="1">
        <v>137.789402110374</v>
      </c>
      <c r="I4367" s="1">
        <f t="shared" si="137"/>
        <v>124.90010420260511</v>
      </c>
    </row>
    <row r="4368" spans="1:9" x14ac:dyDescent="0.45">
      <c r="A4368" t="s">
        <v>21</v>
      </c>
      <c r="B4368" t="s">
        <v>71</v>
      </c>
      <c r="C4368" t="str">
        <f t="shared" si="136"/>
        <v>DrakeWisconsin</v>
      </c>
      <c r="D4368" t="s">
        <v>71</v>
      </c>
      <c r="E4368">
        <v>6.2</v>
      </c>
      <c r="F4368" s="1">
        <v>17.826415094339598</v>
      </c>
      <c r="G4368" s="2">
        <v>1516.7179080835001</v>
      </c>
      <c r="H4368" s="1">
        <v>138.02407791604799</v>
      </c>
      <c r="I4368" s="1">
        <f t="shared" si="137"/>
        <v>128.19535512198493</v>
      </c>
    </row>
    <row r="4369" spans="1:9" x14ac:dyDescent="0.45">
      <c r="A4369" t="s">
        <v>22</v>
      </c>
      <c r="B4369" t="s">
        <v>71</v>
      </c>
      <c r="C4369" t="str">
        <f t="shared" si="136"/>
        <v>DukeWisconsin</v>
      </c>
      <c r="D4369" t="s">
        <v>22</v>
      </c>
      <c r="E4369">
        <v>77.5</v>
      </c>
      <c r="F4369" s="1">
        <v>-8.1245283018867909</v>
      </c>
      <c r="G4369" s="2">
        <v>-345.42010464095301</v>
      </c>
      <c r="H4369" s="1">
        <v>140.10441780465101</v>
      </c>
      <c r="I4369" s="1">
        <f t="shared" si="137"/>
        <v>157.40689617051112</v>
      </c>
    </row>
    <row r="4370" spans="1:9" x14ac:dyDescent="0.45">
      <c r="A4370" t="s">
        <v>23</v>
      </c>
      <c r="B4370" t="s">
        <v>71</v>
      </c>
      <c r="C4370" t="str">
        <f t="shared" si="136"/>
        <v>FloridaWisconsin</v>
      </c>
      <c r="D4370" t="s">
        <v>23</v>
      </c>
      <c r="E4370">
        <v>65.7</v>
      </c>
      <c r="F4370" s="1">
        <v>-4.2679245283018901</v>
      </c>
      <c r="G4370" s="2">
        <v>-191.78535963542001</v>
      </c>
      <c r="H4370" s="1">
        <v>139.83906833220499</v>
      </c>
      <c r="I4370" s="1">
        <f t="shared" si="137"/>
        <v>153.68093434618311</v>
      </c>
    </row>
    <row r="4371" spans="1:9" x14ac:dyDescent="0.45">
      <c r="A4371" t="s">
        <v>24</v>
      </c>
      <c r="B4371" t="s">
        <v>71</v>
      </c>
      <c r="C4371" t="str">
        <f t="shared" si="136"/>
        <v>GeorgiaWisconsin</v>
      </c>
      <c r="D4371" t="s">
        <v>71</v>
      </c>
      <c r="E4371">
        <v>7.2</v>
      </c>
      <c r="F4371" s="1">
        <v>16.792452830188701</v>
      </c>
      <c r="G4371" s="2">
        <v>1295.6868964985199</v>
      </c>
      <c r="H4371" s="1">
        <v>137.10302662849</v>
      </c>
      <c r="I4371" s="1">
        <f t="shared" si="137"/>
        <v>115.26221489730496</v>
      </c>
    </row>
    <row r="4372" spans="1:9" x14ac:dyDescent="0.45">
      <c r="A4372" t="s">
        <v>25</v>
      </c>
      <c r="B4372" t="s">
        <v>71</v>
      </c>
      <c r="C4372" t="str">
        <f t="shared" si="136"/>
        <v>GonzagaWisconsin</v>
      </c>
      <c r="D4372" t="s">
        <v>71</v>
      </c>
      <c r="E4372">
        <v>28.1</v>
      </c>
      <c r="F4372" s="1">
        <v>6.1622641509434004</v>
      </c>
      <c r="G4372" s="2">
        <v>256.01253151667203</v>
      </c>
      <c r="H4372" s="1">
        <v>139.07998835899599</v>
      </c>
      <c r="I4372" s="1">
        <f t="shared" si="137"/>
        <v>143.02214925150375</v>
      </c>
    </row>
    <row r="4373" spans="1:9" x14ac:dyDescent="0.45">
      <c r="A4373" t="s">
        <v>26</v>
      </c>
      <c r="B4373" t="s">
        <v>71</v>
      </c>
      <c r="C4373" t="str">
        <f t="shared" si="136"/>
        <v>Grand CanyonWisconsin</v>
      </c>
      <c r="D4373" t="s">
        <v>71</v>
      </c>
      <c r="E4373">
        <v>4.0999999999999996</v>
      </c>
      <c r="F4373" s="1">
        <v>20.713207547169802</v>
      </c>
      <c r="G4373" s="2">
        <v>2356.35141209325</v>
      </c>
      <c r="H4373" s="1">
        <v>137.89796007653601</v>
      </c>
      <c r="I4373" s="1">
        <f t="shared" si="137"/>
        <v>126.42444428859729</v>
      </c>
    </row>
    <row r="4374" spans="1:9" x14ac:dyDescent="0.45">
      <c r="A4374" t="s">
        <v>27</v>
      </c>
      <c r="B4374" t="s">
        <v>71</v>
      </c>
      <c r="C4374" t="str">
        <f t="shared" si="136"/>
        <v>High PointWisconsin</v>
      </c>
      <c r="D4374" t="s">
        <v>71</v>
      </c>
      <c r="E4374">
        <v>2.6</v>
      </c>
      <c r="F4374" s="1">
        <v>23.803773584905699</v>
      </c>
      <c r="G4374" s="2">
        <v>3775.04488958104</v>
      </c>
      <c r="H4374" s="1">
        <v>138.08916721008401</v>
      </c>
      <c r="I4374" s="1">
        <f t="shared" si="137"/>
        <v>129.10932047686251</v>
      </c>
    </row>
    <row r="4375" spans="1:9" x14ac:dyDescent="0.45">
      <c r="A4375" t="s">
        <v>28</v>
      </c>
      <c r="B4375" t="s">
        <v>71</v>
      </c>
      <c r="C4375" t="str">
        <f t="shared" si="136"/>
        <v>HoustonWisconsin</v>
      </c>
      <c r="D4375" t="s">
        <v>28</v>
      </c>
      <c r="E4375">
        <v>85.2</v>
      </c>
      <c r="F4375" s="1">
        <v>-11.4792452830189</v>
      </c>
      <c r="G4375" s="2">
        <v>-576.20599432084998</v>
      </c>
      <c r="H4375" s="1">
        <v>140.202629567287</v>
      </c>
      <c r="I4375" s="1">
        <f t="shared" si="137"/>
        <v>158.78595780914367</v>
      </c>
    </row>
    <row r="4376" spans="1:9" x14ac:dyDescent="0.45">
      <c r="A4376" t="s">
        <v>29</v>
      </c>
      <c r="B4376" t="s">
        <v>71</v>
      </c>
      <c r="C4376" t="str">
        <f t="shared" si="136"/>
        <v>IllinoisWisconsin</v>
      </c>
      <c r="D4376" t="s">
        <v>71</v>
      </c>
      <c r="E4376">
        <v>36.200000000000003</v>
      </c>
      <c r="F4376" s="1">
        <v>3.7094339622641499</v>
      </c>
      <c r="G4376" s="2">
        <v>176.04991023761301</v>
      </c>
      <c r="H4376" s="1">
        <v>138.26109334224901</v>
      </c>
      <c r="I4376" s="1">
        <f t="shared" si="137"/>
        <v>131.52345832739647</v>
      </c>
    </row>
    <row r="4377" spans="1:9" x14ac:dyDescent="0.45">
      <c r="A4377" t="s">
        <v>30</v>
      </c>
      <c r="B4377" t="s">
        <v>71</v>
      </c>
      <c r="C4377" t="str">
        <f t="shared" si="136"/>
        <v>Iowa St.Wisconsin</v>
      </c>
      <c r="D4377" t="s">
        <v>30</v>
      </c>
      <c r="E4377">
        <v>54.4</v>
      </c>
      <c r="F4377" s="1">
        <v>-1.1547169811320801</v>
      </c>
      <c r="G4377" s="2">
        <v>-119.239528840424</v>
      </c>
      <c r="H4377" s="1">
        <v>139.15763563383501</v>
      </c>
      <c r="I4377" s="1">
        <f t="shared" si="137"/>
        <v>144.11245020121513</v>
      </c>
    </row>
    <row r="4378" spans="1:9" x14ac:dyDescent="0.45">
      <c r="A4378" t="s">
        <v>31</v>
      </c>
      <c r="B4378" t="s">
        <v>71</v>
      </c>
      <c r="C4378" t="str">
        <f t="shared" si="136"/>
        <v>KansasWisconsin</v>
      </c>
      <c r="D4378" t="s">
        <v>71</v>
      </c>
      <c r="E4378">
        <v>26.9</v>
      </c>
      <c r="F4378" s="1">
        <v>6.5622641509433999</v>
      </c>
      <c r="G4378" s="2">
        <v>272.132671130289</v>
      </c>
      <c r="H4378" s="1">
        <v>138.208223522689</v>
      </c>
      <c r="I4378" s="1">
        <f t="shared" si="137"/>
        <v>130.78107535778344</v>
      </c>
    </row>
    <row r="4379" spans="1:9" x14ac:dyDescent="0.45">
      <c r="A4379" t="s">
        <v>32</v>
      </c>
      <c r="B4379" t="s">
        <v>71</v>
      </c>
      <c r="C4379" t="str">
        <f t="shared" si="136"/>
        <v>KentuckyWisconsin</v>
      </c>
      <c r="D4379" t="s">
        <v>71</v>
      </c>
      <c r="E4379">
        <v>38</v>
      </c>
      <c r="F4379" s="1">
        <v>3.2</v>
      </c>
      <c r="G4379" s="2">
        <v>162.89011943575801</v>
      </c>
      <c r="H4379" s="1">
        <v>138.142505854814</v>
      </c>
      <c r="I4379" s="1">
        <f t="shared" si="137"/>
        <v>129.85828655617428</v>
      </c>
    </row>
    <row r="4380" spans="1:9" x14ac:dyDescent="0.45">
      <c r="A4380" t="s">
        <v>33</v>
      </c>
      <c r="B4380" t="s">
        <v>71</v>
      </c>
      <c r="C4380" t="str">
        <f t="shared" si="136"/>
        <v>LibertyWisconsin</v>
      </c>
      <c r="D4380" t="s">
        <v>71</v>
      </c>
      <c r="E4380">
        <v>1.8</v>
      </c>
      <c r="F4380" s="1">
        <v>26.1849056603774</v>
      </c>
      <c r="G4380" s="2">
        <v>5429.0351900344804</v>
      </c>
      <c r="H4380" s="1">
        <v>137.48750689853199</v>
      </c>
      <c r="I4380" s="1">
        <f t="shared" si="137"/>
        <v>120.66097749961317</v>
      </c>
    </row>
    <row r="4381" spans="1:9" x14ac:dyDescent="0.45">
      <c r="A4381" t="s">
        <v>34</v>
      </c>
      <c r="B4381" t="s">
        <v>71</v>
      </c>
      <c r="C4381" t="str">
        <f t="shared" si="136"/>
        <v>LipscombWisconsin</v>
      </c>
      <c r="D4381" t="s">
        <v>71</v>
      </c>
      <c r="E4381">
        <v>1.4</v>
      </c>
      <c r="F4381" s="1">
        <v>28.0490566037736</v>
      </c>
      <c r="G4381" s="2">
        <v>7216.4059728470802</v>
      </c>
      <c r="H4381" s="1">
        <v>137.89382509612301</v>
      </c>
      <c r="I4381" s="1">
        <f t="shared" si="137"/>
        <v>126.36638206966329</v>
      </c>
    </row>
    <row r="4382" spans="1:9" x14ac:dyDescent="0.45">
      <c r="A4382" t="s">
        <v>35</v>
      </c>
      <c r="B4382" t="s">
        <v>71</v>
      </c>
      <c r="C4382" t="str">
        <f t="shared" si="136"/>
        <v>LouisvilleWisconsin</v>
      </c>
      <c r="D4382" t="s">
        <v>71</v>
      </c>
      <c r="E4382">
        <v>3.4</v>
      </c>
      <c r="F4382" s="1">
        <v>22</v>
      </c>
      <c r="G4382" s="2">
        <v>2868.0262520892002</v>
      </c>
      <c r="H4382" s="1">
        <v>137.13918710194099</v>
      </c>
      <c r="I4382" s="1">
        <f t="shared" si="137"/>
        <v>115.76996998114228</v>
      </c>
    </row>
    <row r="4383" spans="1:9" x14ac:dyDescent="0.45">
      <c r="A4383" t="s">
        <v>36</v>
      </c>
      <c r="B4383" t="s">
        <v>71</v>
      </c>
      <c r="C4383" t="str">
        <f t="shared" si="136"/>
        <v>MarquetteWisconsin</v>
      </c>
      <c r="D4383" t="s">
        <v>71</v>
      </c>
      <c r="E4383">
        <v>32</v>
      </c>
      <c r="F4383" s="1">
        <v>4.9320754716981101</v>
      </c>
      <c r="G4383" s="2">
        <v>212.24615178313601</v>
      </c>
      <c r="H4383" s="1">
        <v>138.401320945403</v>
      </c>
      <c r="I4383" s="1">
        <f t="shared" si="137"/>
        <v>133.49249444890251</v>
      </c>
    </row>
    <row r="4384" spans="1:9" x14ac:dyDescent="0.45">
      <c r="A4384" t="s">
        <v>37</v>
      </c>
      <c r="B4384" t="s">
        <v>71</v>
      </c>
      <c r="C4384" t="str">
        <f t="shared" si="136"/>
        <v>MarylandWisconsin</v>
      </c>
      <c r="D4384" t="s">
        <v>71</v>
      </c>
      <c r="E4384">
        <v>22.5</v>
      </c>
      <c r="F4384" s="1">
        <v>8.1018867924528308</v>
      </c>
      <c r="G4384" s="2">
        <v>344.09127184456298</v>
      </c>
      <c r="H4384" s="1">
        <v>137.85969054394599</v>
      </c>
      <c r="I4384" s="1">
        <f t="shared" si="137"/>
        <v>125.88707439616493</v>
      </c>
    </row>
    <row r="4385" spans="1:9" x14ac:dyDescent="0.45">
      <c r="A4385" t="s">
        <v>38</v>
      </c>
      <c r="B4385" t="s">
        <v>71</v>
      </c>
      <c r="C4385" t="str">
        <f t="shared" si="136"/>
        <v>McNeese St.Wisconsin</v>
      </c>
      <c r="D4385" t="s">
        <v>71</v>
      </c>
      <c r="E4385">
        <v>6.3</v>
      </c>
      <c r="F4385" s="1">
        <v>17.641509433962302</v>
      </c>
      <c r="G4385" s="2">
        <v>1474.8346421937699</v>
      </c>
      <c r="H4385" s="1">
        <v>138.45292595691001</v>
      </c>
      <c r="I4385" s="1">
        <f t="shared" si="137"/>
        <v>134.2171173435579</v>
      </c>
    </row>
    <row r="4386" spans="1:9" x14ac:dyDescent="0.45">
      <c r="A4386" t="s">
        <v>39</v>
      </c>
      <c r="B4386" t="s">
        <v>71</v>
      </c>
      <c r="C4386" t="str">
        <f t="shared" si="136"/>
        <v>MemphisWisconsin</v>
      </c>
      <c r="D4386" t="s">
        <v>71</v>
      </c>
      <c r="E4386">
        <v>14.1</v>
      </c>
      <c r="F4386" s="1">
        <v>11.864150943396201</v>
      </c>
      <c r="G4386" s="2">
        <v>611.04616560565501</v>
      </c>
      <c r="H4386" s="1">
        <v>136.98720778343599</v>
      </c>
      <c r="I4386" s="1">
        <f t="shared" si="137"/>
        <v>113.63591961497013</v>
      </c>
    </row>
    <row r="4387" spans="1:9" x14ac:dyDescent="0.45">
      <c r="A4387" t="s">
        <v>40</v>
      </c>
      <c r="B4387" t="s">
        <v>71</v>
      </c>
      <c r="C4387" t="str">
        <f t="shared" si="136"/>
        <v>MichiganWisconsin</v>
      </c>
      <c r="D4387" t="s">
        <v>71</v>
      </c>
      <c r="E4387">
        <v>7.5</v>
      </c>
      <c r="F4387" s="1">
        <v>16.4905660377358</v>
      </c>
      <c r="G4387" s="2">
        <v>1237.2818932847399</v>
      </c>
      <c r="H4387" s="1">
        <v>136.54982908035299</v>
      </c>
      <c r="I4387" s="1">
        <f t="shared" si="137"/>
        <v>107.4943722606867</v>
      </c>
    </row>
    <row r="4388" spans="1:9" x14ac:dyDescent="0.45">
      <c r="A4388" t="s">
        <v>41</v>
      </c>
      <c r="B4388" t="s">
        <v>71</v>
      </c>
      <c r="C4388" t="str">
        <f t="shared" si="136"/>
        <v>Michigan St.Wisconsin</v>
      </c>
      <c r="D4388" t="s">
        <v>71</v>
      </c>
      <c r="E4388">
        <v>43.4</v>
      </c>
      <c r="F4388" s="1">
        <v>1.74339622641509</v>
      </c>
      <c r="G4388" s="2">
        <v>130.47085726891899</v>
      </c>
      <c r="H4388" s="1">
        <v>138.19690878956001</v>
      </c>
      <c r="I4388" s="1">
        <f t="shared" si="137"/>
        <v>130.62219709319737</v>
      </c>
    </row>
    <row r="4389" spans="1:9" x14ac:dyDescent="0.45">
      <c r="A4389" t="s">
        <v>42</v>
      </c>
      <c r="B4389" t="s">
        <v>71</v>
      </c>
      <c r="C4389" t="str">
        <f t="shared" si="136"/>
        <v>MississippiWisconsin</v>
      </c>
      <c r="D4389" t="s">
        <v>71</v>
      </c>
      <c r="E4389">
        <v>17.3</v>
      </c>
      <c r="F4389" s="1">
        <v>10.2415094339623</v>
      </c>
      <c r="G4389" s="2">
        <v>476.85345221506202</v>
      </c>
      <c r="H4389" s="1">
        <v>137.464600139449</v>
      </c>
      <c r="I4389" s="1">
        <f t="shared" si="137"/>
        <v>120.33932730345668</v>
      </c>
    </row>
    <row r="4390" spans="1:9" x14ac:dyDescent="0.45">
      <c r="A4390" t="s">
        <v>43</v>
      </c>
      <c r="B4390" t="s">
        <v>71</v>
      </c>
      <c r="C4390" t="str">
        <f t="shared" si="136"/>
        <v>Mississippi St.Wisconsin</v>
      </c>
      <c r="D4390" t="s">
        <v>71</v>
      </c>
      <c r="E4390">
        <v>13.9</v>
      </c>
      <c r="F4390" s="1">
        <v>11.962264150943399</v>
      </c>
      <c r="G4390" s="2">
        <v>620.24353634800195</v>
      </c>
      <c r="H4390" s="1">
        <v>137.60434661212599</v>
      </c>
      <c r="I4390" s="1">
        <f t="shared" si="137"/>
        <v>122.30160752764249</v>
      </c>
    </row>
    <row r="4391" spans="1:9" x14ac:dyDescent="0.45">
      <c r="A4391" t="s">
        <v>44</v>
      </c>
      <c r="B4391" t="s">
        <v>71</v>
      </c>
      <c r="C4391" t="str">
        <f t="shared" si="136"/>
        <v>MissouriWisconsin</v>
      </c>
      <c r="D4391" t="s">
        <v>71</v>
      </c>
      <c r="E4391">
        <v>7.1</v>
      </c>
      <c r="F4391" s="1">
        <v>16.898113207547201</v>
      </c>
      <c r="G4391" s="2">
        <v>1316.55961461178</v>
      </c>
      <c r="H4391" s="1">
        <v>137.022008510771</v>
      </c>
      <c r="I4391" s="1">
        <f t="shared" si="137"/>
        <v>114.12458153057079</v>
      </c>
    </row>
    <row r="4392" spans="1:9" x14ac:dyDescent="0.45">
      <c r="A4392" t="s">
        <v>45</v>
      </c>
      <c r="B4392" t="s">
        <v>71</v>
      </c>
      <c r="C4392" t="str">
        <f t="shared" si="136"/>
        <v>MontanaWisconsin</v>
      </c>
      <c r="D4392" t="s">
        <v>71</v>
      </c>
      <c r="E4392">
        <v>0.7</v>
      </c>
      <c r="F4392" s="1">
        <v>32.701886792452797</v>
      </c>
      <c r="G4392" s="2">
        <v>14675.275790220699</v>
      </c>
      <c r="H4392" s="1">
        <v>136.15872007417801</v>
      </c>
      <c r="I4392" s="1">
        <f t="shared" si="137"/>
        <v>102.0025308308707</v>
      </c>
    </row>
    <row r="4393" spans="1:9" x14ac:dyDescent="0.45">
      <c r="A4393" t="s">
        <v>46</v>
      </c>
      <c r="B4393" t="s">
        <v>71</v>
      </c>
      <c r="C4393" t="str">
        <f t="shared" si="136"/>
        <v>Mount St. Mary'sWisconsin</v>
      </c>
      <c r="D4393" t="s">
        <v>71</v>
      </c>
      <c r="E4393">
        <v>0.3</v>
      </c>
      <c r="F4393" s="1">
        <v>39.037735849056602</v>
      </c>
      <c r="G4393" s="2">
        <v>38566.516225079802</v>
      </c>
      <c r="H4393" s="1">
        <v>137.462008028328</v>
      </c>
      <c r="I4393" s="1">
        <f t="shared" si="137"/>
        <v>120.30292961631508</v>
      </c>
    </row>
    <row r="4394" spans="1:9" x14ac:dyDescent="0.45">
      <c r="A4394" t="s">
        <v>47</v>
      </c>
      <c r="B4394" t="s">
        <v>71</v>
      </c>
      <c r="C4394" t="str">
        <f t="shared" si="136"/>
        <v>Nebraska OmahaWisconsin</v>
      </c>
      <c r="D4394" t="s">
        <v>71</v>
      </c>
      <c r="E4394">
        <v>0.4</v>
      </c>
      <c r="F4394" s="1">
        <v>36.845283018867903</v>
      </c>
      <c r="G4394" s="2">
        <v>27612.6373255498</v>
      </c>
      <c r="H4394" s="1">
        <v>136.879784160432</v>
      </c>
      <c r="I4394" s="1">
        <f t="shared" si="137"/>
        <v>112.12750765298547</v>
      </c>
    </row>
    <row r="4395" spans="1:9" x14ac:dyDescent="0.45">
      <c r="A4395" t="s">
        <v>48</v>
      </c>
      <c r="B4395" t="s">
        <v>71</v>
      </c>
      <c r="C4395" t="str">
        <f t="shared" si="136"/>
        <v>New MexicoWisconsin</v>
      </c>
      <c r="D4395" t="s">
        <v>71</v>
      </c>
      <c r="E4395">
        <v>8</v>
      </c>
      <c r="F4395" s="1">
        <v>16.0150943396226</v>
      </c>
      <c r="G4395" s="2">
        <v>1150.86582819101</v>
      </c>
      <c r="H4395" s="1">
        <v>137.649774092249</v>
      </c>
      <c r="I4395" s="1">
        <f t="shared" si="137"/>
        <v>122.93948728354887</v>
      </c>
    </row>
    <row r="4396" spans="1:9" x14ac:dyDescent="0.45">
      <c r="A4396" t="s">
        <v>49</v>
      </c>
      <c r="B4396" t="s">
        <v>71</v>
      </c>
      <c r="C4396" t="str">
        <f t="shared" si="136"/>
        <v>Norfolk St.Wisconsin</v>
      </c>
      <c r="D4396" t="s">
        <v>71</v>
      </c>
      <c r="E4396">
        <v>0.5</v>
      </c>
      <c r="F4396" s="1">
        <v>34.5811320754717</v>
      </c>
      <c r="G4396" s="2">
        <v>19545.872087754298</v>
      </c>
      <c r="H4396" s="1">
        <v>136.68589985621301</v>
      </c>
      <c r="I4396" s="1">
        <f t="shared" si="137"/>
        <v>109.40503939556962</v>
      </c>
    </row>
    <row r="4397" spans="1:9" x14ac:dyDescent="0.45">
      <c r="A4397" t="s">
        <v>50</v>
      </c>
      <c r="B4397" t="s">
        <v>71</v>
      </c>
      <c r="C4397" t="str">
        <f t="shared" si="136"/>
        <v>North CarolinaWisconsin</v>
      </c>
      <c r="D4397" t="s">
        <v>71</v>
      </c>
      <c r="E4397">
        <v>22.9</v>
      </c>
      <c r="F4397" s="1">
        <v>7.9660377358490599</v>
      </c>
      <c r="G4397" s="2">
        <v>337.02932491028201</v>
      </c>
      <c r="H4397" s="1">
        <v>138.75950581068199</v>
      </c>
      <c r="I4397" s="1">
        <f t="shared" si="137"/>
        <v>138.5220244561765</v>
      </c>
    </row>
    <row r="4398" spans="1:9" x14ac:dyDescent="0.45">
      <c r="A4398" t="s">
        <v>51</v>
      </c>
      <c r="B4398" t="s">
        <v>71</v>
      </c>
      <c r="C4398" t="str">
        <f t="shared" si="136"/>
        <v>OklahomaWisconsin</v>
      </c>
      <c r="D4398" t="s">
        <v>71</v>
      </c>
      <c r="E4398">
        <v>9.4</v>
      </c>
      <c r="F4398" s="1">
        <v>14.849056603773599</v>
      </c>
      <c r="G4398" s="2">
        <v>963.04129586687895</v>
      </c>
      <c r="H4398" s="1">
        <v>137.183128936857</v>
      </c>
      <c r="I4398" s="1">
        <f t="shared" si="137"/>
        <v>116.38698872958277</v>
      </c>
    </row>
    <row r="4399" spans="1:9" x14ac:dyDescent="0.45">
      <c r="A4399" t="s">
        <v>52</v>
      </c>
      <c r="B4399" t="s">
        <v>71</v>
      </c>
      <c r="C4399" t="str">
        <f t="shared" si="136"/>
        <v>OregonWisconsin</v>
      </c>
      <c r="D4399" t="s">
        <v>71</v>
      </c>
      <c r="E4399">
        <v>22.6</v>
      </c>
      <c r="F4399" s="1">
        <v>8.0830188679245296</v>
      </c>
      <c r="G4399" s="2">
        <v>343.06677862070399</v>
      </c>
      <c r="H4399" s="1">
        <v>137.47384632838501</v>
      </c>
      <c r="I4399" s="1">
        <f t="shared" si="137"/>
        <v>120.46915965879737</v>
      </c>
    </row>
    <row r="4400" spans="1:9" x14ac:dyDescent="0.45">
      <c r="A4400" t="s">
        <v>53</v>
      </c>
      <c r="B4400" t="s">
        <v>71</v>
      </c>
      <c r="C4400" t="str">
        <f t="shared" si="136"/>
        <v>PurdueWisconsin</v>
      </c>
      <c r="D4400" t="s">
        <v>53</v>
      </c>
      <c r="E4400">
        <v>62.3</v>
      </c>
      <c r="F4400" s="1">
        <v>-3.2905660377358501</v>
      </c>
      <c r="G4400" s="2">
        <v>-165.20415098954601</v>
      </c>
      <c r="H4400" s="1">
        <v>138.96193352818401</v>
      </c>
      <c r="I4400" s="1">
        <f t="shared" si="137"/>
        <v>141.36445689308971</v>
      </c>
    </row>
    <row r="4401" spans="1:9" x14ac:dyDescent="0.45">
      <c r="A4401" t="s">
        <v>54</v>
      </c>
      <c r="B4401" t="s">
        <v>71</v>
      </c>
      <c r="C4401" t="str">
        <f t="shared" si="136"/>
        <v>Robert MorrisWisconsin</v>
      </c>
      <c r="D4401" t="s">
        <v>71</v>
      </c>
      <c r="E4401">
        <v>0.2</v>
      </c>
      <c r="F4401" s="1">
        <v>40.5962264150943</v>
      </c>
      <c r="G4401" s="2">
        <v>48934.363654799403</v>
      </c>
      <c r="H4401" s="1">
        <v>136.04489885687099</v>
      </c>
      <c r="I4401" s="1">
        <f t="shared" si="137"/>
        <v>100.40428566921591</v>
      </c>
    </row>
    <row r="4402" spans="1:9" x14ac:dyDescent="0.45">
      <c r="A4402" t="s">
        <v>55</v>
      </c>
      <c r="B4402" t="s">
        <v>71</v>
      </c>
      <c r="C4402" t="str">
        <f t="shared" si="136"/>
        <v>Saint FrancisWisconsin</v>
      </c>
      <c r="D4402" t="s">
        <v>71</v>
      </c>
      <c r="E4402">
        <v>0.1</v>
      </c>
      <c r="F4402" s="1">
        <v>43.962264150943398</v>
      </c>
      <c r="G4402" s="2">
        <v>81732.755272517199</v>
      </c>
      <c r="H4402" s="1">
        <v>136.75174673891399</v>
      </c>
      <c r="I4402" s="1">
        <f t="shared" si="137"/>
        <v>110.32964259501549</v>
      </c>
    </row>
    <row r="4403" spans="1:9" x14ac:dyDescent="0.45">
      <c r="A4403" t="s">
        <v>56</v>
      </c>
      <c r="B4403" t="s">
        <v>71</v>
      </c>
      <c r="C4403" t="str">
        <f t="shared" si="136"/>
        <v>Saint Mary'sWisconsin</v>
      </c>
      <c r="D4403" t="s">
        <v>71</v>
      </c>
      <c r="E4403">
        <v>22.2</v>
      </c>
      <c r="F4403" s="1">
        <v>8.2264150943396199</v>
      </c>
      <c r="G4403" s="2">
        <v>350.69693043734998</v>
      </c>
      <c r="H4403" s="1">
        <v>138.48095285485601</v>
      </c>
      <c r="I4403" s="1">
        <f t="shared" si="137"/>
        <v>134.61066307341571</v>
      </c>
    </row>
    <row r="4404" spans="1:9" x14ac:dyDescent="0.45">
      <c r="A4404" t="s">
        <v>57</v>
      </c>
      <c r="B4404" t="s">
        <v>71</v>
      </c>
      <c r="C4404" t="str">
        <f t="shared" si="136"/>
        <v>San Diego St.Wisconsin</v>
      </c>
      <c r="D4404" t="s">
        <v>71</v>
      </c>
      <c r="E4404">
        <v>8.1</v>
      </c>
      <c r="F4404" s="1">
        <v>15.898113207547199</v>
      </c>
      <c r="G4404" s="2">
        <v>1130.6587048214501</v>
      </c>
      <c r="H4404" s="1">
        <v>137.69565201788399</v>
      </c>
      <c r="I4404" s="1">
        <f t="shared" si="137"/>
        <v>123.58369206722367</v>
      </c>
    </row>
    <row r="4405" spans="1:9" x14ac:dyDescent="0.45">
      <c r="A4405" t="s">
        <v>58</v>
      </c>
      <c r="B4405" t="s">
        <v>71</v>
      </c>
      <c r="C4405" t="str">
        <f t="shared" si="136"/>
        <v>SIU EdwardsvilleWisconsin</v>
      </c>
      <c r="D4405" t="s">
        <v>71</v>
      </c>
      <c r="E4405">
        <v>0.4</v>
      </c>
      <c r="F4405" s="1">
        <v>35.8716981132076</v>
      </c>
      <c r="G4405" s="2">
        <v>23801.910075166699</v>
      </c>
      <c r="H4405" s="1">
        <v>137.75491019806799</v>
      </c>
      <c r="I4405" s="1">
        <f t="shared" si="137"/>
        <v>124.41577857981193</v>
      </c>
    </row>
    <row r="4406" spans="1:9" x14ac:dyDescent="0.45">
      <c r="A4406" t="s">
        <v>59</v>
      </c>
      <c r="B4406" t="s">
        <v>71</v>
      </c>
      <c r="C4406" t="str">
        <f t="shared" si="136"/>
        <v>St. John'sWisconsin</v>
      </c>
      <c r="D4406" t="s">
        <v>71</v>
      </c>
      <c r="E4406">
        <v>45.3</v>
      </c>
      <c r="F4406" s="1">
        <v>1.2415094339622601</v>
      </c>
      <c r="G4406" s="2">
        <v>120.85992357948599</v>
      </c>
      <c r="H4406" s="1">
        <v>138.57436664662299</v>
      </c>
      <c r="I4406" s="1">
        <f t="shared" si="137"/>
        <v>135.92235296969125</v>
      </c>
    </row>
    <row r="4407" spans="1:9" x14ac:dyDescent="0.45">
      <c r="A4407" t="s">
        <v>60</v>
      </c>
      <c r="B4407" t="s">
        <v>71</v>
      </c>
      <c r="C4407" t="str">
        <f t="shared" si="136"/>
        <v>TennesseeWisconsin</v>
      </c>
      <c r="D4407" t="s">
        <v>60</v>
      </c>
      <c r="E4407">
        <v>64.7</v>
      </c>
      <c r="F4407" s="1">
        <v>-3.9735849056603798</v>
      </c>
      <c r="G4407" s="2">
        <v>-183.347577944482</v>
      </c>
      <c r="H4407" s="1">
        <v>139.36759902075701</v>
      </c>
      <c r="I4407" s="1">
        <f t="shared" si="137"/>
        <v>147.06069636491205</v>
      </c>
    </row>
    <row r="4408" spans="1:9" x14ac:dyDescent="0.45">
      <c r="A4408" t="s">
        <v>61</v>
      </c>
      <c r="B4408" t="s">
        <v>71</v>
      </c>
      <c r="C4408" t="str">
        <f t="shared" si="136"/>
        <v>TexasWisconsin</v>
      </c>
      <c r="D4408" t="s">
        <v>71</v>
      </c>
      <c r="E4408">
        <v>6.8</v>
      </c>
      <c r="F4408" s="1">
        <v>17.1207547169811</v>
      </c>
      <c r="G4408" s="2">
        <v>1362.60395887092</v>
      </c>
      <c r="H4408" s="1">
        <v>137.06748084839501</v>
      </c>
      <c r="I4408" s="1">
        <f t="shared" si="137"/>
        <v>114.76309116274828</v>
      </c>
    </row>
    <row r="4409" spans="1:9" x14ac:dyDescent="0.45">
      <c r="A4409" t="s">
        <v>62</v>
      </c>
      <c r="B4409" t="s">
        <v>71</v>
      </c>
      <c r="C4409" t="str">
        <f t="shared" si="136"/>
        <v>Texas A&amp;MWisconsin</v>
      </c>
      <c r="D4409" t="s">
        <v>71</v>
      </c>
      <c r="E4409">
        <v>29.5</v>
      </c>
      <c r="F4409" s="1">
        <v>5.7207547169811299</v>
      </c>
      <c r="G4409" s="2">
        <v>239.34004437774399</v>
      </c>
      <c r="H4409" s="1">
        <v>137.85445615779301</v>
      </c>
      <c r="I4409" s="1">
        <f t="shared" si="137"/>
        <v>125.81357463451099</v>
      </c>
    </row>
    <row r="4410" spans="1:9" x14ac:dyDescent="0.45">
      <c r="A4410" t="s">
        <v>63</v>
      </c>
      <c r="B4410" t="s">
        <v>71</v>
      </c>
      <c r="C4410" t="str">
        <f t="shared" si="136"/>
        <v>Texas TechWisconsin</v>
      </c>
      <c r="D4410" t="s">
        <v>71</v>
      </c>
      <c r="E4410">
        <v>44.7</v>
      </c>
      <c r="F4410" s="1">
        <v>1.3886792452830199</v>
      </c>
      <c r="G4410" s="2">
        <v>123.566266745349</v>
      </c>
      <c r="H4410" s="1">
        <v>138.844968763032</v>
      </c>
      <c r="I4410" s="1">
        <f t="shared" si="137"/>
        <v>139.72207092664871</v>
      </c>
    </row>
    <row r="4411" spans="1:9" x14ac:dyDescent="0.45">
      <c r="A4411" t="s">
        <v>64</v>
      </c>
      <c r="B4411" t="s">
        <v>71</v>
      </c>
      <c r="C4411" t="str">
        <f t="shared" si="136"/>
        <v>TroyWisconsin</v>
      </c>
      <c r="D4411" t="s">
        <v>71</v>
      </c>
      <c r="E4411">
        <v>1.2</v>
      </c>
      <c r="F4411" s="1">
        <v>29.196226415094301</v>
      </c>
      <c r="G4411" s="2">
        <v>8594.9071557794105</v>
      </c>
      <c r="H4411" s="1">
        <v>137.61127335759099</v>
      </c>
      <c r="I4411" s="1">
        <f t="shared" si="137"/>
        <v>122.3988709174337</v>
      </c>
    </row>
    <row r="4412" spans="1:9" x14ac:dyDescent="0.45">
      <c r="A4412" t="s">
        <v>65</v>
      </c>
      <c r="B4412" t="s">
        <v>71</v>
      </c>
      <c r="C4412" t="str">
        <f t="shared" si="136"/>
        <v>UC San DiegoWisconsin</v>
      </c>
      <c r="D4412" t="s">
        <v>71</v>
      </c>
      <c r="E4412">
        <v>2.9</v>
      </c>
      <c r="F4412" s="1">
        <v>23.0150943396226</v>
      </c>
      <c r="G4412" s="2">
        <v>3347.4436673818</v>
      </c>
      <c r="H4412" s="1">
        <v>137.68139358725401</v>
      </c>
      <c r="I4412" s="1">
        <f t="shared" si="137"/>
        <v>123.38347923954245</v>
      </c>
    </row>
    <row r="4413" spans="1:9" x14ac:dyDescent="0.45">
      <c r="A4413" t="s">
        <v>66</v>
      </c>
      <c r="B4413" t="s">
        <v>71</v>
      </c>
      <c r="C4413" t="str">
        <f t="shared" si="136"/>
        <v>UCLAWisconsin</v>
      </c>
      <c r="D4413" t="s">
        <v>71</v>
      </c>
      <c r="E4413">
        <v>9.3000000000000007</v>
      </c>
      <c r="F4413" s="1">
        <v>14.913207547169799</v>
      </c>
      <c r="G4413" s="2">
        <v>972.796110786246</v>
      </c>
      <c r="H4413" s="1">
        <v>136.902652166466</v>
      </c>
      <c r="I4413" s="1">
        <f t="shared" si="137"/>
        <v>112.44861368984985</v>
      </c>
    </row>
    <row r="4414" spans="1:9" x14ac:dyDescent="0.45">
      <c r="A4414" t="s">
        <v>67</v>
      </c>
      <c r="B4414" t="s">
        <v>71</v>
      </c>
      <c r="C4414" t="str">
        <f t="shared" si="136"/>
        <v>UNC WilmingtonWisconsin</v>
      </c>
      <c r="D4414" t="s">
        <v>71</v>
      </c>
      <c r="E4414">
        <v>1.7</v>
      </c>
      <c r="F4414" s="1">
        <v>26.607547169811301</v>
      </c>
      <c r="G4414" s="2">
        <v>5789.9693816048202</v>
      </c>
      <c r="H4414" s="1">
        <v>138.21806205791901</v>
      </c>
      <c r="I4414" s="1">
        <f t="shared" si="137"/>
        <v>130.91922527131607</v>
      </c>
    </row>
    <row r="4415" spans="1:9" x14ac:dyDescent="0.45">
      <c r="A4415" t="s">
        <v>68</v>
      </c>
      <c r="B4415" t="s">
        <v>71</v>
      </c>
      <c r="C4415" t="str">
        <f t="shared" si="136"/>
        <v>Utah St.Wisconsin</v>
      </c>
      <c r="D4415" t="s">
        <v>71</v>
      </c>
      <c r="E4415">
        <v>8.9</v>
      </c>
      <c r="F4415" s="1">
        <v>15.2792452830189</v>
      </c>
      <c r="G4415" s="2">
        <v>1028.5800075836801</v>
      </c>
      <c r="H4415" s="1">
        <v>137.76524855649799</v>
      </c>
      <c r="I4415" s="1">
        <f t="shared" si="137"/>
        <v>124.56094686856461</v>
      </c>
    </row>
    <row r="4416" spans="1:9" x14ac:dyDescent="0.45">
      <c r="A4416" t="s">
        <v>69</v>
      </c>
      <c r="B4416" t="s">
        <v>71</v>
      </c>
      <c r="C4416" t="str">
        <f t="shared" si="136"/>
        <v>VanderbiltWisconsin</v>
      </c>
      <c r="D4416" t="s">
        <v>71</v>
      </c>
      <c r="E4416">
        <v>1.9</v>
      </c>
      <c r="F4416" s="1">
        <v>25.9283018867925</v>
      </c>
      <c r="G4416" s="2">
        <v>5219.8382716566402</v>
      </c>
      <c r="H4416" s="1">
        <v>136.19928643777999</v>
      </c>
      <c r="I4416" s="1">
        <f t="shared" si="137"/>
        <v>102.57215217113375</v>
      </c>
    </row>
    <row r="4417" spans="1:9" x14ac:dyDescent="0.45">
      <c r="A4417" t="s">
        <v>70</v>
      </c>
      <c r="B4417" t="s">
        <v>71</v>
      </c>
      <c r="C4417" t="str">
        <f t="shared" si="136"/>
        <v>VCUWisconsin</v>
      </c>
      <c r="D4417" t="s">
        <v>71</v>
      </c>
      <c r="E4417">
        <v>5.8</v>
      </c>
      <c r="F4417" s="1">
        <v>18.2830188679245</v>
      </c>
      <c r="G4417" s="2">
        <v>1626.05524774118</v>
      </c>
      <c r="H4417" s="1">
        <v>138.124459566974</v>
      </c>
      <c r="I4417" s="1">
        <f t="shared" si="137"/>
        <v>129.60488571485024</v>
      </c>
    </row>
    <row r="4418" spans="1:9" x14ac:dyDescent="0.45">
      <c r="A4418" t="s">
        <v>71</v>
      </c>
      <c r="B4418" t="s">
        <v>71</v>
      </c>
      <c r="C4418" t="str">
        <f t="shared" si="136"/>
        <v>WisconsinWisconsin</v>
      </c>
      <c r="D4418" t="s">
        <v>71</v>
      </c>
      <c r="E4418">
        <v>41.2</v>
      </c>
      <c r="F4418" s="1">
        <v>2.3283018867924499</v>
      </c>
      <c r="G4418" s="2">
        <v>142.64273539779199</v>
      </c>
      <c r="H4418" s="1">
        <v>138.77771517530499</v>
      </c>
      <c r="I4418" s="1">
        <f t="shared" si="137"/>
        <v>138.77771517530684</v>
      </c>
    </row>
    <row r="4419" spans="1:9" x14ac:dyDescent="0.45">
      <c r="A4419" t="s">
        <v>80</v>
      </c>
      <c r="B4419" t="s">
        <v>71</v>
      </c>
      <c r="C4419" t="str">
        <f t="shared" ref="C4419:C4482" si="138">A4419&amp;B4419</f>
        <v>WoffordWisconsin</v>
      </c>
      <c r="D4419" t="s">
        <v>71</v>
      </c>
      <c r="E4419">
        <v>0.6</v>
      </c>
      <c r="F4419" s="1">
        <v>33.501886792452801</v>
      </c>
      <c r="G4419" s="2">
        <v>16578.1376781242</v>
      </c>
      <c r="H4419" s="1">
        <v>136.875363604532</v>
      </c>
      <c r="I4419" s="1">
        <f t="shared" ref="I4419:I4482" si="139">18*(H4419-AVERAGE($H$2:$H$4625))/_xlfn.STDEV.P($H$2:$H$4625)+AVERAGE($H$2:$H$4625)</f>
        <v>112.06543546428327</v>
      </c>
    </row>
    <row r="4420" spans="1:9" x14ac:dyDescent="0.45">
      <c r="A4420" t="s">
        <v>72</v>
      </c>
      <c r="B4420" t="s">
        <v>71</v>
      </c>
      <c r="C4420" t="str">
        <f t="shared" si="138"/>
        <v>XavierWisconsin</v>
      </c>
      <c r="D4420" t="s">
        <v>71</v>
      </c>
      <c r="E4420">
        <v>5.7</v>
      </c>
      <c r="F4420" s="1">
        <v>18.3547169811321</v>
      </c>
      <c r="G4420" s="2">
        <v>1644.30085540343</v>
      </c>
      <c r="H4420" s="1">
        <v>137.61816577515401</v>
      </c>
      <c r="I4420" s="1">
        <f t="shared" si="139"/>
        <v>122.49565228458857</v>
      </c>
    </row>
    <row r="4421" spans="1:9" x14ac:dyDescent="0.45">
      <c r="A4421" t="s">
        <v>73</v>
      </c>
      <c r="B4421" t="s">
        <v>71</v>
      </c>
      <c r="C4421" t="str">
        <f t="shared" si="138"/>
        <v>YaleWisconsin</v>
      </c>
      <c r="D4421" t="s">
        <v>71</v>
      </c>
      <c r="E4421">
        <v>3.1</v>
      </c>
      <c r="F4421" s="1">
        <v>22.603773584905699</v>
      </c>
      <c r="G4421" s="2">
        <v>3144.32026104639</v>
      </c>
      <c r="H4421" s="1">
        <v>138.217871911548</v>
      </c>
      <c r="I4421" s="1">
        <f t="shared" si="139"/>
        <v>130.91655529005365</v>
      </c>
    </row>
    <row r="4422" spans="1:9" x14ac:dyDescent="0.45">
      <c r="A4422" t="s">
        <v>7</v>
      </c>
      <c r="B4422" t="s">
        <v>80</v>
      </c>
      <c r="C4422" t="str">
        <f t="shared" si="138"/>
        <v>AkronWofford</v>
      </c>
      <c r="D4422" t="s">
        <v>7</v>
      </c>
      <c r="E4422">
        <v>65.900000000000006</v>
      </c>
      <c r="F4422" s="1">
        <v>-4.3056603773584898</v>
      </c>
      <c r="G4422" s="2">
        <v>-192.87918491750401</v>
      </c>
      <c r="H4422" s="1">
        <v>138.93705054290101</v>
      </c>
      <c r="I4422" s="1">
        <f t="shared" si="139"/>
        <v>141.015057090689</v>
      </c>
    </row>
    <row r="4423" spans="1:9" x14ac:dyDescent="0.45">
      <c r="A4423" t="s">
        <v>8</v>
      </c>
      <c r="B4423" t="s">
        <v>80</v>
      </c>
      <c r="C4423" t="str">
        <f t="shared" si="138"/>
        <v>AlabamaWofford</v>
      </c>
      <c r="D4423" t="s">
        <v>8</v>
      </c>
      <c r="E4423">
        <v>99.3</v>
      </c>
      <c r="F4423" s="1">
        <v>-32.6452830188679</v>
      </c>
      <c r="G4423" s="2">
        <v>-14548.427911303201</v>
      </c>
      <c r="H4423" s="1">
        <v>140.74466173049601</v>
      </c>
      <c r="I4423" s="1">
        <f t="shared" si="139"/>
        <v>166.397019286138</v>
      </c>
    </row>
    <row r="4424" spans="1:9" x14ac:dyDescent="0.45">
      <c r="A4424" t="s">
        <v>9</v>
      </c>
      <c r="B4424" t="s">
        <v>80</v>
      </c>
      <c r="C4424" t="str">
        <f t="shared" si="138"/>
        <v>Alabama St.Wofford</v>
      </c>
      <c r="D4424" t="s">
        <v>80</v>
      </c>
      <c r="E4424">
        <v>22.8</v>
      </c>
      <c r="F4424" s="1">
        <v>8.01132075471698</v>
      </c>
      <c r="G4424" s="2">
        <v>339.47230985510498</v>
      </c>
      <c r="H4424" s="1">
        <v>139.12381230232199</v>
      </c>
      <c r="I4424" s="1">
        <f t="shared" si="139"/>
        <v>143.63751259976675</v>
      </c>
    </row>
    <row r="4425" spans="1:9" x14ac:dyDescent="0.45">
      <c r="A4425" t="s">
        <v>10</v>
      </c>
      <c r="B4425" t="s">
        <v>80</v>
      </c>
      <c r="C4425" t="str">
        <f t="shared" si="138"/>
        <v>AmericanWofford</v>
      </c>
      <c r="D4425" t="s">
        <v>80</v>
      </c>
      <c r="E4425">
        <v>24.8</v>
      </c>
      <c r="F4425" s="1">
        <v>7.25660377358491</v>
      </c>
      <c r="G4425" s="2">
        <v>302.45313145608299</v>
      </c>
      <c r="H4425" s="1">
        <v>138.88710182208399</v>
      </c>
      <c r="I4425" s="1">
        <f t="shared" si="139"/>
        <v>140.31369135883864</v>
      </c>
    </row>
    <row r="4426" spans="1:9" x14ac:dyDescent="0.45">
      <c r="A4426" t="s">
        <v>11</v>
      </c>
      <c r="B4426" t="s">
        <v>80</v>
      </c>
      <c r="C4426" t="str">
        <f t="shared" si="138"/>
        <v>ArizonaWofford</v>
      </c>
      <c r="D4426" t="s">
        <v>11</v>
      </c>
      <c r="E4426">
        <v>99</v>
      </c>
      <c r="F4426" s="1">
        <v>-29.890566037735901</v>
      </c>
      <c r="G4426" s="2">
        <v>-9555.68629166551</v>
      </c>
      <c r="H4426" s="1">
        <v>140.355141070673</v>
      </c>
      <c r="I4426" s="1">
        <f t="shared" si="139"/>
        <v>160.92748096405663</v>
      </c>
    </row>
    <row r="4427" spans="1:9" x14ac:dyDescent="0.45">
      <c r="A4427" t="s">
        <v>12</v>
      </c>
      <c r="B4427" t="s">
        <v>80</v>
      </c>
      <c r="C4427" t="str">
        <f t="shared" si="138"/>
        <v>ArkansasWofford</v>
      </c>
      <c r="D4427" t="s">
        <v>12</v>
      </c>
      <c r="E4427">
        <v>86.2</v>
      </c>
      <c r="F4427" s="1">
        <v>-11.988679245283</v>
      </c>
      <c r="G4427" s="2">
        <v>-622.81961193455402</v>
      </c>
      <c r="H4427" s="1">
        <v>138.68106504846199</v>
      </c>
      <c r="I4427" s="1">
        <f t="shared" si="139"/>
        <v>137.42058158233635</v>
      </c>
    </row>
    <row r="4428" spans="1:9" x14ac:dyDescent="0.45">
      <c r="A4428" t="s">
        <v>13</v>
      </c>
      <c r="B4428" t="s">
        <v>80</v>
      </c>
      <c r="C4428" t="str">
        <f t="shared" si="138"/>
        <v>AuburnWofford</v>
      </c>
      <c r="D4428" t="s">
        <v>13</v>
      </c>
      <c r="E4428">
        <v>99.7</v>
      </c>
      <c r="F4428" s="1">
        <v>-37.086792452830203</v>
      </c>
      <c r="G4428" s="2">
        <v>-28636.9386787648</v>
      </c>
      <c r="H4428" s="1">
        <v>141.766877963848</v>
      </c>
      <c r="I4428" s="1">
        <f t="shared" si="139"/>
        <v>180.75068890744373</v>
      </c>
    </row>
    <row r="4429" spans="1:9" x14ac:dyDescent="0.45">
      <c r="A4429" t="s">
        <v>14</v>
      </c>
      <c r="B4429" t="s">
        <v>80</v>
      </c>
      <c r="C4429" t="str">
        <f t="shared" si="138"/>
        <v>BaylorWofford</v>
      </c>
      <c r="D4429" t="s">
        <v>14</v>
      </c>
      <c r="E4429">
        <v>96.6</v>
      </c>
      <c r="F4429" s="1">
        <v>-22.037735849056599</v>
      </c>
      <c r="G4429" s="2">
        <v>-2883.7950105823202</v>
      </c>
      <c r="H4429" s="1">
        <v>140.22979532502899</v>
      </c>
      <c r="I4429" s="1">
        <f t="shared" si="139"/>
        <v>159.16741165317256</v>
      </c>
    </row>
    <row r="4430" spans="1:9" x14ac:dyDescent="0.45">
      <c r="A4430" t="s">
        <v>15</v>
      </c>
      <c r="B4430" t="s">
        <v>80</v>
      </c>
      <c r="C4430" t="str">
        <f t="shared" si="138"/>
        <v>BryantWofford</v>
      </c>
      <c r="D4430" t="s">
        <v>15</v>
      </c>
      <c r="E4430">
        <v>57.4</v>
      </c>
      <c r="F4430" s="1">
        <v>-1.9660377358490599</v>
      </c>
      <c r="G4430" s="2">
        <v>-134.97476350771001</v>
      </c>
      <c r="H4430" s="1">
        <v>139.82211520067401</v>
      </c>
      <c r="I4430" s="1">
        <f t="shared" si="139"/>
        <v>153.44288329484701</v>
      </c>
    </row>
    <row r="4431" spans="1:9" x14ac:dyDescent="0.45">
      <c r="A4431" t="s">
        <v>16</v>
      </c>
      <c r="B4431" t="s">
        <v>80</v>
      </c>
      <c r="C4431" t="str">
        <f t="shared" si="138"/>
        <v>BYUWofford</v>
      </c>
      <c r="D4431" t="s">
        <v>16</v>
      </c>
      <c r="E4431">
        <v>97.1</v>
      </c>
      <c r="F4431" s="1">
        <v>-23.132075471698101</v>
      </c>
      <c r="G4431" s="2">
        <v>-3407.8002322020302</v>
      </c>
      <c r="H4431" s="1">
        <v>139.99215587511799</v>
      </c>
      <c r="I4431" s="1">
        <f t="shared" si="139"/>
        <v>155.83054608430348</v>
      </c>
    </row>
    <row r="4432" spans="1:9" x14ac:dyDescent="0.45">
      <c r="A4432" t="s">
        <v>17</v>
      </c>
      <c r="B4432" t="s">
        <v>80</v>
      </c>
      <c r="C4432" t="str">
        <f t="shared" si="138"/>
        <v>ClemsonWofford</v>
      </c>
      <c r="D4432" t="s">
        <v>17</v>
      </c>
      <c r="E4432">
        <v>97.9</v>
      </c>
      <c r="F4432" s="1">
        <v>-25.335849056603799</v>
      </c>
      <c r="G4432" s="2">
        <v>-4769.9661157456903</v>
      </c>
      <c r="H4432" s="1">
        <v>140.34220609755999</v>
      </c>
      <c r="I4432" s="1">
        <f t="shared" si="139"/>
        <v>160.74585175042566</v>
      </c>
    </row>
    <row r="4433" spans="1:9" x14ac:dyDescent="0.45">
      <c r="A4433" t="s">
        <v>18</v>
      </c>
      <c r="B4433" t="s">
        <v>80</v>
      </c>
      <c r="C4433" t="str">
        <f t="shared" si="138"/>
        <v>Colorado St.Wofford</v>
      </c>
      <c r="D4433" t="s">
        <v>18</v>
      </c>
      <c r="E4433">
        <v>88.8</v>
      </c>
      <c r="F4433" s="1">
        <v>-13.554716981132101</v>
      </c>
      <c r="G4433" s="2">
        <v>-790.59014614199202</v>
      </c>
      <c r="H4433" s="1">
        <v>139.731817072354</v>
      </c>
      <c r="I4433" s="1">
        <f t="shared" si="139"/>
        <v>152.17494265857144</v>
      </c>
    </row>
    <row r="4434" spans="1:9" x14ac:dyDescent="0.45">
      <c r="A4434" t="s">
        <v>19</v>
      </c>
      <c r="B4434" t="s">
        <v>80</v>
      </c>
      <c r="C4434" t="str">
        <f t="shared" si="138"/>
        <v>ConnecticutWofford</v>
      </c>
      <c r="D4434" t="s">
        <v>19</v>
      </c>
      <c r="E4434">
        <v>98.7</v>
      </c>
      <c r="F4434" s="1">
        <v>-28.230188679245298</v>
      </c>
      <c r="G4434" s="2">
        <v>-7416.5447637843699</v>
      </c>
      <c r="H4434" s="1">
        <v>140.14245692830801</v>
      </c>
      <c r="I4434" s="1">
        <f t="shared" si="139"/>
        <v>157.94103072623633</v>
      </c>
    </row>
    <row r="4435" spans="1:9" x14ac:dyDescent="0.45">
      <c r="A4435" t="s">
        <v>20</v>
      </c>
      <c r="B4435" t="s">
        <v>80</v>
      </c>
      <c r="C4435" t="str">
        <f t="shared" si="138"/>
        <v>CreightonWofford</v>
      </c>
      <c r="D4435" t="s">
        <v>20</v>
      </c>
      <c r="E4435">
        <v>95.8</v>
      </c>
      <c r="F4435" s="1">
        <v>-20.520754716981099</v>
      </c>
      <c r="G4435" s="2">
        <v>-2288.59509278107</v>
      </c>
      <c r="H4435" s="1">
        <v>139.69175368114699</v>
      </c>
      <c r="I4435" s="1">
        <f t="shared" si="139"/>
        <v>151.61238391362869</v>
      </c>
    </row>
    <row r="4436" spans="1:9" x14ac:dyDescent="0.45">
      <c r="A4436" t="s">
        <v>21</v>
      </c>
      <c r="B4436" t="s">
        <v>80</v>
      </c>
      <c r="C4436" t="str">
        <f t="shared" si="138"/>
        <v>DrakeWofford</v>
      </c>
      <c r="D4436" t="s">
        <v>21</v>
      </c>
      <c r="E4436">
        <v>88.5</v>
      </c>
      <c r="F4436" s="1">
        <v>-13.3509433962264</v>
      </c>
      <c r="G4436" s="2">
        <v>-766.26902250875298</v>
      </c>
      <c r="H4436" s="1">
        <v>139.926429486822</v>
      </c>
      <c r="I4436" s="1">
        <f t="shared" si="139"/>
        <v>154.90763483302288</v>
      </c>
    </row>
    <row r="4437" spans="1:9" x14ac:dyDescent="0.45">
      <c r="A4437" t="s">
        <v>22</v>
      </c>
      <c r="B4437" t="s">
        <v>80</v>
      </c>
      <c r="C4437" t="str">
        <f t="shared" si="138"/>
        <v>DukeWofford</v>
      </c>
      <c r="D4437" t="s">
        <v>22</v>
      </c>
      <c r="E4437">
        <v>99.8</v>
      </c>
      <c r="F4437" s="1">
        <v>-39.301886792452798</v>
      </c>
      <c r="G4437" s="2">
        <v>-40145.206382650103</v>
      </c>
      <c r="H4437" s="1">
        <v>142.006769375424</v>
      </c>
      <c r="I4437" s="1">
        <f t="shared" si="139"/>
        <v>184.11917588153469</v>
      </c>
    </row>
    <row r="4438" spans="1:9" x14ac:dyDescent="0.45">
      <c r="A4438" t="s">
        <v>23</v>
      </c>
      <c r="B4438" t="s">
        <v>80</v>
      </c>
      <c r="C4438" t="str">
        <f t="shared" si="138"/>
        <v>FloridaWofford</v>
      </c>
      <c r="D4438" t="s">
        <v>23</v>
      </c>
      <c r="E4438">
        <v>99.6</v>
      </c>
      <c r="F4438" s="1">
        <v>-35.441509433962302</v>
      </c>
      <c r="G4438" s="2">
        <v>-22289.5620153239</v>
      </c>
      <c r="H4438" s="1">
        <v>141.741419902979</v>
      </c>
      <c r="I4438" s="1">
        <f t="shared" si="139"/>
        <v>180.39321405722103</v>
      </c>
    </row>
    <row r="4439" spans="1:9" x14ac:dyDescent="0.45">
      <c r="A4439" t="s">
        <v>24</v>
      </c>
      <c r="B4439" t="s">
        <v>80</v>
      </c>
      <c r="C4439" t="str">
        <f t="shared" si="138"/>
        <v>GeorgiaWofford</v>
      </c>
      <c r="D4439" t="s">
        <v>24</v>
      </c>
      <c r="E4439">
        <v>90</v>
      </c>
      <c r="F4439" s="1">
        <v>-14.381132075471699</v>
      </c>
      <c r="G4439" s="2">
        <v>-896.98672726369296</v>
      </c>
      <c r="H4439" s="1">
        <v>139.00537819926299</v>
      </c>
      <c r="I4439" s="1">
        <f t="shared" si="139"/>
        <v>141.97449460832854</v>
      </c>
    </row>
    <row r="4440" spans="1:9" x14ac:dyDescent="0.45">
      <c r="A4440" t="s">
        <v>25</v>
      </c>
      <c r="B4440" t="s">
        <v>80</v>
      </c>
      <c r="C4440" t="str">
        <f t="shared" si="138"/>
        <v>GonzagaWofford</v>
      </c>
      <c r="D4440" t="s">
        <v>25</v>
      </c>
      <c r="E4440">
        <v>97.8</v>
      </c>
      <c r="F4440" s="1">
        <v>-25.011320754717001</v>
      </c>
      <c r="G4440" s="2">
        <v>-4539.6760149335896</v>
      </c>
      <c r="H4440" s="1">
        <v>140.98233992976901</v>
      </c>
      <c r="I4440" s="1">
        <f t="shared" si="139"/>
        <v>169.73442896252772</v>
      </c>
    </row>
    <row r="4441" spans="1:9" x14ac:dyDescent="0.45">
      <c r="A4441" t="s">
        <v>26</v>
      </c>
      <c r="B4441" t="s">
        <v>80</v>
      </c>
      <c r="C4441" t="str">
        <f t="shared" si="138"/>
        <v>Grand CanyonWofford</v>
      </c>
      <c r="D4441" t="s">
        <v>26</v>
      </c>
      <c r="E4441">
        <v>83.1</v>
      </c>
      <c r="F4441" s="1">
        <v>-10.4603773584906</v>
      </c>
      <c r="G4441" s="2">
        <v>-493.22607098582802</v>
      </c>
      <c r="H4441" s="1">
        <v>139.800311647309</v>
      </c>
      <c r="I4441" s="1">
        <f t="shared" si="139"/>
        <v>153.13672399962087</v>
      </c>
    </row>
    <row r="4442" spans="1:9" x14ac:dyDescent="0.45">
      <c r="A4442" t="s">
        <v>27</v>
      </c>
      <c r="B4442" t="s">
        <v>80</v>
      </c>
      <c r="C4442" t="str">
        <f t="shared" si="138"/>
        <v>High PointWofford</v>
      </c>
      <c r="D4442" t="s">
        <v>27</v>
      </c>
      <c r="E4442">
        <v>75.5</v>
      </c>
      <c r="F4442" s="1">
        <v>-7.36981132075472</v>
      </c>
      <c r="G4442" s="2">
        <v>-307.86758378856001</v>
      </c>
      <c r="H4442" s="1">
        <v>139.99151878085701</v>
      </c>
      <c r="I4442" s="1">
        <f t="shared" si="139"/>
        <v>155.82160018788608</v>
      </c>
    </row>
    <row r="4443" spans="1:9" x14ac:dyDescent="0.45">
      <c r="A4443" t="s">
        <v>28</v>
      </c>
      <c r="B4443" t="s">
        <v>80</v>
      </c>
      <c r="C4443" t="str">
        <f t="shared" si="138"/>
        <v>HoustonWofford</v>
      </c>
      <c r="D4443" t="s">
        <v>28</v>
      </c>
      <c r="E4443">
        <v>99.9</v>
      </c>
      <c r="F4443" s="1">
        <v>-42.652830188679197</v>
      </c>
      <c r="G4443" s="2">
        <v>-66967.464400994606</v>
      </c>
      <c r="H4443" s="1">
        <v>142.10498113806</v>
      </c>
      <c r="I4443" s="1">
        <f t="shared" si="139"/>
        <v>185.49823752016724</v>
      </c>
    </row>
    <row r="4444" spans="1:9" x14ac:dyDescent="0.45">
      <c r="A4444" t="s">
        <v>29</v>
      </c>
      <c r="B4444" t="s">
        <v>80</v>
      </c>
      <c r="C4444" t="str">
        <f t="shared" si="138"/>
        <v>IllinoisWofford</v>
      </c>
      <c r="D4444" t="s">
        <v>29</v>
      </c>
      <c r="E4444">
        <v>98.5</v>
      </c>
      <c r="F4444" s="1">
        <v>-27.4679245283019</v>
      </c>
      <c r="G4444" s="2">
        <v>-6601.6162534819696</v>
      </c>
      <c r="H4444" s="1">
        <v>140.163444913022</v>
      </c>
      <c r="I4444" s="1">
        <f t="shared" si="139"/>
        <v>158.23573803842004</v>
      </c>
    </row>
    <row r="4445" spans="1:9" x14ac:dyDescent="0.45">
      <c r="A4445" t="s">
        <v>30</v>
      </c>
      <c r="B4445" t="s">
        <v>80</v>
      </c>
      <c r="C4445" t="str">
        <f t="shared" si="138"/>
        <v>Iowa St.Wofford</v>
      </c>
      <c r="D4445" t="s">
        <v>30</v>
      </c>
      <c r="E4445">
        <v>99.3</v>
      </c>
      <c r="F4445" s="1">
        <v>-32.328301886792502</v>
      </c>
      <c r="G4445" s="2">
        <v>-13858.184367248299</v>
      </c>
      <c r="H4445" s="1">
        <v>141.05998720460801</v>
      </c>
      <c r="I4445" s="1">
        <f t="shared" si="139"/>
        <v>170.82472991223869</v>
      </c>
    </row>
    <row r="4446" spans="1:9" x14ac:dyDescent="0.45">
      <c r="A4446" t="s">
        <v>31</v>
      </c>
      <c r="B4446" t="s">
        <v>80</v>
      </c>
      <c r="C4446" t="str">
        <f t="shared" si="138"/>
        <v>KansasWofford</v>
      </c>
      <c r="D4446" t="s">
        <v>31</v>
      </c>
      <c r="E4446">
        <v>97.7</v>
      </c>
      <c r="F4446" s="1">
        <v>-24.611320754716999</v>
      </c>
      <c r="G4446" s="2">
        <v>-4270.7622867238497</v>
      </c>
      <c r="H4446" s="1">
        <v>140.11057509346199</v>
      </c>
      <c r="I4446" s="1">
        <f t="shared" si="139"/>
        <v>157.49335506880701</v>
      </c>
    </row>
    <row r="4447" spans="1:9" x14ac:dyDescent="0.45">
      <c r="A4447" t="s">
        <v>32</v>
      </c>
      <c r="B4447" t="s">
        <v>80</v>
      </c>
      <c r="C4447" t="str">
        <f t="shared" si="138"/>
        <v>KentuckyWofford</v>
      </c>
      <c r="D4447" t="s">
        <v>32</v>
      </c>
      <c r="E4447">
        <v>98.6</v>
      </c>
      <c r="F4447" s="1">
        <v>-27.977358490566001</v>
      </c>
      <c r="G4447" s="2">
        <v>-7134.9566988746901</v>
      </c>
      <c r="H4447" s="1">
        <v>140.044857425587</v>
      </c>
      <c r="I4447" s="1">
        <f t="shared" si="139"/>
        <v>156.57056626719785</v>
      </c>
    </row>
    <row r="4448" spans="1:9" x14ac:dyDescent="0.45">
      <c r="A4448" t="s">
        <v>33</v>
      </c>
      <c r="B4448" t="s">
        <v>80</v>
      </c>
      <c r="C4448" t="str">
        <f t="shared" si="138"/>
        <v>LibertyWofford</v>
      </c>
      <c r="D4448" t="s">
        <v>33</v>
      </c>
      <c r="E4448">
        <v>68.2</v>
      </c>
      <c r="F4448" s="1">
        <v>-4.98867924528302</v>
      </c>
      <c r="G4448" s="2">
        <v>-214.07375494305501</v>
      </c>
      <c r="H4448" s="1">
        <v>139.38985846930501</v>
      </c>
      <c r="I4448" s="1">
        <f t="shared" si="139"/>
        <v>147.37325721063715</v>
      </c>
    </row>
    <row r="4449" spans="1:9" x14ac:dyDescent="0.45">
      <c r="A4449" t="s">
        <v>34</v>
      </c>
      <c r="B4449" t="s">
        <v>80</v>
      </c>
      <c r="C4449" t="str">
        <f t="shared" si="138"/>
        <v>LipscombWofford</v>
      </c>
      <c r="D4449" t="s">
        <v>34</v>
      </c>
      <c r="E4449">
        <v>61.7</v>
      </c>
      <c r="F4449" s="1">
        <v>-3.12452830188679</v>
      </c>
      <c r="G4449" s="2">
        <v>-161.05163057922201</v>
      </c>
      <c r="H4449" s="1">
        <v>139.796176666897</v>
      </c>
      <c r="I4449" s="1">
        <f t="shared" si="139"/>
        <v>153.07866178070083</v>
      </c>
    </row>
    <row r="4450" spans="1:9" x14ac:dyDescent="0.45">
      <c r="A4450" t="s">
        <v>35</v>
      </c>
      <c r="B4450" t="s">
        <v>80</v>
      </c>
      <c r="C4450" t="str">
        <f t="shared" si="138"/>
        <v>LouisvilleWofford</v>
      </c>
      <c r="D4450" t="s">
        <v>35</v>
      </c>
      <c r="E4450">
        <v>80.2</v>
      </c>
      <c r="F4450" s="1">
        <v>-9.1735849056603804</v>
      </c>
      <c r="G4450" s="2">
        <v>-405.23127987481098</v>
      </c>
      <c r="H4450" s="1">
        <v>139.04153867271401</v>
      </c>
      <c r="I4450" s="1">
        <f t="shared" si="139"/>
        <v>142.48224969216625</v>
      </c>
    </row>
    <row r="4451" spans="1:9" x14ac:dyDescent="0.45">
      <c r="A4451" t="s">
        <v>36</v>
      </c>
      <c r="B4451" t="s">
        <v>80</v>
      </c>
      <c r="C4451" t="str">
        <f t="shared" si="138"/>
        <v>MarquetteWofford</v>
      </c>
      <c r="D4451" t="s">
        <v>36</v>
      </c>
      <c r="E4451">
        <v>98.2</v>
      </c>
      <c r="F4451" s="1">
        <v>-26.2415094339623</v>
      </c>
      <c r="G4451" s="2">
        <v>-5475.7833726764902</v>
      </c>
      <c r="H4451" s="1">
        <v>140.30367251617599</v>
      </c>
      <c r="I4451" s="1">
        <f t="shared" si="139"/>
        <v>160.20477415992607</v>
      </c>
    </row>
    <row r="4452" spans="1:9" x14ac:dyDescent="0.45">
      <c r="A4452" t="s">
        <v>37</v>
      </c>
      <c r="B4452" t="s">
        <v>80</v>
      </c>
      <c r="C4452" t="str">
        <f t="shared" si="138"/>
        <v>MarylandWofford</v>
      </c>
      <c r="D4452" t="s">
        <v>37</v>
      </c>
      <c r="E4452">
        <v>97.1</v>
      </c>
      <c r="F4452" s="1">
        <v>-23.0716981132075</v>
      </c>
      <c r="G4452" s="2">
        <v>-3377.6327502247</v>
      </c>
      <c r="H4452" s="1">
        <v>139.76204211471901</v>
      </c>
      <c r="I4452" s="1">
        <f t="shared" si="139"/>
        <v>152.5993541071889</v>
      </c>
    </row>
    <row r="4453" spans="1:9" x14ac:dyDescent="0.45">
      <c r="A4453" t="s">
        <v>38</v>
      </c>
      <c r="B4453" t="s">
        <v>80</v>
      </c>
      <c r="C4453" t="str">
        <f t="shared" si="138"/>
        <v>McNeese St.Wofford</v>
      </c>
      <c r="D4453" t="s">
        <v>38</v>
      </c>
      <c r="E4453">
        <v>88.7</v>
      </c>
      <c r="F4453" s="1">
        <v>-13.5320754716981</v>
      </c>
      <c r="G4453" s="2">
        <v>-788.03000390600005</v>
      </c>
      <c r="H4453" s="1">
        <v>140.355277527684</v>
      </c>
      <c r="I4453" s="1">
        <f t="shared" si="139"/>
        <v>160.92939705459546</v>
      </c>
    </row>
    <row r="4454" spans="1:9" x14ac:dyDescent="0.45">
      <c r="A4454" t="s">
        <v>39</v>
      </c>
      <c r="B4454" t="s">
        <v>80</v>
      </c>
      <c r="C4454" t="str">
        <f t="shared" si="138"/>
        <v>MemphisWofford</v>
      </c>
      <c r="D4454" t="s">
        <v>39</v>
      </c>
      <c r="E4454">
        <v>95</v>
      </c>
      <c r="F4454" s="1">
        <v>-19.309433962264201</v>
      </c>
      <c r="G4454" s="2">
        <v>-1902.0067783204199</v>
      </c>
      <c r="H4454" s="1">
        <v>138.88955935420901</v>
      </c>
      <c r="I4454" s="1">
        <f t="shared" si="139"/>
        <v>140.3481993259941</v>
      </c>
    </row>
    <row r="4455" spans="1:9" x14ac:dyDescent="0.45">
      <c r="A4455" t="s">
        <v>40</v>
      </c>
      <c r="B4455" t="s">
        <v>80</v>
      </c>
      <c r="C4455" t="str">
        <f t="shared" si="138"/>
        <v>MichiganWofford</v>
      </c>
      <c r="D4455" t="s">
        <v>40</v>
      </c>
      <c r="E4455">
        <v>90.4</v>
      </c>
      <c r="F4455" s="1">
        <v>-14.683018867924501</v>
      </c>
      <c r="G4455" s="2">
        <v>-939.32834154972397</v>
      </c>
      <c r="H4455" s="1">
        <v>138.45218065112601</v>
      </c>
      <c r="I4455" s="1">
        <f t="shared" si="139"/>
        <v>134.20665197171067</v>
      </c>
    </row>
    <row r="4456" spans="1:9" x14ac:dyDescent="0.45">
      <c r="A4456" t="s">
        <v>41</v>
      </c>
      <c r="B4456" t="s">
        <v>80</v>
      </c>
      <c r="C4456" t="str">
        <f t="shared" si="138"/>
        <v>Michigan St.Wofford</v>
      </c>
      <c r="D4456" t="s">
        <v>41</v>
      </c>
      <c r="E4456">
        <v>98.9</v>
      </c>
      <c r="F4456" s="1">
        <v>-29.430188679245301</v>
      </c>
      <c r="G4456" s="2">
        <v>-8907.8432776230402</v>
      </c>
      <c r="H4456" s="1">
        <v>140.09926036033301</v>
      </c>
      <c r="I4456" s="1">
        <f t="shared" si="139"/>
        <v>157.33447680422094</v>
      </c>
    </row>
    <row r="4457" spans="1:9" x14ac:dyDescent="0.45">
      <c r="A4457" t="s">
        <v>42</v>
      </c>
      <c r="B4457" t="s">
        <v>80</v>
      </c>
      <c r="C4457" t="str">
        <f t="shared" si="138"/>
        <v>MississippiWofford</v>
      </c>
      <c r="D4457" t="s">
        <v>42</v>
      </c>
      <c r="E4457">
        <v>96.1</v>
      </c>
      <c r="F4457" s="1">
        <v>-20.9358490566038</v>
      </c>
      <c r="G4457" s="2">
        <v>-2437.25602373221</v>
      </c>
      <c r="H4457" s="1">
        <v>139.366951710222</v>
      </c>
      <c r="I4457" s="1">
        <f t="shared" si="139"/>
        <v>147.05160701448025</v>
      </c>
    </row>
    <row r="4458" spans="1:9" x14ac:dyDescent="0.45">
      <c r="A4458" t="s">
        <v>43</v>
      </c>
      <c r="B4458" t="s">
        <v>80</v>
      </c>
      <c r="C4458" t="str">
        <f t="shared" si="138"/>
        <v>Mississippi St.Wofford</v>
      </c>
      <c r="D4458" t="s">
        <v>43</v>
      </c>
      <c r="E4458">
        <v>94.9</v>
      </c>
      <c r="F4458" s="1">
        <v>-19.211320754717001</v>
      </c>
      <c r="G4458" s="2">
        <v>-1873.8025964636199</v>
      </c>
      <c r="H4458" s="1">
        <v>139.50669818289899</v>
      </c>
      <c r="I4458" s="1">
        <f t="shared" si="139"/>
        <v>149.01388723866606</v>
      </c>
    </row>
    <row r="4459" spans="1:9" x14ac:dyDescent="0.45">
      <c r="A4459" t="s">
        <v>44</v>
      </c>
      <c r="B4459" t="s">
        <v>80</v>
      </c>
      <c r="C4459" t="str">
        <f t="shared" si="138"/>
        <v>MissouriWofford</v>
      </c>
      <c r="D4459" t="s">
        <v>44</v>
      </c>
      <c r="E4459">
        <v>89.8</v>
      </c>
      <c r="F4459" s="1">
        <v>-14.275471698113201</v>
      </c>
      <c r="G4459" s="2">
        <v>-882.76591196469997</v>
      </c>
      <c r="H4459" s="1">
        <v>138.92436008154499</v>
      </c>
      <c r="I4459" s="1">
        <f t="shared" si="139"/>
        <v>140.83686124160835</v>
      </c>
    </row>
    <row r="4460" spans="1:9" x14ac:dyDescent="0.45">
      <c r="A4460" t="s">
        <v>45</v>
      </c>
      <c r="B4460" t="s">
        <v>80</v>
      </c>
      <c r="C4460" t="str">
        <f t="shared" si="138"/>
        <v>MontanaWofford</v>
      </c>
      <c r="D4460" t="s">
        <v>80</v>
      </c>
      <c r="E4460">
        <v>44.2</v>
      </c>
      <c r="F4460" s="1">
        <v>1.52830188679245</v>
      </c>
      <c r="G4460" s="2">
        <v>126.27000222083601</v>
      </c>
      <c r="H4460" s="1">
        <v>138.061071644951</v>
      </c>
      <c r="I4460" s="1">
        <f t="shared" si="139"/>
        <v>128.71481054189428</v>
      </c>
    </row>
    <row r="4461" spans="1:9" x14ac:dyDescent="0.45">
      <c r="A4461" t="s">
        <v>46</v>
      </c>
      <c r="B4461" t="s">
        <v>80</v>
      </c>
      <c r="C4461" t="str">
        <f t="shared" si="138"/>
        <v>Mount St. Mary'sWofford</v>
      </c>
      <c r="D4461" t="s">
        <v>80</v>
      </c>
      <c r="E4461">
        <v>23.2</v>
      </c>
      <c r="F4461" s="1">
        <v>7.86415094339623</v>
      </c>
      <c r="G4461" s="2">
        <v>331.836631829152</v>
      </c>
      <c r="H4461" s="1">
        <v>139.36435959910199</v>
      </c>
      <c r="I4461" s="1">
        <f t="shared" si="139"/>
        <v>147.01520932735264</v>
      </c>
    </row>
    <row r="4462" spans="1:9" x14ac:dyDescent="0.45">
      <c r="A4462" t="s">
        <v>47</v>
      </c>
      <c r="B4462" t="s">
        <v>80</v>
      </c>
      <c r="C4462" t="str">
        <f t="shared" si="138"/>
        <v>Nebraska OmahaWofford</v>
      </c>
      <c r="D4462" t="s">
        <v>80</v>
      </c>
      <c r="E4462">
        <v>29.6</v>
      </c>
      <c r="F4462" s="1">
        <v>5.6716981132075501</v>
      </c>
      <c r="G4462" s="2">
        <v>237.586524864067</v>
      </c>
      <c r="H4462" s="1">
        <v>138.78213573120499</v>
      </c>
      <c r="I4462" s="1">
        <f t="shared" si="139"/>
        <v>138.83978736400906</v>
      </c>
    </row>
    <row r="4463" spans="1:9" x14ac:dyDescent="0.45">
      <c r="A4463" t="s">
        <v>48</v>
      </c>
      <c r="B4463" t="s">
        <v>80</v>
      </c>
      <c r="C4463" t="str">
        <f t="shared" si="138"/>
        <v>New MexicoWofford</v>
      </c>
      <c r="D4463" t="s">
        <v>48</v>
      </c>
      <c r="E4463">
        <v>91</v>
      </c>
      <c r="F4463" s="1">
        <v>-15.158490566037701</v>
      </c>
      <c r="G4463" s="2">
        <v>-1009.8605070892399</v>
      </c>
      <c r="H4463" s="1">
        <v>139.552125663022</v>
      </c>
      <c r="I4463" s="1">
        <f t="shared" si="139"/>
        <v>149.65176699457245</v>
      </c>
    </row>
    <row r="4464" spans="1:9" x14ac:dyDescent="0.45">
      <c r="A4464" t="s">
        <v>49</v>
      </c>
      <c r="B4464" t="s">
        <v>80</v>
      </c>
      <c r="C4464" t="str">
        <f t="shared" si="138"/>
        <v>Norfolk St.Wofford</v>
      </c>
      <c r="D4464" t="s">
        <v>80</v>
      </c>
      <c r="E4464">
        <v>37.299999999999997</v>
      </c>
      <c r="F4464" s="1">
        <v>3.4075471698113202</v>
      </c>
      <c r="G4464" s="2">
        <v>168.17791687251099</v>
      </c>
      <c r="H4464" s="1">
        <v>138.58825142698601</v>
      </c>
      <c r="I4464" s="1">
        <f t="shared" si="139"/>
        <v>136.11731910659319</v>
      </c>
    </row>
    <row r="4465" spans="1:9" x14ac:dyDescent="0.45">
      <c r="A4465" t="s">
        <v>50</v>
      </c>
      <c r="B4465" t="s">
        <v>80</v>
      </c>
      <c r="C4465" t="str">
        <f t="shared" si="138"/>
        <v>North CarolinaWofford</v>
      </c>
      <c r="D4465" t="s">
        <v>50</v>
      </c>
      <c r="E4465">
        <v>97.2</v>
      </c>
      <c r="F4465" s="1">
        <v>-23.207547169811299</v>
      </c>
      <c r="G4465" s="2">
        <v>-3448.40600786903</v>
      </c>
      <c r="H4465" s="1">
        <v>140.66185738145501</v>
      </c>
      <c r="I4465" s="1">
        <f t="shared" si="139"/>
        <v>165.23430416720046</v>
      </c>
    </row>
    <row r="4466" spans="1:9" x14ac:dyDescent="0.45">
      <c r="A4466" t="s">
        <v>51</v>
      </c>
      <c r="B4466" t="s">
        <v>80</v>
      </c>
      <c r="C4466" t="str">
        <f t="shared" si="138"/>
        <v>OklahomaWofford</v>
      </c>
      <c r="D4466" t="s">
        <v>51</v>
      </c>
      <c r="E4466">
        <v>92.3</v>
      </c>
      <c r="F4466" s="1">
        <v>-16.328301886792499</v>
      </c>
      <c r="G4466" s="2">
        <v>-1206.8163160152901</v>
      </c>
      <c r="H4466" s="1">
        <v>139.08548050763</v>
      </c>
      <c r="I4466" s="1">
        <f t="shared" si="139"/>
        <v>143.09926844060635</v>
      </c>
    </row>
    <row r="4467" spans="1:9" x14ac:dyDescent="0.45">
      <c r="A4467" t="s">
        <v>52</v>
      </c>
      <c r="B4467" t="s">
        <v>80</v>
      </c>
      <c r="C4467" t="str">
        <f t="shared" si="138"/>
        <v>OregonWofford</v>
      </c>
      <c r="D4467" t="s">
        <v>52</v>
      </c>
      <c r="E4467">
        <v>97.1</v>
      </c>
      <c r="F4467" s="1">
        <v>-23.094339622641499</v>
      </c>
      <c r="G4467" s="2">
        <v>-3387.71930503248</v>
      </c>
      <c r="H4467" s="1">
        <v>139.376197899159</v>
      </c>
      <c r="I4467" s="1">
        <f t="shared" si="139"/>
        <v>147.18143936983489</v>
      </c>
    </row>
    <row r="4468" spans="1:9" x14ac:dyDescent="0.45">
      <c r="A4468" t="s">
        <v>53</v>
      </c>
      <c r="B4468" t="s">
        <v>80</v>
      </c>
      <c r="C4468" t="str">
        <f t="shared" si="138"/>
        <v>PurdueWofford</v>
      </c>
      <c r="D4468" t="s">
        <v>53</v>
      </c>
      <c r="E4468">
        <v>99.5</v>
      </c>
      <c r="F4468" s="1">
        <v>-34.464150943396199</v>
      </c>
      <c r="G4468" s="2">
        <v>-19200.256868774799</v>
      </c>
      <c r="H4468" s="1">
        <v>140.864285098957</v>
      </c>
      <c r="I4468" s="1">
        <f t="shared" si="139"/>
        <v>168.07673660411331</v>
      </c>
    </row>
    <row r="4469" spans="1:9" x14ac:dyDescent="0.45">
      <c r="A4469" t="s">
        <v>54</v>
      </c>
      <c r="B4469" t="s">
        <v>80</v>
      </c>
      <c r="C4469" t="str">
        <f t="shared" si="138"/>
        <v>Robert MorrisWofford</v>
      </c>
      <c r="D4469" t="s">
        <v>80</v>
      </c>
      <c r="E4469">
        <v>19.2</v>
      </c>
      <c r="F4469" s="1">
        <v>9.4226415094339604</v>
      </c>
      <c r="G4469" s="2">
        <v>421.04436711739601</v>
      </c>
      <c r="H4469" s="1">
        <v>137.94725042764401</v>
      </c>
      <c r="I4469" s="1">
        <f t="shared" si="139"/>
        <v>127.11656538023989</v>
      </c>
    </row>
    <row r="4470" spans="1:9" x14ac:dyDescent="0.45">
      <c r="A4470" t="s">
        <v>55</v>
      </c>
      <c r="B4470" t="s">
        <v>80</v>
      </c>
      <c r="C4470" t="str">
        <f t="shared" si="138"/>
        <v>Saint FrancisWofford</v>
      </c>
      <c r="D4470" t="s">
        <v>80</v>
      </c>
      <c r="E4470">
        <v>12.4</v>
      </c>
      <c r="F4470" s="1">
        <v>12.784905660377399</v>
      </c>
      <c r="G4470" s="2">
        <v>703.25051040288395</v>
      </c>
      <c r="H4470" s="1">
        <v>138.65409830968699</v>
      </c>
      <c r="I4470" s="1">
        <f t="shared" si="139"/>
        <v>137.04192230603906</v>
      </c>
    </row>
    <row r="4471" spans="1:9" x14ac:dyDescent="0.45">
      <c r="A4471" t="s">
        <v>56</v>
      </c>
      <c r="B4471" t="s">
        <v>80</v>
      </c>
      <c r="C4471" t="str">
        <f t="shared" si="138"/>
        <v>Saint Mary'sWofford</v>
      </c>
      <c r="D4471" t="s">
        <v>56</v>
      </c>
      <c r="E4471">
        <v>97.1</v>
      </c>
      <c r="F4471" s="1">
        <v>-22.947169811320801</v>
      </c>
      <c r="G4471" s="2">
        <v>-3314.0123222614998</v>
      </c>
      <c r="H4471" s="1">
        <v>140.38330442562901</v>
      </c>
      <c r="I4471" s="1">
        <f t="shared" si="139"/>
        <v>161.32294278443931</v>
      </c>
    </row>
    <row r="4472" spans="1:9" x14ac:dyDescent="0.45">
      <c r="A4472" t="s">
        <v>57</v>
      </c>
      <c r="B4472" t="s">
        <v>80</v>
      </c>
      <c r="C4472" t="str">
        <f t="shared" si="138"/>
        <v>San Diego St.Wofford</v>
      </c>
      <c r="D4472" t="s">
        <v>57</v>
      </c>
      <c r="E4472">
        <v>91.1</v>
      </c>
      <c r="F4472" s="1">
        <v>-15.275471698113201</v>
      </c>
      <c r="G4472" s="2">
        <v>-1027.9087260308099</v>
      </c>
      <c r="H4472" s="1">
        <v>139.598003588658</v>
      </c>
      <c r="I4472" s="1">
        <f t="shared" si="139"/>
        <v>150.29597177826162</v>
      </c>
    </row>
    <row r="4473" spans="1:9" x14ac:dyDescent="0.45">
      <c r="A4473" t="s">
        <v>58</v>
      </c>
      <c r="B4473" t="s">
        <v>80</v>
      </c>
      <c r="C4473" t="str">
        <f t="shared" si="138"/>
        <v>SIU EdwardsvilleWofford</v>
      </c>
      <c r="D4473" t="s">
        <v>80</v>
      </c>
      <c r="E4473">
        <v>32.799999999999997</v>
      </c>
      <c r="F4473" s="1">
        <v>4.6981132075471699</v>
      </c>
      <c r="G4473" s="2">
        <v>204.798007275217</v>
      </c>
      <c r="H4473" s="1">
        <v>139.65726176884201</v>
      </c>
      <c r="I4473" s="1">
        <f t="shared" si="139"/>
        <v>151.12805829084988</v>
      </c>
    </row>
    <row r="4474" spans="1:9" x14ac:dyDescent="0.45">
      <c r="A4474" t="s">
        <v>59</v>
      </c>
      <c r="B4474" t="s">
        <v>80</v>
      </c>
      <c r="C4474" t="str">
        <f t="shared" si="138"/>
        <v>St. John'sWofford</v>
      </c>
      <c r="D4474" t="s">
        <v>59</v>
      </c>
      <c r="E4474">
        <v>99</v>
      </c>
      <c r="F4474" s="1">
        <v>-29.932075471698099</v>
      </c>
      <c r="G4474" s="2">
        <v>-9616.2062197922405</v>
      </c>
      <c r="H4474" s="1">
        <v>140.47671821739601</v>
      </c>
      <c r="I4474" s="1">
        <f t="shared" si="139"/>
        <v>162.63463268071521</v>
      </c>
    </row>
    <row r="4475" spans="1:9" x14ac:dyDescent="0.45">
      <c r="A4475" t="s">
        <v>60</v>
      </c>
      <c r="B4475" t="s">
        <v>80</v>
      </c>
      <c r="C4475" t="str">
        <f t="shared" si="138"/>
        <v>TennesseeWofford</v>
      </c>
      <c r="D4475" t="s">
        <v>60</v>
      </c>
      <c r="E4475">
        <v>99.5</v>
      </c>
      <c r="F4475" s="1">
        <v>-35.147169811320801</v>
      </c>
      <c r="G4475" s="2">
        <v>-21308.911257469499</v>
      </c>
      <c r="H4475" s="1">
        <v>141.269950591531</v>
      </c>
      <c r="I4475" s="1">
        <f t="shared" si="139"/>
        <v>173.7729760759496</v>
      </c>
    </row>
    <row r="4476" spans="1:9" x14ac:dyDescent="0.45">
      <c r="A4476" t="s">
        <v>61</v>
      </c>
      <c r="B4476" t="s">
        <v>80</v>
      </c>
      <c r="C4476" t="str">
        <f t="shared" si="138"/>
        <v>TexasWofford</v>
      </c>
      <c r="D4476" t="s">
        <v>61</v>
      </c>
      <c r="E4476">
        <v>89.5</v>
      </c>
      <c r="F4476" s="1">
        <v>-14.0528301886792</v>
      </c>
      <c r="G4476" s="2">
        <v>-852.93598428386599</v>
      </c>
      <c r="H4476" s="1">
        <v>138.96983241916899</v>
      </c>
      <c r="I4476" s="1">
        <f t="shared" si="139"/>
        <v>141.47537087378583</v>
      </c>
    </row>
    <row r="4477" spans="1:9" x14ac:dyDescent="0.45">
      <c r="A4477" t="s">
        <v>62</v>
      </c>
      <c r="B4477" t="s">
        <v>80</v>
      </c>
      <c r="C4477" t="str">
        <f t="shared" si="138"/>
        <v>Texas A&amp;MWofford</v>
      </c>
      <c r="D4477" t="s">
        <v>62</v>
      </c>
      <c r="E4477">
        <v>98</v>
      </c>
      <c r="F4477" s="1">
        <v>-25.452830188679201</v>
      </c>
      <c r="G4477" s="2">
        <v>-4855.9109774976896</v>
      </c>
      <c r="H4477" s="1">
        <v>139.756807728566</v>
      </c>
      <c r="I4477" s="1">
        <f t="shared" si="139"/>
        <v>152.52585434553455</v>
      </c>
    </row>
    <row r="4478" spans="1:9" x14ac:dyDescent="0.45">
      <c r="A4478" t="s">
        <v>63</v>
      </c>
      <c r="B4478" t="s">
        <v>80</v>
      </c>
      <c r="C4478" t="str">
        <f t="shared" si="138"/>
        <v>Texas TechWofford</v>
      </c>
      <c r="D4478" t="s">
        <v>63</v>
      </c>
      <c r="E4478">
        <v>98.9</v>
      </c>
      <c r="F4478" s="1">
        <v>-29.788679245282999</v>
      </c>
      <c r="G4478" s="2">
        <v>-9405.5924764952597</v>
      </c>
      <c r="H4478" s="1">
        <v>140.74732033380599</v>
      </c>
      <c r="I4478" s="1">
        <f t="shared" si="139"/>
        <v>166.43435063768626</v>
      </c>
    </row>
    <row r="4479" spans="1:9" x14ac:dyDescent="0.45">
      <c r="A4479" t="s">
        <v>64</v>
      </c>
      <c r="B4479" t="s">
        <v>80</v>
      </c>
      <c r="C4479" t="str">
        <f t="shared" si="138"/>
        <v>TroyWofford</v>
      </c>
      <c r="D4479" t="s">
        <v>64</v>
      </c>
      <c r="E4479">
        <v>57.5</v>
      </c>
      <c r="F4479" s="1">
        <v>-1.97735849056604</v>
      </c>
      <c r="G4479" s="2">
        <v>-135.22123366593499</v>
      </c>
      <c r="H4479" s="1">
        <v>139.513624928365</v>
      </c>
      <c r="I4479" s="1">
        <f t="shared" si="139"/>
        <v>149.11115062847165</v>
      </c>
    </row>
    <row r="4480" spans="1:9" x14ac:dyDescent="0.45">
      <c r="A4480" t="s">
        <v>65</v>
      </c>
      <c r="B4480" t="s">
        <v>80</v>
      </c>
      <c r="C4480" t="str">
        <f t="shared" si="138"/>
        <v>UC San DiegoWofford</v>
      </c>
      <c r="D4480" t="s">
        <v>65</v>
      </c>
      <c r="E4480">
        <v>77.599999999999994</v>
      </c>
      <c r="F4480" s="1">
        <v>-8.1584905660377398</v>
      </c>
      <c r="G4480" s="2">
        <v>-347.194475645257</v>
      </c>
      <c r="H4480" s="1">
        <v>139.583745158027</v>
      </c>
      <c r="I4480" s="1">
        <f t="shared" si="139"/>
        <v>150.09575895056602</v>
      </c>
    </row>
    <row r="4481" spans="1:9" x14ac:dyDescent="0.45">
      <c r="A4481" t="s">
        <v>66</v>
      </c>
      <c r="B4481" t="s">
        <v>80</v>
      </c>
      <c r="C4481" t="str">
        <f t="shared" si="138"/>
        <v>UCLAWofford</v>
      </c>
      <c r="D4481" t="s">
        <v>66</v>
      </c>
      <c r="E4481">
        <v>92.3</v>
      </c>
      <c r="F4481" s="1">
        <v>-16.260377358490601</v>
      </c>
      <c r="G4481" s="2">
        <v>-1194.7148389700301</v>
      </c>
      <c r="H4481" s="1">
        <v>138.80500373724001</v>
      </c>
      <c r="I4481" s="1">
        <f t="shared" si="139"/>
        <v>139.1608934008878</v>
      </c>
    </row>
    <row r="4482" spans="1:9" x14ac:dyDescent="0.45">
      <c r="A4482" t="s">
        <v>67</v>
      </c>
      <c r="B4482" t="s">
        <v>80</v>
      </c>
      <c r="C4482" t="str">
        <f t="shared" si="138"/>
        <v>UNC WilmingtonWofford</v>
      </c>
      <c r="D4482" t="s">
        <v>67</v>
      </c>
      <c r="E4482">
        <v>66.7</v>
      </c>
      <c r="F4482" s="1">
        <v>-4.5660377358490596</v>
      </c>
      <c r="G4482" s="2">
        <v>-200.72885921316001</v>
      </c>
      <c r="H4482" s="1">
        <v>140.12041362869201</v>
      </c>
      <c r="I4482" s="1">
        <f t="shared" si="139"/>
        <v>157.63150498233966</v>
      </c>
    </row>
    <row r="4483" spans="1:9" x14ac:dyDescent="0.45">
      <c r="A4483" t="s">
        <v>68</v>
      </c>
      <c r="B4483" t="s">
        <v>80</v>
      </c>
      <c r="C4483" t="str">
        <f t="shared" ref="C4483:C4546" si="140">A4483&amp;B4483</f>
        <v>Utah St.Wofford</v>
      </c>
      <c r="D4483" t="s">
        <v>68</v>
      </c>
      <c r="E4483">
        <v>91.9</v>
      </c>
      <c r="F4483" s="1">
        <v>-15.8943396226415</v>
      </c>
      <c r="G4483" s="2">
        <v>-1129.9208037096801</v>
      </c>
      <c r="H4483" s="1">
        <v>139.66760012727099</v>
      </c>
      <c r="I4483" s="1">
        <f t="shared" ref="I4483:I4546" si="141">18*(H4483-AVERAGE($H$2:$H$4625))/_xlfn.STDEV.P($H$2:$H$4625)+AVERAGE($H$2:$H$4625)</f>
        <v>151.2732265795882</v>
      </c>
    </row>
    <row r="4484" spans="1:9" x14ac:dyDescent="0.45">
      <c r="A4484" t="s">
        <v>69</v>
      </c>
      <c r="B4484" t="s">
        <v>80</v>
      </c>
      <c r="C4484" t="str">
        <f t="shared" si="140"/>
        <v>VanderbiltWofford</v>
      </c>
      <c r="D4484" t="s">
        <v>69</v>
      </c>
      <c r="E4484">
        <v>69</v>
      </c>
      <c r="F4484" s="1">
        <v>-5.24905660377358</v>
      </c>
      <c r="G4484" s="2">
        <v>-222.653248695348</v>
      </c>
      <c r="H4484" s="1">
        <v>138.101638008554</v>
      </c>
      <c r="I4484" s="1">
        <f t="shared" si="141"/>
        <v>129.2844318821717</v>
      </c>
    </row>
    <row r="4485" spans="1:9" x14ac:dyDescent="0.45">
      <c r="A4485" t="s">
        <v>70</v>
      </c>
      <c r="B4485" t="s">
        <v>80</v>
      </c>
      <c r="C4485" t="str">
        <f t="shared" si="140"/>
        <v>VCUWofford</v>
      </c>
      <c r="D4485" t="s">
        <v>70</v>
      </c>
      <c r="E4485">
        <v>87.7</v>
      </c>
      <c r="F4485" s="1">
        <v>-12.8943396226415</v>
      </c>
      <c r="G4485" s="2">
        <v>-714.74444085657206</v>
      </c>
      <c r="H4485" s="1">
        <v>140.02681113774699</v>
      </c>
      <c r="I4485" s="1">
        <f t="shared" si="141"/>
        <v>156.31716542587384</v>
      </c>
    </row>
    <row r="4486" spans="1:9" x14ac:dyDescent="0.45">
      <c r="A4486" t="s">
        <v>71</v>
      </c>
      <c r="B4486" t="s">
        <v>80</v>
      </c>
      <c r="C4486" t="str">
        <f t="shared" si="140"/>
        <v>WisconsinWofford</v>
      </c>
      <c r="D4486" t="s">
        <v>71</v>
      </c>
      <c r="E4486">
        <v>98.8</v>
      </c>
      <c r="F4486" s="1">
        <v>-28.845283018867899</v>
      </c>
      <c r="G4486" s="2">
        <v>-8147.7261748210303</v>
      </c>
      <c r="H4486" s="1">
        <v>140.68006674607901</v>
      </c>
      <c r="I4486" s="1">
        <f t="shared" si="141"/>
        <v>165.48999488634479</v>
      </c>
    </row>
    <row r="4487" spans="1:9" x14ac:dyDescent="0.45">
      <c r="A4487" t="s">
        <v>80</v>
      </c>
      <c r="B4487" t="s">
        <v>80</v>
      </c>
      <c r="C4487" t="str">
        <f t="shared" si="140"/>
        <v>WoffordWofford</v>
      </c>
      <c r="D4487" t="s">
        <v>80</v>
      </c>
      <c r="E4487">
        <v>41.2</v>
      </c>
      <c r="F4487" s="1">
        <v>2.3283018867924499</v>
      </c>
      <c r="G4487" s="2">
        <v>142.64273539779199</v>
      </c>
      <c r="H4487" s="1">
        <v>138.77771517530499</v>
      </c>
      <c r="I4487" s="1">
        <f t="shared" si="141"/>
        <v>138.77771517530684</v>
      </c>
    </row>
    <row r="4488" spans="1:9" x14ac:dyDescent="0.45">
      <c r="A4488" t="s">
        <v>72</v>
      </c>
      <c r="B4488" t="s">
        <v>80</v>
      </c>
      <c r="C4488" t="str">
        <f t="shared" si="140"/>
        <v>XavierWofford</v>
      </c>
      <c r="D4488" t="s">
        <v>72</v>
      </c>
      <c r="E4488">
        <v>87.6</v>
      </c>
      <c r="F4488" s="1">
        <v>-12.8188679245283</v>
      </c>
      <c r="G4488" s="2">
        <v>-706.81344294716303</v>
      </c>
      <c r="H4488" s="1">
        <v>139.520517345927</v>
      </c>
      <c r="I4488" s="1">
        <f t="shared" si="141"/>
        <v>149.20793199561214</v>
      </c>
    </row>
    <row r="4489" spans="1:9" x14ac:dyDescent="0.45">
      <c r="A4489" t="s">
        <v>73</v>
      </c>
      <c r="B4489" t="s">
        <v>80</v>
      </c>
      <c r="C4489" t="str">
        <f t="shared" si="140"/>
        <v>YaleWofford</v>
      </c>
      <c r="D4489" t="s">
        <v>73</v>
      </c>
      <c r="E4489">
        <v>78.7</v>
      </c>
      <c r="F4489" s="1">
        <v>-8.5698113207547202</v>
      </c>
      <c r="G4489" s="2">
        <v>-369.62327382704001</v>
      </c>
      <c r="H4489" s="1">
        <v>140.12022348232099</v>
      </c>
      <c r="I4489" s="1">
        <f t="shared" si="141"/>
        <v>157.62883500107725</v>
      </c>
    </row>
    <row r="4490" spans="1:9" x14ac:dyDescent="0.45">
      <c r="A4490" t="s">
        <v>7</v>
      </c>
      <c r="B4490" t="s">
        <v>72</v>
      </c>
      <c r="C4490" t="str">
        <f t="shared" si="140"/>
        <v>AkronXavier</v>
      </c>
      <c r="D4490" t="s">
        <v>72</v>
      </c>
      <c r="E4490">
        <v>16.100000000000001</v>
      </c>
      <c r="F4490" s="1">
        <v>10.841509433962299</v>
      </c>
      <c r="G4490" s="2">
        <v>522.71997603596697</v>
      </c>
      <c r="H4490" s="1">
        <v>138.19424837227899</v>
      </c>
      <c r="I4490" s="1">
        <f t="shared" si="141"/>
        <v>130.58484027038369</v>
      </c>
    </row>
    <row r="4491" spans="1:9" x14ac:dyDescent="0.45">
      <c r="A4491" t="s">
        <v>8</v>
      </c>
      <c r="B4491" t="s">
        <v>72</v>
      </c>
      <c r="C4491" t="str">
        <f t="shared" si="140"/>
        <v>AlabamaXavier</v>
      </c>
      <c r="D4491" t="s">
        <v>8</v>
      </c>
      <c r="E4491">
        <v>93.5</v>
      </c>
      <c r="F4491">
        <v>-17.498113207547199</v>
      </c>
      <c r="G4491">
        <v>-1442.9843040148701</v>
      </c>
      <c r="H4491">
        <v>140.00185955987399</v>
      </c>
      <c r="I4491" s="1">
        <f t="shared" si="141"/>
        <v>155.9668024658327</v>
      </c>
    </row>
    <row r="4492" spans="1:9" x14ac:dyDescent="0.45">
      <c r="A4492" t="s">
        <v>9</v>
      </c>
      <c r="B4492" t="s">
        <v>72</v>
      </c>
      <c r="C4492" t="str">
        <f t="shared" si="140"/>
        <v>Alabama St.Xavier</v>
      </c>
      <c r="D4492" t="s">
        <v>72</v>
      </c>
      <c r="E4492">
        <v>2.8</v>
      </c>
      <c r="F4492">
        <v>23.158490566037699</v>
      </c>
      <c r="G4492">
        <v>3422.6210320300502</v>
      </c>
      <c r="H4492">
        <v>138.381010131701</v>
      </c>
      <c r="I4492" s="1">
        <f t="shared" si="141"/>
        <v>133.20729577947583</v>
      </c>
    </row>
    <row r="4493" spans="1:9" x14ac:dyDescent="0.45">
      <c r="A4493" t="s">
        <v>10</v>
      </c>
      <c r="B4493" t="s">
        <v>72</v>
      </c>
      <c r="C4493" t="str">
        <f t="shared" si="140"/>
        <v>AmericanXavier</v>
      </c>
      <c r="D4493" t="s">
        <v>72</v>
      </c>
      <c r="E4493">
        <v>3.2</v>
      </c>
      <c r="F4493">
        <v>22.4037735849057</v>
      </c>
      <c r="G4493">
        <v>3049.3870011571198</v>
      </c>
      <c r="H4493">
        <v>138.14429965146201</v>
      </c>
      <c r="I4493" s="1">
        <f t="shared" si="141"/>
        <v>129.88347453853373</v>
      </c>
    </row>
    <row r="4494" spans="1:9" x14ac:dyDescent="0.45">
      <c r="A4494" t="s">
        <v>11</v>
      </c>
      <c r="B4494" t="s">
        <v>72</v>
      </c>
      <c r="C4494" t="str">
        <f t="shared" si="140"/>
        <v>ArizonaXavier</v>
      </c>
      <c r="D4494" t="s">
        <v>11</v>
      </c>
      <c r="E4494">
        <v>90.5</v>
      </c>
      <c r="F4494">
        <v>-14.743396226415101</v>
      </c>
      <c r="G4494">
        <v>-947.77974754582704</v>
      </c>
      <c r="H4494">
        <v>139.61233890005099</v>
      </c>
      <c r="I4494" s="1">
        <f t="shared" si="141"/>
        <v>150.49726414375132</v>
      </c>
    </row>
    <row r="4495" spans="1:9" x14ac:dyDescent="0.45">
      <c r="A4495" t="s">
        <v>12</v>
      </c>
      <c r="B4495" t="s">
        <v>72</v>
      </c>
      <c r="C4495" t="str">
        <f t="shared" si="140"/>
        <v>ArkansasXavier</v>
      </c>
      <c r="D4495" t="s">
        <v>72</v>
      </c>
      <c r="E4495">
        <v>38.200000000000003</v>
      </c>
      <c r="F4495">
        <v>3.1584905660377398</v>
      </c>
      <c r="G4495">
        <v>161.879621299576</v>
      </c>
      <c r="H4495">
        <v>137.938262877841</v>
      </c>
      <c r="I4495" s="1">
        <f t="shared" si="141"/>
        <v>126.99036476204543</v>
      </c>
    </row>
    <row r="4496" spans="1:9" x14ac:dyDescent="0.45">
      <c r="A4496" t="s">
        <v>13</v>
      </c>
      <c r="B4496" t="s">
        <v>72</v>
      </c>
      <c r="C4496" t="str">
        <f t="shared" si="140"/>
        <v>AuburnXavier</v>
      </c>
      <c r="D4496" t="s">
        <v>13</v>
      </c>
      <c r="E4496">
        <v>96.6</v>
      </c>
      <c r="F4496">
        <v>-21.9358490566038</v>
      </c>
      <c r="G4496">
        <v>-2840.3517741177702</v>
      </c>
      <c r="H4496">
        <v>141.02407579322701</v>
      </c>
      <c r="I4496" s="1">
        <f t="shared" si="141"/>
        <v>170.32047208715278</v>
      </c>
    </row>
    <row r="4497" spans="1:9" x14ac:dyDescent="0.45">
      <c r="A4497" t="s">
        <v>14</v>
      </c>
      <c r="B4497" t="s">
        <v>72</v>
      </c>
      <c r="C4497" t="str">
        <f t="shared" si="140"/>
        <v>BaylorXavier</v>
      </c>
      <c r="D4497" t="s">
        <v>14</v>
      </c>
      <c r="E4497">
        <v>74.099999999999994</v>
      </c>
      <c r="F4497">
        <v>-6.8905660377358497</v>
      </c>
      <c r="G4497">
        <v>-286.02890715316801</v>
      </c>
      <c r="H4497">
        <v>139.486993154407</v>
      </c>
      <c r="I4497" s="1">
        <f t="shared" si="141"/>
        <v>148.73719483286766</v>
      </c>
    </row>
    <row r="4498" spans="1:9" x14ac:dyDescent="0.45">
      <c r="A4498" t="s">
        <v>15</v>
      </c>
      <c r="B4498" t="s">
        <v>72</v>
      </c>
      <c r="C4498" t="str">
        <f t="shared" si="140"/>
        <v>BryantXavier</v>
      </c>
      <c r="D4498" t="s">
        <v>72</v>
      </c>
      <c r="E4498">
        <v>11.8</v>
      </c>
      <c r="F4498">
        <v>13.1811320754717</v>
      </c>
      <c r="G4498">
        <v>746.96780566802295</v>
      </c>
      <c r="H4498">
        <v>139.07931303005299</v>
      </c>
      <c r="I4498" s="1">
        <f t="shared" si="141"/>
        <v>143.01266647455566</v>
      </c>
    </row>
    <row r="4499" spans="1:9" x14ac:dyDescent="0.45">
      <c r="A4499" t="s">
        <v>16</v>
      </c>
      <c r="B4499" t="s">
        <v>72</v>
      </c>
      <c r="C4499" t="str">
        <f t="shared" si="140"/>
        <v>BYUXavier</v>
      </c>
      <c r="D4499" t="s">
        <v>16</v>
      </c>
      <c r="E4499">
        <v>77.2</v>
      </c>
      <c r="F4499">
        <v>-7.9849056603773603</v>
      </c>
      <c r="G4499">
        <v>-338.00231037095602</v>
      </c>
      <c r="H4499">
        <v>139.249353704497</v>
      </c>
      <c r="I4499" s="1">
        <f t="shared" si="141"/>
        <v>145.40032926401253</v>
      </c>
    </row>
    <row r="4500" spans="1:9" x14ac:dyDescent="0.45">
      <c r="A4500" t="s">
        <v>17</v>
      </c>
      <c r="B4500" t="s">
        <v>72</v>
      </c>
      <c r="C4500" t="str">
        <f t="shared" si="140"/>
        <v>ClemsonXavier</v>
      </c>
      <c r="D4500" t="s">
        <v>17</v>
      </c>
      <c r="E4500">
        <v>82.6</v>
      </c>
      <c r="F4500">
        <v>-10.188679245283</v>
      </c>
      <c r="G4500">
        <v>-473.10859136582297</v>
      </c>
      <c r="H4500">
        <v>139.599403926939</v>
      </c>
      <c r="I4500" s="1">
        <f t="shared" si="141"/>
        <v>150.31563493013471</v>
      </c>
    </row>
    <row r="4501" spans="1:9" x14ac:dyDescent="0.45">
      <c r="A4501" t="s">
        <v>18</v>
      </c>
      <c r="B4501" t="s">
        <v>72</v>
      </c>
      <c r="C4501" t="str">
        <f t="shared" si="140"/>
        <v>Colorado St.Xavier</v>
      </c>
      <c r="D4501" t="s">
        <v>72</v>
      </c>
      <c r="E4501">
        <v>44</v>
      </c>
      <c r="F4501">
        <v>1.59245283018868</v>
      </c>
      <c r="G4501">
        <v>127.527269862792</v>
      </c>
      <c r="H4501">
        <v>138.98901490173299</v>
      </c>
      <c r="I4501" s="1">
        <f t="shared" si="141"/>
        <v>141.74472583828009</v>
      </c>
    </row>
    <row r="4502" spans="1:9" x14ac:dyDescent="0.45">
      <c r="A4502" t="s">
        <v>19</v>
      </c>
      <c r="B4502" t="s">
        <v>72</v>
      </c>
      <c r="C4502" t="str">
        <f t="shared" si="140"/>
        <v>ConnecticutXavier</v>
      </c>
      <c r="D4502" t="s">
        <v>19</v>
      </c>
      <c r="E4502">
        <v>88</v>
      </c>
      <c r="F4502">
        <v>-13.083018867924499</v>
      </c>
      <c r="G4502">
        <v>-735.60921835752197</v>
      </c>
      <c r="H4502">
        <v>139.39965475768699</v>
      </c>
      <c r="I4502" s="1">
        <f t="shared" si="141"/>
        <v>147.51081390594499</v>
      </c>
    </row>
    <row r="4503" spans="1:9" x14ac:dyDescent="0.45">
      <c r="A4503" t="s">
        <v>20</v>
      </c>
      <c r="B4503" t="s">
        <v>72</v>
      </c>
      <c r="C4503" t="str">
        <f t="shared" si="140"/>
        <v>CreightonXavier</v>
      </c>
      <c r="D4503" t="s">
        <v>20</v>
      </c>
      <c r="E4503">
        <v>69.400000000000006</v>
      </c>
      <c r="F4503">
        <v>-5.3735849056603797</v>
      </c>
      <c r="G4503">
        <v>-226.994065424952</v>
      </c>
      <c r="H4503">
        <v>138.948951510526</v>
      </c>
      <c r="I4503" s="1">
        <f t="shared" si="141"/>
        <v>141.18216709333774</v>
      </c>
    </row>
    <row r="4504" spans="1:9" x14ac:dyDescent="0.45">
      <c r="A4504" t="s">
        <v>21</v>
      </c>
      <c r="B4504" t="s">
        <v>72</v>
      </c>
      <c r="C4504" t="str">
        <f t="shared" si="140"/>
        <v>DrakeXavier</v>
      </c>
      <c r="D4504" t="s">
        <v>72</v>
      </c>
      <c r="E4504">
        <v>43.2</v>
      </c>
      <c r="F4504">
        <v>1.8</v>
      </c>
      <c r="G4504">
        <v>131.57494294604999</v>
      </c>
      <c r="H4504">
        <v>139.18362731619999</v>
      </c>
      <c r="I4504" s="1">
        <f t="shared" si="141"/>
        <v>144.47741801271758</v>
      </c>
    </row>
    <row r="4505" spans="1:9" x14ac:dyDescent="0.45">
      <c r="A4505" t="s">
        <v>22</v>
      </c>
      <c r="B4505" t="s">
        <v>72</v>
      </c>
      <c r="C4505" t="str">
        <f t="shared" si="140"/>
        <v>DukeXavier</v>
      </c>
      <c r="D4505" t="s">
        <v>22</v>
      </c>
      <c r="E4505">
        <v>97.6</v>
      </c>
      <c r="F4505">
        <v>-24.150943396226399</v>
      </c>
      <c r="G4505">
        <v>-3981.7981052503901</v>
      </c>
      <c r="H4505">
        <v>141.26396720480301</v>
      </c>
      <c r="I4505" s="1">
        <f t="shared" si="141"/>
        <v>173.68895906124374</v>
      </c>
    </row>
    <row r="4506" spans="1:9" x14ac:dyDescent="0.45">
      <c r="A4506" t="s">
        <v>23</v>
      </c>
      <c r="B4506" t="s">
        <v>72</v>
      </c>
      <c r="C4506" t="str">
        <f t="shared" si="140"/>
        <v>FloridaXavier</v>
      </c>
      <c r="D4506" t="s">
        <v>23</v>
      </c>
      <c r="E4506">
        <v>95.7</v>
      </c>
      <c r="F4506">
        <v>-20.294339622641498</v>
      </c>
      <c r="G4506">
        <v>-2210.78788220755</v>
      </c>
      <c r="H4506">
        <v>140.99861773235699</v>
      </c>
      <c r="I4506" s="1">
        <f t="shared" si="141"/>
        <v>169.96299723691573</v>
      </c>
    </row>
    <row r="4507" spans="1:9" x14ac:dyDescent="0.45">
      <c r="A4507" t="s">
        <v>24</v>
      </c>
      <c r="B4507" t="s">
        <v>72</v>
      </c>
      <c r="C4507" t="str">
        <f t="shared" si="140"/>
        <v>GeorgiaXavier</v>
      </c>
      <c r="D4507" t="s">
        <v>72</v>
      </c>
      <c r="E4507">
        <v>47.1</v>
      </c>
      <c r="F4507">
        <v>0.76603773584905699</v>
      </c>
      <c r="G4507">
        <v>112.400551595091</v>
      </c>
      <c r="H4507">
        <v>138.262576028642</v>
      </c>
      <c r="I4507" s="1">
        <f t="shared" si="141"/>
        <v>131.54427778803759</v>
      </c>
    </row>
    <row r="4508" spans="1:9" x14ac:dyDescent="0.45">
      <c r="A4508" t="s">
        <v>25</v>
      </c>
      <c r="B4508" t="s">
        <v>72</v>
      </c>
      <c r="C4508" t="str">
        <f t="shared" si="140"/>
        <v>GonzagaXavier</v>
      </c>
      <c r="D4508" t="s">
        <v>25</v>
      </c>
      <c r="E4508">
        <v>81.8</v>
      </c>
      <c r="F4508">
        <v>-9.8641509433962309</v>
      </c>
      <c r="G4508">
        <v>-450.26729175133198</v>
      </c>
      <c r="H4508">
        <v>140.23953775914799</v>
      </c>
      <c r="I4508" s="1">
        <f t="shared" si="141"/>
        <v>159.30421214223639</v>
      </c>
    </row>
    <row r="4509" spans="1:9" x14ac:dyDescent="0.45">
      <c r="A4509" t="s">
        <v>26</v>
      </c>
      <c r="B4509" t="s">
        <v>72</v>
      </c>
      <c r="C4509" t="str">
        <f t="shared" si="140"/>
        <v>Grand CanyonXavier</v>
      </c>
      <c r="D4509" t="s">
        <v>72</v>
      </c>
      <c r="E4509">
        <v>32.9</v>
      </c>
      <c r="F4509">
        <v>4.6867924528301899</v>
      </c>
      <c r="G4509">
        <v>204.41296364646399</v>
      </c>
      <c r="H4509">
        <v>139.05750947668699</v>
      </c>
      <c r="I4509" s="1">
        <f t="shared" si="141"/>
        <v>142.70650717931557</v>
      </c>
    </row>
    <row r="4510" spans="1:9" x14ac:dyDescent="0.45">
      <c r="A4510" t="s">
        <v>27</v>
      </c>
      <c r="B4510" t="s">
        <v>72</v>
      </c>
      <c r="C4510" t="str">
        <f t="shared" si="140"/>
        <v>High PointXavier</v>
      </c>
      <c r="D4510" t="s">
        <v>72</v>
      </c>
      <c r="E4510">
        <v>23.4</v>
      </c>
      <c r="F4510">
        <v>7.7773584905660398</v>
      </c>
      <c r="G4510">
        <v>327.48430892665101</v>
      </c>
      <c r="H4510">
        <v>139.24871661023599</v>
      </c>
      <c r="I4510" s="1">
        <f t="shared" si="141"/>
        <v>145.39138336759476</v>
      </c>
    </row>
    <row r="4511" spans="1:9" x14ac:dyDescent="0.45">
      <c r="A4511" t="s">
        <v>28</v>
      </c>
      <c r="B4511" t="s">
        <v>72</v>
      </c>
      <c r="C4511" t="str">
        <f t="shared" si="140"/>
        <v>HoustonXavier</v>
      </c>
      <c r="D4511" t="s">
        <v>28</v>
      </c>
      <c r="E4511">
        <v>98.5</v>
      </c>
      <c r="F4511">
        <v>-27.505660377358499</v>
      </c>
      <c r="G4511">
        <v>-6642.1609674559504</v>
      </c>
      <c r="H4511">
        <v>141.36217896743901</v>
      </c>
      <c r="I4511" s="1">
        <f t="shared" si="141"/>
        <v>175.06802069987631</v>
      </c>
    </row>
    <row r="4512" spans="1:9" x14ac:dyDescent="0.45">
      <c r="A4512" t="s">
        <v>29</v>
      </c>
      <c r="B4512" t="s">
        <v>72</v>
      </c>
      <c r="C4512" t="str">
        <f t="shared" si="140"/>
        <v>IllinoisXavier</v>
      </c>
      <c r="D4512" t="s">
        <v>29</v>
      </c>
      <c r="E4512">
        <v>86.8</v>
      </c>
      <c r="F4512">
        <v>-12.316981132075499</v>
      </c>
      <c r="G4512">
        <v>-654.78061911437601</v>
      </c>
      <c r="H4512">
        <v>139.42064274239999</v>
      </c>
      <c r="I4512" s="1">
        <f t="shared" si="141"/>
        <v>147.80552121811473</v>
      </c>
    </row>
    <row r="4513" spans="1:9" x14ac:dyDescent="0.45">
      <c r="A4513" t="s">
        <v>30</v>
      </c>
      <c r="B4513" t="s">
        <v>72</v>
      </c>
      <c r="C4513" t="str">
        <f t="shared" si="140"/>
        <v>Iowa St.Xavier</v>
      </c>
      <c r="D4513" t="s">
        <v>30</v>
      </c>
      <c r="E4513">
        <v>93.2</v>
      </c>
      <c r="F4513">
        <v>-17.181132075471702</v>
      </c>
      <c r="G4513">
        <v>-1374.52257013607</v>
      </c>
      <c r="H4513">
        <v>140.31718503398699</v>
      </c>
      <c r="I4513" s="1">
        <f t="shared" si="141"/>
        <v>160.39451309194737</v>
      </c>
    </row>
    <row r="4514" spans="1:9" x14ac:dyDescent="0.45">
      <c r="A4514" t="s">
        <v>31</v>
      </c>
      <c r="B4514" t="s">
        <v>72</v>
      </c>
      <c r="C4514" t="str">
        <f t="shared" si="140"/>
        <v>KansasXavier</v>
      </c>
      <c r="D4514" t="s">
        <v>31</v>
      </c>
      <c r="E4514">
        <v>80.900000000000006</v>
      </c>
      <c r="F4514">
        <v>-9.4641509433962305</v>
      </c>
      <c r="G4514">
        <v>-423.59511168441998</v>
      </c>
      <c r="H4514">
        <v>139.36777292284</v>
      </c>
      <c r="I4514" s="1">
        <f t="shared" si="141"/>
        <v>147.0631382485021</v>
      </c>
    </row>
    <row r="4515" spans="1:9" x14ac:dyDescent="0.45">
      <c r="A4515" t="s">
        <v>32</v>
      </c>
      <c r="B4515" t="s">
        <v>72</v>
      </c>
      <c r="C4515" t="str">
        <f t="shared" si="140"/>
        <v>KentuckyXavier</v>
      </c>
      <c r="D4515" t="s">
        <v>32</v>
      </c>
      <c r="E4515">
        <v>87.6</v>
      </c>
      <c r="F4515">
        <v>-12.8264150943396</v>
      </c>
      <c r="G4515">
        <v>-707.67993552780899</v>
      </c>
      <c r="H4515">
        <v>139.30205525496601</v>
      </c>
      <c r="I4515" s="1">
        <f t="shared" si="141"/>
        <v>146.1403494469069</v>
      </c>
    </row>
    <row r="4516" spans="1:9" x14ac:dyDescent="0.45">
      <c r="A4516" t="s">
        <v>33</v>
      </c>
      <c r="B4516" t="s">
        <v>72</v>
      </c>
      <c r="C4516" t="str">
        <f t="shared" si="140"/>
        <v>LibertyXavier</v>
      </c>
      <c r="D4516" t="s">
        <v>72</v>
      </c>
      <c r="E4516">
        <v>17.5</v>
      </c>
      <c r="F4516">
        <v>10.158490566037701</v>
      </c>
      <c r="G4516">
        <v>470.96760153870201</v>
      </c>
      <c r="H4516">
        <v>138.647056298683</v>
      </c>
      <c r="I4516" s="1">
        <f t="shared" si="141"/>
        <v>136.94304039033184</v>
      </c>
    </row>
    <row r="4517" spans="1:9" x14ac:dyDescent="0.45">
      <c r="A4517" t="s">
        <v>34</v>
      </c>
      <c r="B4517" t="s">
        <v>72</v>
      </c>
      <c r="C4517" t="str">
        <f t="shared" si="140"/>
        <v>LipscombXavier</v>
      </c>
      <c r="D4517" t="s">
        <v>72</v>
      </c>
      <c r="E4517">
        <v>13.8</v>
      </c>
      <c r="F4517">
        <v>12.022641509433999</v>
      </c>
      <c r="G4517">
        <v>626.02162148441801</v>
      </c>
      <c r="H4517">
        <v>139.05337449627501</v>
      </c>
      <c r="I4517" s="1">
        <f t="shared" si="141"/>
        <v>142.64844496039592</v>
      </c>
    </row>
    <row r="4518" spans="1:9" x14ac:dyDescent="0.45">
      <c r="A4518" t="s">
        <v>35</v>
      </c>
      <c r="B4518" t="s">
        <v>72</v>
      </c>
      <c r="C4518" t="str">
        <f t="shared" si="140"/>
        <v>LouisvilleXavier</v>
      </c>
      <c r="D4518" t="s">
        <v>72</v>
      </c>
      <c r="E4518">
        <v>28.7</v>
      </c>
      <c r="F4518">
        <v>5.9735849056603803</v>
      </c>
      <c r="G4518">
        <v>248.80064280591</v>
      </c>
      <c r="H4518">
        <v>138.29873650209299</v>
      </c>
      <c r="I4518" s="1">
        <f t="shared" si="141"/>
        <v>132.05203287187493</v>
      </c>
    </row>
    <row r="4519" spans="1:9" x14ac:dyDescent="0.45">
      <c r="A4519" t="s">
        <v>36</v>
      </c>
      <c r="B4519" t="s">
        <v>72</v>
      </c>
      <c r="C4519" t="str">
        <f t="shared" si="140"/>
        <v>MarquetteXavier</v>
      </c>
      <c r="D4519" t="s">
        <v>36</v>
      </c>
      <c r="E4519">
        <v>84.5</v>
      </c>
      <c r="F4519">
        <v>-11.094339622641501</v>
      </c>
      <c r="G4519">
        <v>-543.11500233086099</v>
      </c>
      <c r="H4519">
        <v>139.560870345555</v>
      </c>
      <c r="I4519" s="1">
        <f t="shared" si="141"/>
        <v>149.77455733963515</v>
      </c>
    </row>
    <row r="4520" spans="1:9" x14ac:dyDescent="0.45">
      <c r="A4520" t="s">
        <v>37</v>
      </c>
      <c r="B4520" t="s">
        <v>72</v>
      </c>
      <c r="C4520" t="str">
        <f t="shared" si="140"/>
        <v>MarylandXavier</v>
      </c>
      <c r="D4520" t="s">
        <v>37</v>
      </c>
      <c r="E4520">
        <v>77</v>
      </c>
      <c r="F4520">
        <v>-7.9245283018867898</v>
      </c>
      <c r="G4520">
        <v>-335.01015181950697</v>
      </c>
      <c r="H4520">
        <v>139.01923994409799</v>
      </c>
      <c r="I4520" s="1">
        <f t="shared" si="141"/>
        <v>142.16913728689758</v>
      </c>
    </row>
    <row r="4521" spans="1:9" x14ac:dyDescent="0.45">
      <c r="A4521" t="s">
        <v>38</v>
      </c>
      <c r="B4521" t="s">
        <v>72</v>
      </c>
      <c r="C4521" t="str">
        <f t="shared" si="140"/>
        <v>McNeese St.Xavier</v>
      </c>
      <c r="D4521" t="s">
        <v>72</v>
      </c>
      <c r="E4521">
        <v>43.9</v>
      </c>
      <c r="F4521">
        <v>1.61509433962264</v>
      </c>
      <c r="G4521">
        <v>127.941578896964</v>
      </c>
      <c r="H4521">
        <v>139.61247535706201</v>
      </c>
      <c r="I4521" s="1">
        <f t="shared" si="141"/>
        <v>150.49918023429055</v>
      </c>
    </row>
    <row r="4522" spans="1:9" x14ac:dyDescent="0.45">
      <c r="A4522" t="s">
        <v>39</v>
      </c>
      <c r="B4522" t="s">
        <v>72</v>
      </c>
      <c r="C4522" t="str">
        <f t="shared" si="140"/>
        <v>MemphisXavier</v>
      </c>
      <c r="D4522" t="s">
        <v>39</v>
      </c>
      <c r="E4522">
        <v>65.400000000000006</v>
      </c>
      <c r="F4522">
        <v>-4.1622641509434004</v>
      </c>
      <c r="G4522">
        <v>-188.65034380202201</v>
      </c>
      <c r="H4522">
        <v>138.14675718358799</v>
      </c>
      <c r="I4522" s="1">
        <f t="shared" si="141"/>
        <v>129.91798250570275</v>
      </c>
    </row>
    <row r="4523" spans="1:9" x14ac:dyDescent="0.45">
      <c r="A4523" t="s">
        <v>40</v>
      </c>
      <c r="B4523" t="s">
        <v>72</v>
      </c>
      <c r="C4523" t="str">
        <f t="shared" si="140"/>
        <v>MichiganXavier</v>
      </c>
      <c r="D4523" t="s">
        <v>72</v>
      </c>
      <c r="E4523">
        <v>48.2</v>
      </c>
      <c r="F4523">
        <v>0.46415094339622598</v>
      </c>
      <c r="G4523">
        <v>107.333930488647</v>
      </c>
      <c r="H4523">
        <v>137.709378480504</v>
      </c>
      <c r="I4523" s="1">
        <f t="shared" si="141"/>
        <v>123.77643515140537</v>
      </c>
    </row>
    <row r="4524" spans="1:9" x14ac:dyDescent="0.45">
      <c r="A4524" t="s">
        <v>41</v>
      </c>
      <c r="B4524" t="s">
        <v>72</v>
      </c>
      <c r="C4524" t="str">
        <f t="shared" si="140"/>
        <v>Michigan St.Xavier</v>
      </c>
      <c r="D4524" t="s">
        <v>41</v>
      </c>
      <c r="E4524">
        <v>89.8</v>
      </c>
      <c r="F4524">
        <v>-14.2830188679245</v>
      </c>
      <c r="G4524">
        <v>-883.52350581109204</v>
      </c>
      <c r="H4524">
        <v>139.35645818971099</v>
      </c>
      <c r="I4524" s="1">
        <f t="shared" si="141"/>
        <v>146.90425998391564</v>
      </c>
    </row>
    <row r="4525" spans="1:9" x14ac:dyDescent="0.45">
      <c r="A4525" t="s">
        <v>42</v>
      </c>
      <c r="B4525" t="s">
        <v>72</v>
      </c>
      <c r="C4525" t="str">
        <f t="shared" si="140"/>
        <v>MississippiXavier</v>
      </c>
      <c r="D4525" t="s">
        <v>42</v>
      </c>
      <c r="E4525">
        <v>70.7</v>
      </c>
      <c r="F4525">
        <v>-5.7849056603773601</v>
      </c>
      <c r="G4525">
        <v>-241.73898434612801</v>
      </c>
      <c r="H4525">
        <v>138.62414953960101</v>
      </c>
      <c r="I4525" s="1">
        <f t="shared" si="141"/>
        <v>136.6213901941893</v>
      </c>
    </row>
    <row r="4526" spans="1:9" x14ac:dyDescent="0.45">
      <c r="A4526" t="s">
        <v>43</v>
      </c>
      <c r="B4526" t="s">
        <v>72</v>
      </c>
      <c r="C4526" t="str">
        <f t="shared" si="140"/>
        <v>Mississippi St.Xavier</v>
      </c>
      <c r="D4526" t="s">
        <v>43</v>
      </c>
      <c r="E4526">
        <v>65</v>
      </c>
      <c r="F4526">
        <v>-4.0641509433962302</v>
      </c>
      <c r="G4526">
        <v>-185.85291496812499</v>
      </c>
      <c r="H4526">
        <v>138.763896012278</v>
      </c>
      <c r="I4526" s="1">
        <f t="shared" si="141"/>
        <v>138.58367041837514</v>
      </c>
    </row>
    <row r="4527" spans="1:9" x14ac:dyDescent="0.45">
      <c r="A4527" t="s">
        <v>44</v>
      </c>
      <c r="B4527" t="s">
        <v>72</v>
      </c>
      <c r="C4527" t="str">
        <f t="shared" si="140"/>
        <v>MissouriXavier</v>
      </c>
      <c r="D4527" t="s">
        <v>72</v>
      </c>
      <c r="E4527">
        <v>46.7</v>
      </c>
      <c r="F4527">
        <v>0.87169811320754698</v>
      </c>
      <c r="G4527">
        <v>114.211255273239</v>
      </c>
      <c r="H4527">
        <v>138.181557910923</v>
      </c>
      <c r="I4527" s="1">
        <f t="shared" si="141"/>
        <v>130.40664442130344</v>
      </c>
    </row>
    <row r="4528" spans="1:9" x14ac:dyDescent="0.45">
      <c r="A4528" t="s">
        <v>45</v>
      </c>
      <c r="B4528" t="s">
        <v>72</v>
      </c>
      <c r="C4528" t="str">
        <f t="shared" si="140"/>
        <v>MontanaXavier</v>
      </c>
      <c r="D4528" t="s">
        <v>72</v>
      </c>
      <c r="E4528">
        <v>7.3</v>
      </c>
      <c r="F4528">
        <v>16.675471698113199</v>
      </c>
      <c r="G4528">
        <v>1273.07692783537</v>
      </c>
      <c r="H4528">
        <v>137.31826947432901</v>
      </c>
      <c r="I4528" s="1">
        <f t="shared" si="141"/>
        <v>118.28459372158937</v>
      </c>
    </row>
    <row r="4529" spans="1:9" x14ac:dyDescent="0.45">
      <c r="A4529" t="s">
        <v>46</v>
      </c>
      <c r="B4529" t="s">
        <v>72</v>
      </c>
      <c r="C4529" t="str">
        <f t="shared" si="140"/>
        <v>Mount St. Mary'sXavier</v>
      </c>
      <c r="D4529" t="s">
        <v>72</v>
      </c>
      <c r="E4529">
        <v>2.9</v>
      </c>
      <c r="F4529">
        <v>23.011320754717001</v>
      </c>
      <c r="G4529">
        <v>3345.6367495223299</v>
      </c>
      <c r="H4529">
        <v>138.62155742848</v>
      </c>
      <c r="I4529" s="1">
        <f t="shared" si="141"/>
        <v>136.58499250704773</v>
      </c>
    </row>
    <row r="4530" spans="1:9" x14ac:dyDescent="0.45">
      <c r="A4530" t="s">
        <v>47</v>
      </c>
      <c r="B4530" t="s">
        <v>72</v>
      </c>
      <c r="C4530" t="str">
        <f t="shared" si="140"/>
        <v>Nebraska OmahaXavier</v>
      </c>
      <c r="D4530" t="s">
        <v>72</v>
      </c>
      <c r="E4530">
        <v>4</v>
      </c>
      <c r="F4530">
        <v>20.822641509434</v>
      </c>
      <c r="G4530">
        <v>2395.3901785797102</v>
      </c>
      <c r="H4530">
        <v>138.039333560583</v>
      </c>
      <c r="I4530" s="1">
        <f t="shared" si="141"/>
        <v>128.40957054370415</v>
      </c>
    </row>
    <row r="4531" spans="1:9" x14ac:dyDescent="0.45">
      <c r="A4531" t="s">
        <v>48</v>
      </c>
      <c r="B4531" t="s">
        <v>72</v>
      </c>
      <c r="C4531" t="str">
        <f t="shared" si="140"/>
        <v>New MexicoXavier</v>
      </c>
      <c r="D4531" t="s">
        <v>48</v>
      </c>
      <c r="E4531">
        <v>50</v>
      </c>
      <c r="F4531">
        <v>-1.13207547169811E-2</v>
      </c>
      <c r="G4531">
        <v>-100.162909000094</v>
      </c>
      <c r="H4531">
        <v>138.80932349240101</v>
      </c>
      <c r="I4531" s="1">
        <f t="shared" si="141"/>
        <v>139.2215501742815</v>
      </c>
    </row>
    <row r="4532" spans="1:9" x14ac:dyDescent="0.45">
      <c r="A4532" t="s">
        <v>49</v>
      </c>
      <c r="B4532" t="s">
        <v>72</v>
      </c>
      <c r="C4532" t="str">
        <f t="shared" si="140"/>
        <v>Norfolk St.Xavier</v>
      </c>
      <c r="D4532" t="s">
        <v>72</v>
      </c>
      <c r="E4532">
        <v>5.6</v>
      </c>
      <c r="F4532">
        <v>18.554716981132099</v>
      </c>
      <c r="G4532">
        <v>1695.60007900657</v>
      </c>
      <c r="H4532">
        <v>137.84544925636399</v>
      </c>
      <c r="I4532" s="1">
        <f t="shared" si="141"/>
        <v>125.68710228628788</v>
      </c>
    </row>
    <row r="4533" spans="1:9" x14ac:dyDescent="0.45">
      <c r="A4533" t="s">
        <v>50</v>
      </c>
      <c r="B4533" t="s">
        <v>72</v>
      </c>
      <c r="C4533" t="str">
        <f t="shared" si="140"/>
        <v>North CarolinaXavier</v>
      </c>
      <c r="D4533" t="s">
        <v>50</v>
      </c>
      <c r="E4533">
        <v>77.400000000000006</v>
      </c>
      <c r="F4533">
        <v>-8.0603773584905696</v>
      </c>
      <c r="G4533">
        <v>-342.02978999260802</v>
      </c>
      <c r="H4533">
        <v>139.91905521083399</v>
      </c>
      <c r="I4533" s="1">
        <f t="shared" si="141"/>
        <v>154.80408734690911</v>
      </c>
    </row>
    <row r="4534" spans="1:9" x14ac:dyDescent="0.45">
      <c r="A4534" t="s">
        <v>51</v>
      </c>
      <c r="B4534" t="s">
        <v>72</v>
      </c>
      <c r="C4534" t="str">
        <f t="shared" si="140"/>
        <v>OklahomaXavier</v>
      </c>
      <c r="D4534" t="s">
        <v>51</v>
      </c>
      <c r="E4534">
        <v>54.5</v>
      </c>
      <c r="F4534">
        <v>-1.1773584905660399</v>
      </c>
      <c r="G4534">
        <v>-119.69795035284599</v>
      </c>
      <c r="H4534">
        <v>138.34267833700801</v>
      </c>
      <c r="I4534" s="1">
        <f t="shared" si="141"/>
        <v>132.66905162030145</v>
      </c>
    </row>
    <row r="4535" spans="1:9" x14ac:dyDescent="0.45">
      <c r="A4535" t="s">
        <v>52</v>
      </c>
      <c r="B4535" t="s">
        <v>72</v>
      </c>
      <c r="C4535" t="str">
        <f t="shared" si="140"/>
        <v>OregonXavier</v>
      </c>
      <c r="D4535" t="s">
        <v>52</v>
      </c>
      <c r="E4535">
        <v>77.099999999999994</v>
      </c>
      <c r="F4535">
        <v>-7.9433962264150901</v>
      </c>
      <c r="G4535">
        <v>-336.01058570541898</v>
      </c>
      <c r="H4535">
        <v>138.63339572853701</v>
      </c>
      <c r="I4535" s="1">
        <f t="shared" si="141"/>
        <v>136.75122254953001</v>
      </c>
    </row>
    <row r="4536" spans="1:9" x14ac:dyDescent="0.45">
      <c r="A4536" t="s">
        <v>53</v>
      </c>
      <c r="B4536" t="s">
        <v>72</v>
      </c>
      <c r="C4536" t="str">
        <f t="shared" si="140"/>
        <v>PurdueXavier</v>
      </c>
      <c r="D4536" t="s">
        <v>53</v>
      </c>
      <c r="E4536">
        <v>95</v>
      </c>
      <c r="F4536">
        <v>-19.316981132075501</v>
      </c>
      <c r="G4536">
        <v>-1904.37547366687</v>
      </c>
      <c r="H4536">
        <v>140.12148292833501</v>
      </c>
      <c r="I4536" s="1">
        <f t="shared" si="141"/>
        <v>157.6465197838084</v>
      </c>
    </row>
    <row r="4537" spans="1:9" x14ac:dyDescent="0.45">
      <c r="A4537" t="s">
        <v>54</v>
      </c>
      <c r="B4537" t="s">
        <v>72</v>
      </c>
      <c r="C4537" t="str">
        <f t="shared" si="140"/>
        <v>Robert MorrisXavier</v>
      </c>
      <c r="D4537" t="s">
        <v>72</v>
      </c>
      <c r="E4537">
        <v>2.2999999999999998</v>
      </c>
      <c r="F4537">
        <v>24.5735849056604</v>
      </c>
      <c r="G4537">
        <v>4245.04522012081</v>
      </c>
      <c r="H4537">
        <v>137.20444825702299</v>
      </c>
      <c r="I4537" s="1">
        <f t="shared" si="141"/>
        <v>116.68634855994856</v>
      </c>
    </row>
    <row r="4538" spans="1:9" x14ac:dyDescent="0.45">
      <c r="A4538" t="s">
        <v>55</v>
      </c>
      <c r="B4538" t="s">
        <v>72</v>
      </c>
      <c r="C4538" t="str">
        <f t="shared" si="140"/>
        <v>Saint FrancisXavier</v>
      </c>
      <c r="D4538" t="s">
        <v>72</v>
      </c>
      <c r="E4538">
        <v>1.4</v>
      </c>
      <c r="F4538">
        <v>27.9358490566038</v>
      </c>
      <c r="G4538">
        <v>7090.2984361762201</v>
      </c>
      <c r="H4538">
        <v>137.911296139066</v>
      </c>
      <c r="I4538" s="1">
        <f t="shared" si="141"/>
        <v>126.61170548574812</v>
      </c>
    </row>
    <row r="4539" spans="1:9" x14ac:dyDescent="0.45">
      <c r="A4539" t="s">
        <v>56</v>
      </c>
      <c r="B4539" t="s">
        <v>72</v>
      </c>
      <c r="C4539" t="str">
        <f t="shared" si="140"/>
        <v>Saint Mary'sXavier</v>
      </c>
      <c r="D4539" t="s">
        <v>56</v>
      </c>
      <c r="E4539">
        <v>76.7</v>
      </c>
      <c r="F4539">
        <v>-7.8</v>
      </c>
      <c r="G4539">
        <v>-328.69996631181601</v>
      </c>
      <c r="H4539">
        <v>139.64050225500799</v>
      </c>
      <c r="I4539" s="1">
        <f t="shared" si="141"/>
        <v>150.89272596414796</v>
      </c>
    </row>
    <row r="4540" spans="1:9" x14ac:dyDescent="0.45">
      <c r="A4540" t="s">
        <v>57</v>
      </c>
      <c r="B4540" t="s">
        <v>72</v>
      </c>
      <c r="C4540" t="str">
        <f t="shared" si="140"/>
        <v>San Diego St.Xavier</v>
      </c>
      <c r="D4540" t="s">
        <v>57</v>
      </c>
      <c r="E4540">
        <v>50.5</v>
      </c>
      <c r="F4540">
        <v>-0.128301886792453</v>
      </c>
      <c r="G4540">
        <v>-101.953019712184</v>
      </c>
      <c r="H4540">
        <v>138.85520141803599</v>
      </c>
      <c r="I4540" s="1">
        <f t="shared" si="141"/>
        <v>139.86575495795631</v>
      </c>
    </row>
    <row r="4541" spans="1:9" x14ac:dyDescent="0.45">
      <c r="A4541" t="s">
        <v>58</v>
      </c>
      <c r="B4541" t="s">
        <v>72</v>
      </c>
      <c r="C4541" t="str">
        <f t="shared" si="140"/>
        <v>SIU EdwardsvilleXavier</v>
      </c>
      <c r="D4541" t="s">
        <v>72</v>
      </c>
      <c r="E4541">
        <v>4.5999999999999996</v>
      </c>
      <c r="F4541">
        <v>19.849056603773601</v>
      </c>
      <c r="G4541">
        <v>2064.8104327483502</v>
      </c>
      <c r="H4541">
        <v>138.91445959821999</v>
      </c>
      <c r="I4541" s="1">
        <f t="shared" si="141"/>
        <v>140.69784147054457</v>
      </c>
    </row>
    <row r="4542" spans="1:9" x14ac:dyDescent="0.45">
      <c r="A4542" t="s">
        <v>59</v>
      </c>
      <c r="B4542" t="s">
        <v>72</v>
      </c>
      <c r="C4542" t="str">
        <f t="shared" si="140"/>
        <v>St. John'sXavier</v>
      </c>
      <c r="D4542" t="s">
        <v>59</v>
      </c>
      <c r="E4542">
        <v>90.5</v>
      </c>
      <c r="F4542">
        <v>-14.784905660377399</v>
      </c>
      <c r="G4542">
        <v>-953.78241030081597</v>
      </c>
      <c r="H4542">
        <v>139.73391604677499</v>
      </c>
      <c r="I4542" s="1">
        <f t="shared" si="141"/>
        <v>152.20441586042389</v>
      </c>
    </row>
    <row r="4543" spans="1:9" x14ac:dyDescent="0.45">
      <c r="A4543" t="s">
        <v>60</v>
      </c>
      <c r="B4543" t="s">
        <v>72</v>
      </c>
      <c r="C4543" t="str">
        <f t="shared" si="140"/>
        <v>TennesseeXavier</v>
      </c>
      <c r="D4543" t="s">
        <v>60</v>
      </c>
      <c r="E4543">
        <v>95.5</v>
      </c>
      <c r="F4543">
        <v>-20</v>
      </c>
      <c r="G4543">
        <v>-2113.52213913675</v>
      </c>
      <c r="H4543">
        <v>140.52714842090899</v>
      </c>
      <c r="I4543" s="1">
        <f t="shared" si="141"/>
        <v>163.3427592556443</v>
      </c>
    </row>
    <row r="4544" spans="1:9" x14ac:dyDescent="0.45">
      <c r="A4544" t="s">
        <v>61</v>
      </c>
      <c r="B4544" t="s">
        <v>72</v>
      </c>
      <c r="C4544" t="str">
        <f t="shared" si="140"/>
        <v>TexasXavier</v>
      </c>
      <c r="D4544" t="s">
        <v>72</v>
      </c>
      <c r="E4544">
        <v>45.8</v>
      </c>
      <c r="F4544">
        <v>1.09811320754717</v>
      </c>
      <c r="G4544">
        <v>118.205591950216</v>
      </c>
      <c r="H4544">
        <v>138.22703024854701</v>
      </c>
      <c r="I4544" s="1">
        <f t="shared" si="141"/>
        <v>131.04515405348093</v>
      </c>
    </row>
    <row r="4545" spans="1:9" x14ac:dyDescent="0.45">
      <c r="A4545" t="s">
        <v>62</v>
      </c>
      <c r="B4545" t="s">
        <v>72</v>
      </c>
      <c r="C4545" t="str">
        <f t="shared" si="140"/>
        <v>Texas A&amp;MXavier</v>
      </c>
      <c r="D4545" t="s">
        <v>62</v>
      </c>
      <c r="E4545">
        <v>82.8</v>
      </c>
      <c r="F4545">
        <v>-10.3056603773585</v>
      </c>
      <c r="G4545">
        <v>-481.633023508929</v>
      </c>
      <c r="H4545">
        <v>139.01400555794501</v>
      </c>
      <c r="I4545" s="1">
        <f t="shared" si="141"/>
        <v>142.0956375252436</v>
      </c>
    </row>
    <row r="4546" spans="1:9" x14ac:dyDescent="0.45">
      <c r="A4546" t="s">
        <v>63</v>
      </c>
      <c r="B4546" t="s">
        <v>72</v>
      </c>
      <c r="C4546" t="str">
        <f t="shared" si="140"/>
        <v>Texas TechXavier</v>
      </c>
      <c r="D4546" t="s">
        <v>63</v>
      </c>
      <c r="E4546">
        <v>90.3</v>
      </c>
      <c r="F4546">
        <v>-14.6377358490566</v>
      </c>
      <c r="G4546">
        <v>-932.89270815291502</v>
      </c>
      <c r="H4546">
        <v>140.004518163184</v>
      </c>
      <c r="I4546" s="1">
        <f t="shared" si="141"/>
        <v>156.00413381738136</v>
      </c>
    </row>
    <row r="4547" spans="1:9" x14ac:dyDescent="0.45">
      <c r="A4547" t="s">
        <v>64</v>
      </c>
      <c r="B4547" t="s">
        <v>72</v>
      </c>
      <c r="C4547" t="str">
        <f t="shared" ref="C4547:C4610" si="142">A4547&amp;B4547</f>
        <v>TroyXavier</v>
      </c>
      <c r="D4547" t="s">
        <v>72</v>
      </c>
      <c r="E4547">
        <v>11.8</v>
      </c>
      <c r="F4547">
        <v>13.1698113207547</v>
      </c>
      <c r="G4547">
        <v>745.60629410463503</v>
      </c>
      <c r="H4547">
        <v>138.77082275774299</v>
      </c>
      <c r="I4547" s="1">
        <f t="shared" ref="I4547:I4610" si="143">18*(H4547-AVERAGE($H$2:$H$4625))/_xlfn.STDEV.P($H$2:$H$4625)+AVERAGE($H$2:$H$4625)</f>
        <v>138.68093380816634</v>
      </c>
    </row>
    <row r="4548" spans="1:9" x14ac:dyDescent="0.45">
      <c r="A4548" t="s">
        <v>65</v>
      </c>
      <c r="B4548" t="s">
        <v>72</v>
      </c>
      <c r="C4548" t="str">
        <f t="shared" si="142"/>
        <v>UC San DiegoXavier</v>
      </c>
      <c r="D4548" t="s">
        <v>72</v>
      </c>
      <c r="E4548">
        <v>25.6</v>
      </c>
      <c r="F4548">
        <v>6.98867924528302</v>
      </c>
      <c r="G4548">
        <v>290.389997509431</v>
      </c>
      <c r="H4548">
        <v>138.84094298740601</v>
      </c>
      <c r="I4548" s="1">
        <f t="shared" si="143"/>
        <v>139.6655421302751</v>
      </c>
    </row>
    <row r="4549" spans="1:9" x14ac:dyDescent="0.45">
      <c r="A4549" t="s">
        <v>66</v>
      </c>
      <c r="B4549" t="s">
        <v>72</v>
      </c>
      <c r="C4549" t="str">
        <f t="shared" si="142"/>
        <v>UCLAXavier</v>
      </c>
      <c r="D4549" t="s">
        <v>66</v>
      </c>
      <c r="E4549">
        <v>54.2</v>
      </c>
      <c r="F4549">
        <v>-1.11320754716981</v>
      </c>
      <c r="G4549">
        <v>-118.4976666151</v>
      </c>
      <c r="H4549">
        <v>138.062201566618</v>
      </c>
      <c r="I4549" s="1">
        <f t="shared" si="143"/>
        <v>128.7306765805825</v>
      </c>
    </row>
    <row r="4550" spans="1:9" x14ac:dyDescent="0.45">
      <c r="A4550" t="s">
        <v>67</v>
      </c>
      <c r="B4550" t="s">
        <v>72</v>
      </c>
      <c r="C4550" t="str">
        <f t="shared" si="142"/>
        <v>UNC WilmingtonXavier</v>
      </c>
      <c r="D4550" t="s">
        <v>72</v>
      </c>
      <c r="E4550">
        <v>16.600000000000001</v>
      </c>
      <c r="F4550">
        <v>10.5811320754717</v>
      </c>
      <c r="G4550">
        <v>502.27856279922702</v>
      </c>
      <c r="H4550">
        <v>139.37761145806999</v>
      </c>
      <c r="I4550" s="1">
        <f t="shared" si="143"/>
        <v>147.20128816203436</v>
      </c>
    </row>
    <row r="4551" spans="1:9" x14ac:dyDescent="0.45">
      <c r="A4551" t="s">
        <v>68</v>
      </c>
      <c r="B4551" t="s">
        <v>72</v>
      </c>
      <c r="C4551" t="str">
        <f t="shared" si="142"/>
        <v>Utah St.Xavier</v>
      </c>
      <c r="D4551" t="s">
        <v>68</v>
      </c>
      <c r="E4551">
        <v>52.8</v>
      </c>
      <c r="F4551">
        <v>-0.747169811320755</v>
      </c>
      <c r="G4551">
        <v>-112.07107699012499</v>
      </c>
      <c r="H4551">
        <v>138.924797956649</v>
      </c>
      <c r="I4551" s="1">
        <f t="shared" si="143"/>
        <v>140.84300975928329</v>
      </c>
    </row>
    <row r="4552" spans="1:9" x14ac:dyDescent="0.45">
      <c r="A4552" t="s">
        <v>69</v>
      </c>
      <c r="B4552" t="s">
        <v>72</v>
      </c>
      <c r="C4552" t="str">
        <f t="shared" si="142"/>
        <v>VanderbiltXavier</v>
      </c>
      <c r="D4552" t="s">
        <v>72</v>
      </c>
      <c r="E4552">
        <v>18.100000000000001</v>
      </c>
      <c r="F4552">
        <v>9.9018867924528298</v>
      </c>
      <c r="G4552">
        <v>452.81981515511899</v>
      </c>
      <c r="H4552">
        <v>137.35883583793199</v>
      </c>
      <c r="I4552" s="1">
        <f t="shared" si="143"/>
        <v>118.8542150618664</v>
      </c>
    </row>
    <row r="4553" spans="1:9" x14ac:dyDescent="0.45">
      <c r="A4553" t="s">
        <v>70</v>
      </c>
      <c r="B4553" t="s">
        <v>72</v>
      </c>
      <c r="C4553" t="str">
        <f t="shared" si="142"/>
        <v>VCUXavier</v>
      </c>
      <c r="D4553" t="s">
        <v>72</v>
      </c>
      <c r="E4553">
        <v>41.5</v>
      </c>
      <c r="F4553">
        <v>2.25660377358491</v>
      </c>
      <c r="G4553">
        <v>141.05993297000899</v>
      </c>
      <c r="H4553">
        <v>139.284008967125</v>
      </c>
      <c r="I4553" s="1">
        <f t="shared" si="143"/>
        <v>145.88694860556893</v>
      </c>
    </row>
    <row r="4554" spans="1:9" x14ac:dyDescent="0.45">
      <c r="A4554" t="s">
        <v>71</v>
      </c>
      <c r="B4554" t="s">
        <v>72</v>
      </c>
      <c r="C4554" t="str">
        <f t="shared" si="142"/>
        <v>WisconsinXavier</v>
      </c>
      <c r="D4554" t="s">
        <v>71</v>
      </c>
      <c r="E4554">
        <v>89</v>
      </c>
      <c r="F4554">
        <v>-13.6981132075472</v>
      </c>
      <c r="G4554">
        <v>-808.13137030039502</v>
      </c>
      <c r="H4554">
        <v>139.93726457545699</v>
      </c>
      <c r="I4554" s="1">
        <f t="shared" si="143"/>
        <v>155.05977806603948</v>
      </c>
    </row>
    <row r="4555" spans="1:9" x14ac:dyDescent="0.45">
      <c r="A4555" t="s">
        <v>80</v>
      </c>
      <c r="B4555" t="s">
        <v>72</v>
      </c>
      <c r="C4555" t="str">
        <f t="shared" si="142"/>
        <v>WoffordXavier</v>
      </c>
      <c r="D4555" t="s">
        <v>72</v>
      </c>
      <c r="E4555">
        <v>6.5</v>
      </c>
      <c r="F4555">
        <v>17.4754716981132</v>
      </c>
      <c r="G4555">
        <v>1438.1497755948401</v>
      </c>
      <c r="H4555">
        <v>138.034913004684</v>
      </c>
      <c r="I4555" s="1">
        <f t="shared" si="143"/>
        <v>128.34749835501592</v>
      </c>
    </row>
    <row r="4556" spans="1:9" x14ac:dyDescent="0.45">
      <c r="A4556" t="s">
        <v>72</v>
      </c>
      <c r="B4556" t="s">
        <v>72</v>
      </c>
      <c r="C4556" t="str">
        <f t="shared" si="142"/>
        <v>XavierXavier</v>
      </c>
      <c r="D4556" t="s">
        <v>72</v>
      </c>
      <c r="E4556">
        <v>41.2</v>
      </c>
      <c r="F4556">
        <v>2.3283018867924499</v>
      </c>
      <c r="G4556">
        <v>142.64273539779199</v>
      </c>
      <c r="H4556">
        <v>138.77771517530499</v>
      </c>
      <c r="I4556" s="1">
        <f t="shared" si="143"/>
        <v>138.77771517530684</v>
      </c>
    </row>
    <row r="4557" spans="1:9" x14ac:dyDescent="0.45">
      <c r="A4557" t="s">
        <v>73</v>
      </c>
      <c r="B4557" t="s">
        <v>72</v>
      </c>
      <c r="C4557" t="str">
        <f t="shared" si="142"/>
        <v>YaleXavier</v>
      </c>
      <c r="D4557" t="s">
        <v>72</v>
      </c>
      <c r="E4557">
        <v>26.8</v>
      </c>
      <c r="F4557">
        <v>6.5773584905660396</v>
      </c>
      <c r="G4557">
        <v>272.76908695173898</v>
      </c>
      <c r="H4557">
        <v>139.37742131169901</v>
      </c>
      <c r="I4557" s="1">
        <f t="shared" si="143"/>
        <v>147.19861818077234</v>
      </c>
    </row>
    <row r="4558" spans="1:9" x14ac:dyDescent="0.45">
      <c r="A4558" t="s">
        <v>7</v>
      </c>
      <c r="B4558" t="s">
        <v>73</v>
      </c>
      <c r="C4558" t="str">
        <f t="shared" si="142"/>
        <v>AkronYale</v>
      </c>
      <c r="D4558" t="s">
        <v>73</v>
      </c>
      <c r="E4558">
        <v>26.8</v>
      </c>
      <c r="F4558">
        <v>6.5924528301886802</v>
      </c>
      <c r="G4558">
        <v>273.35284970188297</v>
      </c>
      <c r="H4558">
        <v>137.594542235885</v>
      </c>
      <c r="I4558" s="1">
        <f t="shared" si="143"/>
        <v>122.1639372649186</v>
      </c>
    </row>
    <row r="4559" spans="1:9" x14ac:dyDescent="0.45">
      <c r="A4559" t="s">
        <v>8</v>
      </c>
      <c r="B4559" t="s">
        <v>73</v>
      </c>
      <c r="C4559" t="str">
        <f t="shared" si="142"/>
        <v>AlabamaYale</v>
      </c>
      <c r="D4559" t="s">
        <v>8</v>
      </c>
      <c r="E4559">
        <v>96.5</v>
      </c>
      <c r="F4559">
        <v>-21.747169811320799</v>
      </c>
      <c r="G4559">
        <v>-2759.3519571408801</v>
      </c>
      <c r="H4559">
        <v>139.40215342348</v>
      </c>
      <c r="I4559" s="1">
        <f t="shared" si="143"/>
        <v>147.54589946036762</v>
      </c>
    </row>
    <row r="4560" spans="1:9" x14ac:dyDescent="0.45">
      <c r="A4560" t="s">
        <v>9</v>
      </c>
      <c r="B4560" t="s">
        <v>73</v>
      </c>
      <c r="C4560" t="str">
        <f t="shared" si="142"/>
        <v>Alabama St.Yale</v>
      </c>
      <c r="D4560" t="s">
        <v>73</v>
      </c>
      <c r="E4560">
        <v>5.3</v>
      </c>
      <c r="F4560">
        <v>18.909433962264199</v>
      </c>
      <c r="G4560">
        <v>1789.8363472733199</v>
      </c>
      <c r="H4560">
        <v>137.78130399530701</v>
      </c>
      <c r="I4560" s="1">
        <f t="shared" si="143"/>
        <v>124.78639277401072</v>
      </c>
    </row>
    <row r="4561" spans="1:9" x14ac:dyDescent="0.45">
      <c r="A4561" t="s">
        <v>10</v>
      </c>
      <c r="B4561" t="s">
        <v>73</v>
      </c>
      <c r="C4561" t="str">
        <f t="shared" si="142"/>
        <v>AmericanYale</v>
      </c>
      <c r="D4561" t="s">
        <v>73</v>
      </c>
      <c r="E4561">
        <v>5.9</v>
      </c>
      <c r="F4561">
        <v>18.154716981132101</v>
      </c>
      <c r="G4561">
        <v>1594.6561540108901</v>
      </c>
      <c r="H4561">
        <v>137.54459351506799</v>
      </c>
      <c r="I4561" s="1">
        <f t="shared" si="143"/>
        <v>121.46257153306823</v>
      </c>
    </row>
    <row r="4562" spans="1:9" x14ac:dyDescent="0.45">
      <c r="A4562" t="s">
        <v>11</v>
      </c>
      <c r="B4562" t="s">
        <v>73</v>
      </c>
      <c r="C4562" t="str">
        <f t="shared" si="142"/>
        <v>ArizonaYale</v>
      </c>
      <c r="D4562" t="s">
        <v>11</v>
      </c>
      <c r="E4562">
        <v>94.8</v>
      </c>
      <c r="F4562">
        <v>-18.9924528301887</v>
      </c>
      <c r="G4562">
        <v>-1812.39525201525</v>
      </c>
      <c r="H4562">
        <v>139.012632763657</v>
      </c>
      <c r="I4562" s="1">
        <f t="shared" si="143"/>
        <v>142.07636113828625</v>
      </c>
    </row>
    <row r="4563" spans="1:9" x14ac:dyDescent="0.45">
      <c r="A4563" t="s">
        <v>12</v>
      </c>
      <c r="B4563" t="s">
        <v>73</v>
      </c>
      <c r="C4563" t="str">
        <f t="shared" si="142"/>
        <v>ArkansasYale</v>
      </c>
      <c r="D4563" t="s">
        <v>12</v>
      </c>
      <c r="E4563">
        <v>54.2</v>
      </c>
      <c r="F4563">
        <v>-1.0905660377358499</v>
      </c>
      <c r="G4563">
        <v>-118.128125294014</v>
      </c>
      <c r="H4563">
        <v>137.33855674144701</v>
      </c>
      <c r="I4563" s="1">
        <f t="shared" si="143"/>
        <v>118.56946175658034</v>
      </c>
    </row>
    <row r="4564" spans="1:9" x14ac:dyDescent="0.45">
      <c r="A4564" t="s">
        <v>13</v>
      </c>
      <c r="B4564" t="s">
        <v>73</v>
      </c>
      <c r="C4564" t="str">
        <f t="shared" si="142"/>
        <v>AuburnYale</v>
      </c>
      <c r="D4564" t="s">
        <v>13</v>
      </c>
      <c r="E4564">
        <v>98.2</v>
      </c>
      <c r="F4564">
        <v>-26.188679245283002</v>
      </c>
      <c r="G4564">
        <v>-5431.4729585579798</v>
      </c>
      <c r="H4564">
        <v>140.42436965683299</v>
      </c>
      <c r="I4564" s="1">
        <f t="shared" si="143"/>
        <v>161.8995690816873</v>
      </c>
    </row>
    <row r="4565" spans="1:9" x14ac:dyDescent="0.45">
      <c r="A4565" t="s">
        <v>14</v>
      </c>
      <c r="B4565" t="s">
        <v>73</v>
      </c>
      <c r="C4565" t="str">
        <f t="shared" si="142"/>
        <v>BaylorYale</v>
      </c>
      <c r="D4565" t="s">
        <v>14</v>
      </c>
      <c r="E4565">
        <v>84.5</v>
      </c>
      <c r="F4565">
        <v>-11.1396226415094</v>
      </c>
      <c r="G4565">
        <v>-546.95981276857401</v>
      </c>
      <c r="H4565">
        <v>138.88728701801301</v>
      </c>
      <c r="I4565" s="1">
        <f t="shared" si="143"/>
        <v>140.31629182740255</v>
      </c>
    </row>
    <row r="4566" spans="1:9" x14ac:dyDescent="0.45">
      <c r="A4566" t="s">
        <v>15</v>
      </c>
      <c r="B4566" t="s">
        <v>73</v>
      </c>
      <c r="C4566" t="str">
        <f t="shared" si="142"/>
        <v>BryantYale</v>
      </c>
      <c r="D4566" t="s">
        <v>73</v>
      </c>
      <c r="E4566">
        <v>20.399999999999999</v>
      </c>
      <c r="F4566">
        <v>8.9320754716981092</v>
      </c>
      <c r="G4566">
        <v>390.62172420375799</v>
      </c>
      <c r="H4566">
        <v>138.479606893659</v>
      </c>
      <c r="I4566" s="1">
        <f t="shared" si="143"/>
        <v>134.59176346909058</v>
      </c>
    </row>
    <row r="4567" spans="1:9" x14ac:dyDescent="0.45">
      <c r="A4567" t="s">
        <v>16</v>
      </c>
      <c r="B4567" t="s">
        <v>73</v>
      </c>
      <c r="C4567" t="str">
        <f t="shared" si="142"/>
        <v>BYUYale</v>
      </c>
      <c r="D4567" t="s">
        <v>16</v>
      </c>
      <c r="E4567">
        <v>86.6</v>
      </c>
      <c r="F4567">
        <v>-12.2339622641509</v>
      </c>
      <c r="G4567">
        <v>-646.34614115014494</v>
      </c>
      <c r="H4567">
        <v>138.64964756810201</v>
      </c>
      <c r="I4567" s="1">
        <f t="shared" si="143"/>
        <v>136.97942625853346</v>
      </c>
    </row>
    <row r="4568" spans="1:9" x14ac:dyDescent="0.45">
      <c r="A4568" t="s">
        <v>17</v>
      </c>
      <c r="B4568" t="s">
        <v>73</v>
      </c>
      <c r="C4568" t="str">
        <f t="shared" si="142"/>
        <v>ClemsonYale</v>
      </c>
      <c r="D4568" t="s">
        <v>17</v>
      </c>
      <c r="E4568">
        <v>90</v>
      </c>
      <c r="F4568">
        <v>-14.437735849056599</v>
      </c>
      <c r="G4568">
        <v>-904.70361589740503</v>
      </c>
      <c r="H4568">
        <v>138.99969779054501</v>
      </c>
      <c r="I4568" s="1">
        <f t="shared" si="143"/>
        <v>141.89473192466963</v>
      </c>
    </row>
    <row r="4569" spans="1:9" x14ac:dyDescent="0.45">
      <c r="A4569" t="s">
        <v>18</v>
      </c>
      <c r="B4569" t="s">
        <v>73</v>
      </c>
      <c r="C4569" t="str">
        <f t="shared" si="142"/>
        <v>Colorado St.Yale</v>
      </c>
      <c r="D4569" t="s">
        <v>18</v>
      </c>
      <c r="E4569">
        <v>60</v>
      </c>
      <c r="F4569">
        <v>-2.65660377358491</v>
      </c>
      <c r="G4569">
        <v>-149.94860478074901</v>
      </c>
      <c r="H4569">
        <v>138.389308765339</v>
      </c>
      <c r="I4569" s="1">
        <f t="shared" si="143"/>
        <v>133.32382283281501</v>
      </c>
    </row>
    <row r="4570" spans="1:9" x14ac:dyDescent="0.45">
      <c r="A4570" t="s">
        <v>19</v>
      </c>
      <c r="B4570" t="s">
        <v>73</v>
      </c>
      <c r="C4570" t="str">
        <f t="shared" si="142"/>
        <v>ConnecticutYale</v>
      </c>
      <c r="D4570" t="s">
        <v>19</v>
      </c>
      <c r="E4570">
        <v>93.4</v>
      </c>
      <c r="F4570">
        <v>-17.332075471698101</v>
      </c>
      <c r="G4570">
        <v>-1406.6713897844299</v>
      </c>
      <c r="H4570">
        <v>138.799948621293</v>
      </c>
      <c r="I4570" s="1">
        <f t="shared" si="143"/>
        <v>139.08991090047991</v>
      </c>
    </row>
    <row r="4571" spans="1:9" x14ac:dyDescent="0.45">
      <c r="A4571" t="s">
        <v>20</v>
      </c>
      <c r="B4571" t="s">
        <v>73</v>
      </c>
      <c r="C4571" t="str">
        <f t="shared" si="142"/>
        <v>CreightonYale</v>
      </c>
      <c r="D4571" t="s">
        <v>20</v>
      </c>
      <c r="E4571">
        <v>81.3</v>
      </c>
      <c r="F4571">
        <v>-9.6226415094339597</v>
      </c>
      <c r="G4571">
        <v>-434.07022304190798</v>
      </c>
      <c r="H4571">
        <v>138.34924537413201</v>
      </c>
      <c r="I4571" s="1">
        <f t="shared" si="143"/>
        <v>132.76126408787266</v>
      </c>
    </row>
    <row r="4572" spans="1:9" x14ac:dyDescent="0.45">
      <c r="A4572" t="s">
        <v>21</v>
      </c>
      <c r="B4572" t="s">
        <v>73</v>
      </c>
      <c r="C4572" t="str">
        <f t="shared" si="142"/>
        <v>DrakeYale</v>
      </c>
      <c r="D4572" t="s">
        <v>21</v>
      </c>
      <c r="E4572">
        <v>59.2</v>
      </c>
      <c r="F4572">
        <v>-2.4490566037735899</v>
      </c>
      <c r="G4572">
        <v>-145.33569811437999</v>
      </c>
      <c r="H4572">
        <v>138.583921179806</v>
      </c>
      <c r="I4572" s="1">
        <f t="shared" si="143"/>
        <v>136.05651500725247</v>
      </c>
    </row>
    <row r="4573" spans="1:9" x14ac:dyDescent="0.45">
      <c r="A4573" t="s">
        <v>22</v>
      </c>
      <c r="B4573" t="s">
        <v>73</v>
      </c>
      <c r="C4573" t="str">
        <f t="shared" si="142"/>
        <v>DukeYale</v>
      </c>
      <c r="D4573" t="s">
        <v>22</v>
      </c>
      <c r="E4573">
        <v>98.7</v>
      </c>
      <c r="F4573">
        <v>-28.4</v>
      </c>
      <c r="G4573">
        <v>-7614.2078358667004</v>
      </c>
      <c r="H4573">
        <v>140.66426106840899</v>
      </c>
      <c r="I4573" s="1">
        <f t="shared" si="143"/>
        <v>165.26805605577826</v>
      </c>
    </row>
    <row r="4574" spans="1:9" x14ac:dyDescent="0.45">
      <c r="A4574" t="s">
        <v>23</v>
      </c>
      <c r="B4574" t="s">
        <v>73</v>
      </c>
      <c r="C4574" t="str">
        <f t="shared" si="142"/>
        <v>FloridaYale</v>
      </c>
      <c r="D4574" t="s">
        <v>23</v>
      </c>
      <c r="E4574">
        <v>97.7</v>
      </c>
      <c r="F4574">
        <v>-24.543396226415101</v>
      </c>
      <c r="G4574">
        <v>-4227.5871280231904</v>
      </c>
      <c r="H4574">
        <v>140.398911595963</v>
      </c>
      <c r="I4574" s="1">
        <f t="shared" si="143"/>
        <v>161.54209423145065</v>
      </c>
    </row>
    <row r="4575" spans="1:9" x14ac:dyDescent="0.45">
      <c r="A4575" t="s">
        <v>24</v>
      </c>
      <c r="B4575" t="s">
        <v>73</v>
      </c>
      <c r="C4575" t="str">
        <f t="shared" si="142"/>
        <v>GeorgiaYale</v>
      </c>
      <c r="D4575" t="s">
        <v>24</v>
      </c>
      <c r="E4575">
        <v>63</v>
      </c>
      <c r="F4575">
        <v>-3.48301886792453</v>
      </c>
      <c r="G4575">
        <v>-170.12849061729099</v>
      </c>
      <c r="H4575">
        <v>137.66286989224801</v>
      </c>
      <c r="I4575" s="1">
        <f t="shared" si="143"/>
        <v>123.1233747825725</v>
      </c>
    </row>
    <row r="4576" spans="1:9" x14ac:dyDescent="0.45">
      <c r="A4576" t="s">
        <v>25</v>
      </c>
      <c r="B4576" t="s">
        <v>73</v>
      </c>
      <c r="C4576" t="str">
        <f t="shared" si="142"/>
        <v>GonzagaYale</v>
      </c>
      <c r="D4576" t="s">
        <v>25</v>
      </c>
      <c r="E4576">
        <v>89.6</v>
      </c>
      <c r="F4576">
        <v>-14.1132075471698</v>
      </c>
      <c r="G4576">
        <v>-861.02525805281402</v>
      </c>
      <c r="H4576">
        <v>139.639831622754</v>
      </c>
      <c r="I4576" s="1">
        <f t="shared" si="143"/>
        <v>150.88330913677129</v>
      </c>
    </row>
    <row r="4577" spans="1:9" x14ac:dyDescent="0.45">
      <c r="A4577" t="s">
        <v>26</v>
      </c>
      <c r="B4577" t="s">
        <v>73</v>
      </c>
      <c r="C4577" t="str">
        <f t="shared" si="142"/>
        <v>Grand CanyonYale</v>
      </c>
      <c r="D4577" t="s">
        <v>73</v>
      </c>
      <c r="E4577">
        <v>48.3</v>
      </c>
      <c r="F4577">
        <v>0.43773584905660401</v>
      </c>
      <c r="G4577">
        <v>106.89636648767301</v>
      </c>
      <c r="H4577">
        <v>138.457803340293</v>
      </c>
      <c r="I4577" s="1">
        <f t="shared" si="143"/>
        <v>134.28560417385046</v>
      </c>
    </row>
    <row r="4578" spans="1:9" x14ac:dyDescent="0.45">
      <c r="A4578" t="s">
        <v>27</v>
      </c>
      <c r="B4578" t="s">
        <v>73</v>
      </c>
      <c r="C4578" t="str">
        <f t="shared" si="142"/>
        <v>High PointYale</v>
      </c>
      <c r="D4578" t="s">
        <v>73</v>
      </c>
      <c r="E4578">
        <v>36.9</v>
      </c>
      <c r="F4578">
        <v>3.52830188679245</v>
      </c>
      <c r="G4578">
        <v>171.25568790505201</v>
      </c>
      <c r="H4578">
        <v>138.649010473842</v>
      </c>
      <c r="I4578" s="1">
        <f t="shared" si="143"/>
        <v>136.97048036212965</v>
      </c>
    </row>
    <row r="4579" spans="1:9" x14ac:dyDescent="0.45">
      <c r="A4579" t="s">
        <v>28</v>
      </c>
      <c r="B4579" t="s">
        <v>73</v>
      </c>
      <c r="C4579" t="str">
        <f t="shared" si="142"/>
        <v>HoustonYale</v>
      </c>
      <c r="D4579" t="s">
        <v>28</v>
      </c>
      <c r="E4579">
        <v>99.2</v>
      </c>
      <c r="F4579">
        <v>-31.754716981132098</v>
      </c>
      <c r="G4579">
        <v>-12701.4963462871</v>
      </c>
      <c r="H4579">
        <v>140.76247283104499</v>
      </c>
      <c r="I4579" s="1">
        <f t="shared" si="143"/>
        <v>166.64711769441081</v>
      </c>
    </row>
    <row r="4580" spans="1:9" x14ac:dyDescent="0.45">
      <c r="A4580" t="s">
        <v>29</v>
      </c>
      <c r="B4580" t="s">
        <v>73</v>
      </c>
      <c r="C4580" t="str">
        <f t="shared" si="142"/>
        <v>IllinoisYale</v>
      </c>
      <c r="D4580" t="s">
        <v>29</v>
      </c>
      <c r="E4580">
        <v>92.6</v>
      </c>
      <c r="F4580">
        <v>-16.569811320754699</v>
      </c>
      <c r="G4580">
        <v>-1252.10660838384</v>
      </c>
      <c r="H4580">
        <v>138.820936606006</v>
      </c>
      <c r="I4580" s="1">
        <f t="shared" si="143"/>
        <v>139.38461821264966</v>
      </c>
    </row>
    <row r="4581" spans="1:9" x14ac:dyDescent="0.45">
      <c r="A4581" t="s">
        <v>30</v>
      </c>
      <c r="B4581" t="s">
        <v>73</v>
      </c>
      <c r="C4581" t="str">
        <f t="shared" si="142"/>
        <v>Iowa St.Yale</v>
      </c>
      <c r="D4581" t="s">
        <v>30</v>
      </c>
      <c r="E4581">
        <v>96.3</v>
      </c>
      <c r="F4581">
        <v>-21.430188679245301</v>
      </c>
      <c r="G4581">
        <v>-2628.4357587857598</v>
      </c>
      <c r="H4581">
        <v>139.717478897593</v>
      </c>
      <c r="I4581" s="1">
        <f t="shared" si="143"/>
        <v>151.97361008648227</v>
      </c>
    </row>
    <row r="4582" spans="1:9" x14ac:dyDescent="0.45">
      <c r="A4582" t="s">
        <v>31</v>
      </c>
      <c r="B4582" t="s">
        <v>73</v>
      </c>
      <c r="C4582" t="str">
        <f t="shared" si="142"/>
        <v>KansasYale</v>
      </c>
      <c r="D4582" t="s">
        <v>31</v>
      </c>
      <c r="E4582">
        <v>89</v>
      </c>
      <c r="F4582">
        <v>-13.7132075471698</v>
      </c>
      <c r="G4582">
        <v>-810.02128520011297</v>
      </c>
      <c r="H4582">
        <v>138.76806678644601</v>
      </c>
      <c r="I4582" s="1">
        <f t="shared" si="143"/>
        <v>138.64223524303702</v>
      </c>
    </row>
    <row r="4583" spans="1:9" x14ac:dyDescent="0.45">
      <c r="A4583" t="s">
        <v>32</v>
      </c>
      <c r="B4583" t="s">
        <v>73</v>
      </c>
      <c r="C4583" t="str">
        <f t="shared" si="142"/>
        <v>KentuckyYale</v>
      </c>
      <c r="D4583" t="s">
        <v>32</v>
      </c>
      <c r="E4583">
        <v>93.1</v>
      </c>
      <c r="F4583">
        <v>-17.079245283018899</v>
      </c>
      <c r="G4583">
        <v>-1353.2635176244301</v>
      </c>
      <c r="H4583">
        <v>138.70234911857199</v>
      </c>
      <c r="I4583" s="1">
        <f t="shared" si="143"/>
        <v>137.71944644144142</v>
      </c>
    </row>
    <row r="4584" spans="1:9" x14ac:dyDescent="0.45">
      <c r="A4584" t="s">
        <v>33</v>
      </c>
      <c r="B4584" t="s">
        <v>73</v>
      </c>
      <c r="C4584" t="str">
        <f t="shared" si="142"/>
        <v>LibertyYale</v>
      </c>
      <c r="D4584" t="s">
        <v>73</v>
      </c>
      <c r="E4584">
        <v>28.9</v>
      </c>
      <c r="F4584">
        <v>5.9094339622641501</v>
      </c>
      <c r="G4584">
        <v>246.28929809448701</v>
      </c>
      <c r="H4584">
        <v>138.04735016228901</v>
      </c>
      <c r="I4584" s="1">
        <f t="shared" si="143"/>
        <v>128.52213738486674</v>
      </c>
    </row>
    <row r="4585" spans="1:9" x14ac:dyDescent="0.45">
      <c r="A4585" t="s">
        <v>34</v>
      </c>
      <c r="B4585" t="s">
        <v>73</v>
      </c>
      <c r="C4585" t="str">
        <f t="shared" si="142"/>
        <v>LipscombYale</v>
      </c>
      <c r="D4585" t="s">
        <v>73</v>
      </c>
      <c r="E4585">
        <v>23.4</v>
      </c>
      <c r="F4585">
        <v>7.7735849056603801</v>
      </c>
      <c r="G4585">
        <v>327.37374130118297</v>
      </c>
      <c r="H4585">
        <v>138.45366835988099</v>
      </c>
      <c r="I4585" s="1">
        <f t="shared" si="143"/>
        <v>134.22754195493044</v>
      </c>
    </row>
    <row r="4586" spans="1:9" x14ac:dyDescent="0.45">
      <c r="A4586" t="s">
        <v>35</v>
      </c>
      <c r="B4586" t="s">
        <v>73</v>
      </c>
      <c r="C4586" t="str">
        <f t="shared" si="142"/>
        <v>LouisvilleYale</v>
      </c>
      <c r="D4586" t="s">
        <v>73</v>
      </c>
      <c r="E4586">
        <v>43.5</v>
      </c>
      <c r="F4586">
        <v>1.7245283018867901</v>
      </c>
      <c r="G4586">
        <v>130.10860085051701</v>
      </c>
      <c r="H4586">
        <v>137.699030365699</v>
      </c>
      <c r="I4586" s="1">
        <f t="shared" si="143"/>
        <v>123.63112986640982</v>
      </c>
    </row>
    <row r="4587" spans="1:9" x14ac:dyDescent="0.45">
      <c r="A4587" t="s">
        <v>36</v>
      </c>
      <c r="B4587" t="s">
        <v>73</v>
      </c>
      <c r="C4587" t="str">
        <f t="shared" si="142"/>
        <v>MarquetteYale</v>
      </c>
      <c r="D4587" t="s">
        <v>36</v>
      </c>
      <c r="E4587">
        <v>91.2</v>
      </c>
      <c r="F4587">
        <v>-15.3433962264151</v>
      </c>
      <c r="G4587">
        <v>-1038.5736286004601</v>
      </c>
      <c r="H4587">
        <v>138.96116420916101</v>
      </c>
      <c r="I4587" s="1">
        <f t="shared" si="143"/>
        <v>141.35365433417005</v>
      </c>
    </row>
    <row r="4588" spans="1:9" x14ac:dyDescent="0.45">
      <c r="A4588" t="s">
        <v>37</v>
      </c>
      <c r="B4588" t="s">
        <v>73</v>
      </c>
      <c r="C4588" t="str">
        <f t="shared" si="142"/>
        <v>MarylandYale</v>
      </c>
      <c r="D4588" t="s">
        <v>37</v>
      </c>
      <c r="E4588">
        <v>86.5</v>
      </c>
      <c r="F4588">
        <v>-12.1735849056604</v>
      </c>
      <c r="G4588">
        <v>-640.62437513228497</v>
      </c>
      <c r="H4588">
        <v>138.419533807704</v>
      </c>
      <c r="I4588" s="1">
        <f t="shared" si="143"/>
        <v>133.74823428143247</v>
      </c>
    </row>
    <row r="4589" spans="1:9" x14ac:dyDescent="0.45">
      <c r="A4589" t="s">
        <v>38</v>
      </c>
      <c r="B4589" t="s">
        <v>73</v>
      </c>
      <c r="C4589" t="str">
        <f t="shared" si="142"/>
        <v>McNeese St.Yale</v>
      </c>
      <c r="D4589" t="s">
        <v>38</v>
      </c>
      <c r="E4589">
        <v>59.9</v>
      </c>
      <c r="F4589">
        <v>-2.6339622641509401</v>
      </c>
      <c r="G4589">
        <v>-149.46303111378501</v>
      </c>
      <c r="H4589">
        <v>139.01276922066799</v>
      </c>
      <c r="I4589" s="1">
        <f t="shared" si="143"/>
        <v>142.07827722882504</v>
      </c>
    </row>
    <row r="4590" spans="1:9" x14ac:dyDescent="0.45">
      <c r="A4590" t="s">
        <v>39</v>
      </c>
      <c r="B4590" t="s">
        <v>73</v>
      </c>
      <c r="C4590" t="str">
        <f t="shared" si="142"/>
        <v>MemphisYale</v>
      </c>
      <c r="D4590" t="s">
        <v>39</v>
      </c>
      <c r="E4590">
        <v>78.3</v>
      </c>
      <c r="F4590">
        <v>-8.4113207547169804</v>
      </c>
      <c r="G4590">
        <v>-360.74730261241001</v>
      </c>
      <c r="H4590">
        <v>137.547051047194</v>
      </c>
      <c r="I4590" s="1">
        <f t="shared" si="143"/>
        <v>121.49707950023767</v>
      </c>
    </row>
    <row r="4591" spans="1:9" x14ac:dyDescent="0.45">
      <c r="A4591" t="s">
        <v>40</v>
      </c>
      <c r="B4591" t="s">
        <v>73</v>
      </c>
      <c r="C4591" t="str">
        <f t="shared" si="142"/>
        <v>MichiganYale</v>
      </c>
      <c r="D4591" t="s">
        <v>40</v>
      </c>
      <c r="E4591">
        <v>64</v>
      </c>
      <c r="F4591">
        <v>-3.7849056603773601</v>
      </c>
      <c r="G4591">
        <v>-178.159283838454</v>
      </c>
      <c r="H4591">
        <v>137.10967234411001</v>
      </c>
      <c r="I4591" s="1">
        <f t="shared" si="143"/>
        <v>115.35553214594029</v>
      </c>
    </row>
    <row r="4592" spans="1:9" x14ac:dyDescent="0.45">
      <c r="A4592" t="s">
        <v>41</v>
      </c>
      <c r="B4592" t="s">
        <v>73</v>
      </c>
      <c r="C4592" t="str">
        <f t="shared" si="142"/>
        <v>Michigan St.Yale</v>
      </c>
      <c r="D4592" t="s">
        <v>41</v>
      </c>
      <c r="E4592">
        <v>94.4</v>
      </c>
      <c r="F4592">
        <v>-18.5320754716981</v>
      </c>
      <c r="G4592">
        <v>-1689.5210212312199</v>
      </c>
      <c r="H4592">
        <v>138.756752053317</v>
      </c>
      <c r="I4592" s="1">
        <f t="shared" si="143"/>
        <v>138.48335697845056</v>
      </c>
    </row>
    <row r="4593" spans="1:9" x14ac:dyDescent="0.45">
      <c r="A4593" t="s">
        <v>42</v>
      </c>
      <c r="B4593" t="s">
        <v>73</v>
      </c>
      <c r="C4593" t="str">
        <f t="shared" si="142"/>
        <v>MississippiYale</v>
      </c>
      <c r="D4593" t="s">
        <v>42</v>
      </c>
      <c r="E4593">
        <v>82.2</v>
      </c>
      <c r="F4593">
        <v>-10.037735849056601</v>
      </c>
      <c r="G4593">
        <v>-462.26624760699099</v>
      </c>
      <c r="H4593">
        <v>138.02444340320699</v>
      </c>
      <c r="I4593" s="1">
        <f t="shared" si="143"/>
        <v>128.20048718872383</v>
      </c>
    </row>
    <row r="4594" spans="1:9" x14ac:dyDescent="0.45">
      <c r="A4594" t="s">
        <v>43</v>
      </c>
      <c r="B4594" t="s">
        <v>73</v>
      </c>
      <c r="C4594" t="str">
        <f t="shared" si="142"/>
        <v>Mississippi St.Yale</v>
      </c>
      <c r="D4594" t="s">
        <v>43</v>
      </c>
      <c r="E4594">
        <v>78</v>
      </c>
      <c r="F4594">
        <v>-8.3132075471698101</v>
      </c>
      <c r="G4594">
        <v>-355.39790920161602</v>
      </c>
      <c r="H4594">
        <v>138.16418987588401</v>
      </c>
      <c r="I4594" s="1">
        <f t="shared" si="143"/>
        <v>130.16276741291003</v>
      </c>
    </row>
    <row r="4595" spans="1:9" x14ac:dyDescent="0.45">
      <c r="A4595" t="s">
        <v>44</v>
      </c>
      <c r="B4595" t="s">
        <v>73</v>
      </c>
      <c r="C4595" t="str">
        <f t="shared" si="142"/>
        <v>MissouriYale</v>
      </c>
      <c r="D4595" t="s">
        <v>44</v>
      </c>
      <c r="E4595">
        <v>62.6</v>
      </c>
      <c r="F4595">
        <v>-3.3773584905660399</v>
      </c>
      <c r="G4595">
        <v>-167.43127585521199</v>
      </c>
      <c r="H4595">
        <v>137.58185177452901</v>
      </c>
      <c r="I4595" s="1">
        <f t="shared" si="143"/>
        <v>121.98574141583833</v>
      </c>
    </row>
    <row r="4596" spans="1:9" x14ac:dyDescent="0.45">
      <c r="A4596" t="s">
        <v>45</v>
      </c>
      <c r="B4596" t="s">
        <v>73</v>
      </c>
      <c r="C4596" t="str">
        <f t="shared" si="142"/>
        <v>MontanaYale</v>
      </c>
      <c r="D4596" t="s">
        <v>73</v>
      </c>
      <c r="E4596">
        <v>13.1</v>
      </c>
      <c r="F4596">
        <v>12.4264150943396</v>
      </c>
      <c r="G4596">
        <v>665.74690478171397</v>
      </c>
      <c r="H4596">
        <v>136.718563337935</v>
      </c>
      <c r="I4596" s="1">
        <f t="shared" si="143"/>
        <v>109.86369071612387</v>
      </c>
    </row>
    <row r="4597" spans="1:9" x14ac:dyDescent="0.45">
      <c r="A4597" t="s">
        <v>46</v>
      </c>
      <c r="B4597" t="s">
        <v>73</v>
      </c>
      <c r="C4597" t="str">
        <f t="shared" si="142"/>
        <v>Mount St. Mary'sYale</v>
      </c>
      <c r="D4597" t="s">
        <v>73</v>
      </c>
      <c r="E4597">
        <v>5.4</v>
      </c>
      <c r="F4597">
        <v>18.762264150943398</v>
      </c>
      <c r="G4597">
        <v>1749.5779412997699</v>
      </c>
      <c r="H4597">
        <v>138.02185129208601</v>
      </c>
      <c r="I4597" s="1">
        <f t="shared" si="143"/>
        <v>128.16408950158262</v>
      </c>
    </row>
    <row r="4598" spans="1:9" x14ac:dyDescent="0.45">
      <c r="A4598" t="s">
        <v>47</v>
      </c>
      <c r="B4598" t="s">
        <v>73</v>
      </c>
      <c r="C4598" t="str">
        <f t="shared" si="142"/>
        <v>Nebraska OmahaYale</v>
      </c>
      <c r="D4598" t="s">
        <v>73</v>
      </c>
      <c r="E4598">
        <v>7.4</v>
      </c>
      <c r="F4598">
        <v>16.569811320754699</v>
      </c>
      <c r="G4598">
        <v>1252.6529719185801</v>
      </c>
      <c r="H4598">
        <v>137.43962742418901</v>
      </c>
      <c r="I4598" s="1">
        <f t="shared" si="143"/>
        <v>119.98866753823904</v>
      </c>
    </row>
    <row r="4599" spans="1:9" x14ac:dyDescent="0.45">
      <c r="A4599" t="s">
        <v>48</v>
      </c>
      <c r="B4599" t="s">
        <v>73</v>
      </c>
      <c r="C4599" t="str">
        <f t="shared" si="142"/>
        <v>New MexicoYale</v>
      </c>
      <c r="D4599" t="s">
        <v>48</v>
      </c>
      <c r="E4599">
        <v>65.7</v>
      </c>
      <c r="F4599">
        <v>-4.2603773584905698</v>
      </c>
      <c r="G4599">
        <v>-191.53688519919299</v>
      </c>
      <c r="H4599">
        <v>138.20961735600599</v>
      </c>
      <c r="I4599" s="1">
        <f t="shared" si="143"/>
        <v>130.80064716880204</v>
      </c>
    </row>
    <row r="4600" spans="1:9" x14ac:dyDescent="0.45">
      <c r="A4600" t="s">
        <v>49</v>
      </c>
      <c r="B4600" t="s">
        <v>73</v>
      </c>
      <c r="C4600" t="str">
        <f t="shared" si="142"/>
        <v>Norfolk St.Yale</v>
      </c>
      <c r="D4600" t="s">
        <v>73</v>
      </c>
      <c r="E4600">
        <v>10.1</v>
      </c>
      <c r="F4600">
        <v>14.3056603773585</v>
      </c>
      <c r="G4600">
        <v>886.70250765256799</v>
      </c>
      <c r="H4600">
        <v>137.24574311997</v>
      </c>
      <c r="I4600" s="1">
        <f t="shared" si="143"/>
        <v>117.2661992808228</v>
      </c>
    </row>
    <row r="4601" spans="1:9" x14ac:dyDescent="0.45">
      <c r="A4601" t="s">
        <v>50</v>
      </c>
      <c r="B4601" t="s">
        <v>73</v>
      </c>
      <c r="C4601" t="str">
        <f t="shared" si="142"/>
        <v>North CarolinaYale</v>
      </c>
      <c r="D4601" t="s">
        <v>50</v>
      </c>
      <c r="E4601">
        <v>86.7</v>
      </c>
      <c r="F4601">
        <v>-12.309433962264199</v>
      </c>
      <c r="G4601">
        <v>-654.04770363106002</v>
      </c>
      <c r="H4601">
        <v>139.31934907444</v>
      </c>
      <c r="I4601" s="1">
        <f t="shared" si="143"/>
        <v>146.38318434144404</v>
      </c>
    </row>
    <row r="4602" spans="1:9" x14ac:dyDescent="0.45">
      <c r="A4602" t="s">
        <v>51</v>
      </c>
      <c r="B4602" t="s">
        <v>73</v>
      </c>
      <c r="C4602" t="str">
        <f t="shared" si="142"/>
        <v>OklahomaYale</v>
      </c>
      <c r="D4602" t="s">
        <v>51</v>
      </c>
      <c r="E4602">
        <v>69.599999999999994</v>
      </c>
      <c r="F4602">
        <v>-5.4301886792452798</v>
      </c>
      <c r="G4602">
        <v>-228.89283871827499</v>
      </c>
      <c r="H4602">
        <v>137.74297220061399</v>
      </c>
      <c r="I4602" s="1">
        <f t="shared" si="143"/>
        <v>124.24814861483594</v>
      </c>
    </row>
    <row r="4603" spans="1:9" x14ac:dyDescent="0.45">
      <c r="A4603" t="s">
        <v>52</v>
      </c>
      <c r="B4603" t="s">
        <v>73</v>
      </c>
      <c r="C4603" t="str">
        <f t="shared" si="142"/>
        <v>OregonYale</v>
      </c>
      <c r="D4603" t="s">
        <v>52</v>
      </c>
      <c r="E4603">
        <v>86.5</v>
      </c>
      <c r="F4603">
        <v>-12.1962264150943</v>
      </c>
      <c r="G4603">
        <v>-642.53745845093397</v>
      </c>
      <c r="H4603">
        <v>138.03368959214299</v>
      </c>
      <c r="I4603" s="1">
        <f t="shared" si="143"/>
        <v>128.33031954406451</v>
      </c>
    </row>
    <row r="4604" spans="1:9" x14ac:dyDescent="0.45">
      <c r="A4604" t="s">
        <v>53</v>
      </c>
      <c r="B4604" t="s">
        <v>73</v>
      </c>
      <c r="C4604" t="str">
        <f t="shared" si="142"/>
        <v>PurdueYale</v>
      </c>
      <c r="D4604" t="s">
        <v>53</v>
      </c>
      <c r="E4604">
        <v>97.3</v>
      </c>
      <c r="F4604">
        <v>-23.5660377358491</v>
      </c>
      <c r="G4604">
        <v>-3641.6488909636901</v>
      </c>
      <c r="H4604">
        <v>139.52177679194199</v>
      </c>
      <c r="I4604" s="1">
        <f t="shared" si="143"/>
        <v>149.22561677835688</v>
      </c>
    </row>
    <row r="4605" spans="1:9" x14ac:dyDescent="0.45">
      <c r="A4605" t="s">
        <v>54</v>
      </c>
      <c r="B4605" t="s">
        <v>73</v>
      </c>
      <c r="C4605" t="str">
        <f t="shared" si="142"/>
        <v>Robert MorrisYale</v>
      </c>
      <c r="D4605" t="s">
        <v>73</v>
      </c>
      <c r="E4605">
        <v>4.3</v>
      </c>
      <c r="F4605">
        <v>20.320754716981099</v>
      </c>
      <c r="G4605">
        <v>2219.9174725121602</v>
      </c>
      <c r="H4605">
        <v>136.604742120628</v>
      </c>
      <c r="I4605" s="1">
        <f t="shared" si="143"/>
        <v>108.26544555446949</v>
      </c>
    </row>
    <row r="4606" spans="1:9" x14ac:dyDescent="0.45">
      <c r="A4606" t="s">
        <v>55</v>
      </c>
      <c r="B4606" t="s">
        <v>73</v>
      </c>
      <c r="C4606" t="str">
        <f t="shared" si="142"/>
        <v>Saint FrancisYale</v>
      </c>
      <c r="D4606" t="s">
        <v>73</v>
      </c>
      <c r="E4606">
        <v>2.6</v>
      </c>
      <c r="F4606">
        <v>23.683018867924499</v>
      </c>
      <c r="G4606">
        <v>3707.82325455306</v>
      </c>
      <c r="H4606">
        <v>137.31159000267201</v>
      </c>
      <c r="I4606" s="1">
        <f t="shared" si="143"/>
        <v>118.19080248028303</v>
      </c>
    </row>
    <row r="4607" spans="1:9" x14ac:dyDescent="0.45">
      <c r="A4607" t="s">
        <v>56</v>
      </c>
      <c r="B4607" t="s">
        <v>73</v>
      </c>
      <c r="C4607" t="str">
        <f t="shared" si="142"/>
        <v>Saint Mary'sYale</v>
      </c>
      <c r="D4607" t="s">
        <v>56</v>
      </c>
      <c r="E4607">
        <v>86.3</v>
      </c>
      <c r="F4607">
        <v>-12.0490566037736</v>
      </c>
      <c r="G4607">
        <v>-628.55770006026705</v>
      </c>
      <c r="H4607">
        <v>139.040796118614</v>
      </c>
      <c r="I4607" s="1">
        <f t="shared" si="143"/>
        <v>142.47182295868288</v>
      </c>
    </row>
    <row r="4608" spans="1:9" x14ac:dyDescent="0.45">
      <c r="A4608" t="s">
        <v>57</v>
      </c>
      <c r="B4608" t="s">
        <v>73</v>
      </c>
      <c r="C4608" t="str">
        <f t="shared" si="142"/>
        <v>San Diego St.Yale</v>
      </c>
      <c r="D4608" t="s">
        <v>57</v>
      </c>
      <c r="E4608">
        <v>66.099999999999994</v>
      </c>
      <c r="F4608">
        <v>-4.3773584905660403</v>
      </c>
      <c r="G4608">
        <v>-194.96003088633799</v>
      </c>
      <c r="H4608">
        <v>138.255495281642</v>
      </c>
      <c r="I4608" s="1">
        <f t="shared" si="143"/>
        <v>131.44485195249121</v>
      </c>
    </row>
    <row r="4609" spans="1:9" x14ac:dyDescent="0.45">
      <c r="A4609" t="s">
        <v>58</v>
      </c>
      <c r="B4609" t="s">
        <v>73</v>
      </c>
      <c r="C4609" t="str">
        <f t="shared" si="142"/>
        <v>SIU EdwardsvilleYale</v>
      </c>
      <c r="D4609" t="s">
        <v>73</v>
      </c>
      <c r="E4609">
        <v>8.5</v>
      </c>
      <c r="F4609">
        <v>15.5962264150943</v>
      </c>
      <c r="G4609">
        <v>1079.77854637624</v>
      </c>
      <c r="H4609">
        <v>138.314753461826</v>
      </c>
      <c r="I4609" s="1">
        <f t="shared" si="143"/>
        <v>132.27693846507947</v>
      </c>
    </row>
    <row r="4610" spans="1:9" x14ac:dyDescent="0.45">
      <c r="A4610" t="s">
        <v>59</v>
      </c>
      <c r="B4610" t="s">
        <v>73</v>
      </c>
      <c r="C4610" t="str">
        <f t="shared" si="142"/>
        <v>St. John'sYale</v>
      </c>
      <c r="D4610" t="s">
        <v>59</v>
      </c>
      <c r="E4610">
        <v>94.8</v>
      </c>
      <c r="F4610">
        <v>-19.033962264150901</v>
      </c>
      <c r="G4610">
        <v>-1823.8738655905699</v>
      </c>
      <c r="H4610">
        <v>139.134209910381</v>
      </c>
      <c r="I4610" s="1">
        <f t="shared" si="143"/>
        <v>143.78351285495879</v>
      </c>
    </row>
    <row r="4611" spans="1:9" x14ac:dyDescent="0.45">
      <c r="A4611" t="s">
        <v>60</v>
      </c>
      <c r="B4611" t="s">
        <v>73</v>
      </c>
      <c r="C4611" t="str">
        <f t="shared" ref="C4611:C4625" si="144">A4611&amp;B4611</f>
        <v>TennesseeYale</v>
      </c>
      <c r="D4611" t="s">
        <v>60</v>
      </c>
      <c r="E4611">
        <v>97.6</v>
      </c>
      <c r="F4611">
        <v>-24.2490566037736</v>
      </c>
      <c r="G4611">
        <v>-4041.5903588563901</v>
      </c>
      <c r="H4611">
        <v>139.927442284515</v>
      </c>
      <c r="I4611" s="1">
        <f t="shared" ref="I4611:I4625" si="145">18*(H4611-AVERAGE($H$2:$H$4625))/_xlfn.STDEV.P($H$2:$H$4625)+AVERAGE($H$2:$H$4625)</f>
        <v>154.92185625017919</v>
      </c>
    </row>
    <row r="4612" spans="1:9" x14ac:dyDescent="0.45">
      <c r="A4612" t="s">
        <v>61</v>
      </c>
      <c r="B4612" t="s">
        <v>73</v>
      </c>
      <c r="C4612" t="str">
        <f t="shared" si="144"/>
        <v>TexasYale</v>
      </c>
      <c r="D4612" t="s">
        <v>61</v>
      </c>
      <c r="E4612">
        <v>61.8</v>
      </c>
      <c r="F4612">
        <v>-3.1547169811320801</v>
      </c>
      <c r="G4612">
        <v>-161.773532638604</v>
      </c>
      <c r="H4612">
        <v>137.62732411215299</v>
      </c>
      <c r="I4612" s="1">
        <f t="shared" si="145"/>
        <v>122.62425104801542</v>
      </c>
    </row>
    <row r="4613" spans="1:9" x14ac:dyDescent="0.45">
      <c r="A4613" t="s">
        <v>62</v>
      </c>
      <c r="B4613" t="s">
        <v>73</v>
      </c>
      <c r="C4613" t="str">
        <f t="shared" si="144"/>
        <v>Texas A&amp;MYale</v>
      </c>
      <c r="D4613" t="s">
        <v>62</v>
      </c>
      <c r="E4613">
        <v>90.2</v>
      </c>
      <c r="F4613">
        <v>-14.554716981132101</v>
      </c>
      <c r="G4613">
        <v>-921.00449211078296</v>
      </c>
      <c r="H4613">
        <v>138.41429942155099</v>
      </c>
      <c r="I4613" s="1">
        <f t="shared" si="145"/>
        <v>133.67473451977813</v>
      </c>
    </row>
    <row r="4614" spans="1:9" x14ac:dyDescent="0.45">
      <c r="A4614" t="s">
        <v>63</v>
      </c>
      <c r="B4614" t="s">
        <v>73</v>
      </c>
      <c r="C4614" t="str">
        <f t="shared" si="144"/>
        <v>Texas TechYale</v>
      </c>
      <c r="D4614" t="s">
        <v>63</v>
      </c>
      <c r="E4614">
        <v>94.7</v>
      </c>
      <c r="F4614">
        <v>-18.890566037735901</v>
      </c>
      <c r="G4614">
        <v>-1783.9274570637899</v>
      </c>
      <c r="H4614">
        <v>139.40481202679001</v>
      </c>
      <c r="I4614" s="1">
        <f t="shared" si="145"/>
        <v>147.58323081191628</v>
      </c>
    </row>
    <row r="4615" spans="1:9" x14ac:dyDescent="0.45">
      <c r="A4615" t="s">
        <v>64</v>
      </c>
      <c r="B4615" t="s">
        <v>73</v>
      </c>
      <c r="C4615" t="str">
        <f t="shared" si="144"/>
        <v>TroyYale</v>
      </c>
      <c r="D4615" t="s">
        <v>73</v>
      </c>
      <c r="E4615">
        <v>20.399999999999999</v>
      </c>
      <c r="F4615">
        <v>8.9207547169811292</v>
      </c>
      <c r="G4615">
        <v>389.90973100889897</v>
      </c>
      <c r="H4615">
        <v>138.171116621349</v>
      </c>
      <c r="I4615" s="1">
        <f t="shared" si="145"/>
        <v>130.26003080270124</v>
      </c>
    </row>
    <row r="4616" spans="1:9" x14ac:dyDescent="0.45">
      <c r="A4616" t="s">
        <v>65</v>
      </c>
      <c r="B4616" t="s">
        <v>73</v>
      </c>
      <c r="C4616" t="str">
        <f t="shared" si="144"/>
        <v>UC San DiegoYale</v>
      </c>
      <c r="D4616" t="s">
        <v>73</v>
      </c>
      <c r="E4616">
        <v>39.700000000000003</v>
      </c>
      <c r="F4616">
        <v>2.7396226415094298</v>
      </c>
      <c r="G4616">
        <v>151.85747050666299</v>
      </c>
      <c r="H4616">
        <v>138.24123685101199</v>
      </c>
      <c r="I4616" s="1">
        <f t="shared" si="145"/>
        <v>131.24463912480959</v>
      </c>
    </row>
    <row r="4617" spans="1:9" x14ac:dyDescent="0.45">
      <c r="A4617" t="s">
        <v>66</v>
      </c>
      <c r="B4617" t="s">
        <v>73</v>
      </c>
      <c r="C4617" t="str">
        <f t="shared" si="144"/>
        <v>UCLAYale</v>
      </c>
      <c r="D4617" t="s">
        <v>66</v>
      </c>
      <c r="E4617">
        <v>69.400000000000006</v>
      </c>
      <c r="F4617">
        <v>-5.3622641509433997</v>
      </c>
      <c r="G4617">
        <v>-226.59759179725199</v>
      </c>
      <c r="H4617">
        <v>137.46249543022401</v>
      </c>
      <c r="I4617" s="1">
        <f t="shared" si="145"/>
        <v>120.3097735751174</v>
      </c>
    </row>
    <row r="4618" spans="1:9" x14ac:dyDescent="0.45">
      <c r="A4618" t="s">
        <v>67</v>
      </c>
      <c r="B4618" t="s">
        <v>73</v>
      </c>
      <c r="C4618" t="str">
        <f t="shared" si="144"/>
        <v>UNC WilmingtonYale</v>
      </c>
      <c r="D4618" t="s">
        <v>73</v>
      </c>
      <c r="E4618">
        <v>27.6</v>
      </c>
      <c r="F4618">
        <v>6.3320754716981096</v>
      </c>
      <c r="G4618">
        <v>262.663151935651</v>
      </c>
      <c r="H4618">
        <v>138.777905321676</v>
      </c>
      <c r="I4618" s="1">
        <f t="shared" si="145"/>
        <v>138.78038515656925</v>
      </c>
    </row>
    <row r="4619" spans="1:9" x14ac:dyDescent="0.45">
      <c r="A4619" t="s">
        <v>68</v>
      </c>
      <c r="B4619" t="s">
        <v>73</v>
      </c>
      <c r="C4619" t="str">
        <f t="shared" si="144"/>
        <v>Utah St.Yale</v>
      </c>
      <c r="D4619" t="s">
        <v>68</v>
      </c>
      <c r="E4619">
        <v>68.2</v>
      </c>
      <c r="F4619">
        <v>-4.9962264150943403</v>
      </c>
      <c r="G4619">
        <v>-214.30832253072199</v>
      </c>
      <c r="H4619">
        <v>138.32509182025501</v>
      </c>
      <c r="I4619" s="1">
        <f t="shared" si="145"/>
        <v>132.42210675381818</v>
      </c>
    </row>
    <row r="4620" spans="1:9" x14ac:dyDescent="0.45">
      <c r="A4620" t="s">
        <v>69</v>
      </c>
      <c r="B4620" t="s">
        <v>73</v>
      </c>
      <c r="C4620" t="str">
        <f t="shared" si="144"/>
        <v>VanderbiltYale</v>
      </c>
      <c r="D4620" t="s">
        <v>73</v>
      </c>
      <c r="E4620">
        <v>29.7</v>
      </c>
      <c r="F4620">
        <v>5.6528301886792498</v>
      </c>
      <c r="G4620">
        <v>236.799036862549</v>
      </c>
      <c r="H4620">
        <v>136.759129701538</v>
      </c>
      <c r="I4620" s="1">
        <f t="shared" si="145"/>
        <v>110.43331205640129</v>
      </c>
    </row>
    <row r="4621" spans="1:9" x14ac:dyDescent="0.45">
      <c r="A4621" t="s">
        <v>70</v>
      </c>
      <c r="B4621" t="s">
        <v>73</v>
      </c>
      <c r="C4621" t="str">
        <f t="shared" si="144"/>
        <v>VCUYale</v>
      </c>
      <c r="D4621" t="s">
        <v>70</v>
      </c>
      <c r="E4621">
        <v>57.5</v>
      </c>
      <c r="F4621">
        <v>-1.9962264150943401</v>
      </c>
      <c r="G4621">
        <v>-135.56320200073799</v>
      </c>
      <c r="H4621">
        <v>138.68430283073101</v>
      </c>
      <c r="I4621" s="1">
        <f t="shared" si="145"/>
        <v>137.46604560010383</v>
      </c>
    </row>
    <row r="4622" spans="1:9" x14ac:dyDescent="0.45">
      <c r="A4622" t="s">
        <v>71</v>
      </c>
      <c r="B4622" t="s">
        <v>73</v>
      </c>
      <c r="C4622" t="str">
        <f t="shared" si="144"/>
        <v>WisconsinYale</v>
      </c>
      <c r="D4622" t="s">
        <v>71</v>
      </c>
      <c r="E4622">
        <v>93.9</v>
      </c>
      <c r="F4622">
        <v>-17.947169811320801</v>
      </c>
      <c r="G4622">
        <v>-1545.35213727617</v>
      </c>
      <c r="H4622">
        <v>139.337558439063</v>
      </c>
      <c r="I4622" s="1">
        <f t="shared" si="145"/>
        <v>146.63887506057438</v>
      </c>
    </row>
    <row r="4623" spans="1:9" x14ac:dyDescent="0.45">
      <c r="A4623" t="s">
        <v>80</v>
      </c>
      <c r="B4623" t="s">
        <v>73</v>
      </c>
      <c r="C4623" t="str">
        <f t="shared" si="144"/>
        <v>WoffordYale</v>
      </c>
      <c r="D4623" t="s">
        <v>73</v>
      </c>
      <c r="E4623">
        <v>11.7</v>
      </c>
      <c r="F4623">
        <v>13.2264150943396</v>
      </c>
      <c r="G4623">
        <v>752.07062572623499</v>
      </c>
      <c r="H4623">
        <v>137.43520686829001</v>
      </c>
      <c r="I4623" s="1">
        <f t="shared" si="145"/>
        <v>119.92659534955081</v>
      </c>
    </row>
    <row r="4624" spans="1:9" x14ac:dyDescent="0.45">
      <c r="A4624" t="s">
        <v>72</v>
      </c>
      <c r="B4624" t="s">
        <v>73</v>
      </c>
      <c r="C4624" t="str">
        <f t="shared" si="144"/>
        <v>XavierYale</v>
      </c>
      <c r="D4624" t="s">
        <v>72</v>
      </c>
      <c r="E4624">
        <v>57.3</v>
      </c>
      <c r="F4624">
        <v>-1.9207547169811301</v>
      </c>
      <c r="G4624">
        <v>-134.05895599306999</v>
      </c>
      <c r="H4624">
        <v>138.178009038911</v>
      </c>
      <c r="I4624" s="1">
        <f t="shared" si="145"/>
        <v>130.35681216984176</v>
      </c>
    </row>
    <row r="4625" spans="1:9" x14ac:dyDescent="0.45">
      <c r="A4625" t="s">
        <v>73</v>
      </c>
      <c r="B4625" t="s">
        <v>73</v>
      </c>
      <c r="C4625" t="str">
        <f t="shared" si="144"/>
        <v>YaleYale</v>
      </c>
      <c r="D4625" t="s">
        <v>73</v>
      </c>
      <c r="E4625">
        <v>41.2</v>
      </c>
      <c r="F4625">
        <v>2.3283018867924499</v>
      </c>
      <c r="G4625">
        <v>142.64273539779199</v>
      </c>
      <c r="H4625">
        <v>138.77771517530499</v>
      </c>
      <c r="I4625" s="1">
        <f t="shared" si="145"/>
        <v>138.77771517530684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</vt:lpstr>
      <vt:lpstr>NCAAT Simulations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smben</dc:creator>
  <cp:lastModifiedBy>Sean Beney</cp:lastModifiedBy>
  <dcterms:created xsi:type="dcterms:W3CDTF">2025-03-16T20:35:42Z</dcterms:created>
  <dcterms:modified xsi:type="dcterms:W3CDTF">2025-03-22T13:17:57Z</dcterms:modified>
</cp:coreProperties>
</file>